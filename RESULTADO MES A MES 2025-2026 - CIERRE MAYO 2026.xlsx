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-mquijada\Desktop\PARA PRESENTACION DE CIERRES LB\"/>
    </mc:Choice>
  </mc:AlternateContent>
  <xr:revisionPtr revIDLastSave="0" documentId="8_{1CD26B2E-E237-4EA0-8EA9-E26920D001FF}" xr6:coauthVersionLast="47" xr6:coauthVersionMax="47" xr10:uidLastSave="{00000000-0000-0000-0000-000000000000}"/>
  <bookViews>
    <workbookView xWindow="-110" yWindow="-110" windowWidth="25820" windowHeight="15500" tabRatio="836" activeTab="1" xr2:uid="{00000000-000D-0000-FFFF-FFFF00000000}"/>
  </bookViews>
  <sheets>
    <sheet name="1. DIST CUOTA 2026 RESULTADO" sheetId="19" r:id="rId1"/>
    <sheet name="2. REGIONES- GRUP CAD IND" sheetId="2" r:id="rId2"/>
    <sheet name="3. ESTADOS" sheetId="12" r:id="rId3"/>
    <sheet name="4. PROVEEDORES" sheetId="4" r:id="rId4"/>
    <sheet name="5. CATEGORIA" sheetId="5" r:id="rId5"/>
    <sheet name="6. TOP CLIENTES" sheetId="13" r:id="rId6"/>
    <sheet name="7. CXC" sheetId="14" r:id="rId7"/>
    <sheet name="8. CIERRE COB NACIONAL 2025" sheetId="29" r:id="rId8"/>
    <sheet name="CIERRE COB 2025" sheetId="30" r:id="rId9"/>
  </sheets>
  <externalReferences>
    <externalReference r:id="rId10"/>
  </externalReferences>
  <definedNames>
    <definedName name="_xlnm._FilterDatabase" localSheetId="3" hidden="1">'4. PROVEEDORES'!$C$23:$J$326</definedName>
    <definedName name="_xlnm._FilterDatabase" localSheetId="5" hidden="1">'6. TOP CLIENTES'!$I$1:$M$430</definedName>
    <definedName name="_xlnm._FilterDatabase" localSheetId="8" hidden="1">'CIERRE COB 2025'!$B$2:$D$74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4" l="1"/>
  <c r="P15" i="4"/>
  <c r="U15" i="4"/>
  <c r="T15" i="4"/>
  <c r="R15" i="4"/>
  <c r="I15" i="4"/>
  <c r="H15" i="4"/>
  <c r="G15" i="4"/>
  <c r="E15" i="4"/>
  <c r="D15" i="4"/>
  <c r="K3" i="4"/>
  <c r="F17" i="19"/>
  <c r="F18" i="19"/>
  <c r="E40" i="19"/>
  <c r="D40" i="19"/>
  <c r="D18" i="19"/>
  <c r="E18" i="19"/>
  <c r="E17" i="19"/>
  <c r="I31" i="19"/>
  <c r="G31" i="19"/>
  <c r="H9" i="19"/>
  <c r="W3" i="4"/>
  <c r="W4" i="4"/>
  <c r="W5" i="4"/>
  <c r="W6" i="4"/>
  <c r="W7" i="4"/>
  <c r="W8" i="4"/>
  <c r="W9" i="4"/>
  <c r="W10" i="4"/>
  <c r="W11" i="4"/>
  <c r="W12" i="4"/>
  <c r="W13" i="4"/>
  <c r="W14" i="4"/>
  <c r="J3" i="14"/>
  <c r="B13" i="14"/>
  <c r="B15" i="14" s="1"/>
  <c r="Q15" i="4"/>
  <c r="E39" i="19"/>
  <c r="I30" i="19"/>
  <c r="G30" i="19"/>
  <c r="H7" i="19"/>
  <c r="H8" i="19"/>
  <c r="H39" i="19"/>
  <c r="G29" i="19"/>
  <c r="I29" i="19"/>
  <c r="H6" i="19"/>
  <c r="I28" i="19"/>
  <c r="G28" i="19"/>
  <c r="I39" i="19" l="1"/>
  <c r="V15" i="4"/>
  <c r="W15" i="4"/>
  <c r="S15" i="4"/>
  <c r="G1609" i="13" l="1"/>
  <c r="G1465" i="13"/>
  <c r="G1480" i="13"/>
  <c r="G1498" i="13"/>
  <c r="G1513" i="13"/>
  <c r="G1528" i="13"/>
  <c r="G1546" i="13"/>
  <c r="G1561" i="13"/>
  <c r="G1576" i="13"/>
  <c r="G1594" i="13"/>
  <c r="G1628" i="13"/>
  <c r="G1616" i="13"/>
  <c r="G1604" i="13"/>
  <c r="G1592" i="13"/>
  <c r="G1580" i="13"/>
  <c r="G1568" i="13"/>
  <c r="G1556" i="13"/>
  <c r="G1544" i="13"/>
  <c r="G1532" i="13"/>
  <c r="G1520" i="13"/>
  <c r="G1508" i="13"/>
  <c r="G1496" i="13"/>
  <c r="G1484" i="13"/>
  <c r="G1472" i="13"/>
  <c r="G1627" i="13"/>
  <c r="G1615" i="13"/>
  <c r="G1603" i="13"/>
  <c r="G1591" i="13"/>
  <c r="G1579" i="13"/>
  <c r="G1567" i="13"/>
  <c r="G1555" i="13"/>
  <c r="G1543" i="13"/>
  <c r="G1531" i="13"/>
  <c r="G1519" i="13"/>
  <c r="G1507" i="13"/>
  <c r="G1495" i="13"/>
  <c r="G1483" i="13"/>
  <c r="G1471" i="13"/>
  <c r="G1626" i="13"/>
  <c r="G1614" i="13"/>
  <c r="G1602" i="13"/>
  <c r="G1590" i="13"/>
  <c r="G1578" i="13"/>
  <c r="G1566" i="13"/>
  <c r="G1554" i="13"/>
  <c r="G1542" i="13"/>
  <c r="G1530" i="13"/>
  <c r="G1518" i="13"/>
  <c r="G1506" i="13"/>
  <c r="G1494" i="13"/>
  <c r="G1482" i="13"/>
  <c r="G1470" i="13"/>
  <c r="G1624" i="13"/>
  <c r="G1623" i="13"/>
  <c r="G1466" i="13"/>
  <c r="G1481" i="13"/>
  <c r="G1499" i="13"/>
  <c r="G1514" i="13"/>
  <c r="G1529" i="13"/>
  <c r="G1547" i="13"/>
  <c r="G1562" i="13"/>
  <c r="G1577" i="13"/>
  <c r="G1595" i="13"/>
  <c r="G1610" i="13"/>
  <c r="G1467" i="13"/>
  <c r="G1485" i="13"/>
  <c r="G1500" i="13"/>
  <c r="G1515" i="13"/>
  <c r="G1533" i="13"/>
  <c r="G1548" i="13"/>
  <c r="G1563" i="13"/>
  <c r="G1581" i="13"/>
  <c r="G1596" i="13"/>
  <c r="G1611" i="13"/>
  <c r="G1468" i="13"/>
  <c r="G1486" i="13"/>
  <c r="G1501" i="13"/>
  <c r="G1516" i="13"/>
  <c r="G1534" i="13"/>
  <c r="G1549" i="13"/>
  <c r="G1564" i="13"/>
  <c r="G1582" i="13"/>
  <c r="G1597" i="13"/>
  <c r="G1612" i="13"/>
  <c r="G1469" i="13"/>
  <c r="G1487" i="13"/>
  <c r="G1502" i="13"/>
  <c r="G1517" i="13"/>
  <c r="G1535" i="13"/>
  <c r="G1550" i="13"/>
  <c r="G1565" i="13"/>
  <c r="G1583" i="13"/>
  <c r="G1598" i="13"/>
  <c r="G1613" i="13"/>
  <c r="G1473" i="13"/>
  <c r="G1488" i="13"/>
  <c r="G1503" i="13"/>
  <c r="G1521" i="13"/>
  <c r="G1536" i="13"/>
  <c r="G1551" i="13"/>
  <c r="G1569" i="13"/>
  <c r="G1584" i="13"/>
  <c r="G1599" i="13"/>
  <c r="G1617" i="13"/>
  <c r="G1474" i="13"/>
  <c r="G1489" i="13"/>
  <c r="G1504" i="13"/>
  <c r="G1522" i="13"/>
  <c r="G1537" i="13"/>
  <c r="G1552" i="13"/>
  <c r="G1570" i="13"/>
  <c r="G1585" i="13"/>
  <c r="G1600" i="13"/>
  <c r="G1618" i="13"/>
  <c r="G1475" i="13"/>
  <c r="G1490" i="13"/>
  <c r="G1505" i="13"/>
  <c r="G1523" i="13"/>
  <c r="G1538" i="13"/>
  <c r="G1553" i="13"/>
  <c r="G1571" i="13"/>
  <c r="G1586" i="13"/>
  <c r="G1601" i="13"/>
  <c r="G1619" i="13"/>
  <c r="G1476" i="13"/>
  <c r="G1491" i="13"/>
  <c r="G1509" i="13"/>
  <c r="G1524" i="13"/>
  <c r="G1539" i="13"/>
  <c r="G1557" i="13"/>
  <c r="G1572" i="13"/>
  <c r="G1587" i="13"/>
  <c r="G1605" i="13"/>
  <c r="G1620" i="13"/>
  <c r="G1477" i="13"/>
  <c r="G1492" i="13"/>
  <c r="G1510" i="13"/>
  <c r="G1525" i="13"/>
  <c r="G1540" i="13"/>
  <c r="G1558" i="13"/>
  <c r="G1573" i="13"/>
  <c r="G1588" i="13"/>
  <c r="G1606" i="13"/>
  <c r="G1621" i="13"/>
  <c r="G1463" i="13"/>
  <c r="G1478" i="13"/>
  <c r="G1493" i="13"/>
  <c r="G1511" i="13"/>
  <c r="G1526" i="13"/>
  <c r="G1541" i="13"/>
  <c r="G1559" i="13"/>
  <c r="G1574" i="13"/>
  <c r="G1589" i="13"/>
  <c r="G1607" i="13"/>
  <c r="G1622" i="13"/>
  <c r="G1464" i="13"/>
  <c r="G1479" i="13"/>
  <c r="G1497" i="13"/>
  <c r="G1512" i="13"/>
  <c r="G1527" i="13"/>
  <c r="G1545" i="13"/>
  <c r="G1560" i="13"/>
  <c r="G1575" i="13"/>
  <c r="G1593" i="13"/>
  <c r="G1608" i="13"/>
  <c r="G1625" i="13"/>
  <c r="J4" i="14" l="1"/>
  <c r="J5" i="14"/>
  <c r="J6" i="14"/>
  <c r="J7" i="14"/>
  <c r="J8" i="14"/>
  <c r="J9" i="14"/>
  <c r="J10" i="14"/>
  <c r="J11" i="14"/>
  <c r="J12" i="14"/>
  <c r="C13" i="14"/>
  <c r="D13" i="14"/>
  <c r="E13" i="14"/>
  <c r="F13" i="14"/>
  <c r="G13" i="14"/>
  <c r="H13" i="14"/>
  <c r="K14" i="4"/>
  <c r="H5" i="19"/>
  <c r="I27" i="19"/>
  <c r="G27" i="19"/>
  <c r="D17" i="19"/>
  <c r="D39" i="19"/>
  <c r="F40" i="19"/>
  <c r="C40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16" i="19"/>
  <c r="F15" i="19"/>
  <c r="F14" i="19"/>
  <c r="F13" i="19"/>
  <c r="F12" i="19"/>
  <c r="F11" i="19"/>
  <c r="F10" i="19"/>
  <c r="F9" i="19"/>
  <c r="F8" i="19"/>
  <c r="F7" i="19"/>
  <c r="F6" i="19"/>
  <c r="F5" i="19"/>
  <c r="K13" i="4"/>
  <c r="F15" i="4"/>
  <c r="F39" i="19" l="1"/>
  <c r="J13" i="14"/>
  <c r="C15" i="14"/>
  <c r="D15" i="14"/>
  <c r="E15" i="14"/>
  <c r="F15" i="14"/>
  <c r="G15" i="14"/>
  <c r="H15" i="14"/>
  <c r="I15" i="14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3" i="12"/>
  <c r="K4" i="4"/>
  <c r="K5" i="4"/>
  <c r="K6" i="4"/>
  <c r="K7" i="4"/>
  <c r="K8" i="4"/>
  <c r="K9" i="4"/>
  <c r="K10" i="4"/>
  <c r="K11" i="4"/>
  <c r="K12" i="4"/>
  <c r="K15" i="4"/>
  <c r="J15" i="4" l="1"/>
</calcChain>
</file>

<file path=xl/sharedStrings.xml><?xml version="1.0" encoding="utf-8"?>
<sst xmlns="http://schemas.openxmlformats.org/spreadsheetml/2006/main" count="4921" uniqueCount="4210">
  <si>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</si>
  <si>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</si>
  <si>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</si>
  <si>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</si>
  <si>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</si>
  <si>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</si>
  <si>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</si>
  <si>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</si>
  <si>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</si>
  <si>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</si>
  <si>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</si>
  <si>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</si>
  <si>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</si>
  <si>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MES</t>
  </si>
  <si>
    <t>AÑO 2025</t>
  </si>
  <si>
    <t>CRECIMIENTO</t>
  </si>
  <si>
    <t>Región</t>
  </si>
  <si>
    <t>Ventas $ año anterior</t>
  </si>
  <si>
    <t>Ventas $ año actual</t>
  </si>
  <si>
    <t>% Peso</t>
  </si>
  <si>
    <t>% Var. interanual USD</t>
  </si>
  <si>
    <t>Ventas Unid. año anterior</t>
  </si>
  <si>
    <t>Ventas Unid. año actual</t>
  </si>
  <si>
    <t>% Var. interanual Und</t>
  </si>
  <si>
    <t>MARACAIBO</t>
  </si>
  <si>
    <t>ESTE</t>
  </si>
  <si>
    <t>CENTRO OESTE</t>
  </si>
  <si>
    <t>CENTRO ESTE</t>
  </si>
  <si>
    <t>CARACAS</t>
  </si>
  <si>
    <t>ANDINA</t>
  </si>
  <si>
    <t>TIPO_CLIENTE</t>
  </si>
  <si>
    <t>PROVEEDOR</t>
  </si>
  <si>
    <t>GRUPO  LETI</t>
  </si>
  <si>
    <t>GRUPO  CALOX</t>
  </si>
  <si>
    <t>GRUPO MMF</t>
  </si>
  <si>
    <t>GRUPO  FARMA</t>
  </si>
  <si>
    <t>LABORATORIOS L.O. OFTALMI, C.A.</t>
  </si>
  <si>
    <t xml:space="preserve"> GRUPO MEGALABS</t>
  </si>
  <si>
    <t>GRUPO  VALMORCA</t>
  </si>
  <si>
    <t>GRUPO  MEYER</t>
  </si>
  <si>
    <t>GRUPO COFASA</t>
  </si>
  <si>
    <t>CASA DE REPRESENTACION DISTRILAB, C.A.</t>
  </si>
  <si>
    <t>NATURLIFE´S, C.A.</t>
  </si>
  <si>
    <t>BIOTECH LABORATORIOS, C.A.</t>
  </si>
  <si>
    <t>LABORATORIOS SPEFAR VENEZOLANOS, S.A.</t>
  </si>
  <si>
    <t>GRUPO  ELMOR</t>
  </si>
  <si>
    <t>GRUPO  VARGAS</t>
  </si>
  <si>
    <t>COMPAÑIA ANONIMA PRODUCTOS RONAVA</t>
  </si>
  <si>
    <t>ESPECIALIDADES DOLLDER C.A.</t>
  </si>
  <si>
    <t>LABORATORIO PLUSANDEX, C.A.</t>
  </si>
  <si>
    <t>LABORATORIOS FC PHARMA, C.A.</t>
  </si>
  <si>
    <t>GRUPO  BEHRENS</t>
  </si>
  <si>
    <t>PHARSANA DE VENEZUELA, C.A.</t>
  </si>
  <si>
    <t>ALESS PHARMACEUTICALS C A</t>
  </si>
  <si>
    <t>ARCO IRIS LABORATORIO C.A.</t>
  </si>
  <si>
    <t>CASA DE REPRESENTACIONES 4G C.A.</t>
  </si>
  <si>
    <t>LABORATORIOS KIMICEG, C.A.</t>
  </si>
  <si>
    <t>LABORATORIO QUIM-FAR CA</t>
  </si>
  <si>
    <t>LABORATORIOS HERBAPLANT, C.A.</t>
  </si>
  <si>
    <t>CASA DE REPRESENTACION ADN MEDICAL CA</t>
  </si>
  <si>
    <t>NOW DE VENEZUELA, C.A.</t>
  </si>
  <si>
    <t>SNC PHARMA, C.A.</t>
  </si>
  <si>
    <t>GRUPO NATURAL SYSTEMS</t>
  </si>
  <si>
    <t>CASA DE REPRESENTACIONES NAUTICA, C.A.</t>
  </si>
  <si>
    <t>ADIUM LABORATORIOS, C.A.</t>
  </si>
  <si>
    <t>MVGA CA</t>
  </si>
  <si>
    <t>CASA DE REPRESENTACIONES LATTAN MEDIC, C.A</t>
  </si>
  <si>
    <t>CASA DE REPRESENTACIONES MARQUEZ Y KOTEICH C.A</t>
  </si>
  <si>
    <t>COLGATE PALMOLIVE, C.A.</t>
  </si>
  <si>
    <t>GRUPO  PONCE &amp; BENZO</t>
  </si>
  <si>
    <t>INVERSIONES ANGELUS HEALTH, C.A</t>
  </si>
  <si>
    <t>COMERCIALIZADORA TIARES C.A.</t>
  </si>
  <si>
    <t>GRUPO VINCENTI</t>
  </si>
  <si>
    <t>EL BOMBON DORADO C.A.</t>
  </si>
  <si>
    <t>CASA REPRESENTACIONES FAHD, C.A.</t>
  </si>
  <si>
    <t>CASA DE REPRESENTACION ARO, S.A.</t>
  </si>
  <si>
    <t>DOLLY FARMA,C.A</t>
  </si>
  <si>
    <t>LABORATORIOS POLITECNICOS NACIONALES C.A.</t>
  </si>
  <si>
    <t>CASA DE REPRESENTACION GRUPO SUPPLYPHARMA, C.A</t>
  </si>
  <si>
    <t>ALCOHOLES NACIONALES, C.A.</t>
  </si>
  <si>
    <t>ASTRAZENECA VENEZUELA, S.A.</t>
  </si>
  <si>
    <t>DROVENPLUS TACHIRA, C.A.</t>
  </si>
  <si>
    <t>ZORIAK, C.A.</t>
  </si>
  <si>
    <t>NATURAL NUTRITION CENTER, C.A..</t>
  </si>
  <si>
    <t>BIOQUIMICA INTERNACIONAL, C.A.</t>
  </si>
  <si>
    <t>PHARMASTERIL, C.A.</t>
  </si>
  <si>
    <t>SULCAGEL C.A.</t>
  </si>
  <si>
    <t>GRUPO GENIA CARE</t>
  </si>
  <si>
    <t>LABORATORIOS BIOFARCO, C.A.</t>
  </si>
  <si>
    <t>AVPHARMA CA</t>
  </si>
  <si>
    <t>BRUPHARM C.A.</t>
  </si>
  <si>
    <t>INVERSIONES M.R.C.S.21 C.A</t>
  </si>
  <si>
    <t>LABORATORIO F.S.I, C.A.</t>
  </si>
  <si>
    <t>BIOS PHARMACEUTIC, C.A.</t>
  </si>
  <si>
    <t>CORPORACION ANGELS NTERNACIONAL , C.A</t>
  </si>
  <si>
    <t>GRUPO  MEDIFARM</t>
  </si>
  <si>
    <t>STOREFIT INTERNACIONAL, C.A.</t>
  </si>
  <si>
    <t>DOROPHARMA, C.A</t>
  </si>
  <si>
    <t>MT GLOBAL CARE, C.A.</t>
  </si>
  <si>
    <t>LABORATORIO FARMAQUIMICA, C.A.</t>
  </si>
  <si>
    <t>CASA DE REP FARMACOS MEDIORIENTE</t>
  </si>
  <si>
    <t>GRUPO DIEMA 1216, C.A.</t>
  </si>
  <si>
    <t>INDUSTRIAS JAI, C.A</t>
  </si>
  <si>
    <t>DIMASSI, C.A.</t>
  </si>
  <si>
    <t>DISTRIBUIDORA ARTE MEDICO, C.A.</t>
  </si>
  <si>
    <t>INVERSIONES GEAGAR 2021 C.A</t>
  </si>
  <si>
    <t>LABORATORIO FARMAGENIK C.A.</t>
  </si>
  <si>
    <t>LABORATORIOS BUKA C.A.</t>
  </si>
  <si>
    <t>CASA DE REPRESENTACION PHARMACORP 2000, C.</t>
  </si>
  <si>
    <t>LABORATORIOS MULTILENTE, C.A.</t>
  </si>
  <si>
    <t>INSTITUTO INTERAMERICANO DE COSMETICOS, C.A.</t>
  </si>
  <si>
    <t>CAPSUVEN PHARMA LABS</t>
  </si>
  <si>
    <t>GRUPO  NESTLE</t>
  </si>
  <si>
    <t>IPS DE VENEZUELA C.A</t>
  </si>
  <si>
    <t>JENGIMIEL C.A.</t>
  </si>
  <si>
    <t>GRUPO  JERICO</t>
  </si>
  <si>
    <t>INVERSIONES LINOFLAX C.A.</t>
  </si>
  <si>
    <t>RAVEL C.A.</t>
  </si>
  <si>
    <t>DIVAR C.A.</t>
  </si>
  <si>
    <t>LABORATORIO NATURAL PREMIUM. C.A.</t>
  </si>
  <si>
    <t>VITAOZONO VENEZUELA C.A</t>
  </si>
  <si>
    <t>LABORATORIOS BALKER C.A.</t>
  </si>
  <si>
    <t>WALIFE NUTRITION, C.A</t>
  </si>
  <si>
    <t>GRUPO VEIDEN CA</t>
  </si>
  <si>
    <t>ZUKATI CASA DE REPRESENTACION, C.A.</t>
  </si>
  <si>
    <t>CORPORACION MEDICALOS LLANOS CA</t>
  </si>
  <si>
    <t>PROVESALUD PLUS C.A</t>
  </si>
  <si>
    <t>ALBEPHAR PRODUCTOS, C.A.</t>
  </si>
  <si>
    <t>C.A.  VITA</t>
  </si>
  <si>
    <t>NIO PHARMACEUTICAL C.A.</t>
  </si>
  <si>
    <t>LABORATORIO RECETTEMARK, C.A</t>
  </si>
  <si>
    <t>LABORATORIOS FISA, C.A.</t>
  </si>
  <si>
    <t>DISTRIBUIDORA LATEX &amp; MEDS, C.A.</t>
  </si>
  <si>
    <t>DROVITAL CASA DE REPRESENTACION C.A</t>
  </si>
  <si>
    <t>ITNVENEZUELA, C.A.</t>
  </si>
  <si>
    <t>CASA DE REPRESENTACION A.MEDICAL (A. MEDICAL) C.A</t>
  </si>
  <si>
    <t>GRUPO CLEANUP C.A</t>
  </si>
  <si>
    <t>PROBIOTIC C.A.</t>
  </si>
  <si>
    <t>EUROCARE VENEZUELA C.A.</t>
  </si>
  <si>
    <t>ACEC SOLUCIONES MEDICAS, C.A</t>
  </si>
  <si>
    <t>LABORATORIO PHARMARIS VENEZUELA, C.A.</t>
  </si>
  <si>
    <t>LABORATORIOS CHEMYCAL'S  SOMA, C.A.</t>
  </si>
  <si>
    <t>SALUD A TU ALCANCE S.T.A., C.A.</t>
  </si>
  <si>
    <t>PRODUCTOS LISTER FENIX, C.A.</t>
  </si>
  <si>
    <t>ZOAH INVERSIONES C.A</t>
  </si>
  <si>
    <t>ARIAS EBENEZER C.A</t>
  </si>
  <si>
    <t>GRUPO  GAMMAFOOD</t>
  </si>
  <si>
    <t>PRODUCCIONES RODENEZA, C.A.</t>
  </si>
  <si>
    <t>DISTRIBUIDORA DE COMPONENTES MEDICOS JFR, C.A.</t>
  </si>
  <si>
    <t>SUPPLYMED CASA DE REPRESENTACION C. A.</t>
  </si>
  <si>
    <t>PLUSMEDIC, C.A</t>
  </si>
  <si>
    <t>DERMABEL, S.A.</t>
  </si>
  <si>
    <t>GRUPO MAH 5454, C.A.</t>
  </si>
  <si>
    <t>EUROFARMA VENEZUELA CASA DE REPRESENTACIÓN, C.A</t>
  </si>
  <si>
    <t>HMD MEDICAL, C.A</t>
  </si>
  <si>
    <t>NUVILLE INTERNATIONAL, C.A.</t>
  </si>
  <si>
    <t>LABORATORIOS INTRA, S.A.</t>
  </si>
  <si>
    <t>PROVEDURIA MEDICA ORBE, C.A.</t>
  </si>
  <si>
    <t>LABORATORIO HOMEOPATICO VIHOM, C.A</t>
  </si>
  <si>
    <t>REPRESENTACIONES DISKAM C.A</t>
  </si>
  <si>
    <t>ALPHA BMT C A</t>
  </si>
  <si>
    <t>ALIMENTOS POLAR COMERCIAL C.A.</t>
  </si>
  <si>
    <t>LABORATORIO ETICO FARMACEUTICO  CA</t>
  </si>
  <si>
    <t>SAVONE COSMETICOS, C.A.</t>
  </si>
  <si>
    <t>INDUSTRIAS CORPAÑAL, C.A.</t>
  </si>
  <si>
    <t>LABORATORIO BIOFAR CA</t>
  </si>
  <si>
    <t>PEPSICO ALIMENTOS, S. C.A.</t>
  </si>
  <si>
    <t>GD3, C.A</t>
  </si>
  <si>
    <t>INDUSTRIAS BELLNUTRI, C.A</t>
  </si>
  <si>
    <t>ALGODONES VENEZOLANOS, C.A.</t>
  </si>
  <si>
    <t>VARGAS, C.A.</t>
  </si>
  <si>
    <t>ALCOHOLES VALENCIA, C.A.</t>
  </si>
  <si>
    <t>CHOCOLATES ST. MORITZ C.A.</t>
  </si>
  <si>
    <t>DERNIER COSMETICS S.A.</t>
  </si>
  <si>
    <t>SOTO GLOBAL GROUP, C.A.</t>
  </si>
  <si>
    <t>BIOGLASS PHARMACEUTICAL CASA DE REPRESENTACIÓN, C.</t>
  </si>
  <si>
    <t>BIUMAK PHARMACEUTICALS CA</t>
  </si>
  <si>
    <t>LABORATORIO PRIMAVERA MAF C.A.</t>
  </si>
  <si>
    <t>CASA DE REPRESENTACIONES SANUS C.A.</t>
  </si>
  <si>
    <t>CASA DE REPRESENTACIONES COMERCIALIZADORA LIDER, C</t>
  </si>
  <si>
    <t>INTERFARMACEUTICA INTERFARCA C.A.</t>
  </si>
  <si>
    <t>NEILMED DE VZLA, C.A</t>
  </si>
  <si>
    <t>INVERSIONES FERMOPAL, C.A.</t>
  </si>
  <si>
    <t>GLOBAL MEDICAL SUPPLY, C.A.</t>
  </si>
  <si>
    <t>VALEBRON &amp; CIA., C.A.</t>
  </si>
  <si>
    <t>COMERCIALIZADORA JD 2020 CA</t>
  </si>
  <si>
    <t>LABORATORIOS ZUZU, C.A</t>
  </si>
  <si>
    <t>H &amp; N INTERNATIONAL MEDICAL SUPPLY CA</t>
  </si>
  <si>
    <t>PAPELES VENEZOLANOS C. A.</t>
  </si>
  <si>
    <t>REPRESENTACIONES MEDICAL PV ,C.A</t>
  </si>
  <si>
    <t>PRIMA SALUD, C.A</t>
  </si>
  <si>
    <t>INVERSIONES VLAYBEL1991 C.A.</t>
  </si>
  <si>
    <t>PULPLUS, C.A.</t>
  </si>
  <si>
    <t>CASA DE REPRESENTACION SEFARLA C.A SERVICIOS FARMA</t>
  </si>
  <si>
    <t>UPHARVEN, C.A</t>
  </si>
  <si>
    <t>CASA DE REPRESENTACIONES GMA, C.A</t>
  </si>
  <si>
    <t>LABORATORIOS XPERIAN, C.A.</t>
  </si>
  <si>
    <t>RELA AUTOADHESIVOS C.A.</t>
  </si>
  <si>
    <t>ALIMENTOS AGLOW VE, C.A.</t>
  </si>
  <si>
    <t>COMERCIALIZADORA MBGLOBAL, C.A.</t>
  </si>
  <si>
    <t>MONDELEZ VZ, C.A.</t>
  </si>
  <si>
    <t>BIOFARCO NUTRACEUTICA, C.A.</t>
  </si>
  <si>
    <t>DROMEBAR SA</t>
  </si>
  <si>
    <t>DISTRIBUIDORA DH VITAL, C.A.</t>
  </si>
  <si>
    <t>C.A. SUCESORA DE JOSE PUIG &amp; CIA</t>
  </si>
  <si>
    <t>ALIVE CORPORACION DE VZLA, C.A.</t>
  </si>
  <si>
    <t>CASA DE  REPRESENTACION DROVEN PLUS C.A.</t>
  </si>
  <si>
    <t>KODAKVEN C.A.</t>
  </si>
  <si>
    <t>FARMACEUTICA A&amp;M C.A</t>
  </si>
  <si>
    <t>CASA DE REPRESENTACIONES SUMILOG 2021, C.A</t>
  </si>
  <si>
    <t>BIOMEDICA GLOBAL, C.A.</t>
  </si>
  <si>
    <t>INVERSIONES B &amp; M, C.A.</t>
  </si>
  <si>
    <t>CASA DE REPRESENTACION JL DE VENEZUELA C.A</t>
  </si>
  <si>
    <t>MHW EQUIPMENT, C.A</t>
  </si>
  <si>
    <t>WAYNE CORP C.A.</t>
  </si>
  <si>
    <t>MEDLINE PHARMACEUTICAL, C.A.</t>
  </si>
  <si>
    <t>NOZOMI SALUD CASA DE REPRESENTACIÓN, C.A</t>
  </si>
  <si>
    <t>LABORATORIO DISTRIBUIDORA TRILUSA, C.A.</t>
  </si>
  <si>
    <t>NORDIK QUÍMICA DE VENEZUELA C.A</t>
  </si>
  <si>
    <t>S.C. JOHNSON &amp; SON DE VENEZUELA, S.C.A.</t>
  </si>
  <si>
    <t>REPRESENTACIONES VAL-NIC 3000, S.A.</t>
  </si>
  <si>
    <t>THERAPEUTIC SKIN CARE DERMA SKIN, C.A.</t>
  </si>
  <si>
    <t>SERVICIOS EN DESECHABLES 26178 C.A.</t>
  </si>
  <si>
    <t>GLOBAL CARE PHARMA CA</t>
  </si>
  <si>
    <t>INDUSTRIAS KAIZEN, C.A.</t>
  </si>
  <si>
    <t>ARVEST PHARMA C.A.</t>
  </si>
  <si>
    <t>GIDAGUS INSUMOS Y DESCARTABLES, C.A.</t>
  </si>
  <si>
    <t>INDUSTRIA TAPA AMARILLA CA</t>
  </si>
  <si>
    <t>GRUPO LIALI, C.A.</t>
  </si>
  <si>
    <t>LIFE TREE REPRESENTACIONES, C. A.</t>
  </si>
  <si>
    <t>CASA DE REPRESENTACION RONAMEDIC C.A.</t>
  </si>
  <si>
    <t>GRUPO MEDICAR VENEZUELA, C.A.</t>
  </si>
  <si>
    <t>CASA DE REPRESENTACIÓN CHEMICAL DAMPE C.A</t>
  </si>
  <si>
    <t>LABORATORIO REMENY, C.A</t>
  </si>
  <si>
    <t>CASA DE REPRESENTACION LAND, C.A</t>
  </si>
  <si>
    <t>MASSIVO CORPORATION, C.A</t>
  </si>
  <si>
    <t>COSMETICOS LARENSE, C.A.</t>
  </si>
  <si>
    <t>GDG PHARMA, CA</t>
  </si>
  <si>
    <t>ASPEN VENEZUELA, C.A</t>
  </si>
  <si>
    <t>TOTAL</t>
  </si>
  <si>
    <t>Categorías</t>
  </si>
  <si>
    <t>Medicinas</t>
  </si>
  <si>
    <t>Misceláneos</t>
  </si>
  <si>
    <t>TIPO</t>
  </si>
  <si>
    <t>Esp. Farmacéutica</t>
  </si>
  <si>
    <t>Naturales</t>
  </si>
  <si>
    <t>Cosméticos</t>
  </si>
  <si>
    <t>Alimentos</t>
  </si>
  <si>
    <t>Psicotrópicos</t>
  </si>
  <si>
    <t>ANDES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</si>
  <si>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</si>
  <si>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</si>
  <si>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</si>
  <si>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</si>
  <si>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</si>
  <si>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</si>
  <si>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</si>
  <si>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</si>
  <si>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</si>
  <si>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</si>
  <si>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</si>
  <si>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</si>
  <si>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NACIONAL</t>
  </si>
  <si>
    <t>.</t>
  </si>
  <si>
    <t>GEMA LABS, C.A.</t>
  </si>
  <si>
    <t>OVEROL INTERNACIONAL, C.A.</t>
  </si>
  <si>
    <t>IPECA C.A.</t>
  </si>
  <si>
    <t>CORPORACION MANCENT, C.A.</t>
  </si>
  <si>
    <t>INDUSTRIAS PAÑAL EXPRESS, C.A.</t>
  </si>
  <si>
    <t>COSMETICOS ROLDA  C.A.</t>
  </si>
  <si>
    <t>CASA DE REPRESENTACIONES OKA C.A</t>
  </si>
  <si>
    <t>CASA DE REPRESENTACIONES BIOINFINITY 8008,</t>
  </si>
  <si>
    <t>ISOLA FOODS, C.A</t>
  </si>
  <si>
    <t>COSMETICOS AMODIO, C.A.</t>
  </si>
  <si>
    <t>INDUSTRIAL AGC 2019,C.A</t>
  </si>
  <si>
    <t>MAGNALAB VZLA CASA DE REPRESENTACION, C.A</t>
  </si>
  <si>
    <t>UNIDADES</t>
  </si>
  <si>
    <t>VALORES</t>
  </si>
  <si>
    <t>MEDICAMENTOS DAC 55, C.A</t>
  </si>
  <si>
    <t>CASA DE REPRESENTACIONES FARMACEUTICAS CCM, C.A (C</t>
  </si>
  <si>
    <t>CORPORACION CLEOPHARMA, C.A</t>
  </si>
  <si>
    <t>CASA DE REPRESENTACION GRUPO COMPOMEDICA, C.A.</t>
  </si>
  <si>
    <t>CORPORACION INVECA, C.A.</t>
  </si>
  <si>
    <t>GRUPO LE FEMME COSMETICS, C.A.</t>
  </si>
  <si>
    <t>TU PUNTO AZUL CORP, C.A.</t>
  </si>
  <si>
    <t>CASA DE REPRESENTACIONES JMW, C.A</t>
  </si>
  <si>
    <t>CORPORACIÓN DEL G, C.A.</t>
  </si>
  <si>
    <t>LIVING DERMOCOSMETICA CIENTIFICA,C.A</t>
  </si>
  <si>
    <t>CASA DE REPRESENTACION ZAKI C.A.</t>
  </si>
  <si>
    <t>OVOMAR,C.A.</t>
  </si>
  <si>
    <t>ESTADO</t>
  </si>
  <si>
    <t>ZULIA</t>
  </si>
  <si>
    <t>CARABOBO</t>
  </si>
  <si>
    <t>LARA</t>
  </si>
  <si>
    <t>DISTRITO CAPITAL</t>
  </si>
  <si>
    <t>TACHIRA</t>
  </si>
  <si>
    <t>ARAGUA</t>
  </si>
  <si>
    <t>MIRANDA</t>
  </si>
  <si>
    <t>MERIDA</t>
  </si>
  <si>
    <t>PORTUGUESA</t>
  </si>
  <si>
    <t>BOLIVAR</t>
  </si>
  <si>
    <t>BARINAS</t>
  </si>
  <si>
    <t>FALCON</t>
  </si>
  <si>
    <t>ANZOATEGUI</t>
  </si>
  <si>
    <t>YARACUY</t>
  </si>
  <si>
    <t>TRUJILLO</t>
  </si>
  <si>
    <t>MONAGAS</t>
  </si>
  <si>
    <t>SUCRE</t>
  </si>
  <si>
    <t>GUARICO</t>
  </si>
  <si>
    <t>NUEVA ESPARTA</t>
  </si>
  <si>
    <t>COJEDES</t>
  </si>
  <si>
    <t>APURE</t>
  </si>
  <si>
    <t>VARGAS</t>
  </si>
  <si>
    <t>DELTA AMACURO</t>
  </si>
  <si>
    <t>AMAZONAS</t>
  </si>
  <si>
    <t>REGIÓN IMS</t>
  </si>
  <si>
    <t>LABORATORIO UNIPHARMA, C.A</t>
  </si>
  <si>
    <t>MED PHARMA APL C.A</t>
  </si>
  <si>
    <t>AKERMED,C.A</t>
  </si>
  <si>
    <t>GASAS ESTERILIZADAS CA</t>
  </si>
  <si>
    <t>TRADING MEDICAL C.A.</t>
  </si>
  <si>
    <t>MULTINACIONAL DE SABORES, C.A</t>
  </si>
  <si>
    <t>CHOTAN GROUP C.A</t>
  </si>
  <si>
    <t>INVERSIONES "SP29804, C.A"</t>
  </si>
  <si>
    <t>NUCITA VENEZOLANA NUCIVEN,C.A.</t>
  </si>
  <si>
    <t>BENSAMEDIC SOLUCIONES MEDICAS C.A.</t>
  </si>
  <si>
    <t>ALIMENTOS CAPITAL 58 C.A.</t>
  </si>
  <si>
    <t>GRUPO VICCO C.A</t>
  </si>
  <si>
    <t>CALIER FARMACEUTICA, S.A.</t>
  </si>
  <si>
    <t>ALIMENTOS NUTRACEUTICOS FITOSANA C.A</t>
  </si>
  <si>
    <t>REPRESENTACIONES COLL VITAL C.V. C.A</t>
  </si>
  <si>
    <t>INDUSTRIA ALIMENTICIA NACIONAL DE CEREALES Y HARIN</t>
  </si>
  <si>
    <t>POSICIÓN VALORES</t>
  </si>
  <si>
    <t>POSICIÓN UNIDADES</t>
  </si>
  <si>
    <t>PRECIO PROMEDIO</t>
  </si>
  <si>
    <t>PRECIO PROM</t>
  </si>
  <si>
    <t>REMI BRANDS, C.A</t>
  </si>
  <si>
    <t>QUALITYMED, C.A</t>
  </si>
  <si>
    <t>INDUSTRIAS MAROS, C.A</t>
  </si>
  <si>
    <t>ALIMENTOS ARAWAK C.A</t>
  </si>
  <si>
    <t>INVERSIONES NEXUS QUANTUM., C.A.</t>
  </si>
  <si>
    <t>SURA DE VENEZUELA, C.A.</t>
  </si>
  <si>
    <t>FARMACIA COLINAS DE CARRIZAL,C.A.</t>
  </si>
  <si>
    <t>-115</t>
  </si>
  <si>
    <t>D517</t>
  </si>
  <si>
    <t>FARMACIA SANITAS, C.A.</t>
  </si>
  <si>
    <t>B305</t>
  </si>
  <si>
    <t>FARMACIA LA FE, C.A</t>
  </si>
  <si>
    <t>LA NUEVA FARMACIA C.A</t>
  </si>
  <si>
    <t>7142</t>
  </si>
  <si>
    <t>COMERCIALIZADORA LIMPIA TODO C.A.</t>
  </si>
  <si>
    <t>FARMACIA CANAAN MONAY C.A.</t>
  </si>
  <si>
    <t>INVERSIONES Y SUMINISTROS VALERA 24, C.A</t>
  </si>
  <si>
    <t>9562</t>
  </si>
  <si>
    <t>LALY FARMA, C.A.</t>
  </si>
  <si>
    <t>B324</t>
  </si>
  <si>
    <t>FARMACIA CENTRO COMERCIAL PALO VERDE PLAZA, C.A.</t>
  </si>
  <si>
    <t>4971</t>
  </si>
  <si>
    <t>COSMOFARMA 24 MIRANDA, C.A.</t>
  </si>
  <si>
    <t>A867</t>
  </si>
  <si>
    <t>FARMACIA GREGMAR C.A</t>
  </si>
  <si>
    <t>4569</t>
  </si>
  <si>
    <t>FARMANORTE R&amp;F, C.A.</t>
  </si>
  <si>
    <t>B317</t>
  </si>
  <si>
    <t>FARMA LIFE EXPRESS C.A.</t>
  </si>
  <si>
    <t>D935</t>
  </si>
  <si>
    <t>FARMA BONO, C.A.</t>
  </si>
  <si>
    <t>4324</t>
  </si>
  <si>
    <t>FARMACIA SALUD Y FUTURO, C.A.</t>
  </si>
  <si>
    <t>D249</t>
  </si>
  <si>
    <t>FARMACIA GLOBALSALUD, C.A.</t>
  </si>
  <si>
    <t>8897</t>
  </si>
  <si>
    <t>SOLSUMED, C.A.</t>
  </si>
  <si>
    <t>4973</t>
  </si>
  <si>
    <t>EXPENDIO DE MEDICINAS TU SALUD 2021, C.A.</t>
  </si>
  <si>
    <t>D246</t>
  </si>
  <si>
    <t>FARMACIA INDIA TUCAN, C.A</t>
  </si>
  <si>
    <t>D299</t>
  </si>
  <si>
    <t>FARMACIA EL SINAHY, C.A</t>
  </si>
  <si>
    <t>C854</t>
  </si>
  <si>
    <t>FARMACIA GLOBAL SALUD C.A.</t>
  </si>
  <si>
    <t>D562</t>
  </si>
  <si>
    <t>FARMACIA COLITA DE RANA, C.A</t>
  </si>
  <si>
    <t>D699</t>
  </si>
  <si>
    <t>FARMACIA SANTA MARIA, C. A.</t>
  </si>
  <si>
    <t>3649</t>
  </si>
  <si>
    <t>FARMACIA BELFRA,C.A.</t>
  </si>
  <si>
    <t>A405</t>
  </si>
  <si>
    <t>FARMACIA CASA MEDICA, C.A.</t>
  </si>
  <si>
    <t>FARMAHEALTH 2021 C.A.</t>
  </si>
  <si>
    <t>B926</t>
  </si>
  <si>
    <t>FARMACIA LA CARDENERA TRINIDAD, C.A.</t>
  </si>
  <si>
    <t>E110</t>
  </si>
  <si>
    <t>FARMACIA CIENTIFICA SAN MARTIN, C.A</t>
  </si>
  <si>
    <t>D464</t>
  </si>
  <si>
    <t>FARMACIA FELDANY F.P</t>
  </si>
  <si>
    <t>N134</t>
  </si>
  <si>
    <t>FARMACIA LA FRANCISCANA, C.A.</t>
  </si>
  <si>
    <t>B729</t>
  </si>
  <si>
    <t>FARMACIA ENLACE, C.A.</t>
  </si>
  <si>
    <t>D599</t>
  </si>
  <si>
    <t>INVERSIONES AZIZI FASHION 2019, C.A.</t>
  </si>
  <si>
    <t>C613</t>
  </si>
  <si>
    <t>FARMACIA PASCUA OFERTA 2, C.A.</t>
  </si>
  <si>
    <t>MEDICALSAMIV, C.A.</t>
  </si>
  <si>
    <t>D287</t>
  </si>
  <si>
    <t>FARMACIA ANDREA, C.A.</t>
  </si>
  <si>
    <t>0960</t>
  </si>
  <si>
    <t>COSMETICOS Y PERFUMERIA ELSIMAR, C.A.</t>
  </si>
  <si>
    <t>N138</t>
  </si>
  <si>
    <t>EXPENDIO DE MEDICINAS JESTHIFANY C.A.</t>
  </si>
  <si>
    <t>C975</t>
  </si>
  <si>
    <t>FARMACIA MARIARA,C.A</t>
  </si>
  <si>
    <t>$227</t>
  </si>
  <si>
    <t>FARMACIA LOS CEDROS LF C.A.</t>
  </si>
  <si>
    <t>D028</t>
  </si>
  <si>
    <t>FARMA DIVINA C.A.</t>
  </si>
  <si>
    <t>D724</t>
  </si>
  <si>
    <t>COMERCIALIZADORA 08101107, C.A.</t>
  </si>
  <si>
    <t>A757</t>
  </si>
  <si>
    <t>ENOCFARMA, C.A.</t>
  </si>
  <si>
    <t>D738</t>
  </si>
  <si>
    <t>FARMACIA NATALISHA C.A.</t>
  </si>
  <si>
    <t>H127</t>
  </si>
  <si>
    <t>FARMACIA PALO NEGRO,  C.A.</t>
  </si>
  <si>
    <t>$309</t>
  </si>
  <si>
    <t>FARMACIA SAN ANTONIO, C.A.</t>
  </si>
  <si>
    <t>0039</t>
  </si>
  <si>
    <t>TU FARMACIA C.A</t>
  </si>
  <si>
    <t>Z31</t>
  </si>
  <si>
    <t>FARMACIA EUROFARMA CUMANA, C.A.</t>
  </si>
  <si>
    <t>C603</t>
  </si>
  <si>
    <t>TESCO CENTER SUCRE C.A.</t>
  </si>
  <si>
    <t>D433</t>
  </si>
  <si>
    <t>FARMA MARKET PAMPATAR, C.A.</t>
  </si>
  <si>
    <t>5564</t>
  </si>
  <si>
    <t>SURTI FARMACIA PRINCIPAL,C.A.</t>
  </si>
  <si>
    <t>A481</t>
  </si>
  <si>
    <t>FARMACIA BIENESTAR C.A</t>
  </si>
  <si>
    <t>C474</t>
  </si>
  <si>
    <t>FARMACIA JESUS DE NAZARETH C.A.</t>
  </si>
  <si>
    <t>0021</t>
  </si>
  <si>
    <t>FARMACIA LA PENINSULA, C.A</t>
  </si>
  <si>
    <t>0120</t>
  </si>
  <si>
    <t>INTRAMEDICA,C.A.</t>
  </si>
  <si>
    <t>0487</t>
  </si>
  <si>
    <t>FARMACIA NUEVA TIUNA C.A.</t>
  </si>
  <si>
    <t>H18</t>
  </si>
  <si>
    <t>ISMAIRA TAYZ BERMUDEZ DE NATERA</t>
  </si>
  <si>
    <t>D661</t>
  </si>
  <si>
    <t>FARMACIA EL INDIO CUMANA C.A.</t>
  </si>
  <si>
    <t>D271</t>
  </si>
  <si>
    <t>FARMACIA PASTORA DE LARA,C.A</t>
  </si>
  <si>
    <t>3427</t>
  </si>
  <si>
    <t>FARMACIA LUZ 7, C.A.</t>
  </si>
  <si>
    <t>D221</t>
  </si>
  <si>
    <t>FARMACIA H&amp;H, C.A.</t>
  </si>
  <si>
    <t>D446</t>
  </si>
  <si>
    <t>FARMA REMEDIOS,C.A.</t>
  </si>
  <si>
    <t>471</t>
  </si>
  <si>
    <t>FARMACIA BIOMEDIC, C.A.</t>
  </si>
  <si>
    <t>C711</t>
  </si>
  <si>
    <t>FARMACIA LOS ILUSTRES S.P C.A</t>
  </si>
  <si>
    <t>7108</t>
  </si>
  <si>
    <t>FARMACIA DIOS CON NOSOTROS, C.A.</t>
  </si>
  <si>
    <t>D365</t>
  </si>
  <si>
    <t>FARMACIA SAN DIEGO II C.A.</t>
  </si>
  <si>
    <t>M116</t>
  </si>
  <si>
    <t>MERCAHORRO TIENDA, C.A</t>
  </si>
  <si>
    <t>D033</t>
  </si>
  <si>
    <t>LA BOTICA DE YOLANDA C.A</t>
  </si>
  <si>
    <t>D681</t>
  </si>
  <si>
    <t>FARMACIA VISION CRISTIANA 2021 C.A</t>
  </si>
  <si>
    <t>D632</t>
  </si>
  <si>
    <t>FARMACIA SAN MIGUEL ARCANGEL, C.A.</t>
  </si>
  <si>
    <t>3010</t>
  </si>
  <si>
    <t>FARMACIA FAMILIA Y HOGAR C.A.</t>
  </si>
  <si>
    <t>C775</t>
  </si>
  <si>
    <t>FARMA ONCOLOGICA, C.A</t>
  </si>
  <si>
    <t>C597</t>
  </si>
  <si>
    <t>FARMACIA EL MEDANAL, C.A.</t>
  </si>
  <si>
    <t>+303</t>
  </si>
  <si>
    <t>FARMACIA LA ENTRADA C.A.</t>
  </si>
  <si>
    <t>0259</t>
  </si>
  <si>
    <t>FARMACIA SANTA ANA  2030, C.A.</t>
  </si>
  <si>
    <t>D551</t>
  </si>
  <si>
    <t>MARKET FARMA 24, C.A</t>
  </si>
  <si>
    <t>8803</t>
  </si>
  <si>
    <t>FARMACIA PASEO LAS DELICIAS, C.A</t>
  </si>
  <si>
    <t>+159</t>
  </si>
  <si>
    <t>FARMACIA TRINIDAD, C.A.</t>
  </si>
  <si>
    <t>A313</t>
  </si>
  <si>
    <t>FARMACIA    INSUMEDI, C.A.</t>
  </si>
  <si>
    <t>D333</t>
  </si>
  <si>
    <t>FARMACIA BETANIA GUADALUPE, C.A.</t>
  </si>
  <si>
    <t>C618</t>
  </si>
  <si>
    <t>FARMACIA EL PORTILLO, S.R.L.</t>
  </si>
  <si>
    <t>3560</t>
  </si>
  <si>
    <t>FARMACIA DR. AHORRO 2 C.A.</t>
  </si>
  <si>
    <t>D754</t>
  </si>
  <si>
    <t>DIAZ LOURDES (FARMACIA SAN JUDAS TADEO)</t>
  </si>
  <si>
    <t>0975</t>
  </si>
  <si>
    <t>LINA SANDRA GIGLIO PRADA(FARMACIA EL DISPENSARIO)</t>
  </si>
  <si>
    <t>6795</t>
  </si>
  <si>
    <t>FARMACIA LA BOTICA DEL AHORRO,C.A</t>
  </si>
  <si>
    <t>8958</t>
  </si>
  <si>
    <t>FARMACIA SANTO MATEO C.A</t>
  </si>
  <si>
    <t>D066</t>
  </si>
  <si>
    <t>FARMACIA EL FARAON ,C.A.</t>
  </si>
  <si>
    <t>A925</t>
  </si>
  <si>
    <t>NOVEDADES RODRIGUEZ PRADO, FP</t>
  </si>
  <si>
    <t>6464</t>
  </si>
  <si>
    <t>FARMACIA FARMAFALCON HOSPITALARIA, C.A.</t>
  </si>
  <si>
    <t>6469</t>
  </si>
  <si>
    <t>8549</t>
  </si>
  <si>
    <t>FARMAHORRO SANTO CRISTO I C.A.</t>
  </si>
  <si>
    <t>D494</t>
  </si>
  <si>
    <t>FARMACIA MAITA Y PAITO C.A.</t>
  </si>
  <si>
    <t>8254</t>
  </si>
  <si>
    <t>FARMACIA LA REALEZA, C.A.</t>
  </si>
  <si>
    <t>B515</t>
  </si>
  <si>
    <t>FARMANELLA, C.A.</t>
  </si>
  <si>
    <t>B329</t>
  </si>
  <si>
    <t>LA GRAN FAMILIA HIPERFARMA, C.A.</t>
  </si>
  <si>
    <t>C472</t>
  </si>
  <si>
    <t>FARMACIA PORTUSALUD, C.A.</t>
  </si>
  <si>
    <t>B506</t>
  </si>
  <si>
    <t>EXPENDIO DE MEDICINAS SU BOTIQUERIA, C.A</t>
  </si>
  <si>
    <t>D689</t>
  </si>
  <si>
    <t>MORA  MENDEZ  COROMOTO EDEN(FCIA LOS NARANJOS)</t>
  </si>
  <si>
    <t>2950</t>
  </si>
  <si>
    <t>FARMACIA SAN MATEO C A</t>
  </si>
  <si>
    <t>4420</t>
  </si>
  <si>
    <t>ESCALANTE HERNANDEZ, ALBA BELEN (FARMACIA ALBES)</t>
  </si>
  <si>
    <t>3520</t>
  </si>
  <si>
    <t>FARMACIA EL CARMEN C.A.</t>
  </si>
  <si>
    <t>3597</t>
  </si>
  <si>
    <t>FARMACIA MAISAY C A</t>
  </si>
  <si>
    <t>8767</t>
  </si>
  <si>
    <t>COMERCIALIZADORA 140359, C.A.</t>
  </si>
  <si>
    <t>C859</t>
  </si>
  <si>
    <t>FARMALISTO 24 ,C.A.</t>
  </si>
  <si>
    <t>D570</t>
  </si>
  <si>
    <t>FARMAVIDA &amp; SALUD, C.A</t>
  </si>
  <si>
    <t>B287</t>
  </si>
  <si>
    <t>FARMAVALOR, C.A.</t>
  </si>
  <si>
    <t>FARMA DERMAK, C.A.</t>
  </si>
  <si>
    <t>B664</t>
  </si>
  <si>
    <t>FARMACIA SUPLOS,C.A.</t>
  </si>
  <si>
    <t>0517</t>
  </si>
  <si>
    <t>FARMACIA VIRGEN DE FATIMA II, C,A</t>
  </si>
  <si>
    <t>2979</t>
  </si>
  <si>
    <t>FARMACIA ISLA SALUD, C.A</t>
  </si>
  <si>
    <t>6629</t>
  </si>
  <si>
    <t>FARMACIA DON JOSE, C.A.</t>
  </si>
  <si>
    <t>0292</t>
  </si>
  <si>
    <t>FARMALIGHT MERIDA, C.A</t>
  </si>
  <si>
    <t>8503</t>
  </si>
  <si>
    <t>MASCOLO GUIDA, VIRGINIA (FARMACIA LA CORTEZA)</t>
  </si>
  <si>
    <t>C112</t>
  </si>
  <si>
    <t>FARMACIA SEÑORIAL,C.A</t>
  </si>
  <si>
    <t>H71</t>
  </si>
  <si>
    <t>POLICLINICA PUERTO LA CRUZ, C.A.</t>
  </si>
  <si>
    <t>9457</t>
  </si>
  <si>
    <t>FARMACIA FARMACHABAS, C.A.</t>
  </si>
  <si>
    <t>C010</t>
  </si>
  <si>
    <t>FARMACIA MEDIQUIR, C. A.</t>
  </si>
  <si>
    <t>C092</t>
  </si>
  <si>
    <t>FARMACIA SERVI MEDIC,C.A.</t>
  </si>
  <si>
    <t>D398</t>
  </si>
  <si>
    <t>FARMACIA COMERCIO CENTRO, C.A</t>
  </si>
  <si>
    <t>D625</t>
  </si>
  <si>
    <t>FARMACIA MACHIQUES,C.A.</t>
  </si>
  <si>
    <t>D29</t>
  </si>
  <si>
    <t>FARMACIA SPORT CENTER VILM, C.A.</t>
  </si>
  <si>
    <t>C151</t>
  </si>
  <si>
    <t>HIPERFARMACIA LA PUERTA, S,.A</t>
  </si>
  <si>
    <t>Z111</t>
  </si>
  <si>
    <t>FARMACIA LA AVENIDA, C.A.</t>
  </si>
  <si>
    <t>-254</t>
  </si>
  <si>
    <t>MULTIFARMACIA COLINA SANTIAGO C.A.</t>
  </si>
  <si>
    <t>D490</t>
  </si>
  <si>
    <t>FARMACIA FARMACLUB EJIDO C.A.</t>
  </si>
  <si>
    <t>B942</t>
  </si>
  <si>
    <t>FARMACIA COMUNITARIA DE LA ROSALEDA SUR, C.A.</t>
  </si>
  <si>
    <t>4239</t>
  </si>
  <si>
    <t>EXPENDIO DE MEDICINAS ADONAY, C.A</t>
  </si>
  <si>
    <t>D848</t>
  </si>
  <si>
    <t>FARMACIA KAIROS, C.A</t>
  </si>
  <si>
    <t>8478</t>
  </si>
  <si>
    <t>FARMAIMPORTACIONES DAVILA, C.A.</t>
  </si>
  <si>
    <t>B501</t>
  </si>
  <si>
    <t>FARMACIA GARAFIA,C.A.</t>
  </si>
  <si>
    <t>N144</t>
  </si>
  <si>
    <t>CORREA SANDOVAL ROSA ( FARMACIA LA PASCUA)</t>
  </si>
  <si>
    <t>A272</t>
  </si>
  <si>
    <t>FARMACIA STA ISABEL, C.A.</t>
  </si>
  <si>
    <t>C845</t>
  </si>
  <si>
    <t>FARMACIA BRUSELAS C.A</t>
  </si>
  <si>
    <t>8956</t>
  </si>
  <si>
    <t>FARMACIA SAN MIGUEL,C.A</t>
  </si>
  <si>
    <t>Q305</t>
  </si>
  <si>
    <t>FARMACIA FARMAPACA</t>
  </si>
  <si>
    <t>L17</t>
  </si>
  <si>
    <t>FARMAVIC, C.A.</t>
  </si>
  <si>
    <t>A619</t>
  </si>
  <si>
    <t>FARMAVIDA´S, C.A</t>
  </si>
  <si>
    <t>D761</t>
  </si>
  <si>
    <t>FARMACIA INSUMARKET FALCON, C.A.</t>
  </si>
  <si>
    <t>B193</t>
  </si>
  <si>
    <t>FARMACIA RENNY, C.A.</t>
  </si>
  <si>
    <t>8236</t>
  </si>
  <si>
    <t>FARMACIA VIDASALUD I C.A.</t>
  </si>
  <si>
    <t>D584</t>
  </si>
  <si>
    <t>FARMA ADRIANKA L.P C.A</t>
  </si>
  <si>
    <t>D910</t>
  </si>
  <si>
    <t>CENTRO MEDICO SAN MIGUEL ARCANGEL, C.A</t>
  </si>
  <si>
    <t>D467</t>
  </si>
  <si>
    <t>HOUSE PHARMACY C.A.</t>
  </si>
  <si>
    <t>C497</t>
  </si>
  <si>
    <t>FARMACIA LA ALIANZA, C.A.</t>
  </si>
  <si>
    <t>2451</t>
  </si>
  <si>
    <t>MULTIFARMA PLUS, C.A.</t>
  </si>
  <si>
    <t>B602</t>
  </si>
  <si>
    <t>FARMACIA J. J FLORES,C.A</t>
  </si>
  <si>
    <t>8562</t>
  </si>
  <si>
    <t>MARIA DEL CARMEN ZAMBRANO SANCHEZ (FARMACIA JUAN PABLO II)</t>
  </si>
  <si>
    <t>322</t>
  </si>
  <si>
    <t>FARMACIA SHARK DENT, C.A.</t>
  </si>
  <si>
    <t>7533</t>
  </si>
  <si>
    <t>FARMACIA SAN PEDRO,C.A</t>
  </si>
  <si>
    <t>5144</t>
  </si>
  <si>
    <t>EXPENDIO DE MEDICAMENTOS JESUS DE NAZARET 2023, C.A.</t>
  </si>
  <si>
    <t>D290</t>
  </si>
  <si>
    <t>FARMACIA CENTRO 21,C.A.</t>
  </si>
  <si>
    <t>C664</t>
  </si>
  <si>
    <t>FARMACIA INSUMEDFAR VICTORIA C.A.</t>
  </si>
  <si>
    <t>D531</t>
  </si>
  <si>
    <t>FARMACIA LA AUYAMA C.A.</t>
  </si>
  <si>
    <t>D662</t>
  </si>
  <si>
    <t>MI FARMACIA, C.A.</t>
  </si>
  <si>
    <t>D005</t>
  </si>
  <si>
    <t>FARMACIA EL MORTERO, C.A</t>
  </si>
  <si>
    <t>2909</t>
  </si>
  <si>
    <t>FARMACIA FARMAGUADALUPE 1, C.A.</t>
  </si>
  <si>
    <t>A870</t>
  </si>
  <si>
    <t>FARMAVICTORIA'S, C.A</t>
  </si>
  <si>
    <t>C523</t>
  </si>
  <si>
    <t>FARMACIA NUEVA MORA C.A.</t>
  </si>
  <si>
    <t>1767</t>
  </si>
  <si>
    <t>FARMACIA LA OVALLERA C.A.</t>
  </si>
  <si>
    <t>8721</t>
  </si>
  <si>
    <t>FARMAPUEBLO,C.A</t>
  </si>
  <si>
    <t>3087</t>
  </si>
  <si>
    <t>EXPENDIO DE  MEDICINAS FRANMAEZE, C.A.</t>
  </si>
  <si>
    <t>D675</t>
  </si>
  <si>
    <t>FARMACIA LIBERTADOR, C.A</t>
  </si>
  <si>
    <t>8697</t>
  </si>
  <si>
    <t>C839</t>
  </si>
  <si>
    <t>FARMACIA CUMANA, C.A</t>
  </si>
  <si>
    <t>7728</t>
  </si>
  <si>
    <t>EPS COMERCIALIZADORA ESTRELLA DE ALANS, C.A.</t>
  </si>
  <si>
    <t>A557</t>
  </si>
  <si>
    <t>FARMAROMAN,C.A</t>
  </si>
  <si>
    <t>B419</t>
  </si>
  <si>
    <t>FARMACIA SANTA INES</t>
  </si>
  <si>
    <t>K49</t>
  </si>
  <si>
    <t>FARMACIA CIUDAD JARDIN C.A.</t>
  </si>
  <si>
    <t>$139</t>
  </si>
  <si>
    <t>FARMAMEXICANO, C.A</t>
  </si>
  <si>
    <t>D608</t>
  </si>
  <si>
    <t>FARMACRUZ JM, C.A</t>
  </si>
  <si>
    <t>D736</t>
  </si>
  <si>
    <t>FARMACIA DRO-MEDICAL,C.A</t>
  </si>
  <si>
    <t>C724</t>
  </si>
  <si>
    <t>FARMACIA ANDALUZ  C.A.</t>
  </si>
  <si>
    <t>9606</t>
  </si>
  <si>
    <t>FARMACIA SAN ROMAN C.A.</t>
  </si>
  <si>
    <t>Z52</t>
  </si>
  <si>
    <t>FARMACIA CENTER, C.A.</t>
  </si>
  <si>
    <t>-41</t>
  </si>
  <si>
    <t>ROSBELY CAROLINA LOPEZ CORREA (LOPEZ FARMACIA LA MILAGROSA, F.P.)</t>
  </si>
  <si>
    <t>C986</t>
  </si>
  <si>
    <t>FARMACIA NATURA SLENDER, C.A.</t>
  </si>
  <si>
    <t>+216</t>
  </si>
  <si>
    <t>FARMACIA YORMEDICAL, C.A.</t>
  </si>
  <si>
    <t>D650</t>
  </si>
  <si>
    <t>FARMACIA BETANIA, C.A</t>
  </si>
  <si>
    <t>4500</t>
  </si>
  <si>
    <t>GUERRERO,JAIRO(EXPENDIO DE MEDICINA LA VIGIA)</t>
  </si>
  <si>
    <t>7715</t>
  </si>
  <si>
    <t>FARMACIA OSHAMARKET, C.A</t>
  </si>
  <si>
    <t>D084</t>
  </si>
  <si>
    <t>FARMA MEDICAL PLUS. C. A.</t>
  </si>
  <si>
    <t>B511</t>
  </si>
  <si>
    <t>FARMACIA EL CRUCERO, C.A</t>
  </si>
  <si>
    <t>9849</t>
  </si>
  <si>
    <t>FARMA EXPRESS SRK, C.A.</t>
  </si>
  <si>
    <t>C023</t>
  </si>
  <si>
    <t>FARMACIA FISIOSALUD, C.A.</t>
  </si>
  <si>
    <t>B522</t>
  </si>
  <si>
    <t>FARMACIA MILAGROSA FREITES, C.A.</t>
  </si>
  <si>
    <t>A187</t>
  </si>
  <si>
    <t>FARMACIA MI SALVADOR C.A.</t>
  </si>
  <si>
    <t>D931</t>
  </si>
  <si>
    <t>FARMACIA FARMAGANGA JH C.A</t>
  </si>
  <si>
    <t>9757</t>
  </si>
  <si>
    <t>FARMACIA JUNCAL, C.A.</t>
  </si>
  <si>
    <t>1825</t>
  </si>
  <si>
    <t>FARMACIA TRICENTENARIA,C.A.</t>
  </si>
  <si>
    <t>N132</t>
  </si>
  <si>
    <t>FARMACIA SURTI FARMA, C.A.</t>
  </si>
  <si>
    <t>A641</t>
  </si>
  <si>
    <t>BOTICA SAN GABRIEL, C.A.</t>
  </si>
  <si>
    <t>B319</t>
  </si>
  <si>
    <t>FARMACIA VIDASANA C.A</t>
  </si>
  <si>
    <t>D501</t>
  </si>
  <si>
    <t>GRUPO FARMAYA C.A</t>
  </si>
  <si>
    <t>7824</t>
  </si>
  <si>
    <t>FARMACIA TU COSMETICO VENEZUELA C.A</t>
  </si>
  <si>
    <t>7332</t>
  </si>
  <si>
    <t>FARMACIA DE LA LUZ, C.A.</t>
  </si>
  <si>
    <t>B212</t>
  </si>
  <si>
    <t>INSAFARMA, C.A.</t>
  </si>
  <si>
    <t>5716</t>
  </si>
  <si>
    <t>MULTIFARMACIA EXPRESS,C.A.</t>
  </si>
  <si>
    <t>9108</t>
  </si>
  <si>
    <t>NUEVO MUNDO 2012, C.A.</t>
  </si>
  <si>
    <t>A930</t>
  </si>
  <si>
    <t>RIO SUMINISTROS MEDICOS A.M., C.A</t>
  </si>
  <si>
    <t>D339</t>
  </si>
  <si>
    <t>FARMACIA 23 DE ENERO ARAGUA,C.A</t>
  </si>
  <si>
    <t>3040</t>
  </si>
  <si>
    <t>FARMA DUBAI, C.A.</t>
  </si>
  <si>
    <t>2904</t>
  </si>
  <si>
    <t>FARMACIA FARMASOLUCIONES, C.A</t>
  </si>
  <si>
    <t>D880</t>
  </si>
  <si>
    <t>FARMACIA CAPRENCO,C.A.</t>
  </si>
  <si>
    <t>0253</t>
  </si>
  <si>
    <t>FARMA NANA, C.A.</t>
  </si>
  <si>
    <t>8651</t>
  </si>
  <si>
    <t>FARMACIA FARMA DOURO, C.A.</t>
  </si>
  <si>
    <t>B819</t>
  </si>
  <si>
    <t>FARMACIA BALOA, S.R.L</t>
  </si>
  <si>
    <t>1201</t>
  </si>
  <si>
    <t>FARMACIA MULTIFARMA, C.A</t>
  </si>
  <si>
    <t>0821</t>
  </si>
  <si>
    <t>FARMACIA NUEVA COLICANTO, C.A.</t>
  </si>
  <si>
    <t>C844</t>
  </si>
  <si>
    <t>FARMACIA LOS GODOS, C.A.</t>
  </si>
  <si>
    <t>1845</t>
  </si>
  <si>
    <t>FARMACIA BELLADONA, C.A.</t>
  </si>
  <si>
    <t>8155</t>
  </si>
  <si>
    <t>FARMACIA DIVINO NIÑO JESUS, C.A.</t>
  </si>
  <si>
    <t>0279</t>
  </si>
  <si>
    <t>FAMILY MARKET C.A.</t>
  </si>
  <si>
    <t>C801</t>
  </si>
  <si>
    <t>FARMACIA ALIADAS, S.A.</t>
  </si>
  <si>
    <t>C334</t>
  </si>
  <si>
    <t>FARMACIA CAPITAL CA</t>
  </si>
  <si>
    <t>D310</t>
  </si>
  <si>
    <t>FARMACIA GARCIA C.A.</t>
  </si>
  <si>
    <t>D441</t>
  </si>
  <si>
    <t>FARMACIA FARMAOFERTAS C.A.</t>
  </si>
  <si>
    <t>D440</t>
  </si>
  <si>
    <t>FARMACIA VIP EXPRESS, C.A.</t>
  </si>
  <si>
    <t>B630</t>
  </si>
  <si>
    <t>FARMACIA EL SOL DE TACARIGUA, CA</t>
  </si>
  <si>
    <t>D237</t>
  </si>
  <si>
    <t>FARMACIA M &amp; M MARQUEZ MARCANO, C.A</t>
  </si>
  <si>
    <t>8810</t>
  </si>
  <si>
    <t>FARMACIA MULTIFARMA PLUS 2.0 C.A</t>
  </si>
  <si>
    <t>C650</t>
  </si>
  <si>
    <t>FARMACIA PHARMA VITAL., C.A.</t>
  </si>
  <si>
    <t>A856</t>
  </si>
  <si>
    <t>FARMACIA MAZIAD, C.A.</t>
  </si>
  <si>
    <t>8293</t>
  </si>
  <si>
    <t>DROFARMA, C.A</t>
  </si>
  <si>
    <t>Y58</t>
  </si>
  <si>
    <t>FARMACIA CENTER SALUD II, CA</t>
  </si>
  <si>
    <t>A549</t>
  </si>
  <si>
    <t>FARMACENTER CENTRO II, C.A.</t>
  </si>
  <si>
    <t>2140</t>
  </si>
  <si>
    <t>FARMACIA  LA  LOMA,C.A.</t>
  </si>
  <si>
    <t>A249</t>
  </si>
  <si>
    <t>INVERSIONES FACIFARMA 2021, C.A.</t>
  </si>
  <si>
    <t>A672</t>
  </si>
  <si>
    <t>FARMA SALUD TOTAL,C.A.</t>
  </si>
  <si>
    <t>S139</t>
  </si>
  <si>
    <t>FARMACIA UNICENTRO ANDINO C.A.</t>
  </si>
  <si>
    <t>A784</t>
  </si>
  <si>
    <t>SERVICIO DE DIAGNOSTICO Y ATENCION PRIMARIA SERVIDIAP, C.A.</t>
  </si>
  <si>
    <t>4335</t>
  </si>
  <si>
    <t>FARMACIA PIRINEOS, C.A.</t>
  </si>
  <si>
    <t>D423</t>
  </si>
  <si>
    <t>FARMACIA LA GRAN VIA, C.A</t>
  </si>
  <si>
    <t>$317</t>
  </si>
  <si>
    <t>FARMAMEDICA EL VIÑEDO, C.A</t>
  </si>
  <si>
    <t>B510</t>
  </si>
  <si>
    <t>FARMACIA ALEGRIA  C.A.</t>
  </si>
  <si>
    <t>Y9</t>
  </si>
  <si>
    <t>FARMASALUD NATHALIA, C.A.</t>
  </si>
  <si>
    <t>B870</t>
  </si>
  <si>
    <t>FARMAKEI C.A.</t>
  </si>
  <si>
    <t>A932</t>
  </si>
  <si>
    <t>FARMACIA LA JUVENTUD, S. R. L.</t>
  </si>
  <si>
    <t>Y250</t>
  </si>
  <si>
    <t>EXPENDIO DE MEDICAMENTOS DR. JOSÉ GREGORIO HERNÁNDEZ, F.P.</t>
  </si>
  <si>
    <t>D291</t>
  </si>
  <si>
    <t>FARMACIA FUSION MEDICAL, C.A.</t>
  </si>
  <si>
    <t>D764</t>
  </si>
  <si>
    <t>FARMACIA PLAZA AHORRO,C.A</t>
  </si>
  <si>
    <t>8658</t>
  </si>
  <si>
    <t>FARMALUZ, C.A.</t>
  </si>
  <si>
    <t>4944</t>
  </si>
  <si>
    <t>FARMACIA MEDICAL DEL ESTE, C.A.</t>
  </si>
  <si>
    <t>B280</t>
  </si>
  <si>
    <t>FARMALEAL, C.A.</t>
  </si>
  <si>
    <t>B278</t>
  </si>
  <si>
    <t>DAY PHARMA, C.A.</t>
  </si>
  <si>
    <t>B038</t>
  </si>
  <si>
    <t>FARMACIA LAS TRINITARIAS MERIDA DE MARIA YELITZA MOLINA CONTRERAS</t>
  </si>
  <si>
    <t>C797</t>
  </si>
  <si>
    <t>FARMA PUKY, C.A.</t>
  </si>
  <si>
    <t>B751</t>
  </si>
  <si>
    <t>FARMACIA SABANITA EXPRESS, C.A</t>
  </si>
  <si>
    <t>6975</t>
  </si>
  <si>
    <t>FARMACIA PUNTO BLANCO,C.A</t>
  </si>
  <si>
    <t>7090</t>
  </si>
  <si>
    <t>FARMACITY 07, C.A</t>
  </si>
  <si>
    <t>C870</t>
  </si>
  <si>
    <t>FARMAEXITO, C.A.</t>
  </si>
  <si>
    <t>5306</t>
  </si>
  <si>
    <t>FARMACIA GARMOL C.A</t>
  </si>
  <si>
    <t>9129</t>
  </si>
  <si>
    <t>ENSALUD FARMACIA EL TAMA, C.A.</t>
  </si>
  <si>
    <t>9877</t>
  </si>
  <si>
    <t>FARMACIA CATA SALUD, C.A</t>
  </si>
  <si>
    <t>D232</t>
  </si>
  <si>
    <t>FARMACIA HERMANOS R., C.A</t>
  </si>
  <si>
    <t>B774</t>
  </si>
  <si>
    <t>FARMACIA VITTA D.G, C.A.</t>
  </si>
  <si>
    <t>D269</t>
  </si>
  <si>
    <t>FARMACENTER, C.A</t>
  </si>
  <si>
    <t>C601</t>
  </si>
  <si>
    <t>FARMACIA LAS MARIAS, C.A.</t>
  </si>
  <si>
    <t>A643</t>
  </si>
  <si>
    <t>FARMACIA EL CANTACLARO,C.A</t>
  </si>
  <si>
    <t>8422</t>
  </si>
  <si>
    <t>FARMA PORRAS VIDA Y SALUD, C.A.</t>
  </si>
  <si>
    <t>D424</t>
  </si>
  <si>
    <t>FARMACIA INVERSIONES MACUVET C.A.</t>
  </si>
  <si>
    <t>D780</t>
  </si>
  <si>
    <t>EXPENDIO DE MEDICINAS LA INTEGRAL, C.A</t>
  </si>
  <si>
    <t>2801</t>
  </si>
  <si>
    <t>FARMACIA FABEL,C.A.</t>
  </si>
  <si>
    <t>C348</t>
  </si>
  <si>
    <t>FARMACIA EL GUERRERO DE DIOS 2021, C.A.</t>
  </si>
  <si>
    <t>C938</t>
  </si>
  <si>
    <t>FARMACIA VIRGEN DEL ROSARIO C.A.</t>
  </si>
  <si>
    <t>L500</t>
  </si>
  <si>
    <t>FRANCY MARCELY QUIROZ GUERRERO (FARMACIA SUCRE)</t>
  </si>
  <si>
    <t>B961</t>
  </si>
  <si>
    <t>FARMACIA MALL SALUD, C.A.</t>
  </si>
  <si>
    <t>A081</t>
  </si>
  <si>
    <t>FARMACIA INTERCOMUNAL,C.A</t>
  </si>
  <si>
    <t>5209</t>
  </si>
  <si>
    <t>FARMA NATURAL VIRGEN DEL ROSARIO C.A</t>
  </si>
  <si>
    <t>D414</t>
  </si>
  <si>
    <t>BENITEZ ARELLANO ILIA DEL  SOCORRO (FCIA SN PEDRO)</t>
  </si>
  <si>
    <t>0171</t>
  </si>
  <si>
    <t>FARMACIA CUALIS,C.A</t>
  </si>
  <si>
    <t>D279</t>
  </si>
  <si>
    <t>ASOC COOPERATIVA AGROPECUARIA SERVICIOS MULTIPLES FLORENCIO JIMENEZ, RL</t>
  </si>
  <si>
    <t>N119</t>
  </si>
  <si>
    <t>FARMAJOTA CARRIZALES C.A.</t>
  </si>
  <si>
    <t>D801</t>
  </si>
  <si>
    <t>FARMACIAS GOURMAND, C.A.</t>
  </si>
  <si>
    <t>B970</t>
  </si>
  <si>
    <t>FARMACIA LA TORRE ANDINA C.A</t>
  </si>
  <si>
    <t>559</t>
  </si>
  <si>
    <t>FARMACIA SAN RAMON, C.A.</t>
  </si>
  <si>
    <t>0967</t>
  </si>
  <si>
    <t>FARMACIA VIRGEN DEL VALLE, C.A.</t>
  </si>
  <si>
    <t>A289</t>
  </si>
  <si>
    <t>INVERSIONES LENOY PHARMACEUTICAL, C.A.</t>
  </si>
  <si>
    <t>C014</t>
  </si>
  <si>
    <t>FARMACIA BUCARAL, C.A.</t>
  </si>
  <si>
    <t>1780</t>
  </si>
  <si>
    <t>FARMACIA FARMACAT27, C.A</t>
  </si>
  <si>
    <t>D805</t>
  </si>
  <si>
    <t>FARMA SALUD VIRGEN DEL VALLE C.A.</t>
  </si>
  <si>
    <t>D547</t>
  </si>
  <si>
    <t>FARMACIA TEATIS, C.A.</t>
  </si>
  <si>
    <t>0222</t>
  </si>
  <si>
    <t>FARMACIA LUZ 1, C.A.</t>
  </si>
  <si>
    <t>B710</t>
  </si>
  <si>
    <t>INVERSIONES FARMAZITA, C.A</t>
  </si>
  <si>
    <t>B071</t>
  </si>
  <si>
    <t>FARMACIAS FARMAPIU, C.A</t>
  </si>
  <si>
    <t>D907</t>
  </si>
  <si>
    <t>FARMACIA LA ESTACION,C.A</t>
  </si>
  <si>
    <t>8908</t>
  </si>
  <si>
    <t>FARMACIA CARABOBO 4M, C.A.</t>
  </si>
  <si>
    <t>D495</t>
  </si>
  <si>
    <t>FARMACIA EL RECIPE C.A</t>
  </si>
  <si>
    <t>S103</t>
  </si>
  <si>
    <t>FARMACIA NUEVA SAN JOSE, C.A.</t>
  </si>
  <si>
    <t>B539</t>
  </si>
  <si>
    <t>FARMACIA PLAZA, C.A.</t>
  </si>
  <si>
    <t>C132</t>
  </si>
  <si>
    <t>MARPER INVERSIONES, C.A.</t>
  </si>
  <si>
    <t>B963</t>
  </si>
  <si>
    <t>MULTIFARMA LIBERTADOR C.A</t>
  </si>
  <si>
    <t>A262</t>
  </si>
  <si>
    <t>FARMACIA MONAGAS, C.A.</t>
  </si>
  <si>
    <t>1824</t>
  </si>
  <si>
    <t>FARMACIA BUENA SALUD MARQUEZ BARRETO, C.A</t>
  </si>
  <si>
    <t>8582</t>
  </si>
  <si>
    <t>FARMACIA DIVINA MISERICORDIA S/C, C.A.</t>
  </si>
  <si>
    <t>D706</t>
  </si>
  <si>
    <t>FARMACIA MARANATHAS C.A.</t>
  </si>
  <si>
    <t>D435</t>
  </si>
  <si>
    <t>ALBA MARINA MEDINA DE CARRION (FARMACIA DR. MATIAS)</t>
  </si>
  <si>
    <t>8591</t>
  </si>
  <si>
    <t>FARMACIA LAS ACACIAS, C.A.</t>
  </si>
  <si>
    <t>$172</t>
  </si>
  <si>
    <t>FARMACIA SANTA CECILIA, C.A.</t>
  </si>
  <si>
    <t>0081</t>
  </si>
  <si>
    <t>FARMACIA MANZANARES, C.A</t>
  </si>
  <si>
    <t>427</t>
  </si>
  <si>
    <t>FARMACIA VED BIENESTAR, C.A</t>
  </si>
  <si>
    <t>D701</t>
  </si>
  <si>
    <t>FARMACIA S.K.I., C.A.</t>
  </si>
  <si>
    <t>A520</t>
  </si>
  <si>
    <t>SUMMASALUD FARMACIAS C.A.</t>
  </si>
  <si>
    <t>D408</t>
  </si>
  <si>
    <t>FARMACIA FATIMA C. A.</t>
  </si>
  <si>
    <t>$190</t>
  </si>
  <si>
    <t>FARMACIA EL CAMPANO,C.A.</t>
  </si>
  <si>
    <t>N155</t>
  </si>
  <si>
    <t>FARMACIA CARMEN ROSA C.A.</t>
  </si>
  <si>
    <t>8242</t>
  </si>
  <si>
    <t>SERVICIOS INTEGRALES DE SALUD ENMANUEL 2224, C.A</t>
  </si>
  <si>
    <t>C478</t>
  </si>
  <si>
    <t>FARMACIA PRINCIPAL C.A.</t>
  </si>
  <si>
    <t>617</t>
  </si>
  <si>
    <t>FARMACIA MIS HIJOS, C.A</t>
  </si>
  <si>
    <t>1829</t>
  </si>
  <si>
    <t>FARMA SALUD SHALOM 12.360 C.A</t>
  </si>
  <si>
    <t>D867</t>
  </si>
  <si>
    <t>TU MISERICORDIA FARMACIA C,A</t>
  </si>
  <si>
    <t>D328</t>
  </si>
  <si>
    <t>FARMACIA DR HOUSE C.A.</t>
  </si>
  <si>
    <t>D439</t>
  </si>
  <si>
    <t>FARMACIA GRUPO BISALUD, C.A</t>
  </si>
  <si>
    <t>A767</t>
  </si>
  <si>
    <t>ALTHEA HERBOLARIO C.A.</t>
  </si>
  <si>
    <t>B393</t>
  </si>
  <si>
    <t>LA ORTOPEDIA   KILEMBERG  PARRA  F.P.</t>
  </si>
  <si>
    <t>D651</t>
  </si>
  <si>
    <t>FARMACIA LA CAMPIÑA, C.A.</t>
  </si>
  <si>
    <t>5110</t>
  </si>
  <si>
    <t>FARMACIA LOS NUEVOS TEQUES C.A.</t>
  </si>
  <si>
    <t>-111</t>
  </si>
  <si>
    <t>FARMASALUD MARACAIBO, C. A.</t>
  </si>
  <si>
    <t>D515</t>
  </si>
  <si>
    <t>FARMACIA PANAMERICANA, C. A.</t>
  </si>
  <si>
    <t>348</t>
  </si>
  <si>
    <t>MARYI  NOVA, C.A.</t>
  </si>
  <si>
    <t>D623</t>
  </si>
  <si>
    <t>FARMABAHIA 1098, C.A.</t>
  </si>
  <si>
    <t>D008</t>
  </si>
  <si>
    <t>FARMACIA MI FARMACIA, S.R.L.</t>
  </si>
  <si>
    <t>H265</t>
  </si>
  <si>
    <t>FARMACIA LA OFERTA C.A.</t>
  </si>
  <si>
    <t>+272</t>
  </si>
  <si>
    <t>FARMACIA EL TERMINAL, C.A</t>
  </si>
  <si>
    <t>0435</t>
  </si>
  <si>
    <t>EXPENDIO DE MEDICINAS PALMARITO, S.R.L.</t>
  </si>
  <si>
    <t>6561</t>
  </si>
  <si>
    <t>CORPORACIÓN ALCÁNTARA. N &amp; ASOCIADOS, C.A</t>
  </si>
  <si>
    <t>A097</t>
  </si>
  <si>
    <t>FARMACIA PEDREGAL, C.A</t>
  </si>
  <si>
    <t>4579</t>
  </si>
  <si>
    <t>FARMA ECONOMAX, C.A.</t>
  </si>
  <si>
    <t>D052</t>
  </si>
  <si>
    <t>TODO SALUD KMA, C.A.</t>
  </si>
  <si>
    <t>D327</t>
  </si>
  <si>
    <t>FARMACTUAL TUREN, C.A.</t>
  </si>
  <si>
    <t>5092</t>
  </si>
  <si>
    <t>FARMACONTIGO I, C.A.</t>
  </si>
  <si>
    <t>C925</t>
  </si>
  <si>
    <t>FARMACIA MARY, SRL</t>
  </si>
  <si>
    <t>7964</t>
  </si>
  <si>
    <t>FARMACIA SOFI SALUD C.A.</t>
  </si>
  <si>
    <t>D323</t>
  </si>
  <si>
    <t>FARMACIA CABUDARE.C.A</t>
  </si>
  <si>
    <t>Y18</t>
  </si>
  <si>
    <t>FARMACIA LA CAPELLANIA, C.A</t>
  </si>
  <si>
    <t>8502</t>
  </si>
  <si>
    <t>FARMACIA FARMACONSULT, C.A</t>
  </si>
  <si>
    <t>9834</t>
  </si>
  <si>
    <t>NAMASTE, C.A.</t>
  </si>
  <si>
    <t>B284</t>
  </si>
  <si>
    <t>FARMACIA LA FE, C.A.</t>
  </si>
  <si>
    <t>0293</t>
  </si>
  <si>
    <t>FARMACIA PIRITU C.A</t>
  </si>
  <si>
    <t>C27</t>
  </si>
  <si>
    <t>FARMACIA HOSPITAL C.A. (FARHOSCA)</t>
  </si>
  <si>
    <t>G147</t>
  </si>
  <si>
    <t>MI FARMA EXPRESS SN, C.A.</t>
  </si>
  <si>
    <t>B290</t>
  </si>
  <si>
    <t>FARMEX VENEZUELA, C.A</t>
  </si>
  <si>
    <t>1930</t>
  </si>
  <si>
    <t>FARMAVIDA 2022, C.A.</t>
  </si>
  <si>
    <t>B741</t>
  </si>
  <si>
    <t>FARMACIA MESVOL, C.A.</t>
  </si>
  <si>
    <t>D850</t>
  </si>
  <si>
    <t>BODEGON Y MINIMARKET SAMY 2021, C.A</t>
  </si>
  <si>
    <t>D711</t>
  </si>
  <si>
    <t>FARMACIA MEDICAL, C.A.</t>
  </si>
  <si>
    <t>1020</t>
  </si>
  <si>
    <t>FARMACIA MULTIMAFER C.A.</t>
  </si>
  <si>
    <t>D725</t>
  </si>
  <si>
    <t>FARMACIA TEIM, C.A.</t>
  </si>
  <si>
    <t>B935</t>
  </si>
  <si>
    <t>FARMACIA DOÑA RENEE, C.A.</t>
  </si>
  <si>
    <t>A600</t>
  </si>
  <si>
    <t>FARMACIA EL AMPARO G.D.,C.A.</t>
  </si>
  <si>
    <t>-204</t>
  </si>
  <si>
    <t>SUN MARKET, C.A</t>
  </si>
  <si>
    <t>B949</t>
  </si>
  <si>
    <t>FARMASAY, C.A.</t>
  </si>
  <si>
    <t>D739</t>
  </si>
  <si>
    <t>FARMACIA LA ENTRADA, C.A.</t>
  </si>
  <si>
    <t>B666</t>
  </si>
  <si>
    <t>FARMACIA PEREZ CARREÑO, C.A</t>
  </si>
  <si>
    <t>7336</t>
  </si>
  <si>
    <t>FARMACIA BUCARE, S.R.L</t>
  </si>
  <si>
    <t>7069</t>
  </si>
  <si>
    <t>FULLFARMA, C.A.</t>
  </si>
  <si>
    <t>C467</t>
  </si>
  <si>
    <t>FARMACIA LA PUERTA DEL LLANO, C.A.</t>
  </si>
  <si>
    <t>2900</t>
  </si>
  <si>
    <t>FARMACIA EVC SALUD C.A.</t>
  </si>
  <si>
    <t>D856</t>
  </si>
  <si>
    <t>FARMACIA PHARMAPLUS, C.A.</t>
  </si>
  <si>
    <t>D245</t>
  </si>
  <si>
    <t>AUTOFARMACIA J.N CORAL, C.A</t>
  </si>
  <si>
    <t>7278</t>
  </si>
  <si>
    <t>FARMACIA AVENIDA BOLIVAR, C.A.</t>
  </si>
  <si>
    <t>1389</t>
  </si>
  <si>
    <t>FARMA UNO CENTRO,C.A.</t>
  </si>
  <si>
    <t>Z163</t>
  </si>
  <si>
    <t>FARMACIA GENTTY C.A.</t>
  </si>
  <si>
    <t>1026</t>
  </si>
  <si>
    <t>FARMACIA BIEN STAR EL TRIGAL, C.A.</t>
  </si>
  <si>
    <t>M120</t>
  </si>
  <si>
    <t>FARMACIA LATINO,C.A</t>
  </si>
  <si>
    <t>5183</t>
  </si>
  <si>
    <t>FARMACIA NUEVA C.A</t>
  </si>
  <si>
    <t>A41</t>
  </si>
  <si>
    <t>EXPENDIO DE MEDICINAS VALLE ALTO, C.A.</t>
  </si>
  <si>
    <t>C772</t>
  </si>
  <si>
    <t>FARMACIA OASIS S.A.</t>
  </si>
  <si>
    <t>H236</t>
  </si>
  <si>
    <t>FARMACIA REAL 2022, C.A</t>
  </si>
  <si>
    <t>C686</t>
  </si>
  <si>
    <t>FARMACIA SÉPTIMO TRAPICHE C.A.</t>
  </si>
  <si>
    <t>7379</t>
  </si>
  <si>
    <t>FARMACIA CAMINO REAL C.A.</t>
  </si>
  <si>
    <t>-7</t>
  </si>
  <si>
    <t>FARMACIA LIDER C.A.</t>
  </si>
  <si>
    <t>D098</t>
  </si>
  <si>
    <t>FARMACIA EL SAN CARLOS, C.A.</t>
  </si>
  <si>
    <t>C019</t>
  </si>
  <si>
    <t>FARMACIA NUESTRA SEÑORA DE LOURDES, C.A.</t>
  </si>
  <si>
    <t>D733</t>
  </si>
  <si>
    <t>FARMACIA BUBUQUI  C.A.</t>
  </si>
  <si>
    <t>582</t>
  </si>
  <si>
    <t>FARMACIA LA ROMERA C.A.</t>
  </si>
  <si>
    <t>428</t>
  </si>
  <si>
    <t>FARMACIA YACARJARI FARMA, C.A</t>
  </si>
  <si>
    <t>D537</t>
  </si>
  <si>
    <t>FARMACIA DIVINO NIÑO 2021, C.A.</t>
  </si>
  <si>
    <t>A735</t>
  </si>
  <si>
    <t>FARMA D EL PILAR, C.A.</t>
  </si>
  <si>
    <t>A924</t>
  </si>
  <si>
    <t>FARMACIA KRISTAL S.R.L.</t>
  </si>
  <si>
    <t>7039</t>
  </si>
  <si>
    <t>FARMACIA SUPERFARMA L.C, C.A</t>
  </si>
  <si>
    <t>7222</t>
  </si>
  <si>
    <t>FARMACIA LOS AGUSTINOS C.A.</t>
  </si>
  <si>
    <t>B065</t>
  </si>
  <si>
    <t>FARMACIA CORO S.A</t>
  </si>
  <si>
    <t>Z54</t>
  </si>
  <si>
    <t>SUPER FARMA RV, C.A.</t>
  </si>
  <si>
    <t>A488</t>
  </si>
  <si>
    <t>TEJERO VARIEDADES MYA, C.A.</t>
  </si>
  <si>
    <t>D909</t>
  </si>
  <si>
    <t>PHARMACIA LE PHARMACE, C.A.</t>
  </si>
  <si>
    <t>A808</t>
  </si>
  <si>
    <t>FARMACIA SAN BENITO 2000 C.A</t>
  </si>
  <si>
    <t>C874</t>
  </si>
  <si>
    <t>CARRADINI, HILDEBRANDO (FARMACIA AYACUCHO)</t>
  </si>
  <si>
    <t>370</t>
  </si>
  <si>
    <t>FARMACIA BIOMEDICAL, C.A.</t>
  </si>
  <si>
    <t>A963</t>
  </si>
  <si>
    <t>FARMACIA SANTA BARBARA,C.A</t>
  </si>
  <si>
    <t>7653</t>
  </si>
  <si>
    <t>FARMACIA FARMA MALL, C.A.</t>
  </si>
  <si>
    <t>1968</t>
  </si>
  <si>
    <t>FARMACIA SANTO REMEDIO, C.A</t>
  </si>
  <si>
    <t>D561</t>
  </si>
  <si>
    <t>FARMACIA POLICLINICO TURMERO,C.A.</t>
  </si>
  <si>
    <t>-154</t>
  </si>
  <si>
    <t>FARMACIA FARMA STA CRUZ C.A.</t>
  </si>
  <si>
    <t>B958</t>
  </si>
  <si>
    <t>FARMACIA CENTER SALUD, C.A</t>
  </si>
  <si>
    <t>9322</t>
  </si>
  <si>
    <t>FARMA FAMILIA,C.A.</t>
  </si>
  <si>
    <t>Z118</t>
  </si>
  <si>
    <t>GRUPO VFG 2016, C.A</t>
  </si>
  <si>
    <t>B789</t>
  </si>
  <si>
    <t>FARMACIA FAMI SALUD C.A.</t>
  </si>
  <si>
    <t>D806</t>
  </si>
  <si>
    <t>FARMACIA MIRANDA PLUS,C.A</t>
  </si>
  <si>
    <t>7360</t>
  </si>
  <si>
    <t>FARMACIA  ASISTENCIAL II, C. A.</t>
  </si>
  <si>
    <t>0580</t>
  </si>
  <si>
    <t>FARMACIA BIMI, C.A.</t>
  </si>
  <si>
    <t>A917</t>
  </si>
  <si>
    <t>GUERRERO DANIEL(FARMACIA SANTO CRISTO)</t>
  </si>
  <si>
    <t>4851</t>
  </si>
  <si>
    <t>FARMACIA ZULYMAR C.A</t>
  </si>
  <si>
    <t>8412</t>
  </si>
  <si>
    <t>FARMACIA MI ADONAI L &amp; N 2021, C.A.</t>
  </si>
  <si>
    <t>C771</t>
  </si>
  <si>
    <t>FARMACIA NUESTRA VIDA C.A.</t>
  </si>
  <si>
    <t>D548</t>
  </si>
  <si>
    <t>FARMACIA MI FE 2023, C.A.</t>
  </si>
  <si>
    <t>C746</t>
  </si>
  <si>
    <t>FORMULANDO SALUD Y BELLEZA, C.A.</t>
  </si>
  <si>
    <t>D088</t>
  </si>
  <si>
    <t>FARMACIA J.F.R, C.A.</t>
  </si>
  <si>
    <t>1208</t>
  </si>
  <si>
    <t>FARMA VIDA 2021, C.A.</t>
  </si>
  <si>
    <t>D012</t>
  </si>
  <si>
    <t>EXPENDIO DE MEDICINAS VERA MEDICAL FP</t>
  </si>
  <si>
    <t>D418</t>
  </si>
  <si>
    <t>FARMACIA FDA 702, C.A.</t>
  </si>
  <si>
    <t>1408</t>
  </si>
  <si>
    <t>JOSE GERARDO MUÑOZ SALAMANCA (FARMAMEDIC)</t>
  </si>
  <si>
    <t>B027</t>
  </si>
  <si>
    <t>FARMACIA EL OFERTON MIRANDA, C.A</t>
  </si>
  <si>
    <t>A489</t>
  </si>
  <si>
    <t>FARMASERVICIOS PLUS CENTER, C.A.</t>
  </si>
  <si>
    <t>A810</t>
  </si>
  <si>
    <t>FARMACIA ECOVIDA, C.A</t>
  </si>
  <si>
    <t>C678</t>
  </si>
  <si>
    <t>FARMACIA FARMASALO C.A.</t>
  </si>
  <si>
    <t>D843</t>
  </si>
  <si>
    <t>FARMACIA LA DOLORITA C.A.</t>
  </si>
  <si>
    <t>4849</t>
  </si>
  <si>
    <t>FARMACIA FLINT, C.A</t>
  </si>
  <si>
    <t>D453</t>
  </si>
  <si>
    <t>FARMACIA KAPA, C.A.</t>
  </si>
  <si>
    <t>6230</t>
  </si>
  <si>
    <t>FARMACIA LA CASTELLANA, C.A.</t>
  </si>
  <si>
    <t>C680</t>
  </si>
  <si>
    <t>FARMACIA NUEVA ESPARTA, C.A.</t>
  </si>
  <si>
    <t>A29</t>
  </si>
  <si>
    <t>RAFAEL DAVID ROMERO RIVAS (FARMA LIDER SR, F.P.)</t>
  </si>
  <si>
    <t>C924</t>
  </si>
  <si>
    <t>EXPENDIO DE MEDICINAS SANTA FE, C.A</t>
  </si>
  <si>
    <t>7659</t>
  </si>
  <si>
    <t>VITAL FARMACIA C.A.</t>
  </si>
  <si>
    <t>8069</t>
  </si>
  <si>
    <t>FARMA DIABETICS, C.A.</t>
  </si>
  <si>
    <t>B732</t>
  </si>
  <si>
    <t>HOMEPHARMA, C.A.</t>
  </si>
  <si>
    <t>B525</t>
  </si>
  <si>
    <t>HIPERMERCADO ASIA ORIENTAL C.A.</t>
  </si>
  <si>
    <t>D526</t>
  </si>
  <si>
    <t>FARMACIA FARMATEM LAS BANDERAS, C.A</t>
  </si>
  <si>
    <t>B190</t>
  </si>
  <si>
    <t>FARMACIA LA LUNA, C.A</t>
  </si>
  <si>
    <t>C852</t>
  </si>
  <si>
    <t>FARMACIA RAFAEL RANGEL, C.A</t>
  </si>
  <si>
    <t>G13</t>
  </si>
  <si>
    <t>FARMACIA DON BOSCO PIRINEOS, C.A</t>
  </si>
  <si>
    <t>6714</t>
  </si>
  <si>
    <t>5204</t>
  </si>
  <si>
    <t>FARMACIA FEDERACION,C.A.</t>
  </si>
  <si>
    <t>0216</t>
  </si>
  <si>
    <t>FARMACIA COPA DE ORO S.A</t>
  </si>
  <si>
    <t>D027</t>
  </si>
  <si>
    <t>FARMA CLIP CARRIZAL C.A.</t>
  </si>
  <si>
    <t>9529</t>
  </si>
  <si>
    <t>FARMANOVA.02, C.A.</t>
  </si>
  <si>
    <t>D356</t>
  </si>
  <si>
    <t>FARMACIA SAMAN DE ARAIRA, C.A.</t>
  </si>
  <si>
    <t>D362</t>
  </si>
  <si>
    <t>HERRERA,CECILIA(FARMACIA JUAN DE DIOS)</t>
  </si>
  <si>
    <t>7909</t>
  </si>
  <si>
    <t>FARMACIA EL LITORAL,C.A.</t>
  </si>
  <si>
    <t>C268</t>
  </si>
  <si>
    <t>FARMACIA LOS HERMANOS  C.A</t>
  </si>
  <si>
    <t>N39</t>
  </si>
  <si>
    <t>FARMACIA SALUDFARMA, C.A</t>
  </si>
  <si>
    <t>D054</t>
  </si>
  <si>
    <t>FARMACIA JAZMIN, C.A</t>
  </si>
  <si>
    <t>9942</t>
  </si>
  <si>
    <t>FARMACIA GALILEA 24 H ,C .A.</t>
  </si>
  <si>
    <t>D293</t>
  </si>
  <si>
    <t>FARMACIA MEDIMARKET CARABOBO, C.A.</t>
  </si>
  <si>
    <t>B948</t>
  </si>
  <si>
    <t>FARMACIA'S J.K, C.A</t>
  </si>
  <si>
    <t>C829</t>
  </si>
  <si>
    <t>FARMACIA MUNDOFARMA MIKAEL.C.A.</t>
  </si>
  <si>
    <t>D477</t>
  </si>
  <si>
    <t>FARMACIA SANTO NIÑO JESUS,C.A.</t>
  </si>
  <si>
    <t>A179</t>
  </si>
  <si>
    <t>CENTRALFARMA C.A.</t>
  </si>
  <si>
    <t>D011</t>
  </si>
  <si>
    <t>FARMACIA 1A , C.A</t>
  </si>
  <si>
    <t>0116</t>
  </si>
  <si>
    <t>FARMACIA GRUPO SAN JOSE 21, C.A.</t>
  </si>
  <si>
    <t>A776</t>
  </si>
  <si>
    <t>CONSORCIO DIGITAL, C.A.</t>
  </si>
  <si>
    <t>D211</t>
  </si>
  <si>
    <t>FARMACIA AEROPUERTO, C.A.</t>
  </si>
  <si>
    <t>G166</t>
  </si>
  <si>
    <t>FARMA NOVA, C.A.</t>
  </si>
  <si>
    <t>A521</t>
  </si>
  <si>
    <t>FARMACIA LA NUEVA ROMA , C.A</t>
  </si>
  <si>
    <t>87</t>
  </si>
  <si>
    <t>FARMACIA FAMI FARMA MGM, C.A</t>
  </si>
  <si>
    <t>C604</t>
  </si>
  <si>
    <t>FARMACIA JESUS DE LA MISERICORDIA CA</t>
  </si>
  <si>
    <t>9650</t>
  </si>
  <si>
    <t>FARMACIA URAFARMA, C.A</t>
  </si>
  <si>
    <t>7827</t>
  </si>
  <si>
    <t>EXPENDIO DE MEDICINA EDSA, C.A.</t>
  </si>
  <si>
    <t>B568</t>
  </si>
  <si>
    <t>FARMACIA SAN GINES, C.A.</t>
  </si>
  <si>
    <t>8414</t>
  </si>
  <si>
    <t>CENTRO MEDICO SAN FRANCISCO C.A</t>
  </si>
  <si>
    <t>8060</t>
  </si>
  <si>
    <t>FARMARATDOS,C.A.</t>
  </si>
  <si>
    <t>A138</t>
  </si>
  <si>
    <t>FARMATOSCANA, C.A.</t>
  </si>
  <si>
    <t>B293</t>
  </si>
  <si>
    <t>PHARMA MARKET, C.A.</t>
  </si>
  <si>
    <t>A864</t>
  </si>
  <si>
    <t>INVERSIONES FARMACEUTICAS LA FAMILIA, C.A.</t>
  </si>
  <si>
    <t>B407</t>
  </si>
  <si>
    <t>FARMA TOP 2040, C.A.</t>
  </si>
  <si>
    <t>B637</t>
  </si>
  <si>
    <t>FARMACIA MIFARMA PLUS, C.A.</t>
  </si>
  <si>
    <t>4600</t>
  </si>
  <si>
    <t>FARMA CENTER LA TENDIDA ,C.A.</t>
  </si>
  <si>
    <t>C998</t>
  </si>
  <si>
    <t>FARMEDICAL TUCANI , C.A.</t>
  </si>
  <si>
    <t>D032</t>
  </si>
  <si>
    <t>FARMACIA VENEPLUS, C.A.</t>
  </si>
  <si>
    <t>C970</t>
  </si>
  <si>
    <t>FARMACIA LOS CARDONES C.A.</t>
  </si>
  <si>
    <t>Y170</t>
  </si>
  <si>
    <t>FARMACIA EL ARCANGEL,C.A.</t>
  </si>
  <si>
    <t>4147</t>
  </si>
  <si>
    <t>FARMACIA FARSILSA,C.A.</t>
  </si>
  <si>
    <t>C549</t>
  </si>
  <si>
    <t>FARMACIA JUAN PABLO II, C.A.</t>
  </si>
  <si>
    <t>0231</t>
  </si>
  <si>
    <t>MC' TIME FARMACIA, C.A.</t>
  </si>
  <si>
    <t>C898</t>
  </si>
  <si>
    <t>FARMACIA HOSPITAL DE CLINICAS LAS DELICIAS, C.A.</t>
  </si>
  <si>
    <t>2660</t>
  </si>
  <si>
    <t>FARMALUNA, C.A.</t>
  </si>
  <si>
    <t>A689</t>
  </si>
  <si>
    <t>FARMACIA CRISTAL,C.A</t>
  </si>
  <si>
    <t>M58</t>
  </si>
  <si>
    <t>0043</t>
  </si>
  <si>
    <t>FARMA VITAL DOMINGO ROA, C.A.</t>
  </si>
  <si>
    <t>C888</t>
  </si>
  <si>
    <t>FARMACIA DR KIMI, C.A.</t>
  </si>
  <si>
    <t>A950</t>
  </si>
  <si>
    <t>FARMACIA SANTO CHARBELL, C.A.</t>
  </si>
  <si>
    <t>B540</t>
  </si>
  <si>
    <t>FARMACIA SANTO CRISTO 2025, C.A.</t>
  </si>
  <si>
    <t>D569</t>
  </si>
  <si>
    <t>FARMACIA SOCIAL EL GRAN DESCUENTO,C.A.</t>
  </si>
  <si>
    <t>$149</t>
  </si>
  <si>
    <t>FARMACIA CORAZÓN DE JESÚS C.A</t>
  </si>
  <si>
    <t>N59</t>
  </si>
  <si>
    <t>FARMAHOGAR, SOCOPO, C.A</t>
  </si>
  <si>
    <t>D540</t>
  </si>
  <si>
    <t>FARMACIA DE ORO, C.A</t>
  </si>
  <si>
    <t>8694</t>
  </si>
  <si>
    <t>FARMACIA NUEVA JALISCO,C.A</t>
  </si>
  <si>
    <t>3278</t>
  </si>
  <si>
    <t>VICTOR MANUEL GOMEZ ANAYA (FARMACIA GOMEZ, F.P)</t>
  </si>
  <si>
    <t>D776</t>
  </si>
  <si>
    <t>FARMAQUI,C.A.</t>
  </si>
  <si>
    <t>$134</t>
  </si>
  <si>
    <t>FARMACIA LOS PINOS, C.A.</t>
  </si>
  <si>
    <t>7197</t>
  </si>
  <si>
    <t>FARMACIA SANTA ISABEL, C.A</t>
  </si>
  <si>
    <t>2726</t>
  </si>
  <si>
    <t>FARMACIA SIQUI-FARMA, C.A</t>
  </si>
  <si>
    <t>A13</t>
  </si>
  <si>
    <t>MUNDOFARMA, C.A</t>
  </si>
  <si>
    <t>0205</t>
  </si>
  <si>
    <t>FARMAFABI, C.A.</t>
  </si>
  <si>
    <t>B406</t>
  </si>
  <si>
    <t>FARMACIA FRON SALUD C.A</t>
  </si>
  <si>
    <t>D846</t>
  </si>
  <si>
    <t>FARMACIA RRP, C.A.</t>
  </si>
  <si>
    <t>6705</t>
  </si>
  <si>
    <t>FARMACIA FARMATEM HOGAR NRO 2, C.A.</t>
  </si>
  <si>
    <t>D205</t>
  </si>
  <si>
    <t>FARMACIA SAN JORGE C.A.</t>
  </si>
  <si>
    <t>0073</t>
  </si>
  <si>
    <t>INVERSIONES GRANPHARMA, C.A.</t>
  </si>
  <si>
    <t>D234</t>
  </si>
  <si>
    <t>FARMACIA FARMATOTAL CORO, C.A.</t>
  </si>
  <si>
    <t>A498</t>
  </si>
  <si>
    <t>FARMACIA SANA SANA V.C., C.A.</t>
  </si>
  <si>
    <t>A765</t>
  </si>
  <si>
    <t>FARMA KEILY,C.A</t>
  </si>
  <si>
    <t>5925</t>
  </si>
  <si>
    <t>CITYFARMA, C.A.</t>
  </si>
  <si>
    <t>A833</t>
  </si>
  <si>
    <t>FARMACIA SAN JOSE EXPRESS, C.A.</t>
  </si>
  <si>
    <t>6977</t>
  </si>
  <si>
    <t>FARMACIA INTERNACIONAL C.A</t>
  </si>
  <si>
    <t>S41</t>
  </si>
  <si>
    <t>FARMACIA LAS 3  CHINITAS, C.A.</t>
  </si>
  <si>
    <t>D581</t>
  </si>
  <si>
    <t>FARMACIA V.I.P, C.A</t>
  </si>
  <si>
    <t>B928</t>
  </si>
  <si>
    <t>FARMACIA VIRGEN DE LAS NIEVES 1314, C.A</t>
  </si>
  <si>
    <t>A659</t>
  </si>
  <si>
    <t>FARMACIA SAN PIO C.A</t>
  </si>
  <si>
    <t>D082</t>
  </si>
  <si>
    <t>FARMA TOP 2022, C.A.</t>
  </si>
  <si>
    <t>B434</t>
  </si>
  <si>
    <t>FOTOPIEL AVILA, C.A.</t>
  </si>
  <si>
    <t>B398</t>
  </si>
  <si>
    <t>FARMACIA DOÑA GLADIS, C.A.</t>
  </si>
  <si>
    <t>0000</t>
  </si>
  <si>
    <t>GIL DE GARCIA,NORAILES(EXPENDIO DE MEDICINAS OSCAR</t>
  </si>
  <si>
    <t>5519</t>
  </si>
  <si>
    <t>FARMACIA FARMA YIMMAR,C.A</t>
  </si>
  <si>
    <t>5226</t>
  </si>
  <si>
    <t>FARMACIA FARMAFE, C.A.</t>
  </si>
  <si>
    <t>C890</t>
  </si>
  <si>
    <t>FOTOPIEL C.A.</t>
  </si>
  <si>
    <t>A094</t>
  </si>
  <si>
    <t>FARMACIA LOS PROCERES, C.A.</t>
  </si>
  <si>
    <t>0844</t>
  </si>
  <si>
    <t>FARMACIA INTERNACIONAL C.A.</t>
  </si>
  <si>
    <t>M57</t>
  </si>
  <si>
    <t>FARMACIA ARIAN (FARMARIAN), C.A.</t>
  </si>
  <si>
    <t>C891</t>
  </si>
  <si>
    <t>FARMACIA FARMASALUD SAINT MICHEL, C.A.</t>
  </si>
  <si>
    <t>C773</t>
  </si>
  <si>
    <t>FARMA MUNDO,C.A.</t>
  </si>
  <si>
    <t>A348</t>
  </si>
  <si>
    <t>FARMACIA PROSANA S.P., C.A.</t>
  </si>
  <si>
    <t>B349</t>
  </si>
  <si>
    <t>TODOFARMA, C.A</t>
  </si>
  <si>
    <t>1583</t>
  </si>
  <si>
    <t>PABON  CARMEN  (FARMA MERIDA)</t>
  </si>
  <si>
    <t>383</t>
  </si>
  <si>
    <t>FARMACIA PF LEADERS FOODS, C.A.</t>
  </si>
  <si>
    <t>B628</t>
  </si>
  <si>
    <t>FARMACIA BOLIVAR CENTRO, C.A.</t>
  </si>
  <si>
    <t>A484</t>
  </si>
  <si>
    <t>FARMACIA NUEVO SIGLO PM II, C.A</t>
  </si>
  <si>
    <t>C688</t>
  </si>
  <si>
    <t>FARMACIA GUARAPICHE, C.A.</t>
  </si>
  <si>
    <t>1287</t>
  </si>
  <si>
    <t>URDANETA RODENIZ (FARMACIA ROKAFARMA)</t>
  </si>
  <si>
    <t>1346</t>
  </si>
  <si>
    <t>FARMACIA BELLO MONTE,C.A.</t>
  </si>
  <si>
    <t>815</t>
  </si>
  <si>
    <t>BOTICA DE VELASQUEZ,S.R.L.</t>
  </si>
  <si>
    <t>C410</t>
  </si>
  <si>
    <t>FARMACIA HERES, CA</t>
  </si>
  <si>
    <t>6055</t>
  </si>
  <si>
    <t>FARMACIA EL OFERTON, C.A.</t>
  </si>
  <si>
    <t>8226</t>
  </si>
  <si>
    <t>GUTIERREZ LUZ BRUMELI (FARMACIA BRUZUAL)</t>
  </si>
  <si>
    <t>0536</t>
  </si>
  <si>
    <t>FARMACIA FARMALUZ EXPRESS, C.A.</t>
  </si>
  <si>
    <t>5216</t>
  </si>
  <si>
    <t>FARMACIA LA GANADERA,C.A</t>
  </si>
  <si>
    <t>9088</t>
  </si>
  <si>
    <t>FARMACIA LA VITAL C.A.</t>
  </si>
  <si>
    <t>B775</t>
  </si>
  <si>
    <t>FARMACIA KERDELL, C. A.</t>
  </si>
  <si>
    <t>M128</t>
  </si>
  <si>
    <t>TORTOSA DE SANCHEZ ROSA  (FARMACIA JAUREGUI)</t>
  </si>
  <si>
    <t>3163</t>
  </si>
  <si>
    <t>FARMAMIGA, C.A.</t>
  </si>
  <si>
    <t>1434</t>
  </si>
  <si>
    <t>FARMA BENI 23, C.A.</t>
  </si>
  <si>
    <t>C032</t>
  </si>
  <si>
    <t>FARMACIA  MEDIFARM, C.A</t>
  </si>
  <si>
    <t>8017</t>
  </si>
  <si>
    <t>FARMACIA LIDER, C. A.</t>
  </si>
  <si>
    <t>D188</t>
  </si>
  <si>
    <t>LA FARMACIA EL TIGRE, C.A.</t>
  </si>
  <si>
    <t>B013</t>
  </si>
  <si>
    <t>FARMACIA Y ORTOPEDIA SANA SANA RINCON C.A.</t>
  </si>
  <si>
    <t>D786</t>
  </si>
  <si>
    <t>SUAREZ FRANCO,YENNY MARIBEL (FARMACIA FARMA UNO)</t>
  </si>
  <si>
    <t>J16</t>
  </si>
  <si>
    <t>FARMACIA LAS DELICIAS, S. R. L.</t>
  </si>
  <si>
    <t>N110</t>
  </si>
  <si>
    <t>EXPENDIO DE MEDICINA MIFARMA C.A.</t>
  </si>
  <si>
    <t>D465</t>
  </si>
  <si>
    <t>FARMACIA FARMA IDEAL, C.A.</t>
  </si>
  <si>
    <t>7371</t>
  </si>
  <si>
    <t>FARMACIA Y SUMINISTROS ESTETOSCOPIO VENEZUELA C A</t>
  </si>
  <si>
    <t>C873</t>
  </si>
  <si>
    <t>EXPENDIO DE MEDICINAS FARMAFE C.A</t>
  </si>
  <si>
    <t>D773</t>
  </si>
  <si>
    <t>FARMACIA FARMAPLAZA C.A.</t>
  </si>
  <si>
    <t>D462</t>
  </si>
  <si>
    <t>CENTRO DE ESPECIALIDADES MEDICAS THERAPEUO, C.A.</t>
  </si>
  <si>
    <t>C713</t>
  </si>
  <si>
    <t>FARMACIA MARIA DE SAN JOSE C.A.</t>
  </si>
  <si>
    <t>I307</t>
  </si>
  <si>
    <t>FARMACIA EL DOCTORCITO, C.A.</t>
  </si>
  <si>
    <t>A603</t>
  </si>
  <si>
    <t>FARMACIA FARMACRYSTAL, C.A.</t>
  </si>
  <si>
    <t>4421</t>
  </si>
  <si>
    <t>SERVI FARMA 12, C.A.</t>
  </si>
  <si>
    <t>D313</t>
  </si>
  <si>
    <t>FARMACIA SANTA ELENA S.A.</t>
  </si>
  <si>
    <t>6579</t>
  </si>
  <si>
    <t>FARMACIA DON MORENO, C.A</t>
  </si>
  <si>
    <t>B632</t>
  </si>
  <si>
    <t>FARMACIA BARRIO SUCRE 2024, C.A.</t>
  </si>
  <si>
    <t>D719</t>
  </si>
  <si>
    <t>FARMACIA SAN ANTONIO II,C.A</t>
  </si>
  <si>
    <t>7027</t>
  </si>
  <si>
    <t>FARMACIA ABELLA IV, C.A.</t>
  </si>
  <si>
    <t>9018</t>
  </si>
  <si>
    <t>FARMACIA DOÑA MIRIAM, C.A.</t>
  </si>
  <si>
    <t>2595</t>
  </si>
  <si>
    <t>INVERSIONES MIGUENA 123, C.A</t>
  </si>
  <si>
    <t>8206</t>
  </si>
  <si>
    <t>FARMACIA LA VENEZOLANA SAN FRANCISCO, COMPAÑIA ANONIMA</t>
  </si>
  <si>
    <t>7003</t>
  </si>
  <si>
    <t>FARMACIA MÉRIDA TURISTICA C.A</t>
  </si>
  <si>
    <t>8264</t>
  </si>
  <si>
    <t>FARMACIA CHAGUARAMAS, C.A</t>
  </si>
  <si>
    <t>A271</t>
  </si>
  <si>
    <t>FARMACIA RIBERO, C.A</t>
  </si>
  <si>
    <t>8595</t>
  </si>
  <si>
    <t>FARMACIA RESCARVEN,  C.A</t>
  </si>
  <si>
    <t>U005</t>
  </si>
  <si>
    <t>FARMACIA MEDIFARM LA MARINA, C.A</t>
  </si>
  <si>
    <t>8059</t>
  </si>
  <si>
    <t>FARMASUCA, C.A.</t>
  </si>
  <si>
    <t>D252</t>
  </si>
  <si>
    <t>MICOFARMA 2024 C.A.</t>
  </si>
  <si>
    <t>D474</t>
  </si>
  <si>
    <t>FARMACIA SALUD Y VIDA, C.A.</t>
  </si>
  <si>
    <t>D332</t>
  </si>
  <si>
    <t>G123</t>
  </si>
  <si>
    <t>PARTY STIL C.A.</t>
  </si>
  <si>
    <t>5667</t>
  </si>
  <si>
    <t>MAQUIMEDICS, C.A.</t>
  </si>
  <si>
    <t>D421</t>
  </si>
  <si>
    <t>FARMACIA GRAN JARDIN, C.A.</t>
  </si>
  <si>
    <t>B611</t>
  </si>
  <si>
    <t>FARMACIA LUZ # 2, S.R.L</t>
  </si>
  <si>
    <t>S43</t>
  </si>
  <si>
    <t>FARMACIA PHARMA SALUD, C.A</t>
  </si>
  <si>
    <t>4403</t>
  </si>
  <si>
    <t>FARMACIA MEDIPUERTO VIRGEN DEL VALLE C.A.</t>
  </si>
  <si>
    <t>D756</t>
  </si>
  <si>
    <t>FARMASANNA C.A</t>
  </si>
  <si>
    <t>D858</t>
  </si>
  <si>
    <t>FARMAVEN, C.A.</t>
  </si>
  <si>
    <t>A770</t>
  </si>
  <si>
    <t>FARMACIA MEDIA LUNA, C.A</t>
  </si>
  <si>
    <t>2891</t>
  </si>
  <si>
    <t>FARMACIA SUCRE AV 28, C.A.</t>
  </si>
  <si>
    <t>C749</t>
  </si>
  <si>
    <t>FARMACIAS LEID 58, C.A.</t>
  </si>
  <si>
    <t>C675</t>
  </si>
  <si>
    <t>TUTTOFARMA, C.A.</t>
  </si>
  <si>
    <t>D912</t>
  </si>
  <si>
    <t>B379</t>
  </si>
  <si>
    <t>AUTOMERCADO EXPRESS 2707 C.A.</t>
  </si>
  <si>
    <t>9658</t>
  </si>
  <si>
    <t>FARMACIA MUCUCHIES, C.A.</t>
  </si>
  <si>
    <t>D617</t>
  </si>
  <si>
    <t>INVERSIONES FARMAZITA ALTAGRACIA, C.A</t>
  </si>
  <si>
    <t>D575</t>
  </si>
  <si>
    <t>FARMACIA ZONA LIBRE, S.A</t>
  </si>
  <si>
    <t>0030</t>
  </si>
  <si>
    <t>FARMACIA CORIMAR C.A.</t>
  </si>
  <si>
    <t>L13</t>
  </si>
  <si>
    <t>FARMACIA CODAZZI F.P</t>
  </si>
  <si>
    <t>6954</t>
  </si>
  <si>
    <t>SGP FARMACIA, C.A.</t>
  </si>
  <si>
    <t>B209</t>
  </si>
  <si>
    <t>FARMACIA COLSALUD, C.A</t>
  </si>
  <si>
    <t>6706</t>
  </si>
  <si>
    <t>FARMACOSMETICOS C.A.</t>
  </si>
  <si>
    <t>D753</t>
  </si>
  <si>
    <t>FARMALIDER C.A.</t>
  </si>
  <si>
    <t>-24</t>
  </si>
  <si>
    <t>FARMACIA PROFARMA-HOSPITAL,C.A.</t>
  </si>
  <si>
    <t>A434</t>
  </si>
  <si>
    <t>FARMACIA SARIMAR KM , C.A.</t>
  </si>
  <si>
    <t>D648</t>
  </si>
  <si>
    <t>ARIBRASCA, C.A</t>
  </si>
  <si>
    <t>3705</t>
  </si>
  <si>
    <t>RAFAEL DARIO ROMERO MEZA  (FARMACIA SAN RAFAEL)</t>
  </si>
  <si>
    <t>A185</t>
  </si>
  <si>
    <t>FARMACIA COSTAFARMA, C.A</t>
  </si>
  <si>
    <t>6477</t>
  </si>
  <si>
    <t>FARMACIA GLOBAL,C.A</t>
  </si>
  <si>
    <t>4277</t>
  </si>
  <si>
    <t>FARMACIA SANTA CRUZ C.A.</t>
  </si>
  <si>
    <t>M109</t>
  </si>
  <si>
    <t>FARMACIA GUAFARMA, C.A.</t>
  </si>
  <si>
    <t>A671</t>
  </si>
  <si>
    <t>CORPORACION FARMA ORO 1, C.A.</t>
  </si>
  <si>
    <t>5680</t>
  </si>
  <si>
    <t>FARMACIA SARAMIEL, C.A</t>
  </si>
  <si>
    <t>D550</t>
  </si>
  <si>
    <t>FARMACIA NUEVO PINAR,C.A</t>
  </si>
  <si>
    <t>4249</t>
  </si>
  <si>
    <t>8677</t>
  </si>
  <si>
    <t>PHARMATECNICA 24 HORAS</t>
  </si>
  <si>
    <t>D230</t>
  </si>
  <si>
    <t>FARMACIA ROYAL C.A.</t>
  </si>
  <si>
    <t>Q122</t>
  </si>
  <si>
    <t>FARMACIA DANIVAN II,C.A.</t>
  </si>
  <si>
    <t>A423</t>
  </si>
  <si>
    <t>FARMACIA LA MUNDIAL,C.A</t>
  </si>
  <si>
    <t>8603</t>
  </si>
  <si>
    <t>FARMACIA VAZQUEZ X 4, C.A.</t>
  </si>
  <si>
    <t>9131</t>
  </si>
  <si>
    <t>FARMACIA LA VIGIA S &amp; S, C.A</t>
  </si>
  <si>
    <t>B378</t>
  </si>
  <si>
    <t>MI FARMACIA, C.A</t>
  </si>
  <si>
    <t>+239</t>
  </si>
  <si>
    <t>B547</t>
  </si>
  <si>
    <t>FARMA CASANDRA, C.A.</t>
  </si>
  <si>
    <t>D480</t>
  </si>
  <si>
    <t>OXIFARMA, C.A.</t>
  </si>
  <si>
    <t>C702</t>
  </si>
  <si>
    <t>FARMACIA SAN JOSE MILAGROSO LG, C.A</t>
  </si>
  <si>
    <t>D777</t>
  </si>
  <si>
    <t>FARMACIA FARMA-KFE 2022, C.A.</t>
  </si>
  <si>
    <t>B740</t>
  </si>
  <si>
    <t>EXPENDIO DE MEDICINAS EL MANANTIAL, C.A</t>
  </si>
  <si>
    <t>D788</t>
  </si>
  <si>
    <t>FARMACIA JHADA, C.A.</t>
  </si>
  <si>
    <t>B382</t>
  </si>
  <si>
    <t>FARMACIA EL VALLE 2012, C.A</t>
  </si>
  <si>
    <t>9665</t>
  </si>
  <si>
    <t>FARMACIA LUCAS 2413</t>
  </si>
  <si>
    <t>A960</t>
  </si>
  <si>
    <t>FARMACIA LA SALINA DEL SUR, C.A.</t>
  </si>
  <si>
    <t>D055</t>
  </si>
  <si>
    <t>FARMAPLUS 2021, C.A.</t>
  </si>
  <si>
    <t>B712</t>
  </si>
  <si>
    <t>FARMACIA AEROPUERTO C.A.</t>
  </si>
  <si>
    <t>$303</t>
  </si>
  <si>
    <t>FARMACIA AMERICA DE MARIGUITAR C.A.</t>
  </si>
  <si>
    <t>C997</t>
  </si>
  <si>
    <t>BIOFARMACIA RIO DE ORO,C.A.</t>
  </si>
  <si>
    <t>8244</t>
  </si>
  <si>
    <t>FARMACIA MULTI-EDEN, C.A.</t>
  </si>
  <si>
    <t>B750</t>
  </si>
  <si>
    <t>FARMACIA FARMA MAS DESCUENTOS VII,C.A.</t>
  </si>
  <si>
    <t>M164</t>
  </si>
  <si>
    <t>FARMACIA FARMA WORLD HUMBOLTD C.A</t>
  </si>
  <si>
    <t>D060</t>
  </si>
  <si>
    <t>FARMACIA CARORA,C.A.</t>
  </si>
  <si>
    <t>N127</t>
  </si>
  <si>
    <t>FARMACIA BARRIO EL CARMEN C.A.</t>
  </si>
  <si>
    <t>N35</t>
  </si>
  <si>
    <t>GENESIS FARMA C.A</t>
  </si>
  <si>
    <t>D078</t>
  </si>
  <si>
    <t>FARMACIA SIEGERT C.A</t>
  </si>
  <si>
    <t>5067</t>
  </si>
  <si>
    <t>FARMACIA COTOPERI, C.A.</t>
  </si>
  <si>
    <t>A931</t>
  </si>
  <si>
    <t>FARMAPRO FARMACIA LA PROFESIONAL, C.A</t>
  </si>
  <si>
    <t>+205</t>
  </si>
  <si>
    <t>GRUPO FARMA ÉXITO, C.A.</t>
  </si>
  <si>
    <t>D582</t>
  </si>
  <si>
    <t>PUERTOFARMA CA</t>
  </si>
  <si>
    <t>C636</t>
  </si>
  <si>
    <t>FARMACIA BARI-LISBOA CA</t>
  </si>
  <si>
    <t>D473</t>
  </si>
  <si>
    <t>FARMACIA FLORIDA MALL, C.A</t>
  </si>
  <si>
    <t>C637</t>
  </si>
  <si>
    <t>FARMACIA LA VILLA C.A</t>
  </si>
  <si>
    <t>4145</t>
  </si>
  <si>
    <t>FARMACIA AMERICANA, C.A.</t>
  </si>
  <si>
    <t>C344</t>
  </si>
  <si>
    <t>FARMACIA LAS EUGENIAS,C.A.</t>
  </si>
  <si>
    <t>9093</t>
  </si>
  <si>
    <t>FARMACIA DEL MERCADO,C.A.</t>
  </si>
  <si>
    <t>R121</t>
  </si>
  <si>
    <t>FARMACIA VENUS C.A.</t>
  </si>
  <si>
    <t>OC01</t>
  </si>
  <si>
    <t>FARMACIA SUCRE</t>
  </si>
  <si>
    <t>E2</t>
  </si>
  <si>
    <t>NOSSA FARMACIA C.A.</t>
  </si>
  <si>
    <t>D036</t>
  </si>
  <si>
    <t>FARMAYUPPI, C.A</t>
  </si>
  <si>
    <t>B548</t>
  </si>
  <si>
    <t>FARMACIA LA MACARENA, C.A.</t>
  </si>
  <si>
    <t>1400</t>
  </si>
  <si>
    <t>FARMACOR, C.A.</t>
  </si>
  <si>
    <t>B226</t>
  </si>
  <si>
    <t>FARMADIANA, C.A</t>
  </si>
  <si>
    <t>7599</t>
  </si>
  <si>
    <t>FARMACIA ORINOKIA PLUS, C.A</t>
  </si>
  <si>
    <t>A813</t>
  </si>
  <si>
    <t>FARMACIA FLEMING,C.A</t>
  </si>
  <si>
    <t>Q219</t>
  </si>
  <si>
    <t>FARMACIA NOVO PHARMA EXPRESS, C.A.</t>
  </si>
  <si>
    <t>A623</t>
  </si>
  <si>
    <t>FARMACIA A-B-C COMPAÑIA ANONIMA</t>
  </si>
  <si>
    <t>C856</t>
  </si>
  <si>
    <t>FARMACIA BELEN 21, C.A</t>
  </si>
  <si>
    <t>D855</t>
  </si>
  <si>
    <t>FARMACIA SAN RAFAEL, C.A</t>
  </si>
  <si>
    <t>H264</t>
  </si>
  <si>
    <t>FARMACIA PROVESALUD, C.A</t>
  </si>
  <si>
    <t>9022</t>
  </si>
  <si>
    <t>FARMACIA COELHO C.A</t>
  </si>
  <si>
    <t>6266</t>
  </si>
  <si>
    <t>FARMACIA SOLIDARIA Y  POPULAR,C.A</t>
  </si>
  <si>
    <t>3379</t>
  </si>
  <si>
    <t>FARMA MEDI SALUD II A&amp;M C.A.</t>
  </si>
  <si>
    <t>A791</t>
  </si>
  <si>
    <t>FARMACIA LA DRA MOYA, C.A.</t>
  </si>
  <si>
    <t>B472</t>
  </si>
  <si>
    <t>FARMACIA SAN ANTONIO C.A.</t>
  </si>
  <si>
    <t>C39</t>
  </si>
  <si>
    <t>FARMACIA MARIÑO C.A.</t>
  </si>
  <si>
    <t>1013</t>
  </si>
  <si>
    <t>FARMARAYAN, C.A.</t>
  </si>
  <si>
    <t>C642</t>
  </si>
  <si>
    <t>FARMACIA RR22, C.A.</t>
  </si>
  <si>
    <t>D888</t>
  </si>
  <si>
    <t>FARMACIA LA VENEZOLANA BOCONO, C.A</t>
  </si>
  <si>
    <t>8487</t>
  </si>
  <si>
    <t>FARMACIA NATUFARMA GROUP, C.A.</t>
  </si>
  <si>
    <t>C612</t>
  </si>
  <si>
    <t>FARMACIA  FARMA 40  1 , C.A.</t>
  </si>
  <si>
    <t>D450</t>
  </si>
  <si>
    <t>CORPORACION LIFE GREEN, C.A.</t>
  </si>
  <si>
    <t>B713</t>
  </si>
  <si>
    <t>CINQUEMANI RANDAZZO, ANGELINA (FARMACIA LOS ANGELES)</t>
  </si>
  <si>
    <t>$34</t>
  </si>
  <si>
    <t>FARMACIA SALUDALEGRIA, C.A.</t>
  </si>
  <si>
    <t>3517</t>
  </si>
  <si>
    <t>FARMACENTER PLUS SOCOPO, C.A.</t>
  </si>
  <si>
    <t>A056</t>
  </si>
  <si>
    <t>FARMACIA DE LA CRUZ C.A.</t>
  </si>
  <si>
    <t>7830</t>
  </si>
  <si>
    <t>FARMACIA LA NUESTRA C.A.</t>
  </si>
  <si>
    <t>D513</t>
  </si>
  <si>
    <t>FARMACIA ROSALES ,C.A.</t>
  </si>
  <si>
    <t>D545</t>
  </si>
  <si>
    <t>FARMACIA DIVINO NIÑO JESUS II, C.A.</t>
  </si>
  <si>
    <t>B788</t>
  </si>
  <si>
    <t>FARMACIA FARMA HOGAR C.A</t>
  </si>
  <si>
    <t>7707</t>
  </si>
  <si>
    <t>FARMACIA DESCUENTO A SU SALUD, C.A</t>
  </si>
  <si>
    <t>H105</t>
  </si>
  <si>
    <t>FARMACIA ALTAMIRA  NORTE C.A</t>
  </si>
  <si>
    <t>8101</t>
  </si>
  <si>
    <t>FARMACIA SANTA SOFIA, C.A</t>
  </si>
  <si>
    <t>1034</t>
  </si>
  <si>
    <t>FARMACIA DOÑA PASTORA, C.A</t>
  </si>
  <si>
    <t>D877</t>
  </si>
  <si>
    <t>FARMACIA EL AMPARO C.A</t>
  </si>
  <si>
    <t>0372</t>
  </si>
  <si>
    <t>FARMACIA SANTA ROSA, C.A.</t>
  </si>
  <si>
    <t>E46</t>
  </si>
  <si>
    <t>DISTRIBUIDORA LA POPULAR DEL ZULIA, C.A.</t>
  </si>
  <si>
    <t>B092</t>
  </si>
  <si>
    <t>CRISBEN NORBERTA CASTRO PAEZ (INVERSIONES CRISBEN CASTRO , F.P.)</t>
  </si>
  <si>
    <t>D434</t>
  </si>
  <si>
    <t>FARMACIA CAYETANO C.A.</t>
  </si>
  <si>
    <t>G48</t>
  </si>
  <si>
    <t>FARMACIA CRISTAL C.A.</t>
  </si>
  <si>
    <t>B231</t>
  </si>
  <si>
    <t>FARMACIAS FARMAMAS+, C.A.</t>
  </si>
  <si>
    <t>A524</t>
  </si>
  <si>
    <t>CORPORACION MAXICONSUMO C.A.</t>
  </si>
  <si>
    <t>D461</t>
  </si>
  <si>
    <t>FARMACIA VIDA SANA DABAJURO, C.A</t>
  </si>
  <si>
    <t>D849</t>
  </si>
  <si>
    <t>FARMACIA LA CRUZ XXI, C.A.</t>
  </si>
  <si>
    <t>B881</t>
  </si>
  <si>
    <t>FARMACIA MAMA SABINA, C.A.</t>
  </si>
  <si>
    <t>9193</t>
  </si>
  <si>
    <t>FARMACIA MULTIFARMACIA LEVITAS C.A.</t>
  </si>
  <si>
    <t>D680</t>
  </si>
  <si>
    <t>NABOR ARELLANO (FARMACIA LA GUADALUPE)</t>
  </si>
  <si>
    <t>Z315</t>
  </si>
  <si>
    <t>FARMACIA LAS MARGARITAS, C.A.</t>
  </si>
  <si>
    <t>0979</t>
  </si>
  <si>
    <t>FARMACIA SANTA ANA C.A.</t>
  </si>
  <si>
    <t>A294</t>
  </si>
  <si>
    <t>FARMACIA MEDICAL CHM, C.A</t>
  </si>
  <si>
    <t>C952</t>
  </si>
  <si>
    <t>EXPENDIO DE MEDICINAS SANTA ANA, C.A.</t>
  </si>
  <si>
    <t>B754</t>
  </si>
  <si>
    <t>FARMACIA LA BARRACA, C. A.</t>
  </si>
  <si>
    <t>+59</t>
  </si>
  <si>
    <t>FARMACIA FENIX VALERA, C.A.</t>
  </si>
  <si>
    <t>C033</t>
  </si>
  <si>
    <t>FARMAJUAN C.A</t>
  </si>
  <si>
    <t>6907</t>
  </si>
  <si>
    <t>FARMASAM, C.A.</t>
  </si>
  <si>
    <t>A978</t>
  </si>
  <si>
    <t>FARMACIA FARMA PRIMERO, C.A</t>
  </si>
  <si>
    <t>7782</t>
  </si>
  <si>
    <t>BOTICA EL ESTANQUE, C.A.</t>
  </si>
  <si>
    <t>2534</t>
  </si>
  <si>
    <t>FARMACIA WORLD MARKET, C.A</t>
  </si>
  <si>
    <t>D456</t>
  </si>
  <si>
    <t>FARMACIA SANTO NIÑO DE ATOCHA, C.A</t>
  </si>
  <si>
    <t>2728</t>
  </si>
  <si>
    <t>FARMA DESCUENTO CARORA C.A.</t>
  </si>
  <si>
    <t>P59</t>
  </si>
  <si>
    <t>FARMACIA MIRLOUR,C.A</t>
  </si>
  <si>
    <t>7664</t>
  </si>
  <si>
    <t>FARMACIA FARMA ARTES, C.A.</t>
  </si>
  <si>
    <t>D058</t>
  </si>
  <si>
    <t>FARMACIA EL ROBLE DE CAPUCHINOS, C.A.</t>
  </si>
  <si>
    <t>A956</t>
  </si>
  <si>
    <t>B768</t>
  </si>
  <si>
    <t>FARMACIA MIRANDA, C.A</t>
  </si>
  <si>
    <t>+214</t>
  </si>
  <si>
    <t>FARMACIA CRISTAL P., C.A</t>
  </si>
  <si>
    <t>D712</t>
  </si>
  <si>
    <t>FARMACIA GUATIRE CENTER, C.A.</t>
  </si>
  <si>
    <t>B571</t>
  </si>
  <si>
    <t>R6</t>
  </si>
  <si>
    <t>FARMACIA FARMA-AMIGA, C.A.</t>
  </si>
  <si>
    <t>C821</t>
  </si>
  <si>
    <t>FARMATOTAL, C.A</t>
  </si>
  <si>
    <t>4399</t>
  </si>
  <si>
    <t>FARMACIA UNIVERSIDAD LISANDRO ALVARADO, C. A.</t>
  </si>
  <si>
    <t>2438</t>
  </si>
  <si>
    <t>FARMACIA FARMAMETRO,C.A.</t>
  </si>
  <si>
    <t>3334</t>
  </si>
  <si>
    <t>FARMACIA CEDEÑO,S.R.L.</t>
  </si>
  <si>
    <t>N124</t>
  </si>
  <si>
    <t>FARMACIA CABELLO, C.A</t>
  </si>
  <si>
    <t>Q75</t>
  </si>
  <si>
    <t>FARMACIA FAMAR JV, C.A.</t>
  </si>
  <si>
    <t>8986</t>
  </si>
  <si>
    <t>FARMACIA LA VENCEDORA C.A.</t>
  </si>
  <si>
    <t>540</t>
  </si>
  <si>
    <t>FARMAREGALOS SAVIL,C.A.</t>
  </si>
  <si>
    <t>C190</t>
  </si>
  <si>
    <t>FARMACIA ELICAR 2000,C.A</t>
  </si>
  <si>
    <t>8837</t>
  </si>
  <si>
    <t>NUEVA FARMACIA PROFESIONAL,C.A.</t>
  </si>
  <si>
    <t>Q195</t>
  </si>
  <si>
    <t>MEGA COMPRAS SUPERMERCADO, C.A.</t>
  </si>
  <si>
    <t>B915</t>
  </si>
  <si>
    <t>FARMACIA TIAMO PUERTO ORDAZ, C.A.</t>
  </si>
  <si>
    <t>B023</t>
  </si>
  <si>
    <t>FARMACIA FARMALUX, C.A.</t>
  </si>
  <si>
    <t>D087</t>
  </si>
  <si>
    <t>FARMACIA SAN VICENTE,C.A.</t>
  </si>
  <si>
    <t>A407</t>
  </si>
  <si>
    <t>CARLOS  EDUARDO ARELLANO ARELLANO</t>
  </si>
  <si>
    <t>C851</t>
  </si>
  <si>
    <t>FARMACIA TU BENDICION C.A,</t>
  </si>
  <si>
    <t>D219</t>
  </si>
  <si>
    <t>FARMACIA LA PILDORA, C.A.</t>
  </si>
  <si>
    <t>1236</t>
  </si>
  <si>
    <t>FARMACIA CONTINENTAL 2881, C.A</t>
  </si>
  <si>
    <t>0707</t>
  </si>
  <si>
    <t>FARMACIA DIVINA MISERICORDIA, C.A</t>
  </si>
  <si>
    <t>9565</t>
  </si>
  <si>
    <t>FARMA PLUS LOS PEDROS, C.A.</t>
  </si>
  <si>
    <t>D616</t>
  </si>
  <si>
    <t>MI NUEVA FARMACIA,C.A</t>
  </si>
  <si>
    <t>3719</t>
  </si>
  <si>
    <t>CONCORD MARKET C.A</t>
  </si>
  <si>
    <t>C493</t>
  </si>
  <si>
    <t>FARMACIA I +,C.A</t>
  </si>
  <si>
    <t>9653</t>
  </si>
  <si>
    <t>FARMACIA PRINCIPAL,C.A.</t>
  </si>
  <si>
    <t>G157</t>
  </si>
  <si>
    <t>FARMACIA JUMA, C.A</t>
  </si>
  <si>
    <t>M179</t>
  </si>
  <si>
    <t>FARMACIA PATY`S FARMACIA;C.A.</t>
  </si>
  <si>
    <t>G90</t>
  </si>
  <si>
    <t>FARMACIA ANTOCAR,C.A.</t>
  </si>
  <si>
    <t>H130</t>
  </si>
  <si>
    <t>FARMACIA SUBLIME, C.A.</t>
  </si>
  <si>
    <t>B424</t>
  </si>
  <si>
    <t>FARMACIA VALLES DE AROA +,C.A</t>
  </si>
  <si>
    <t>7709</t>
  </si>
  <si>
    <t>FARMACIA GLORIA DE DIOS, C.A.</t>
  </si>
  <si>
    <t>D707</t>
  </si>
  <si>
    <t>FARMACIA CATEDRAL,C.A</t>
  </si>
  <si>
    <t>3720</t>
  </si>
  <si>
    <t>FARMACIA OLID&amp;BRED C.A.</t>
  </si>
  <si>
    <t>B659</t>
  </si>
  <si>
    <t>FARMACIA MEDIMAX, C.A.</t>
  </si>
  <si>
    <t>C933</t>
  </si>
  <si>
    <t>FARMACIA SANTA BARBARA C.A.</t>
  </si>
  <si>
    <t>D443</t>
  </si>
  <si>
    <t>FARMACIA EL SOL, C.A.</t>
  </si>
  <si>
    <t>0724</t>
  </si>
  <si>
    <t>CLEOMINDA ALVAREZ GUERRERO (FARMACIA SAGRADO ROSTRO F.P)</t>
  </si>
  <si>
    <t>D647</t>
  </si>
  <si>
    <t>FARMAGUAR, S.A.</t>
  </si>
  <si>
    <t>8486</t>
  </si>
  <si>
    <t>FARMACENTER EXPRESS C.A.</t>
  </si>
  <si>
    <t>D704</t>
  </si>
  <si>
    <t>MEDICIN EXPRESS DE VENEZUELA, C.A</t>
  </si>
  <si>
    <t>-105</t>
  </si>
  <si>
    <t>FARMACIA LAS TINAJAS C.A</t>
  </si>
  <si>
    <t>A779</t>
  </si>
  <si>
    <t>FARMACIA CENTRAL PLAZA, C.A.</t>
  </si>
  <si>
    <t>2443</t>
  </si>
  <si>
    <t>ALIDA CAMACHO MORA (FARMACIA PRADO)</t>
  </si>
  <si>
    <t>7564</t>
  </si>
  <si>
    <t>FARMACIA LA FLOR DE ORO, C.A</t>
  </si>
  <si>
    <t>D936</t>
  </si>
  <si>
    <t>FARMACIA CHICA LINDA, C.A.</t>
  </si>
  <si>
    <t>1284</t>
  </si>
  <si>
    <t>FARMACIA VIRGEN DE MONTSERRAT J.L,C.A</t>
  </si>
  <si>
    <t>7631</t>
  </si>
  <si>
    <t>FARMACIA TINA C.A.</t>
  </si>
  <si>
    <t>2116</t>
  </si>
  <si>
    <t>AMIKAL LABORATORIOS C.A.</t>
  </si>
  <si>
    <t>D546</t>
  </si>
  <si>
    <t>GERSON DAVID PIÑA</t>
  </si>
  <si>
    <t>D744</t>
  </si>
  <si>
    <t>FARMACIA EL POBLADO PLUS, C.A</t>
  </si>
  <si>
    <t>D718</t>
  </si>
  <si>
    <t>FARMACIA NUEVO DIVINO NIÑO, C.A.</t>
  </si>
  <si>
    <t>B787</t>
  </si>
  <si>
    <t>FARMACIA NUEVA CACTUS, C.A.</t>
  </si>
  <si>
    <t>B78</t>
  </si>
  <si>
    <t>FARMACIA SANTISIMA TRINIDAD C.A</t>
  </si>
  <si>
    <t>D305</t>
  </si>
  <si>
    <t>INVERSIONES FARMACIA LA PARADA, C.A.</t>
  </si>
  <si>
    <t>A045</t>
  </si>
  <si>
    <t>FARMACIA FUSION, C.A.</t>
  </si>
  <si>
    <t>A613</t>
  </si>
  <si>
    <t>FARMACIA CARMEN DEL VALLE, C.A</t>
  </si>
  <si>
    <t>A300</t>
  </si>
  <si>
    <t>FARMACIA EL SABER, C.A.</t>
  </si>
  <si>
    <t>C958</t>
  </si>
  <si>
    <t>FARMACIA DOÑA EDMUNDA, C.A</t>
  </si>
  <si>
    <t>7422</t>
  </si>
  <si>
    <t>FARMACIA GRUPO VTF, C.A</t>
  </si>
  <si>
    <t>9909</t>
  </si>
  <si>
    <t>FARMACIA RIO XV, C.A</t>
  </si>
  <si>
    <t>D567</t>
  </si>
  <si>
    <t>MISDREYLIS GUSMARY GUTIERREZ BANDERELA (FARMACIA DOÑA TOMASA, F.P)</t>
  </si>
  <si>
    <t>9857</t>
  </si>
  <si>
    <t>CENTRO MEDICO PROVESALUD, C.A.</t>
  </si>
  <si>
    <t>7949</t>
  </si>
  <si>
    <t>FARMACIA EL MARQUES C.A.</t>
  </si>
  <si>
    <t>1205</t>
  </si>
  <si>
    <t>FARMACIA HIGH MEDS, C.A.</t>
  </si>
  <si>
    <t>C556</t>
  </si>
  <si>
    <t>FARMA JUMBO SAN JUDAS TADEO,C.A.</t>
  </si>
  <si>
    <t>-150</t>
  </si>
  <si>
    <t>FARMACIA NUEVA IRAMA, C.A</t>
  </si>
  <si>
    <t>9169</t>
  </si>
  <si>
    <t>FARMACIA ECUADOR C.A</t>
  </si>
  <si>
    <t>7144</t>
  </si>
  <si>
    <t>L220</t>
  </si>
  <si>
    <t>FARMACIA BARINAS, C.A.</t>
  </si>
  <si>
    <t>0785</t>
  </si>
  <si>
    <t>FARMACIA DOCTOR FARMA, C.A.</t>
  </si>
  <si>
    <t>A918</t>
  </si>
  <si>
    <t>FARMA24 EXPRESS CA</t>
  </si>
  <si>
    <t>D397</t>
  </si>
  <si>
    <t>0338</t>
  </si>
  <si>
    <t>INVERSIONES FARMACIA SUPRAFARMA, C.A.</t>
  </si>
  <si>
    <t>8900</t>
  </si>
  <si>
    <t>FARMACIA LIBERTADOR A.M 2006, C.A</t>
  </si>
  <si>
    <t>C635</t>
  </si>
  <si>
    <t>FARMACIA SUPER N&amp;C C.A.</t>
  </si>
  <si>
    <t>D755</t>
  </si>
  <si>
    <t>FARMACIA SAGRADO CORAZON DE JESUS, C.A.</t>
  </si>
  <si>
    <t>2666</t>
  </si>
  <si>
    <t>GLADIS CECILIA OMAÑA RAMIREZ (FARMACIA 2000)</t>
  </si>
  <si>
    <t>9376</t>
  </si>
  <si>
    <t>FARMACIA LA RICAURTE, C.A</t>
  </si>
  <si>
    <t>7528</t>
  </si>
  <si>
    <t>FARMAFABIO, C.A.</t>
  </si>
  <si>
    <t>B060</t>
  </si>
  <si>
    <t>FARMACIA BOSQUESERINO, C.A</t>
  </si>
  <si>
    <t>B605</t>
  </si>
  <si>
    <t>FARMACIA EL NILO, C.A</t>
  </si>
  <si>
    <t>0603</t>
  </si>
  <si>
    <t>FARMACIA CUYUNI, C.A.</t>
  </si>
  <si>
    <t>1432</t>
  </si>
  <si>
    <t>FARMACIA LA BOTICA S.R.L.</t>
  </si>
  <si>
    <t>A968</t>
  </si>
  <si>
    <t>FARMACLINICA DEL SUR, C.A.</t>
  </si>
  <si>
    <t>D737</t>
  </si>
  <si>
    <t>EXPENDIO DE MEDICINAS  DIVINO NIÑO DE JOHANA MALDONADO , F.P.</t>
  </si>
  <si>
    <t>C738</t>
  </si>
  <si>
    <t>FARMACIA PLUS HOSPITAL. C.A</t>
  </si>
  <si>
    <t>C889</t>
  </si>
  <si>
    <t>FARMACIA AGUA CLARA,C.A</t>
  </si>
  <si>
    <t>9231</t>
  </si>
  <si>
    <t>FARMACIA ANIMAS BENDITAS 1, C.A.</t>
  </si>
  <si>
    <t>D449</t>
  </si>
  <si>
    <t>FARMACIA MIRANDA VITAL, C.A.</t>
  </si>
  <si>
    <t>B387</t>
  </si>
  <si>
    <t>PHARMASTAT SERVICIOS FARMACEUTICOS C.A</t>
  </si>
  <si>
    <t>7578</t>
  </si>
  <si>
    <t>FARMACIA SAN PEDRO C.A</t>
  </si>
  <si>
    <t>L35</t>
  </si>
  <si>
    <t>FARMACIA EL BARQUERO HATILLO C.A</t>
  </si>
  <si>
    <t>D468</t>
  </si>
  <si>
    <t>FARMACIA BRISAS DE GUARENAS C.A.</t>
  </si>
  <si>
    <t>1104</t>
  </si>
  <si>
    <t>FARMACIA EL TROLLY,C.A</t>
  </si>
  <si>
    <t>8124</t>
  </si>
  <si>
    <t>INVERSIONES KASLIK 10, C.A.</t>
  </si>
  <si>
    <t>B304</t>
  </si>
  <si>
    <t>MEDIEXPRESS FARMACIA VARGAS 2021, C.A.</t>
  </si>
  <si>
    <t>B828</t>
  </si>
  <si>
    <t>FARMA AMIGA, C.A.</t>
  </si>
  <si>
    <t>D812</t>
  </si>
  <si>
    <t>FARMA SOLUCIONES SANTO DOMINGO, C.A.</t>
  </si>
  <si>
    <t>A959</t>
  </si>
  <si>
    <t>FARMACIA MEGAFARMA, C.A.</t>
  </si>
  <si>
    <t>B689</t>
  </si>
  <si>
    <t>FARMACIA ULTRA FARMA SOLIDARIA,C.A.</t>
  </si>
  <si>
    <t>C313</t>
  </si>
  <si>
    <t>FARMACIA EL SOL,C.A.</t>
  </si>
  <si>
    <t>C409</t>
  </si>
  <si>
    <t>INVERSIONES CARCORD C.A.</t>
  </si>
  <si>
    <t>D475</t>
  </si>
  <si>
    <t>FARMACIA GRUPO LA ISLA, C.A.</t>
  </si>
  <si>
    <t>B943</t>
  </si>
  <si>
    <t>FARMACENTRO, C.A</t>
  </si>
  <si>
    <t>A257</t>
  </si>
  <si>
    <t>FARMA ALAIA PLUS, C.A.</t>
  </si>
  <si>
    <t>B843</t>
  </si>
  <si>
    <t>FARMACIA  FARMA STOP, C.A.</t>
  </si>
  <si>
    <t>9647</t>
  </si>
  <si>
    <t>FARMACIA MODERNA C A</t>
  </si>
  <si>
    <t>O191</t>
  </si>
  <si>
    <t>FARMACIA COLGUA C.A</t>
  </si>
  <si>
    <t>9577</t>
  </si>
  <si>
    <t>CRUZFARMA, C.A.</t>
  </si>
  <si>
    <t>C846</t>
  </si>
  <si>
    <t>FARMACIA LA CASTRERA C.A.</t>
  </si>
  <si>
    <t>H110</t>
  </si>
  <si>
    <t>FARMACIA FANZ, C.A</t>
  </si>
  <si>
    <t>1216</t>
  </si>
  <si>
    <t>FARMACIA LA MORITA SUR C.A.</t>
  </si>
  <si>
    <t>2704</t>
  </si>
  <si>
    <t>FARMACIA CAPITAL C.A.</t>
  </si>
  <si>
    <t>N23</t>
  </si>
  <si>
    <t>FARMACIA MUNDO SALUD EXPRESS, C.A.</t>
  </si>
  <si>
    <t>8199</t>
  </si>
  <si>
    <t>OMAR EL BAHRI YONDIEH (FARMACIA CARLUC)</t>
  </si>
  <si>
    <t>0228</t>
  </si>
  <si>
    <t>FARMACIA FARMA PLAZA. C.A</t>
  </si>
  <si>
    <t>6427</t>
  </si>
  <si>
    <t>FARMACIA PARAISO C.A.</t>
  </si>
  <si>
    <t>L37</t>
  </si>
  <si>
    <t>POLICLINICA METROPOLITANA, C.A (UNIDOSIS)</t>
  </si>
  <si>
    <t>3734</t>
  </si>
  <si>
    <t>FARMACIA QUENIYORK, C.A</t>
  </si>
  <si>
    <t>C969</t>
  </si>
  <si>
    <t>FARMACIA VIDA SANA C.A.</t>
  </si>
  <si>
    <t>C485</t>
  </si>
  <si>
    <t>FARMAPLAZA PLC, C.A.</t>
  </si>
  <si>
    <t>6860</t>
  </si>
  <si>
    <t>FARMACIA POPULAR GRACIAS ELEGUA,C.A.</t>
  </si>
  <si>
    <t>-144</t>
  </si>
  <si>
    <t>UROFARMA, C.A.</t>
  </si>
  <si>
    <t>A690</t>
  </si>
  <si>
    <t>FARMACIA FARMA 5 SUR, C.A.</t>
  </si>
  <si>
    <t>7942</t>
  </si>
  <si>
    <t>FARMACIA  SF, C.A.</t>
  </si>
  <si>
    <t>8700</t>
  </si>
  <si>
    <t>CENTRO MEDICO MARACAY,C.A.</t>
  </si>
  <si>
    <t>0429</t>
  </si>
  <si>
    <t>FARMACIA PRODUMED, C.A</t>
  </si>
  <si>
    <t>D283</t>
  </si>
  <si>
    <t>FARMACIA LA COOPERATIVA DEL NORTE,C.A</t>
  </si>
  <si>
    <t>4338</t>
  </si>
  <si>
    <t>FARMALUC 2099,C.A.</t>
  </si>
  <si>
    <t>7021</t>
  </si>
  <si>
    <t>FARMACIA JOSEABEL, C.A.</t>
  </si>
  <si>
    <t>3531</t>
  </si>
  <si>
    <t>FARMACIA SAN MIGUEL C.A</t>
  </si>
  <si>
    <t>2229</t>
  </si>
  <si>
    <t>8946</t>
  </si>
  <si>
    <t>FARMACIA VIRGINIA, C.A. (FARMAVIRGINIA)</t>
  </si>
  <si>
    <t>D512</t>
  </si>
  <si>
    <t>FARMACIA LA VENCEDORA C.A</t>
  </si>
  <si>
    <t>9854</t>
  </si>
  <si>
    <t>FARMACIA YEMAYA, C.A.</t>
  </si>
  <si>
    <t>4265</t>
  </si>
  <si>
    <t>FARMACIA EL LUCERO, C.A.</t>
  </si>
  <si>
    <t>S33</t>
  </si>
  <si>
    <t>FARMACIA CIENCIAS MAUROA, C.A.</t>
  </si>
  <si>
    <t>D615</t>
  </si>
  <si>
    <t>INVERSIONES IMQY,C.A. (FARMACIA LA CARLOTA)</t>
  </si>
  <si>
    <t>0535</t>
  </si>
  <si>
    <t>FARMAVENTURA, C.A</t>
  </si>
  <si>
    <t>A596</t>
  </si>
  <si>
    <t>FARMACIA VIDA PLENA,C.A</t>
  </si>
  <si>
    <t>6445</t>
  </si>
  <si>
    <t>CREA DESARROLLOS, S.A</t>
  </si>
  <si>
    <t>Q180</t>
  </si>
  <si>
    <t>INVERSIONES FARMA DIL, C.A</t>
  </si>
  <si>
    <t>7423</t>
  </si>
  <si>
    <t>FARMACIA BERMUDEZ, C.A.</t>
  </si>
  <si>
    <t>2656</t>
  </si>
  <si>
    <t>FARMACIA SUCRE CAGUA,C.A</t>
  </si>
  <si>
    <t>8258</t>
  </si>
  <si>
    <t>OVIEDO QUERO,NEYLA C(FARMACIA NUEVA INDEPENDENCIA)</t>
  </si>
  <si>
    <t>Z4</t>
  </si>
  <si>
    <t>MORA FARMACIA SAN ROMAN C.A</t>
  </si>
  <si>
    <t>C838</t>
  </si>
  <si>
    <t>FARMACIA SAN JERONIMO C.A.</t>
  </si>
  <si>
    <t>A5</t>
  </si>
  <si>
    <t>FARMA DOLIMAR, C.A.</t>
  </si>
  <si>
    <t>D081</t>
  </si>
  <si>
    <t>FARMACIA WOLGREENS, C.A.</t>
  </si>
  <si>
    <t>A819</t>
  </si>
  <si>
    <t>FARMAPRO PLUS, C.A.</t>
  </si>
  <si>
    <t>D787</t>
  </si>
  <si>
    <t>FARMACIA LOS AVIADORES, C.A</t>
  </si>
  <si>
    <t>C482</t>
  </si>
  <si>
    <t>FARMACIA ANIER, C.A.</t>
  </si>
  <si>
    <t>A736</t>
  </si>
  <si>
    <t>FARMA EZE 1, C.A.</t>
  </si>
  <si>
    <t>C617</t>
  </si>
  <si>
    <t>FARMACIA FARMAQUIN VALENCIA C.A.</t>
  </si>
  <si>
    <t>M146</t>
  </si>
  <si>
    <t>FARMA MARKET PENTAGONO 2021, C.A</t>
  </si>
  <si>
    <t>D713</t>
  </si>
  <si>
    <t>FARMAKACTUS C.A</t>
  </si>
  <si>
    <t>C499</t>
  </si>
  <si>
    <t>FARMACIAS FARMAHOGAR. C.A.</t>
  </si>
  <si>
    <t>5723</t>
  </si>
  <si>
    <t>UNICO MUNDO PASTILLA EL GRANDE 11.11, C.A.</t>
  </si>
  <si>
    <t>B486</t>
  </si>
  <si>
    <t>FUNDACIÓN HIGEA</t>
  </si>
  <si>
    <t>Y118</t>
  </si>
  <si>
    <t>FARMACIA PAEZ TACHIRA,C.A.</t>
  </si>
  <si>
    <t>0464</t>
  </si>
  <si>
    <t>FARMACIA RIO II 13 C.A</t>
  </si>
  <si>
    <t>D663</t>
  </si>
  <si>
    <t>FARMACIA PARIA C.A.</t>
  </si>
  <si>
    <t>D539</t>
  </si>
  <si>
    <t>ADMINISTRADORA DE FARMACIA GALENUSS,C.A (FARMACIA LOS MOLINOS)</t>
  </si>
  <si>
    <t>1458</t>
  </si>
  <si>
    <t>FARMAVIT18, C.A.</t>
  </si>
  <si>
    <t>C831</t>
  </si>
  <si>
    <t>FARMACIA BOLIVARIANA C.A</t>
  </si>
  <si>
    <t>9910</t>
  </si>
  <si>
    <t>FARMACIA DR JOSE GREGORIO HERNANDEZ 2021, C.A.</t>
  </si>
  <si>
    <t>B026</t>
  </si>
  <si>
    <t>FARMACIA FLOR ORIENTAL,C.A.</t>
  </si>
  <si>
    <t>C591</t>
  </si>
  <si>
    <t>FARMACIA GUILLE MAR C.A.</t>
  </si>
  <si>
    <t>-10</t>
  </si>
  <si>
    <t>FARMACIA LA FUNDACION,C.A</t>
  </si>
  <si>
    <t>3668</t>
  </si>
  <si>
    <t>MIGUEL EMILIO GUTIERREZ QUIÑONEZ (FCIA DON MIGUEL)</t>
  </si>
  <si>
    <t>L109</t>
  </si>
  <si>
    <t>FARMACIA CHIRICA VIEJA C.A.</t>
  </si>
  <si>
    <t>D810</t>
  </si>
  <si>
    <t>ECOFARMACIA. C.A</t>
  </si>
  <si>
    <t>8341</t>
  </si>
  <si>
    <t>FARMANUEVA EL CARMEN, C.A</t>
  </si>
  <si>
    <t>C462</t>
  </si>
  <si>
    <t>FARMACIA EL KIOSKO, C. A.</t>
  </si>
  <si>
    <t>H108</t>
  </si>
  <si>
    <t>FANY MARIA ARAUJO VILLARREAL  FARMACIA  MI BIENESTAR</t>
  </si>
  <si>
    <t>8662</t>
  </si>
  <si>
    <t>FARMA TALIN, C.A.</t>
  </si>
  <si>
    <t>B215</t>
  </si>
  <si>
    <t>FARMACARACAS, C.A.</t>
  </si>
  <si>
    <t>A871</t>
  </si>
  <si>
    <t>FARMASALUD LG F.P.</t>
  </si>
  <si>
    <t>C968</t>
  </si>
  <si>
    <t>FARMA SALUD TUY, C.A.</t>
  </si>
  <si>
    <t>6456</t>
  </si>
  <si>
    <t>FARMACIA LA GANADERA 2016, C.A</t>
  </si>
  <si>
    <t>9838</t>
  </si>
  <si>
    <t>FARMA SHOP SOLIDARIA, C.A.</t>
  </si>
  <si>
    <t>1396</t>
  </si>
  <si>
    <t>FARMACIA FARMASTORE, CA</t>
  </si>
  <si>
    <t>B707</t>
  </si>
  <si>
    <t>FARMACIA PLAZA MAYOR ARAURE,C.A</t>
  </si>
  <si>
    <t>7041</t>
  </si>
  <si>
    <t>FARMACIA LOS CERRITOS 2022, C.A.</t>
  </si>
  <si>
    <t>B936</t>
  </si>
  <si>
    <t>FARMA EXPRESS BOCONO, C.A. (PYME)</t>
  </si>
  <si>
    <t>C034</t>
  </si>
  <si>
    <t>FARMA SHOP SOLIDARIA,C.A.</t>
  </si>
  <si>
    <t>-152</t>
  </si>
  <si>
    <t>FARMACIA MALBRIC, C.A.</t>
  </si>
  <si>
    <t>2903</t>
  </si>
  <si>
    <t>FARMACIA SAN JORGE, C.A</t>
  </si>
  <si>
    <t>FARMACIA LA FRIA,C.A</t>
  </si>
  <si>
    <t>5545</t>
  </si>
  <si>
    <t>FARMACIA SARRIA II,C.A.</t>
  </si>
  <si>
    <t>Y164</t>
  </si>
  <si>
    <t>INVERSIONES DELEITE CAFE MERCADO, C.A.</t>
  </si>
  <si>
    <t>A952</t>
  </si>
  <si>
    <t>FARMACIA EL PUEBLO,C.A.</t>
  </si>
  <si>
    <t>I117</t>
  </si>
  <si>
    <t>FARMACIA LA VICTORIA,C.A</t>
  </si>
  <si>
    <t>8009</t>
  </si>
  <si>
    <t>FARMACIA LA VITALICIA C.A</t>
  </si>
  <si>
    <t>D267</t>
  </si>
  <si>
    <t>FARMACIA GUALCO C.A</t>
  </si>
  <si>
    <t>8299</t>
  </si>
  <si>
    <t>FARMACIA EL SAMARITANO E.J 2023, C.A.</t>
  </si>
  <si>
    <t>C957</t>
  </si>
  <si>
    <t>SAVIA FARMACIAS, C.A.</t>
  </si>
  <si>
    <t>9939</t>
  </si>
  <si>
    <t>FARMACIA FARMAVEN,C.A</t>
  </si>
  <si>
    <t>7808</t>
  </si>
  <si>
    <t>FARMALIANZA, C.A</t>
  </si>
  <si>
    <t>B064</t>
  </si>
  <si>
    <t>FARMACIA JUSTO EXPRES PP, C.A.</t>
  </si>
  <si>
    <t>B633</t>
  </si>
  <si>
    <t>PHARMA SANTO CRISTO CA</t>
  </si>
  <si>
    <t>D017</t>
  </si>
  <si>
    <t>FARMAUNIVERSO 2022, C.A.</t>
  </si>
  <si>
    <t>C783</t>
  </si>
  <si>
    <t>FARMACIA SALUDABLE, C.A</t>
  </si>
  <si>
    <t>9654</t>
  </si>
  <si>
    <t>FARMA VENTURA, C.A.</t>
  </si>
  <si>
    <t>C638</t>
  </si>
  <si>
    <t>FARMACIA LA REDOMA CABUDARE,C.A</t>
  </si>
  <si>
    <t>Y87</t>
  </si>
  <si>
    <t>FARMACIA CRISTO REY C.A</t>
  </si>
  <si>
    <t>C043</t>
  </si>
  <si>
    <t>FARMA LA BONITA, C.A.</t>
  </si>
  <si>
    <t>B670</t>
  </si>
  <si>
    <t>SUPERMERCADO SAMBA LATINO, C.A.</t>
  </si>
  <si>
    <t>B716</t>
  </si>
  <si>
    <t>B595</t>
  </si>
  <si>
    <t>FARMACIA NUEVA 2002,C.A.</t>
  </si>
  <si>
    <t>Y111</t>
  </si>
  <si>
    <t>FARMACIA OJEDA PLUS, C.A.</t>
  </si>
  <si>
    <t>C960</t>
  </si>
  <si>
    <t>FARMACIA SANTA ROSA, C.A</t>
  </si>
  <si>
    <t>1787</t>
  </si>
  <si>
    <t>FARMACIA SANTA BARBARA I C.A.</t>
  </si>
  <si>
    <t>D247</t>
  </si>
  <si>
    <t>FARMACIA SAN RAFAEL, C.A.</t>
  </si>
  <si>
    <t>0716</t>
  </si>
  <si>
    <t>FARMACIA DELTA SALUD, C.A.</t>
  </si>
  <si>
    <t>A494</t>
  </si>
  <si>
    <t>CONTRERAS,ELOINA(FARMACIA CAMPO CLARO)</t>
  </si>
  <si>
    <t>6146</t>
  </si>
  <si>
    <t>FARMAROSALITO, C.A.</t>
  </si>
  <si>
    <t>6659</t>
  </si>
  <si>
    <t>FARMACIA GRUPO GL, C.A.</t>
  </si>
  <si>
    <t>B047</t>
  </si>
  <si>
    <t>FARMACIA  CLARET DE INVERSIONES  HOSPITALARIA,C.A.</t>
  </si>
  <si>
    <t>D183</t>
  </si>
  <si>
    <t>FARMAKL 2022 C.A</t>
  </si>
  <si>
    <t>C042</t>
  </si>
  <si>
    <t>FARMACIA LA CLINICA, C.A.</t>
  </si>
  <si>
    <t>1387</t>
  </si>
  <si>
    <t>FARMACIA LA ALCABALA, S.R.L</t>
  </si>
  <si>
    <t>-110</t>
  </si>
  <si>
    <t>FARMACIA FARMA MEDICAL, C.A</t>
  </si>
  <si>
    <t>A649</t>
  </si>
  <si>
    <t>FARMACIA SAN JOSE, C.A.</t>
  </si>
  <si>
    <t>D300</t>
  </si>
  <si>
    <t>FONPRES-CIV</t>
  </si>
  <si>
    <t>8485</t>
  </si>
  <si>
    <t>FARMACIA PALO VERDE UNO C.A.</t>
  </si>
  <si>
    <t>9372</t>
  </si>
  <si>
    <t>VENEFARMACIA, C.A.</t>
  </si>
  <si>
    <t>D227</t>
  </si>
  <si>
    <t>FARMACIA EL BUEN VIVIR, C.A.</t>
  </si>
  <si>
    <t>D488</t>
  </si>
  <si>
    <t>FARMACIA MORONERA, C.A</t>
  </si>
  <si>
    <t>I102</t>
  </si>
  <si>
    <t>FARMASIETE, C.A.</t>
  </si>
  <si>
    <t>A903</t>
  </si>
  <si>
    <t>FARMACIA ANDRÉS BELLO C.A.</t>
  </si>
  <si>
    <t>C959</t>
  </si>
  <si>
    <t>FARMACIA EL PODER DE DIOS, C.A</t>
  </si>
  <si>
    <t>2938</t>
  </si>
  <si>
    <t>FARMACIA LOS CANALES C.A.</t>
  </si>
  <si>
    <t>197</t>
  </si>
  <si>
    <t>MEGAFARMA, C.A</t>
  </si>
  <si>
    <t>6522</t>
  </si>
  <si>
    <t>PARRA SULBARAN,MARIA (FCIA LS MARIAS HOSPITL)</t>
  </si>
  <si>
    <t>E124</t>
  </si>
  <si>
    <t>3284</t>
  </si>
  <si>
    <t>FARMACIA SANTA ROSA ALTO BARINAS,C.A</t>
  </si>
  <si>
    <t>4811</t>
  </si>
  <si>
    <t>FARMACIA PARQUE CRISTAL ME, C.A.</t>
  </si>
  <si>
    <t>8221</t>
  </si>
  <si>
    <t>OFERMACIA, C.A.</t>
  </si>
  <si>
    <t>4828</t>
  </si>
  <si>
    <t>PLANSUAREZ, C.A.</t>
  </si>
  <si>
    <t>4727</t>
  </si>
  <si>
    <t>FARMACIA ELISHEBA, C.A.</t>
  </si>
  <si>
    <t>A555</t>
  </si>
  <si>
    <t>FARMA DON ORIENTE, C.A.</t>
  </si>
  <si>
    <t>Creci. Vs Año anterior</t>
  </si>
  <si>
    <t>Val 2025</t>
  </si>
  <si>
    <t>CLIENTE</t>
  </si>
  <si>
    <t>CODCLI</t>
  </si>
  <si>
    <t>GRUPO_CLIENTE</t>
  </si>
  <si>
    <t>Grupo San Anselmo</t>
  </si>
  <si>
    <t>FARMAEXPRESS 24</t>
  </si>
  <si>
    <t>FARMA VITAL</t>
  </si>
  <si>
    <t>XANA</t>
  </si>
  <si>
    <t>FSI 3 - Tony Perdomo</t>
  </si>
  <si>
    <t>La Social</t>
  </si>
  <si>
    <t>GRUPO MARA PLUS</t>
  </si>
  <si>
    <t>FARMABIEN</t>
  </si>
  <si>
    <t>FARMASI</t>
  </si>
  <si>
    <t>FSI 2 - Eduardo Gonzalez</t>
  </si>
  <si>
    <t>GRUPO BIO-FULL</t>
  </si>
  <si>
    <t>GRUPO LIDER FARMA</t>
  </si>
  <si>
    <t>MAXIMA SALUD</t>
  </si>
  <si>
    <t>FARMABIEN 8B</t>
  </si>
  <si>
    <t>GRUPO EXPRESS CARIBE</t>
  </si>
  <si>
    <t>MI NIÑO JESUS (MARCEL)</t>
  </si>
  <si>
    <t>GRUPO VILLAMEDIANA</t>
  </si>
  <si>
    <t>PANACEA</t>
  </si>
  <si>
    <t>MULTIAHORRO</t>
  </si>
  <si>
    <t>GRUPO INFANTE</t>
  </si>
  <si>
    <t>LEON</t>
  </si>
  <si>
    <t>FARMACIA MAS MEDICA JAVIER BALZA</t>
  </si>
  <si>
    <t>POS</t>
  </si>
  <si>
    <t>DIAS_ANTIGUEDAD</t>
  </si>
  <si>
    <t>1 a 3 días</t>
  </si>
  <si>
    <t>4 a 15 días</t>
  </si>
  <si>
    <t>16 a 21 días</t>
  </si>
  <si>
    <t>22 a 40 días</t>
  </si>
  <si>
    <t>41 a 60 días</t>
  </si>
  <si>
    <t>61 a 90 días</t>
  </si>
  <si>
    <t>Mayor a 90 días</t>
  </si>
  <si>
    <t>EXCELSIOR GAMA</t>
  </si>
  <si>
    <t>GRUPO FITNESS</t>
  </si>
  <si>
    <t>TOP 10</t>
  </si>
  <si>
    <t>PESO TOP</t>
  </si>
  <si>
    <t>PESO %</t>
  </si>
  <si>
    <t>Total 2026</t>
  </si>
  <si>
    <t>CUOTA 2026</t>
  </si>
  <si>
    <t>WYNCO DE VENEZUELA,C.A</t>
  </si>
  <si>
    <t>ALIMENTOS HEINZ, C.A.</t>
  </si>
  <si>
    <t>INVERSIONES VICTORIA 1212 C.A</t>
  </si>
  <si>
    <t>REGIONES</t>
  </si>
  <si>
    <t>AÑO 2026</t>
  </si>
  <si>
    <t>COBERTURA %</t>
  </si>
  <si>
    <t>ALGOBAP, C.A</t>
  </si>
  <si>
    <t>7803</t>
  </si>
  <si>
    <t>FARMACIA GRAN PROGRESO, C.A.</t>
  </si>
  <si>
    <t>D607</t>
  </si>
  <si>
    <t>FARMAS MARACAY GIRARDOT, C.A</t>
  </si>
  <si>
    <t>C095</t>
  </si>
  <si>
    <t>FARMACIA FARMASI SANTA IRENE, C.A.</t>
  </si>
  <si>
    <t>C030</t>
  </si>
  <si>
    <t>FARMACIA FARMASI LA PUERTA, C.A.</t>
  </si>
  <si>
    <t>C026</t>
  </si>
  <si>
    <t>FARMACIA FARMASI CAJA DE AGUA, C.A.</t>
  </si>
  <si>
    <t>Z169</t>
  </si>
  <si>
    <t>FARMACIA SANTA MARIA,C.A.</t>
  </si>
  <si>
    <t>FARMABIEN 8B C.A.</t>
  </si>
  <si>
    <t>Z150</t>
  </si>
  <si>
    <t>FARMACIA LAS CALDERAS C.A</t>
  </si>
  <si>
    <t>E097</t>
  </si>
  <si>
    <t>FARMACIA SANTA MARTA C A</t>
  </si>
  <si>
    <t>A087</t>
  </si>
  <si>
    <t>FARMACIA DEL SUR NE, C.A.</t>
  </si>
  <si>
    <t>E017</t>
  </si>
  <si>
    <t>INSIDE MARKET, SUPERMERCADO RIO, C.A</t>
  </si>
  <si>
    <t>9792</t>
  </si>
  <si>
    <t>FARMACIA MEDITOTAL  C A</t>
  </si>
  <si>
    <t>FARMAZA, C.A</t>
  </si>
  <si>
    <t>9065</t>
  </si>
  <si>
    <t>FARMACIA SAN ANDRESITO, C.A.</t>
  </si>
  <si>
    <t>E016</t>
  </si>
  <si>
    <t>E018</t>
  </si>
  <si>
    <t>Y100</t>
  </si>
  <si>
    <t>FARMACIA HOSPITAL, C.A</t>
  </si>
  <si>
    <t>NAIVE BRICEIDA VEGAS MUJICA (FARMACIA LA IDEAL 27)</t>
  </si>
  <si>
    <t>D637</t>
  </si>
  <si>
    <t>D317</t>
  </si>
  <si>
    <t>FARMACENTER 24, C.A.</t>
  </si>
  <si>
    <t>6171</t>
  </si>
  <si>
    <t>FARMACIA LAS TAPIAS,C.A.</t>
  </si>
  <si>
    <t>A592</t>
  </si>
  <si>
    <t>VARGAS FARMACIA FARMA VIDA F.P</t>
  </si>
  <si>
    <t>+208</t>
  </si>
  <si>
    <t>KHODARI, BASSAM (FARMACIA SANTA INES)</t>
  </si>
  <si>
    <t>-201</t>
  </si>
  <si>
    <t>FARMACIA LA PLAZA C.A.</t>
  </si>
  <si>
    <t>FARMACIA FARMAX, C.A.</t>
  </si>
  <si>
    <t>FARMACIA HIPER AHORROS, C.A.</t>
  </si>
  <si>
    <t>9887</t>
  </si>
  <si>
    <t>FARMACIA LA ENTRADA III EL ALBORAL, C.A</t>
  </si>
  <si>
    <t>D292</t>
  </si>
  <si>
    <t>FARMACIA EMANUEL #2, 2023, C.A.</t>
  </si>
  <si>
    <t>D714</t>
  </si>
  <si>
    <t>FARMACIA FARMAPIAR24 C.A.</t>
  </si>
  <si>
    <t>L111</t>
  </si>
  <si>
    <t>FARMACIA LOS COSPES C.A</t>
  </si>
  <si>
    <t>-002</t>
  </si>
  <si>
    <t>FARMACIA FARMAMIGO II C.A.</t>
  </si>
  <si>
    <t>1109</t>
  </si>
  <si>
    <t>FARMACIA ESCORCHE C.A.</t>
  </si>
  <si>
    <t>2323</t>
  </si>
  <si>
    <t>FARMACIA SOCIAL EL CAFETAL,C.A.</t>
  </si>
  <si>
    <t>B267</t>
  </si>
  <si>
    <t>FARMACIA SAN VALENTIN EL OESTE, C.A</t>
  </si>
  <si>
    <t>B446</t>
  </si>
  <si>
    <t>FARMACIA GIRASOL CENTRO, C.A.</t>
  </si>
  <si>
    <t>D643</t>
  </si>
  <si>
    <t>D469</t>
  </si>
  <si>
    <t>FARMA TRIGU´S 2022, C.A.</t>
  </si>
  <si>
    <t>A773</t>
  </si>
  <si>
    <t>FARMACIA GRAN VICTORIA, C.A.</t>
  </si>
  <si>
    <t>B062</t>
  </si>
  <si>
    <t>FARMACAPSULA, C.A.</t>
  </si>
  <si>
    <t>D735</t>
  </si>
  <si>
    <t>E086</t>
  </si>
  <si>
    <t>FARMAGANGA 2020 C.A.</t>
  </si>
  <si>
    <t>P127</t>
  </si>
  <si>
    <t>FARMACIA TORRE DAVID,C.A.</t>
  </si>
  <si>
    <t>B016</t>
  </si>
  <si>
    <t>FARMA TRIGU´S, C.A.</t>
  </si>
  <si>
    <t>5397</t>
  </si>
  <si>
    <t>FARMACIA POPULAR SAN JUAN DE DIOS S R L</t>
  </si>
  <si>
    <t>A890</t>
  </si>
  <si>
    <t>FARMACIA RANZOL, C.A.</t>
  </si>
  <si>
    <t>E080</t>
  </si>
  <si>
    <t>FARMACIA GIRASOL 1421, C.A</t>
  </si>
  <si>
    <t>D579</t>
  </si>
  <si>
    <t>2149</t>
  </si>
  <si>
    <t>SUPERFARMA YARACUY, C.A.</t>
  </si>
  <si>
    <t>D821</t>
  </si>
  <si>
    <t>FARMACIA FARMARORAIMA C.A.</t>
  </si>
  <si>
    <t>FARMACIA BOTANIKAL´S C.A</t>
  </si>
  <si>
    <t>$199</t>
  </si>
  <si>
    <t>FARMACIA LAS MERCEDES CAGUA C.A.</t>
  </si>
  <si>
    <t>P131</t>
  </si>
  <si>
    <t>FARMAIGNACIO OESTE  II, C.A.</t>
  </si>
  <si>
    <t>FARMACIA FARMAGO, C.A.</t>
  </si>
  <si>
    <t>0413</t>
  </si>
  <si>
    <t>FARMACIA PAEZ GUANARE,C.A.</t>
  </si>
  <si>
    <t>7403</t>
  </si>
  <si>
    <t>FARMACIA PAMPANITO C.A</t>
  </si>
  <si>
    <t>N68</t>
  </si>
  <si>
    <t>FARMACIAS YARITAGUA, C.A.</t>
  </si>
  <si>
    <t>A706</t>
  </si>
  <si>
    <t>FARMACIA EL TRIANGULO DE TURMERO, C.A.</t>
  </si>
  <si>
    <t>2625</t>
  </si>
  <si>
    <t>DG FARMACIAS, C.A.</t>
  </si>
  <si>
    <t>3996</t>
  </si>
  <si>
    <t>FARMACIA FARMIA,C.A</t>
  </si>
  <si>
    <t>FARMACIA SERVIFARMED, C.A.</t>
  </si>
  <si>
    <t>P94</t>
  </si>
  <si>
    <t>FARMACIA GIRASOL, C. A.</t>
  </si>
  <si>
    <t>D626</t>
  </si>
  <si>
    <t>FARMACIA MIS LAURELES, C.A</t>
  </si>
  <si>
    <t>G142</t>
  </si>
  <si>
    <t>FARMACIA SAN JACINTO, C.A.</t>
  </si>
  <si>
    <t>B814</t>
  </si>
  <si>
    <t>FARMACIA CONTINENTAL 2022, C.A.</t>
  </si>
  <si>
    <t>B256</t>
  </si>
  <si>
    <t>FARMACIA DIMAWORLD LAS MARGARITAS, C.A</t>
  </si>
  <si>
    <t>G141</t>
  </si>
  <si>
    <t>FARMACIA LA PLAZUELA C.A.</t>
  </si>
  <si>
    <t>3880</t>
  </si>
  <si>
    <t>FARMACIA MIKEL C.A</t>
  </si>
  <si>
    <t>3992</t>
  </si>
  <si>
    <t>FARMACIA SANTA MARIA C.A</t>
  </si>
  <si>
    <t>3694</t>
  </si>
  <si>
    <t>FARMACIA KROMI, C.A.</t>
  </si>
  <si>
    <t>D388</t>
  </si>
  <si>
    <t>FARMACIUDAD C.A</t>
  </si>
  <si>
    <t>A640</t>
  </si>
  <si>
    <t>FARMACIA FARMA MARKET EXPRESS, C.A</t>
  </si>
  <si>
    <t>9656</t>
  </si>
  <si>
    <t>FARMACIA DON FRANCISCO DE DIOS, C.A</t>
  </si>
  <si>
    <t>E074</t>
  </si>
  <si>
    <t>FAMILIA CENTER, C.A.</t>
  </si>
  <si>
    <t>1570</t>
  </si>
  <si>
    <t>FARMACIA SANTA MARIA, C.A.</t>
  </si>
  <si>
    <t>C835</t>
  </si>
  <si>
    <t>FARMACIA LAS BALLENAS 2024, C.A.</t>
  </si>
  <si>
    <t>B889</t>
  </si>
  <si>
    <t>FARMACIA ALSG, SA</t>
  </si>
  <si>
    <t>E003</t>
  </si>
  <si>
    <t>FARMACIA FARMA FULL 2024, C.A.</t>
  </si>
  <si>
    <t>D973</t>
  </si>
  <si>
    <t>FARMACIA FARMATEPUY C.A.</t>
  </si>
  <si>
    <t>E315</t>
  </si>
  <si>
    <t>FARMACIA PUERTA DEL SOL 2023, C.A.</t>
  </si>
  <si>
    <t>3984</t>
  </si>
  <si>
    <t>FARMACIA SANTA ELENA,C.A</t>
  </si>
  <si>
    <t>2122</t>
  </si>
  <si>
    <t>FARMACIA FERRENQUIN II, C.A.</t>
  </si>
  <si>
    <t>C440</t>
  </si>
  <si>
    <t>FARMACIA GRUPO FUENTES, C.A</t>
  </si>
  <si>
    <t>1694</t>
  </si>
  <si>
    <t>FARMACIA GRAN CAMPO, C A</t>
  </si>
  <si>
    <t>B344</t>
  </si>
  <si>
    <t>$132</t>
  </si>
  <si>
    <t>FARMACIA EL SOL C A</t>
  </si>
  <si>
    <t>7130</t>
  </si>
  <si>
    <t>FARMACIA MEDEX, C.A</t>
  </si>
  <si>
    <t>B238</t>
  </si>
  <si>
    <t>FARMACIA ARTESALUD, C.A.</t>
  </si>
  <si>
    <t>B458</t>
  </si>
  <si>
    <t>FARMAHEALTH 24/07, C.A</t>
  </si>
  <si>
    <t>D969</t>
  </si>
  <si>
    <t>FARMASOL 1, C.A</t>
  </si>
  <si>
    <t>C756</t>
  </si>
  <si>
    <t>MULTITIENDA FARMA SERVICIOS AV 10, C.A</t>
  </si>
  <si>
    <t>6077</t>
  </si>
  <si>
    <t>A768</t>
  </si>
  <si>
    <t>A655</t>
  </si>
  <si>
    <t>FARMACIA CENTRAL FAMA, C.A.</t>
  </si>
  <si>
    <t>D649</t>
  </si>
  <si>
    <t>FARMACIA VEGA DE AZA, C.A</t>
  </si>
  <si>
    <t>8342</t>
  </si>
  <si>
    <t>FARMACIA DEL 18, C.A</t>
  </si>
  <si>
    <t>G180</t>
  </si>
  <si>
    <t>LA FARMACIA MIRABEL II,C.A.</t>
  </si>
  <si>
    <t>A560</t>
  </si>
  <si>
    <t>8386</t>
  </si>
  <si>
    <t>FARMACIA SANTA RITA C.A</t>
  </si>
  <si>
    <t>D951</t>
  </si>
  <si>
    <t>FARMACIA FARMALIDER II, C.A</t>
  </si>
  <si>
    <t>G64</t>
  </si>
  <si>
    <t>FARMACIA FARMABICA  C.A.</t>
  </si>
  <si>
    <t>D258</t>
  </si>
  <si>
    <t>FARMACIA LOS RAMIREZ, C.A</t>
  </si>
  <si>
    <t>D071</t>
  </si>
  <si>
    <t>FARMACIA &amp; INSUMED SANTISIMA TRINIDAD C.A</t>
  </si>
  <si>
    <t>C683</t>
  </si>
  <si>
    <t>FARMACIA LAS 24 HORAS DE FLOR AMARILLO, C.A.</t>
  </si>
  <si>
    <t>A874</t>
  </si>
  <si>
    <t>FARMACIA MI JARDIN, C.A.</t>
  </si>
  <si>
    <t>C018</t>
  </si>
  <si>
    <t>FARMACIA BARINAS V CENTRO,C.A.</t>
  </si>
  <si>
    <t>D555</t>
  </si>
  <si>
    <t>FARMACIA ORINOCO C.A.</t>
  </si>
  <si>
    <t>A461</t>
  </si>
  <si>
    <t>FARMACLARINES, C.A.</t>
  </si>
  <si>
    <t>8272</t>
  </si>
  <si>
    <t>FARMACIA DARANPE, C.A.</t>
  </si>
  <si>
    <t>4419</t>
  </si>
  <si>
    <t>Y159</t>
  </si>
  <si>
    <t>FARMACIA SAN RAFAEL C.A.</t>
  </si>
  <si>
    <t>D902</t>
  </si>
  <si>
    <t>3895</t>
  </si>
  <si>
    <t>FARMACIA SAN ROQUE,C.A</t>
  </si>
  <si>
    <t>A837</t>
  </si>
  <si>
    <t>TU ZONA MARKET FARMACIA, C.A.</t>
  </si>
  <si>
    <t>8509</t>
  </si>
  <si>
    <t>FARMACIA SANTO CRISTO LOS PANTANOS C.A</t>
  </si>
  <si>
    <t>D000</t>
  </si>
  <si>
    <t>FARMA-SOLEIL, C.A.</t>
  </si>
  <si>
    <t>D387</t>
  </si>
  <si>
    <t>FARMATRIGUS 2024, C.A.</t>
  </si>
  <si>
    <t>D457</t>
  </si>
  <si>
    <t>FARMACIA FARMARKET C.A</t>
  </si>
  <si>
    <t>D996</t>
  </si>
  <si>
    <t>FARMACIA DIVINO NIÑO COLON, C.A.</t>
  </si>
  <si>
    <t>D742</t>
  </si>
  <si>
    <t>CARLOS ALBERTO VILLASMIL CARDOZA (INVERSIONES  CARLOS VILLASMIL F.P.)</t>
  </si>
  <si>
    <t>E028</t>
  </si>
  <si>
    <t>FARMACHIVEN, C.A</t>
  </si>
  <si>
    <t>4140</t>
  </si>
  <si>
    <t>FARMACIA ERMITA DE LOURDES C.A</t>
  </si>
  <si>
    <t>D876</t>
  </si>
  <si>
    <t>FARMACIA GRUPO EL SAGRARIO, C.A.</t>
  </si>
  <si>
    <t>8682</t>
  </si>
  <si>
    <t>ORLANDO ENRIQUE MARQUEZ ROSALES (CADENA FARMACIA LA NUEVA REBAJA)</t>
  </si>
  <si>
    <t>B005</t>
  </si>
  <si>
    <t>B524</t>
  </si>
  <si>
    <t>FARMABOX, C.A.</t>
  </si>
  <si>
    <t>A019</t>
  </si>
  <si>
    <t>FARMACIA FARMABLUE, C.A.</t>
  </si>
  <si>
    <t>A450</t>
  </si>
  <si>
    <t>FARMACIA MIFARMA,C.A.</t>
  </si>
  <si>
    <t>D429</t>
  </si>
  <si>
    <t>FARMA ALKOSTO1, C.A</t>
  </si>
  <si>
    <t>D454</t>
  </si>
  <si>
    <t>FARMACIA EMANUEL 2024, C.A</t>
  </si>
  <si>
    <t>1666</t>
  </si>
  <si>
    <t>FARMACIA SANTA RITA,C.A</t>
  </si>
  <si>
    <t>D998</t>
  </si>
  <si>
    <t>FARMA 28, C.A</t>
  </si>
  <si>
    <t>B725</t>
  </si>
  <si>
    <t>FARMACIA SAN FELIPE CENTRO, C.A</t>
  </si>
  <si>
    <t>3425</t>
  </si>
  <si>
    <t>FARMACIA MENDEZ FARMAMENDEZ, C. A.</t>
  </si>
  <si>
    <t>D642</t>
  </si>
  <si>
    <t>FARMACIA EBENEZER, C.A.</t>
  </si>
  <si>
    <t>C755</t>
  </si>
  <si>
    <t>B395</t>
  </si>
  <si>
    <t>ECOFARMA, C.A.</t>
  </si>
  <si>
    <t>A772</t>
  </si>
  <si>
    <t>FARMACIA AHORRO SALUD V, C.A.</t>
  </si>
  <si>
    <t>D372</t>
  </si>
  <si>
    <t>C692</t>
  </si>
  <si>
    <t>FARMACIA LOS JARALES 2024, C.A</t>
  </si>
  <si>
    <t>Y120</t>
  </si>
  <si>
    <t>FARMACIA CURARIGUA, C. A.</t>
  </si>
  <si>
    <t>E187</t>
  </si>
  <si>
    <t>FARMASISTIR 1, C.A</t>
  </si>
  <si>
    <t>A37</t>
  </si>
  <si>
    <t>C468</t>
  </si>
  <si>
    <t>8959</t>
  </si>
  <si>
    <t>FARMACIA FARMA BIBLOS, C.A.</t>
  </si>
  <si>
    <t>9889</t>
  </si>
  <si>
    <t>FARMACIA TARIBA C.A</t>
  </si>
  <si>
    <t>5512</t>
  </si>
  <si>
    <t>FARMACIA FRANJAMAR NRO 6,C.A</t>
  </si>
  <si>
    <t>D903</t>
  </si>
  <si>
    <t>E170</t>
  </si>
  <si>
    <t>FARMACIA ORTHOMED, C.A</t>
  </si>
  <si>
    <t>D601</t>
  </si>
  <si>
    <t>FARMACIA GUAMACHO HOSPITAL,C.A.</t>
  </si>
  <si>
    <t>D943</t>
  </si>
  <si>
    <t>FARMACIA FARMACACHAMAY C.A.</t>
  </si>
  <si>
    <t>Y150</t>
  </si>
  <si>
    <t>FARMACIA CARIBE, C. A.</t>
  </si>
  <si>
    <t>C761</t>
  </si>
  <si>
    <t>FARMACIA GIRASOL LA 17, C.A</t>
  </si>
  <si>
    <t>D809</t>
  </si>
  <si>
    <t>B526</t>
  </si>
  <si>
    <t>E002</t>
  </si>
  <si>
    <t>MEDIC HOME, C.A.</t>
  </si>
  <si>
    <t>0447</t>
  </si>
  <si>
    <t>FARMACIA LOS JARALES, C.A</t>
  </si>
  <si>
    <t>C460</t>
  </si>
  <si>
    <t>FARMA ACTUAL NIÑO JESUS, C.A</t>
  </si>
  <si>
    <t>68</t>
  </si>
  <si>
    <t>FARMACIA LA LIBERTADOR DEL ESTE, C.A</t>
  </si>
  <si>
    <t>8683</t>
  </si>
  <si>
    <t>FARMACIA SANTA ELENA II,C.A</t>
  </si>
  <si>
    <t>C787</t>
  </si>
  <si>
    <t>FARMABIG SALUD, C.A.</t>
  </si>
  <si>
    <t>C479</t>
  </si>
  <si>
    <t>FARMA EXPRESS ZRV, C.A</t>
  </si>
  <si>
    <t>D524</t>
  </si>
  <si>
    <t>FARMACIA HIPER AHORROS C.A.</t>
  </si>
  <si>
    <t>D034</t>
  </si>
  <si>
    <t>FARMACIA HUMANA C.A.</t>
  </si>
  <si>
    <t>D491</t>
  </si>
  <si>
    <t>C610</t>
  </si>
  <si>
    <t>FARMACIA SANTIAGO EL APOSTOL   R.S.N., C.A.</t>
  </si>
  <si>
    <t>E196</t>
  </si>
  <si>
    <t>FARMACIA PATAGONIA, C.A.</t>
  </si>
  <si>
    <t>A843</t>
  </si>
  <si>
    <t>FARMA TAJ, C.A.</t>
  </si>
  <si>
    <t>6555</t>
  </si>
  <si>
    <t>FARMACIA NAY,C.A</t>
  </si>
  <si>
    <t>D940</t>
  </si>
  <si>
    <t>FARMACIA GRAN JESUS, C.A.</t>
  </si>
  <si>
    <t>A041</t>
  </si>
  <si>
    <t>FARMA MARQUEZ BARQUISIMETO C.A</t>
  </si>
  <si>
    <t>ECONOMIX FARMA C.A</t>
  </si>
  <si>
    <t>G131</t>
  </si>
  <si>
    <t>FARMACIA LAS ARAUJAS C.A.</t>
  </si>
  <si>
    <t>D983</t>
  </si>
  <si>
    <t>VISION FARMA, C.A</t>
  </si>
  <si>
    <t>B551</t>
  </si>
  <si>
    <t>B066</t>
  </si>
  <si>
    <t>FARMACIA NELSON GABRIEL, C.A.</t>
  </si>
  <si>
    <t>443</t>
  </si>
  <si>
    <t>FARMACLUB LAS MERCEDES, C.A.</t>
  </si>
  <si>
    <t>D757</t>
  </si>
  <si>
    <t>FARMAFAMILIA LA MORITA, C.A</t>
  </si>
  <si>
    <t>D366</t>
  </si>
  <si>
    <t>B484</t>
  </si>
  <si>
    <t>FARMACIA MEDEX III, C.A.</t>
  </si>
  <si>
    <t>B704</t>
  </si>
  <si>
    <t>FARMACIA LA ESPERANZA I MD, C. A.</t>
  </si>
  <si>
    <t>9007</t>
  </si>
  <si>
    <t>FARMACIA ASAV,C.A</t>
  </si>
  <si>
    <t>E007</t>
  </si>
  <si>
    <t>FARMACIA NELLY C.A.</t>
  </si>
  <si>
    <t>314</t>
  </si>
  <si>
    <t>FARMACIA SANTO NIÑO DEL LLANITO, C.A</t>
  </si>
  <si>
    <t>B019</t>
  </si>
  <si>
    <t>FARMACIA BARVAL, C.A.</t>
  </si>
  <si>
    <t>6924</t>
  </si>
  <si>
    <t>FARMACLUB CENTRO C.A</t>
  </si>
  <si>
    <t>B619</t>
  </si>
  <si>
    <t>FARMACIA HIPER AHORROS CA</t>
  </si>
  <si>
    <t>9037</t>
  </si>
  <si>
    <t>FARMA VIP, C.A</t>
  </si>
  <si>
    <t>D833</t>
  </si>
  <si>
    <t>D448</t>
  </si>
  <si>
    <t>FARMACIA FARMAESPERANZA 2024, C.A.</t>
  </si>
  <si>
    <t>C789</t>
  </si>
  <si>
    <t>D288</t>
  </si>
  <si>
    <t>B405</t>
  </si>
  <si>
    <t>FARMACIA BICENTENARIO 2021 II, C.A</t>
  </si>
  <si>
    <t>D673</t>
  </si>
  <si>
    <t>FARMACIA GRAN JERUSALEN, C.A.</t>
  </si>
  <si>
    <t>D904</t>
  </si>
  <si>
    <t>FARMACIA LA CONCORDIA, C.A.</t>
  </si>
  <si>
    <t>FARMAVIAL JC, C.A.</t>
  </si>
  <si>
    <t>8263</t>
  </si>
  <si>
    <t>FARMACIA VEGASALUD C.A</t>
  </si>
  <si>
    <t>65</t>
  </si>
  <si>
    <t>FARMACIA DEL AHORRO LAS VEGAS, C.A</t>
  </si>
  <si>
    <t>D901</t>
  </si>
  <si>
    <t>C841</t>
  </si>
  <si>
    <t>EXPENDIO DE MEDICINAS GRATITUD, C.A</t>
  </si>
  <si>
    <t>C921</t>
  </si>
  <si>
    <t>CORPORACION GLOBAL RAY C.A.</t>
  </si>
  <si>
    <t>D710</t>
  </si>
  <si>
    <t>FARMACIA SAN JUAN MICHELENA C.A</t>
  </si>
  <si>
    <t>D390</t>
  </si>
  <si>
    <t>E067</t>
  </si>
  <si>
    <t>FARMACIA MY SAGRADA FAMILIA. C.A</t>
  </si>
  <si>
    <t>B941</t>
  </si>
  <si>
    <t>S143</t>
  </si>
  <si>
    <t>FARMACIA FARMA SALUD MAUROA C.A</t>
  </si>
  <si>
    <t>3771</t>
  </si>
  <si>
    <t>FARMACIA FARMAGANGA,C.A</t>
  </si>
  <si>
    <t>A542</t>
  </si>
  <si>
    <t>FARMASOL BOULEVARD  2020, C.A.</t>
  </si>
  <si>
    <t>C464</t>
  </si>
  <si>
    <t>FARMACIA VELAVIDA, C.A.</t>
  </si>
  <si>
    <t>6571</t>
  </si>
  <si>
    <t>FARMACIA CLINICA LOS CEDROS C.A.</t>
  </si>
  <si>
    <t>0232</t>
  </si>
  <si>
    <t>FARMACIA EL SAMAN,C.A.</t>
  </si>
  <si>
    <t>8197</t>
  </si>
  <si>
    <t>FARMAMUNDO VISNU, C.A.</t>
  </si>
  <si>
    <t>3848</t>
  </si>
  <si>
    <t>FARMACIA FAMILIAR, C.A.</t>
  </si>
  <si>
    <t>O171</t>
  </si>
  <si>
    <t>FARMACIA PALACIO II,C.A.</t>
  </si>
  <si>
    <t>C052</t>
  </si>
  <si>
    <t>FARMACIA FARMAVERO II, C.A.</t>
  </si>
  <si>
    <t>2897</t>
  </si>
  <si>
    <t>FARMACIA YOAMA, C.A</t>
  </si>
  <si>
    <t>5903</t>
  </si>
  <si>
    <t>FARMACIA NORAM, C.A.</t>
  </si>
  <si>
    <t>B795</t>
  </si>
  <si>
    <t>0455</t>
  </si>
  <si>
    <t>FARMACIA SAGRARIO,C.A.</t>
  </si>
  <si>
    <t>5543</t>
  </si>
  <si>
    <t>FARMACIA ROTARIA COMPAÑIA ANONIMA</t>
  </si>
  <si>
    <t>D967</t>
  </si>
  <si>
    <t>FARMAFAMILIA TURMERO, C.A.</t>
  </si>
  <si>
    <t>8943</t>
  </si>
  <si>
    <t>FARMACIA EL AMANECER DEL VIGIA, C.A.</t>
  </si>
  <si>
    <t>C814</t>
  </si>
  <si>
    <t>GRUPO FARMACIAS NOVACENTER 13-13, C.A.</t>
  </si>
  <si>
    <t>D136</t>
  </si>
  <si>
    <t>FARMACIA SERVI-FARMA C.A.</t>
  </si>
  <si>
    <t>C971</t>
  </si>
  <si>
    <t>G186</t>
  </si>
  <si>
    <t>FARMA CENTRO SANTA LUCIA,C.A.</t>
  </si>
  <si>
    <t>8249</t>
  </si>
  <si>
    <t>FARMACIA EL BIENESTAR VALERA,C.A</t>
  </si>
  <si>
    <t>D897</t>
  </si>
  <si>
    <t>FARMABIG PLUS EXPRESS, C.A</t>
  </si>
  <si>
    <t>7647</t>
  </si>
  <si>
    <t>FARMASALUD PLUS, C.A.</t>
  </si>
  <si>
    <t>D694</t>
  </si>
  <si>
    <t>4580</t>
  </si>
  <si>
    <t>FARMACIA AHORRO SALUD III, C.A.</t>
  </si>
  <si>
    <t>C003</t>
  </si>
  <si>
    <t>FARMACIA PLAZA BOYACA, C.A.</t>
  </si>
  <si>
    <t>D010</t>
  </si>
  <si>
    <t>FARMACIA TARIBA CA</t>
  </si>
  <si>
    <t>B649</t>
  </si>
  <si>
    <t>FARMACIA FACITODO BOULEVARD, C.A</t>
  </si>
  <si>
    <t>4413</t>
  </si>
  <si>
    <t>FARMACIA FARMA BECA, C.A</t>
  </si>
  <si>
    <t>6145</t>
  </si>
  <si>
    <t>FARMAHOGAR MERIDA CENTRO, C.A.</t>
  </si>
  <si>
    <t>D270</t>
  </si>
  <si>
    <t>GRUPO FARMACIAS NOVACENTER 33-33, C.A.</t>
  </si>
  <si>
    <t>0233</t>
  </si>
  <si>
    <t>FARMACIA  SIENA, C.A</t>
  </si>
  <si>
    <t>C895</t>
  </si>
  <si>
    <t>FARMACIA BARINAS VIII SABANETA, C.A.</t>
  </si>
  <si>
    <t>6866</t>
  </si>
  <si>
    <t>FARMACIA MI QUERIDA ANAIS, C.A</t>
  </si>
  <si>
    <t>8692</t>
  </si>
  <si>
    <t>FARMACIA SALUD Y HOGAR C.A.</t>
  </si>
  <si>
    <t>9432</t>
  </si>
  <si>
    <t>VINOTINTO FARMA, C.A.</t>
  </si>
  <si>
    <t>D566</t>
  </si>
  <si>
    <t>JAPABRELL FARMA, C.A</t>
  </si>
  <si>
    <t>C718</t>
  </si>
  <si>
    <t>D898</t>
  </si>
  <si>
    <t>C915</t>
  </si>
  <si>
    <t>FARMACIA JGH MAUX CA</t>
  </si>
  <si>
    <t>I233</t>
  </si>
  <si>
    <t>FARMACIA  NUEVA  ANALITICA C.A.</t>
  </si>
  <si>
    <t>D891</t>
  </si>
  <si>
    <t>CENTRO CLINICO LOS CEDROS, C.A.</t>
  </si>
  <si>
    <t>D073</t>
  </si>
  <si>
    <t>EXPENDIO DE MEDICINAS LA VICTORIA, C.A.</t>
  </si>
  <si>
    <t>A883</t>
  </si>
  <si>
    <t>FARMACIA CARDENAS, C.A.</t>
  </si>
  <si>
    <t>8325</t>
  </si>
  <si>
    <t>FARMA COMPLETA CA</t>
  </si>
  <si>
    <t>E020</t>
  </si>
  <si>
    <t>7945</t>
  </si>
  <si>
    <t>FARMACIA CONTIGO, C.A</t>
  </si>
  <si>
    <t>E149</t>
  </si>
  <si>
    <t>FARMACIA EL TOCO, C.A</t>
  </si>
  <si>
    <t>B886</t>
  </si>
  <si>
    <t>FARMAESPERANZA 2022, C.A.</t>
  </si>
  <si>
    <t>E066</t>
  </si>
  <si>
    <t>EXPENDIO DE MEDICINAS SAN IGNACIO, C.A.</t>
  </si>
  <si>
    <t>7521</t>
  </si>
  <si>
    <t>FARMACIA BINSINA, C.A</t>
  </si>
  <si>
    <t>B461</t>
  </si>
  <si>
    <t>FARMACIA ARTESALUD I, C.A.</t>
  </si>
  <si>
    <t>C716</t>
  </si>
  <si>
    <t>D543</t>
  </si>
  <si>
    <t>FARMA ALKOSTO1, C.A.</t>
  </si>
  <si>
    <t>B259</t>
  </si>
  <si>
    <t>FARMACIA CENTRAL SUR, C.A.</t>
  </si>
  <si>
    <t>7001</t>
  </si>
  <si>
    <t>MULTI FARMACIA EL BOTALON COMPAÑIA ANONIMA</t>
  </si>
  <si>
    <t>0235</t>
  </si>
  <si>
    <t>ASOCIACION COOPERATIVA DE SERVICIOS MULTIPLES ARAYA, R.L.</t>
  </si>
  <si>
    <t>D997</t>
  </si>
  <si>
    <t>9152</t>
  </si>
  <si>
    <t>FARMACIA GALA I, C.A.</t>
  </si>
  <si>
    <t>D695</t>
  </si>
  <si>
    <t>E137</t>
  </si>
  <si>
    <t>MARIANELLA PUMILIA PARILLI (FARMACIA DON SIXTO)</t>
  </si>
  <si>
    <t>P113</t>
  </si>
  <si>
    <t>FARMACIA LA CANDELARIA C.A.</t>
  </si>
  <si>
    <t>D860</t>
  </si>
  <si>
    <t>E199</t>
  </si>
  <si>
    <t>FARMANATURA, C.A</t>
  </si>
  <si>
    <t>D613</t>
  </si>
  <si>
    <t>B604</t>
  </si>
  <si>
    <t>FARMACIA FARMAGANGA, C.A.</t>
  </si>
  <si>
    <t>8807</t>
  </si>
  <si>
    <t>FARMAMASNET, C.A.</t>
  </si>
  <si>
    <t>2895</t>
  </si>
  <si>
    <t>FARMACIA MERCADO PRINCIPAL, C.A (FARMEPRICA)</t>
  </si>
  <si>
    <t>B575</t>
  </si>
  <si>
    <t>FARMACIA LAGUNA AZUL, C.A.</t>
  </si>
  <si>
    <t>E303</t>
  </si>
  <si>
    <t>7472</t>
  </si>
  <si>
    <t>FARMACIA VALLE ALTO LA GRITA, C.A.</t>
  </si>
  <si>
    <t>D367</t>
  </si>
  <si>
    <t>D077</t>
  </si>
  <si>
    <t>FARMACIA DIGENCA LA 37,C.A</t>
  </si>
  <si>
    <t>7525</t>
  </si>
  <si>
    <t>EXCELSIOR FARMA, C.A.</t>
  </si>
  <si>
    <t>7637</t>
  </si>
  <si>
    <t>FARMACIA CALIFORNIA 888, C.A.</t>
  </si>
  <si>
    <t>E040</t>
  </si>
  <si>
    <t>TODOHOGAR VISTAMAR C A</t>
  </si>
  <si>
    <t>6197</t>
  </si>
  <si>
    <t>D031</t>
  </si>
  <si>
    <t>FARMACIA GALLARDIN, C.A.</t>
  </si>
  <si>
    <t>0138</t>
  </si>
  <si>
    <t>FARMACIAS Y ALIMENTOS FARMAYOR  C.A</t>
  </si>
  <si>
    <t>B331</t>
  </si>
  <si>
    <t>FARMA FERGA, C.A.</t>
  </si>
  <si>
    <t>Z134</t>
  </si>
  <si>
    <t>MARTHA LUCIA CARRANO DE PEREZ</t>
  </si>
  <si>
    <t>D700</t>
  </si>
  <si>
    <t>MARIANELLA PUMILIA PARILLI</t>
  </si>
  <si>
    <t>C754</t>
  </si>
  <si>
    <t>8553</t>
  </si>
  <si>
    <t>IKO FARMA, C.A.</t>
  </si>
  <si>
    <t>9859</t>
  </si>
  <si>
    <t>FARMACLUB AV. VICTORIA, C.A</t>
  </si>
  <si>
    <t>C598</t>
  </si>
  <si>
    <t>A082</t>
  </si>
  <si>
    <t>FARMACIA J.G.H. 2020, C.A.</t>
  </si>
  <si>
    <t>B744</t>
  </si>
  <si>
    <t>FARMACIA + MEDICA CENTRO, C.A.</t>
  </si>
  <si>
    <t>C315</t>
  </si>
  <si>
    <t>FARMACIA KARLEMAR C A</t>
  </si>
  <si>
    <t>B97</t>
  </si>
  <si>
    <t>FARMACIA ETICA, S.R.L.</t>
  </si>
  <si>
    <t>7747</t>
  </si>
  <si>
    <t>EXPENDIO DE MEDICINA SAN JUAN DE LOS CAYOS, F.C</t>
  </si>
  <si>
    <t>B453</t>
  </si>
  <si>
    <t>FARMACIA NUEVA UNDA, C.A.</t>
  </si>
  <si>
    <t>C914</t>
  </si>
  <si>
    <t>FARMACIA SANA SANA EL VIÑEDO CA</t>
  </si>
  <si>
    <t>9561</t>
  </si>
  <si>
    <t>FARMACIA DUZAM C.A</t>
  </si>
  <si>
    <t>3700</t>
  </si>
  <si>
    <t>FARMACIA KROMI,C.A</t>
  </si>
  <si>
    <t>E178</t>
  </si>
  <si>
    <t>FARMACIA GRUPO BIOS, C.A.</t>
  </si>
  <si>
    <t>C641</t>
  </si>
  <si>
    <t>D750</t>
  </si>
  <si>
    <t>FARMACIA LA ESPERANZA 2019 COMPAÑIA ANONIMA</t>
  </si>
  <si>
    <t>D311</t>
  </si>
  <si>
    <t>MEDICAL PC. C.A</t>
  </si>
  <si>
    <t>C994</t>
  </si>
  <si>
    <t>FARMACIA CARMENCITA CENTRO C.A.</t>
  </si>
  <si>
    <t>2523</t>
  </si>
  <si>
    <t>FARMACIA RAZETTI C.A.</t>
  </si>
  <si>
    <t>1136</t>
  </si>
  <si>
    <t>FARMACIA NUEVA CASARAPA, C.A</t>
  </si>
  <si>
    <t>B467</t>
  </si>
  <si>
    <t>6284</t>
  </si>
  <si>
    <t>FARMA EXPRESS,C.A</t>
  </si>
  <si>
    <t>3213</t>
  </si>
  <si>
    <t>FARMACIA 16 DE SEPTIEMBRE,C.A</t>
  </si>
  <si>
    <t>D762</t>
  </si>
  <si>
    <t>FARMASURCA COSTA BELLA,C.A.</t>
  </si>
  <si>
    <t>D929</t>
  </si>
  <si>
    <t>FARMACIA CENTRO TEATRO, C.A</t>
  </si>
  <si>
    <t>E090</t>
  </si>
  <si>
    <t>E153</t>
  </si>
  <si>
    <t>FARMA 282 C.A.</t>
  </si>
  <si>
    <t>3139</t>
  </si>
  <si>
    <t>FARMACIA ESTACION TARIBA,C.A.</t>
  </si>
  <si>
    <t>D529</t>
  </si>
  <si>
    <t>FARMAVIAL JC, C.A</t>
  </si>
  <si>
    <t>U105</t>
  </si>
  <si>
    <t>FARMACIA DARANPE,C.A.</t>
  </si>
  <si>
    <t>B149</t>
  </si>
  <si>
    <t>FARMACIA NORIEGA TRIGO, S.R.L.</t>
  </si>
  <si>
    <t>D431</t>
  </si>
  <si>
    <t>FARMACIA  SANTIAGO EL APOSTOL, C.A.</t>
  </si>
  <si>
    <t>E305</t>
  </si>
  <si>
    <t>B204</t>
  </si>
  <si>
    <t>FARMADITO, C.A.</t>
  </si>
  <si>
    <t>8776</t>
  </si>
  <si>
    <t>FARMACIA LA PREVISORA C.A</t>
  </si>
  <si>
    <t>4190</t>
  </si>
  <si>
    <t>FARMACIA FARMA SAMAN C.A</t>
  </si>
  <si>
    <t>B450</t>
  </si>
  <si>
    <t>FARMACIA CENTRAL SÚPER FERIA, C.A</t>
  </si>
  <si>
    <t>A829</t>
  </si>
  <si>
    <t>FARMACIA MONTECARLO, C.A.</t>
  </si>
  <si>
    <t>9089</t>
  </si>
  <si>
    <t>CALDERON, EILEEN(FARMACIA SAN MIGUEL)</t>
  </si>
  <si>
    <t>D535</t>
  </si>
  <si>
    <t>FARMACIA DON PEDRO RB, C.A</t>
  </si>
  <si>
    <t>E083</t>
  </si>
  <si>
    <t>VISION FARMA CENTRO, C.A</t>
  </si>
  <si>
    <t>A815</t>
  </si>
  <si>
    <t>CONTUFARMA, C.A.</t>
  </si>
  <si>
    <t>8389</t>
  </si>
  <si>
    <t>FARMACIA FARLUVEN, C.A</t>
  </si>
  <si>
    <t>0136</t>
  </si>
  <si>
    <t>INVERSIONES ALPRAFAR, C.A (FARMACIA ALTO PRADO)</t>
  </si>
  <si>
    <t>E039</t>
  </si>
  <si>
    <t>FARMACIA LA POMONA, C.A</t>
  </si>
  <si>
    <t>0480</t>
  </si>
  <si>
    <t>FARMACIA BELLA FLORIDA II,C.A.</t>
  </si>
  <si>
    <t>E155</t>
  </si>
  <si>
    <t>FARMACAPSULA, C.A</t>
  </si>
  <si>
    <t>2902</t>
  </si>
  <si>
    <t>FARMACIA EL BUCARE C.A.</t>
  </si>
  <si>
    <t>B806</t>
  </si>
  <si>
    <t>FARMACIA LA CRUZ DE MAYO, C.A.</t>
  </si>
  <si>
    <t>A754</t>
  </si>
  <si>
    <t>FARMACIA CARMENCITA, C.A.</t>
  </si>
  <si>
    <t>C872</t>
  </si>
  <si>
    <t>MULTI-FARMACIA SAMIR 2 , C.A.</t>
  </si>
  <si>
    <t>D061</t>
  </si>
  <si>
    <t>4414</t>
  </si>
  <si>
    <t>FARMACIA SIRIANA C.A</t>
  </si>
  <si>
    <t>E063</t>
  </si>
  <si>
    <t>FARMACIA TU FARMA, C.A.</t>
  </si>
  <si>
    <t>B521</t>
  </si>
  <si>
    <t>FARMATEL, C.A.</t>
  </si>
  <si>
    <t>D318</t>
  </si>
  <si>
    <t>FARMACIA CENTRAL FARMARANZAZU, C.A.</t>
  </si>
  <si>
    <t>B705</t>
  </si>
  <si>
    <t>FARMASURCA G&amp;V, C.A</t>
  </si>
  <si>
    <t>C083</t>
  </si>
  <si>
    <t>FARMACIA LCT 18, C.A</t>
  </si>
  <si>
    <t>C41</t>
  </si>
  <si>
    <t>D889</t>
  </si>
  <si>
    <t>EXPENDIO DE MEDICINAS FARMATOVAR C.A</t>
  </si>
  <si>
    <t>P105</t>
  </si>
  <si>
    <t>FARMACIA AMERICA, C. A.</t>
  </si>
  <si>
    <t>3725</t>
  </si>
  <si>
    <t>FARMACIA LA VENEZOLANA UNICENTRO, C. A.</t>
  </si>
  <si>
    <t>D455</t>
  </si>
  <si>
    <t>FARMACIA FARMADESCUENTOS JV, C.A</t>
  </si>
  <si>
    <t>FARMACIA INSUMOS EXPRESS, C.A</t>
  </si>
  <si>
    <t>B939</t>
  </si>
  <si>
    <t>FARMACIA FARMA CAGUA, C.A.</t>
  </si>
  <si>
    <t>A485</t>
  </si>
  <si>
    <t>FARMACIA AHORRO SALUD,C.A.</t>
  </si>
  <si>
    <t>8610</t>
  </si>
  <si>
    <t>FARMAGENERIX, C.A</t>
  </si>
  <si>
    <t>0183</t>
  </si>
  <si>
    <t>FARMACIA AHORRO SALUD II, C.A</t>
  </si>
  <si>
    <t>3993</t>
  </si>
  <si>
    <t>FARMACIA GRAN CARACAS GUARENAS, C.A.</t>
  </si>
  <si>
    <t>A551</t>
  </si>
  <si>
    <t>FARMACIA AHORRO SALUD IV</t>
  </si>
  <si>
    <t>4943</t>
  </si>
  <si>
    <t>FARMALUZ EL TIGRE, C.A.</t>
  </si>
  <si>
    <t>5208</t>
  </si>
  <si>
    <t>FARMA SHOP SOLIDARIA AYACUCHO,C.A</t>
  </si>
  <si>
    <t>D722</t>
  </si>
  <si>
    <t>FARMACIA QUINTAMAR C.A</t>
  </si>
  <si>
    <t>E221</t>
  </si>
  <si>
    <t>EXPENDIO DE MEDICINA VITA SALUD, C.A</t>
  </si>
  <si>
    <t>B635</t>
  </si>
  <si>
    <t>7483</t>
  </si>
  <si>
    <t>FARMACIA LA ZABALETA, COMPAÑIA ANONIMA</t>
  </si>
  <si>
    <t>D493</t>
  </si>
  <si>
    <t>9874</t>
  </si>
  <si>
    <t>FARMAIMPULSO, C.A.</t>
  </si>
  <si>
    <t>D760</t>
  </si>
  <si>
    <t>E164</t>
  </si>
  <si>
    <t>EXPENDIO DE MEDICINAS MEDIC FAMILY G.A, C.A</t>
  </si>
  <si>
    <t>B591</t>
  </si>
  <si>
    <t>D062</t>
  </si>
  <si>
    <t>B897</t>
  </si>
  <si>
    <t>FARMATUYA9, C.A.</t>
  </si>
  <si>
    <t>9533</t>
  </si>
  <si>
    <t>FARMAEXITO SOCOPO C.A</t>
  </si>
  <si>
    <t>0311</t>
  </si>
  <si>
    <t>FARMACIA FARMA SHOP, C.A.</t>
  </si>
  <si>
    <t>E050</t>
  </si>
  <si>
    <t>2024 FARMAX, C.A.</t>
  </si>
  <si>
    <t>A726</t>
  </si>
  <si>
    <t>FARMA TUYA 1, C.A.</t>
  </si>
  <si>
    <t>B528</t>
  </si>
  <si>
    <t>D324</t>
  </si>
  <si>
    <t>FARMAVAL 2021, C.A</t>
  </si>
  <si>
    <t>6044</t>
  </si>
  <si>
    <t>FARMACIA MONTREAL, C.A</t>
  </si>
  <si>
    <t>D630</t>
  </si>
  <si>
    <t>FARMACIA LA ECONOMICA DE PROPATRIA C.A</t>
  </si>
  <si>
    <t>B893</t>
  </si>
  <si>
    <t>FARMATUYA5, C.A.</t>
  </si>
  <si>
    <t>C830</t>
  </si>
  <si>
    <t>FARMACIA LAS TAPIAS C.A</t>
  </si>
  <si>
    <t>D572</t>
  </si>
  <si>
    <t>FARMACIA FARMAGO, C.A</t>
  </si>
  <si>
    <t>4578</t>
  </si>
  <si>
    <t>FARMACIA LA PALMA C.A</t>
  </si>
  <si>
    <t>E313</t>
  </si>
  <si>
    <t>FARMACIA GALA VIII LOS GUAYOS, C.A.</t>
  </si>
  <si>
    <t>D987</t>
  </si>
  <si>
    <t>FARMAMIGA BARINAS C.A</t>
  </si>
  <si>
    <t>E061</t>
  </si>
  <si>
    <t>MULTITIENDA FARMACIA FARMACOL, C.A</t>
  </si>
  <si>
    <t>7326</t>
  </si>
  <si>
    <t>QUICK-FARMA,C.A</t>
  </si>
  <si>
    <t>C656</t>
  </si>
  <si>
    <t>FARMACIA CATALANA, C.A.</t>
  </si>
  <si>
    <t>C911</t>
  </si>
  <si>
    <t>CLINIC FARMA C.A.</t>
  </si>
  <si>
    <t>D917</t>
  </si>
  <si>
    <t>FARMACIA DR JUAN DE DIOS HOLMQUIST, C.A</t>
  </si>
  <si>
    <t>D233</t>
  </si>
  <si>
    <t>7570</t>
  </si>
  <si>
    <t>FARMACIA KAROLINE,C.A</t>
  </si>
  <si>
    <t>C869</t>
  </si>
  <si>
    <t>FARMATUYA LAFE, C.A</t>
  </si>
  <si>
    <t>D538</t>
  </si>
  <si>
    <t>FARMACIA EL EMIR, C.A</t>
  </si>
  <si>
    <t>D571</t>
  </si>
  <si>
    <t>6144</t>
  </si>
  <si>
    <t>FARMACIA EL FARO DE MARITZA COROMOTO CONTRERAS DE ABREU</t>
  </si>
  <si>
    <t>D820</t>
  </si>
  <si>
    <t>FARMACIA CENTRAL NAGUANAGUA, C.A</t>
  </si>
  <si>
    <t>-136</t>
  </si>
  <si>
    <t>FARMA CLUB,C.A.</t>
  </si>
  <si>
    <t>C071</t>
  </si>
  <si>
    <t>FARMACIA FARMAMITO, C.A</t>
  </si>
  <si>
    <t>C750</t>
  </si>
  <si>
    <t>FARMA VIDA Y SALUD LA SALLE, C.A</t>
  </si>
  <si>
    <t>D385</t>
  </si>
  <si>
    <t>FARMACIA ROJAS GR, C.A</t>
  </si>
  <si>
    <t>5407</t>
  </si>
  <si>
    <t>FARMACIA FARMAUNO 19 DE ABRIL,C.A</t>
  </si>
  <si>
    <t>D691</t>
  </si>
  <si>
    <t>B873</t>
  </si>
  <si>
    <t>FARMACIA FACITODO SAN JACINTO C.A</t>
  </si>
  <si>
    <t>D790</t>
  </si>
  <si>
    <t>FARMACIA SERVIFARME3 C.A</t>
  </si>
  <si>
    <t>0770</t>
  </si>
  <si>
    <t>D266</t>
  </si>
  <si>
    <t>FARMACIA FARMABIG PLUS + VIDA, C.A</t>
  </si>
  <si>
    <t>D950</t>
  </si>
  <si>
    <t>FARMACIA LA VICTORIA C.A.</t>
  </si>
  <si>
    <t>E053</t>
  </si>
  <si>
    <t>GRAN FARMAVERDE C.A.</t>
  </si>
  <si>
    <t>D717</t>
  </si>
  <si>
    <t>FARMACIAS TARIBA, C.A.</t>
  </si>
  <si>
    <t>C602</t>
  </si>
  <si>
    <t>MERUEM 08, C.A.</t>
  </si>
  <si>
    <t>C798</t>
  </si>
  <si>
    <t>FARMACIA BENDICION, C.A.</t>
  </si>
  <si>
    <t>C596</t>
  </si>
  <si>
    <t>FARMACIA + MEDICA CARVAJAL,  C.A.</t>
  </si>
  <si>
    <t>O122</t>
  </si>
  <si>
    <t>FARMACIA LA PASTORA, C.A.</t>
  </si>
  <si>
    <t>E176</t>
  </si>
  <si>
    <t>FARMACIA VICTORIA QUEEN, C.A</t>
  </si>
  <si>
    <t>B577</t>
  </si>
  <si>
    <t>FARMA EMERGENCIA HCM, C.A.</t>
  </si>
  <si>
    <t>E186</t>
  </si>
  <si>
    <t>FARMACIA FARMA BLUE BF, C.A</t>
  </si>
  <si>
    <t>5676</t>
  </si>
  <si>
    <t>FARMACIA FARMATLANTICO, C.A.</t>
  </si>
  <si>
    <t>C972</t>
  </si>
  <si>
    <t>TU ZONA MARKET FARMACIA, C.A</t>
  </si>
  <si>
    <t>D723</t>
  </si>
  <si>
    <t>FARMACIA ROYAL PARK, C.A.</t>
  </si>
  <si>
    <t>8957</t>
  </si>
  <si>
    <t>FARMACIA EL LABRADOR C.A</t>
  </si>
  <si>
    <t>D690</t>
  </si>
  <si>
    <t>D865</t>
  </si>
  <si>
    <t>FARMACIA FARMAVIT 20-24, CA</t>
  </si>
  <si>
    <t>C640</t>
  </si>
  <si>
    <t>C012</t>
  </si>
  <si>
    <t>TU FARMA ANZ, C.A.</t>
  </si>
  <si>
    <t>B794</t>
  </si>
  <si>
    <t>D035</t>
  </si>
  <si>
    <t>FV FARMACIA II, C .A.</t>
  </si>
  <si>
    <t>5078</t>
  </si>
  <si>
    <t>FARMACIA LOS EUCALIPTUS, S.R.L.</t>
  </si>
  <si>
    <t>C788</t>
  </si>
  <si>
    <t>FARMABIG, C.A.</t>
  </si>
  <si>
    <t>5772</t>
  </si>
  <si>
    <t>FARMACIA EBENEZER ML, C.A.</t>
  </si>
  <si>
    <t>A778</t>
  </si>
  <si>
    <t>FARMACTUAL PIRITU, C.A.</t>
  </si>
  <si>
    <t>C865</t>
  </si>
  <si>
    <t>FARMATUYA TELARE, C.A.</t>
  </si>
  <si>
    <t>D536</t>
  </si>
  <si>
    <t>FARMACIA DON PEDRO 2022, C.A</t>
  </si>
  <si>
    <t>A047</t>
  </si>
  <si>
    <t>FARMACIA LA PAZ 2011, C.A.</t>
  </si>
  <si>
    <t>E046</t>
  </si>
  <si>
    <t>FARMACIA ESTRELLA DEL SUR, C.A</t>
  </si>
  <si>
    <t>E152</t>
  </si>
  <si>
    <t>FARMACIA 292 FARMA C.A.</t>
  </si>
  <si>
    <t>B219</t>
  </si>
  <si>
    <t>FARMACIA CRISTOFARMA, C.A.</t>
  </si>
  <si>
    <t>C976</t>
  </si>
  <si>
    <t>1131</t>
  </si>
  <si>
    <t>FARMACIA VISTA PLACE,C.A.</t>
  </si>
  <si>
    <t>D438</t>
  </si>
  <si>
    <t>GRUPO FARMAVEN, CA</t>
  </si>
  <si>
    <t>A695</t>
  </si>
  <si>
    <t>E158</t>
  </si>
  <si>
    <t>ECOFARMA C.A.</t>
  </si>
  <si>
    <t>C902</t>
  </si>
  <si>
    <t>FARMACIA VIDA SALUD 24, C.A</t>
  </si>
  <si>
    <t>Y145</t>
  </si>
  <si>
    <t>FARMACIA FARMAMEDI, C. A.</t>
  </si>
  <si>
    <t>C785</t>
  </si>
  <si>
    <t>FARMACIA COMPLETO, C.A.</t>
  </si>
  <si>
    <t>5971</t>
  </si>
  <si>
    <t>FARMACIA SAN JUAN VIANNEY II,C.A</t>
  </si>
  <si>
    <t>E194</t>
  </si>
  <si>
    <t>INVERSIONES GREMIOS MATUGIL, C.A.</t>
  </si>
  <si>
    <t>O111</t>
  </si>
  <si>
    <t>FARMACIA SAN JORGE,C.A.</t>
  </si>
  <si>
    <t>E172</t>
  </si>
  <si>
    <t>FARMA INSUMED, C.A</t>
  </si>
  <si>
    <t>E292</t>
  </si>
  <si>
    <t>FARMACIA DOÑA GOYA Y C.A</t>
  </si>
  <si>
    <t>B007</t>
  </si>
  <si>
    <t>FARMATUYA 2, C.A.</t>
  </si>
  <si>
    <t>B469</t>
  </si>
  <si>
    <t>C631</t>
  </si>
  <si>
    <t>8524</t>
  </si>
  <si>
    <t>FARMALIDER 2011 C.A</t>
  </si>
  <si>
    <t>9128</t>
  </si>
  <si>
    <t>FARMASANROQUE, C.A</t>
  </si>
  <si>
    <t>C024</t>
  </si>
  <si>
    <t>1132</t>
  </si>
  <si>
    <t>FARMACIA GRAN CARACAS, C.A</t>
  </si>
  <si>
    <t>5672</t>
  </si>
  <si>
    <t>FARMACIA CUJI TAMACA I C.A</t>
  </si>
  <si>
    <t>D818</t>
  </si>
  <si>
    <t>TU FARMA EL PARAISO C.A.</t>
  </si>
  <si>
    <t>E087</t>
  </si>
  <si>
    <t>FARMACIA GALA VII SAN DIEGO, C.A</t>
  </si>
  <si>
    <t>B040</t>
  </si>
  <si>
    <t>FARMACIAS NOVACENTER, C.A.</t>
  </si>
  <si>
    <t>B593</t>
  </si>
  <si>
    <t>8561</t>
  </si>
  <si>
    <t>FARMACIA VIDASALUD, C.A.</t>
  </si>
  <si>
    <t>C770</t>
  </si>
  <si>
    <t>FARMACENTER EL SOCORRO, C.A.</t>
  </si>
  <si>
    <t>E056</t>
  </si>
  <si>
    <t>FARMAPARIMA C.A.</t>
  </si>
  <si>
    <t>5544</t>
  </si>
  <si>
    <t>FARMACIA MILENIUM C.A.</t>
  </si>
  <si>
    <t>6982</t>
  </si>
  <si>
    <t>FARMACIA FARMALIDER C.A.</t>
  </si>
  <si>
    <t>U102</t>
  </si>
  <si>
    <t>FARMACIA VERAMED,C.A.</t>
  </si>
  <si>
    <t>A725</t>
  </si>
  <si>
    <t>FARMACIA GALA V AV. BOLIVAR, C.A</t>
  </si>
  <si>
    <t>9764</t>
  </si>
  <si>
    <t>FARMACIA FARMASANJUAN, C.A</t>
  </si>
  <si>
    <t>E027</t>
  </si>
  <si>
    <t>FARMA JUMBO TURMERO, C.A</t>
  </si>
  <si>
    <t>C695</t>
  </si>
  <si>
    <t>FARMACIA GRUPO RG, C.A</t>
  </si>
  <si>
    <t>A816</t>
  </si>
  <si>
    <t>FARMACIA CENTRAL, C.A.(FARMACENTER)</t>
  </si>
  <si>
    <t>E173</t>
  </si>
  <si>
    <t>FARMACIA FARMA BARATO MIRAFLORES C.A</t>
  </si>
  <si>
    <t>E182</t>
  </si>
  <si>
    <t>EXPENDIO DE MEDICINAS MEDIEXPRESS, ECONOMIA Y SALUD, C.A</t>
  </si>
  <si>
    <t>D822</t>
  </si>
  <si>
    <t>2920</t>
  </si>
  <si>
    <t>FARMACIA SEBAOT SEÑOR DE LOS EJERCITOS, C.A.</t>
  </si>
  <si>
    <t>B302</t>
  </si>
  <si>
    <t>FARMACIA CARDENAS PLUS, C.A.</t>
  </si>
  <si>
    <t>D635</t>
  </si>
  <si>
    <t>FARMASOL MICHELENA II</t>
  </si>
  <si>
    <t>B227</t>
  </si>
  <si>
    <t>FARMACIA FARMALIANZA ARAURE, C.A</t>
  </si>
  <si>
    <t>C051</t>
  </si>
  <si>
    <t>FARMALIDER 2011 C.A.</t>
  </si>
  <si>
    <t>3068</t>
  </si>
  <si>
    <t>FARMACIA UNITAS TARIBA,C.A</t>
  </si>
  <si>
    <t>C666</t>
  </si>
  <si>
    <t>MI FARMACIA CAÑA DE AZUCAR, C.A.</t>
  </si>
  <si>
    <t>D401</t>
  </si>
  <si>
    <t>9083</t>
  </si>
  <si>
    <t>VIDAFARMA C.A.</t>
  </si>
  <si>
    <t>E218</t>
  </si>
  <si>
    <t>FARMACIA RENNY&amp;ROS, C.A</t>
  </si>
  <si>
    <t>B527</t>
  </si>
  <si>
    <t>C714</t>
  </si>
  <si>
    <t>A279</t>
  </si>
  <si>
    <t>E185</t>
  </si>
  <si>
    <t>FARMASANJUAN CENTRO, C.A</t>
  </si>
  <si>
    <t>A789</t>
  </si>
  <si>
    <t>INVERSIONES FARMA OLIMPO, C.A.</t>
  </si>
  <si>
    <t>D492</t>
  </si>
  <si>
    <t>FARMA ACTIVE, C.A</t>
  </si>
  <si>
    <t>D523</t>
  </si>
  <si>
    <t>5402</t>
  </si>
  <si>
    <t>FARMACIA MI GRAN CARABOBEÑA, C.A.</t>
  </si>
  <si>
    <t>D542</t>
  </si>
  <si>
    <t>INVERSIONES ORIENTE 20.38 MARACAY PLAZA, C.A</t>
  </si>
  <si>
    <t>E192</t>
  </si>
  <si>
    <t>B916</t>
  </si>
  <si>
    <t>ECOFARMA EXPRESS, C.A.</t>
  </si>
  <si>
    <t>E183</t>
  </si>
  <si>
    <t>C978</t>
  </si>
  <si>
    <t>FARMACIA  EXPRESS  M&amp;B, C.A.</t>
  </si>
  <si>
    <t>B995</t>
  </si>
  <si>
    <t>FARMATODITO Y&amp;B, C.A.</t>
  </si>
  <si>
    <t>9024</t>
  </si>
  <si>
    <t>FARMACIA MI PREFERIDA,C.A</t>
  </si>
  <si>
    <t>A862</t>
  </si>
  <si>
    <t>FARMASANROQUE STORE C.A</t>
  </si>
  <si>
    <t>6040</t>
  </si>
  <si>
    <t>FARMACIA BIOFARMA CENTRO, C.A</t>
  </si>
  <si>
    <t>D918</t>
  </si>
  <si>
    <t>FARMACIA BARUCH C.A.</t>
  </si>
  <si>
    <t>D954</t>
  </si>
  <si>
    <t>EXPENDIO DE MEDICINAS MI SANTO, C.A.</t>
  </si>
  <si>
    <t>9140</t>
  </si>
  <si>
    <t>FARMACIA FARMARAYA, C.A.</t>
  </si>
  <si>
    <t>3333</t>
  </si>
  <si>
    <t>INNOVAFARMA, C. A.</t>
  </si>
  <si>
    <t>E226</t>
  </si>
  <si>
    <t>FARMASHOP CIUDAD JARDIN, C.A.</t>
  </si>
  <si>
    <t>B567</t>
  </si>
  <si>
    <t>FARMACIA MARKET CBL, C.A.</t>
  </si>
  <si>
    <t>D845</t>
  </si>
  <si>
    <t>FARMACIA GRAN VICTORIA M, C.A.</t>
  </si>
  <si>
    <t>B197</t>
  </si>
  <si>
    <t>FARMACLUB TIQUIRE, C.A.</t>
  </si>
  <si>
    <t>E077</t>
  </si>
  <si>
    <t>INVERSIONES BARCELONA ORIENTE 20 25 C.A.</t>
  </si>
  <si>
    <t>5580</t>
  </si>
  <si>
    <t>GONZALEZ QUINTERO,HUGO RAMIRO(FARMACIA LA NUEVA SAN JOSE)</t>
  </si>
  <si>
    <t>A923</t>
  </si>
  <si>
    <t>FARMACIA SAN JOSE G.H, C.A.</t>
  </si>
  <si>
    <t>E081</t>
  </si>
  <si>
    <t>FARMACIA GRUPO FARMA EMERGENCIA,  C.A.</t>
  </si>
  <si>
    <t>C892</t>
  </si>
  <si>
    <t>TU FARMA TIERRA ADENTRO , C.A.</t>
  </si>
  <si>
    <t>E048</t>
  </si>
  <si>
    <t>FARMACALIPSO C.A.</t>
  </si>
  <si>
    <t>E162</t>
  </si>
  <si>
    <t>FARMACIA EL BUEN PASTOR, C.A</t>
  </si>
  <si>
    <t>C652</t>
  </si>
  <si>
    <t>B289</t>
  </si>
  <si>
    <t>FARMACIA 3S PLUS, C.A.</t>
  </si>
  <si>
    <t>6244</t>
  </si>
  <si>
    <t>FARMACIA SOFI SALUD AZCUE, C.A</t>
  </si>
  <si>
    <t>D944</t>
  </si>
  <si>
    <t>FARMACIA L F 24 C.A.</t>
  </si>
  <si>
    <t>C677</t>
  </si>
  <si>
    <t>JAPABRELL FARMA, C.A.</t>
  </si>
  <si>
    <t>E014</t>
  </si>
  <si>
    <t>FARMACIA VILLA SALUD, C.A</t>
  </si>
  <si>
    <t>B436</t>
  </si>
  <si>
    <t>FARMATUYA 3, C.A.</t>
  </si>
  <si>
    <t>E217</t>
  </si>
  <si>
    <t>FARMACIA TRES TESOROS, C.A.</t>
  </si>
  <si>
    <t>D920</t>
  </si>
  <si>
    <t>FARMACIA LA GALENICA AMF C.A.</t>
  </si>
  <si>
    <t>E300</t>
  </si>
  <si>
    <t>FARMACIA PAEZ EL MERCADO C.A.</t>
  </si>
  <si>
    <t>7704</t>
  </si>
  <si>
    <t>FARMACIA SAN ROQUE ACARIGUA,C.A</t>
  </si>
  <si>
    <t>D926</t>
  </si>
  <si>
    <t>FARMACIA SOL AMADO ML, C.A</t>
  </si>
  <si>
    <t>9576</t>
  </si>
  <si>
    <t>FARMACIA BIENESTAR OESTE C.A</t>
  </si>
  <si>
    <t>B894</t>
  </si>
  <si>
    <t>FARMATUYA6, C.A.</t>
  </si>
  <si>
    <t>D811</t>
  </si>
  <si>
    <t>FARMACIA MENESES EXPRESS C.A.</t>
  </si>
  <si>
    <t>D479</t>
  </si>
  <si>
    <t>FARMAEXPRESS 2024, CA</t>
  </si>
  <si>
    <t>D400</t>
  </si>
  <si>
    <t>FARMACIA FARMAVIT 20-23, C.A.</t>
  </si>
  <si>
    <t>9366</t>
  </si>
  <si>
    <t>FARMACIA SUPER SALUD CIUDAD CHINITA COMPAÑIA ANONIMA</t>
  </si>
  <si>
    <t>E307</t>
  </si>
  <si>
    <t>+112</t>
  </si>
  <si>
    <t>FUNDACION FRANCESCHI FREITES (FUNDAFARMACOS)</t>
  </si>
  <si>
    <t>E076</t>
  </si>
  <si>
    <t>3072</t>
  </si>
  <si>
    <t>FARMACLUB COLON,C.A</t>
  </si>
  <si>
    <t>C627</t>
  </si>
  <si>
    <t>E306</t>
  </si>
  <si>
    <t>B327</t>
  </si>
  <si>
    <t>B673</t>
  </si>
  <si>
    <t>FARMA CENTRO QUIBOR, C.A.</t>
  </si>
  <si>
    <t>E030</t>
  </si>
  <si>
    <t>FARMACIA COMSALUD PLUS C.A</t>
  </si>
  <si>
    <t>C687</t>
  </si>
  <si>
    <t>FARMACIA MONTAÑA FRESCA, C.A</t>
  </si>
  <si>
    <t>8483</t>
  </si>
  <si>
    <t>FARMACIA LA COVACHA C.A</t>
  </si>
  <si>
    <t>E033</t>
  </si>
  <si>
    <t>FARMACIA INTER SALUD, C.A.</t>
  </si>
  <si>
    <t>2821</t>
  </si>
  <si>
    <t>DRA FARMACIA, C.A.</t>
  </si>
  <si>
    <t>8161</t>
  </si>
  <si>
    <t>FARMACIA LA VILLA DE LOS NIÑOS C.A</t>
  </si>
  <si>
    <t>E229</t>
  </si>
  <si>
    <t>FARMACIA FARMAIDEAL C.A.</t>
  </si>
  <si>
    <t>E078</t>
  </si>
  <si>
    <t>FARMACIA TU BIENESTAR CNA C.A.</t>
  </si>
  <si>
    <t>7904</t>
  </si>
  <si>
    <t>FARMACIA LUZ CRISTAL, C.A</t>
  </si>
  <si>
    <t>6473</t>
  </si>
  <si>
    <t>FARMACIA QUIRON, C.A.</t>
  </si>
  <si>
    <t>E047</t>
  </si>
  <si>
    <t>E169</t>
  </si>
  <si>
    <t>FARMACIA EL RINCON DE LA VILLA, C.A.</t>
  </si>
  <si>
    <t>8883</t>
  </si>
  <si>
    <t>UNIFARMACIA 2015, C.A.</t>
  </si>
  <si>
    <t>C943</t>
  </si>
  <si>
    <t>FARMA GUANTA C.A.</t>
  </si>
  <si>
    <t>2684</t>
  </si>
  <si>
    <t>FARMACIA NOBEL, C.A</t>
  </si>
  <si>
    <t>0167</t>
  </si>
  <si>
    <t>FARMACIA LA BENDICION,C.A.</t>
  </si>
  <si>
    <t>9115</t>
  </si>
  <si>
    <t>SIGO, S.A.</t>
  </si>
  <si>
    <t>E193</t>
  </si>
  <si>
    <t>UNIFARMA SILVA 01, F.P</t>
  </si>
  <si>
    <t>FARMA OFERTAS LA ECONOMICA, C.A.</t>
  </si>
  <si>
    <t>B555</t>
  </si>
  <si>
    <t>FARMAKOOX EL TOCUYO, C.A.</t>
  </si>
  <si>
    <t>E024</t>
  </si>
  <si>
    <t>FARMACIA BLU FARMA., C.A</t>
  </si>
  <si>
    <t>B636</t>
  </si>
  <si>
    <t>E060</t>
  </si>
  <si>
    <t>FARMACIA AYUB CANCAMURE C.A.</t>
  </si>
  <si>
    <t>E224</t>
  </si>
  <si>
    <t>INVERSIONES FARMACIA EN TUS MANOS C.A</t>
  </si>
  <si>
    <t>C868</t>
  </si>
  <si>
    <t>FARMATUYA GUATIRE1, C.A.</t>
  </si>
  <si>
    <t>3634</t>
  </si>
  <si>
    <t>FARMACIA EL DIVINO NIÑO C.A.</t>
  </si>
  <si>
    <t>0242</t>
  </si>
  <si>
    <t>I.D.B. MED, C.A.</t>
  </si>
  <si>
    <t>A277</t>
  </si>
  <si>
    <t>E023</t>
  </si>
  <si>
    <t>FARMACIA CAMPO NEBLINA C.A</t>
  </si>
  <si>
    <t>5007</t>
  </si>
  <si>
    <t>FARMACIA L.G, C.A</t>
  </si>
  <si>
    <t>D355</t>
  </si>
  <si>
    <t>FARMA ACTIVE MARKET CA</t>
  </si>
  <si>
    <t>E021</t>
  </si>
  <si>
    <t>FARMACIA DESIFARMA C.A.</t>
  </si>
  <si>
    <t>D325</t>
  </si>
  <si>
    <t>E148</t>
  </si>
  <si>
    <t>EXPENDIO DE MEDICINAS SANTO NIÑO UNO, CA</t>
  </si>
  <si>
    <t>A983</t>
  </si>
  <si>
    <t>E085</t>
  </si>
  <si>
    <t>FARMACIA QUINTAMAR, C.A</t>
  </si>
  <si>
    <t>C935</t>
  </si>
  <si>
    <t>FARMA-SHOP C A</t>
  </si>
  <si>
    <t>A806</t>
  </si>
  <si>
    <t>8214</t>
  </si>
  <si>
    <t>2648</t>
  </si>
  <si>
    <t>FARMACIA PLUSS, C.A.</t>
  </si>
  <si>
    <t>E184</t>
  </si>
  <si>
    <t>INVERSIONES FARMASANJUAN, C.A.</t>
  </si>
  <si>
    <t>D273</t>
  </si>
  <si>
    <t>FARMACHUCHO C.A.</t>
  </si>
  <si>
    <t>8415</t>
  </si>
  <si>
    <t>FARMACIA CHARALLAVE 1 C.A</t>
  </si>
  <si>
    <t>C867</t>
  </si>
  <si>
    <t>FARMATUYA BARALT, C.A.</t>
  </si>
  <si>
    <t>D674</t>
  </si>
  <si>
    <t>1258</t>
  </si>
  <si>
    <t>FARMACIA CURAGUA COMPAÑIA ANONIMA</t>
  </si>
  <si>
    <t>C085</t>
  </si>
  <si>
    <t>FARMACIA FARMAVIVIR 2., C.A</t>
  </si>
  <si>
    <t>A926</t>
  </si>
  <si>
    <t>FARMACIA FARMASOLA, C.A.</t>
  </si>
  <si>
    <t>C622</t>
  </si>
  <si>
    <t>8955</t>
  </si>
  <si>
    <t>FARMACIA NUEVA FRANJAMAR C.A</t>
  </si>
  <si>
    <t>D692</t>
  </si>
  <si>
    <t>B896</t>
  </si>
  <si>
    <t>FARMATUYA8, C.A.</t>
  </si>
  <si>
    <t>4173</t>
  </si>
  <si>
    <t>FARMACIA FARMA DIEZ C.A</t>
  </si>
  <si>
    <t>A661</t>
  </si>
  <si>
    <t>FARMACIA FRANJAMAR # 5, C.A.</t>
  </si>
  <si>
    <t>B536</t>
  </si>
  <si>
    <t>FARMACIA AQUI, C.A.</t>
  </si>
  <si>
    <t>D463</t>
  </si>
  <si>
    <t>EXPENDIOS DE MEDICAMENTOS EL REY SEBASTIAN , C.A.</t>
  </si>
  <si>
    <t>A452</t>
  </si>
  <si>
    <t>FARMATLANTICO, C.A.</t>
  </si>
  <si>
    <t>B250</t>
  </si>
  <si>
    <t>FARMA ANGELUZ, C.A.</t>
  </si>
  <si>
    <t>3796</t>
  </si>
  <si>
    <t>FARMACIA LA MATERNIDAD, C.A</t>
  </si>
  <si>
    <t>8093</t>
  </si>
  <si>
    <t>A795</t>
  </si>
  <si>
    <t>FARMACIA FARMASALUD 17 DE DICIEMBRE, C.A.</t>
  </si>
  <si>
    <t>E156</t>
  </si>
  <si>
    <t>FARMACIA MAZIAD ,C.A</t>
  </si>
  <si>
    <t>A835</t>
  </si>
  <si>
    <t>6319</t>
  </si>
  <si>
    <t>FARMACIA FARMA LIGHT-VALENCIA,C.A</t>
  </si>
  <si>
    <t>Q191</t>
  </si>
  <si>
    <t>FARMACIA LA CURVA 2019, C.A.</t>
  </si>
  <si>
    <t>E057</t>
  </si>
  <si>
    <t>FARMA FLORIDA C.A.</t>
  </si>
  <si>
    <t>A993</t>
  </si>
  <si>
    <t>TELEFARMA 27, C.A</t>
  </si>
  <si>
    <t>E084</t>
  </si>
  <si>
    <t>FARMACIA LA ESTACION 888, C.A.</t>
  </si>
  <si>
    <t>8368</t>
  </si>
  <si>
    <t>FARMACIA EL SHADDAI,C.A</t>
  </si>
  <si>
    <t>1936</t>
  </si>
  <si>
    <t>FARMACIA FARMACOROMOTO, C.A</t>
  </si>
  <si>
    <t>G100</t>
  </si>
  <si>
    <t>FARMADESCUENTO C.A.</t>
  </si>
  <si>
    <t>D911</t>
  </si>
  <si>
    <t>SUMEQUI, C.A.</t>
  </si>
  <si>
    <t>B892</t>
  </si>
  <si>
    <t>FARMATUYA4, C.A.</t>
  </si>
  <si>
    <t>7900</t>
  </si>
  <si>
    <t>FARMACIA FARMAMIA, C.A</t>
  </si>
  <si>
    <t>FARMACIA LA ECONOMICA, C.A.</t>
  </si>
  <si>
    <t>D946</t>
  </si>
  <si>
    <t>MULTIFARMACIA SAN MARTIN</t>
  </si>
  <si>
    <t>C669</t>
  </si>
  <si>
    <t>FARMACIA BASE SUCRE, C.A.</t>
  </si>
  <si>
    <t>D947</t>
  </si>
  <si>
    <t>FARMAREVENGA, C.A.</t>
  </si>
  <si>
    <t>E174</t>
  </si>
  <si>
    <t>FARMACIA MUNDO SALUD 58 CENTRO, C.A</t>
  </si>
  <si>
    <t>B895</t>
  </si>
  <si>
    <t>FARMATUYA7, C.A.</t>
  </si>
  <si>
    <t>B252</t>
  </si>
  <si>
    <t>B647</t>
  </si>
  <si>
    <t>FARMACIA LA REDOMA 2021, S.A.</t>
  </si>
  <si>
    <t>D645</t>
  </si>
  <si>
    <t>FARMACIA BETHEL FARMAX C.A</t>
  </si>
  <si>
    <t>D476</t>
  </si>
  <si>
    <t>TU FARMA SAN FELIPE C.A.</t>
  </si>
  <si>
    <t>B477</t>
  </si>
  <si>
    <t>FARMACIA SAN ANTONIO CBO, C.A.</t>
  </si>
  <si>
    <t>E026</t>
  </si>
  <si>
    <t>EXPENDIO DE MEDICINAS EXPRESS M&amp;B, C.A.</t>
  </si>
  <si>
    <t>6241</t>
  </si>
  <si>
    <t>FARMACIA JAASIEL,C.A</t>
  </si>
  <si>
    <t>D945</t>
  </si>
  <si>
    <t>FARMACIA DOÑA EMMA, C.A.</t>
  </si>
  <si>
    <t>D094</t>
  </si>
  <si>
    <t>FARMACIA ROISALUD, C,A.</t>
  </si>
  <si>
    <t>6545</t>
  </si>
  <si>
    <t>FARMACIA FORTUNA, COMPAÑIA ANONIMA</t>
  </si>
  <si>
    <t>8594</t>
  </si>
  <si>
    <t>FARMACIA COLINA,C.A</t>
  </si>
  <si>
    <t>B033</t>
  </si>
  <si>
    <t>FARMACIA VIDA ML, C.A.</t>
  </si>
  <si>
    <t>B937</t>
  </si>
  <si>
    <t>FARMACIA MUNDO SALUD 58, C,A.</t>
  </si>
  <si>
    <t>D919</t>
  </si>
  <si>
    <t>FARMACIA NAZARET CBO C.A.</t>
  </si>
  <si>
    <t>E089</t>
  </si>
  <si>
    <t>FARMAVALLIS C.A.</t>
  </si>
  <si>
    <t>E150</t>
  </si>
  <si>
    <t>FARMALINE HOSPITALARIA C.A</t>
  </si>
  <si>
    <t>D244</t>
  </si>
  <si>
    <t>FARMACIA SAN LUCAS 1, C.A.</t>
  </si>
  <si>
    <t>8644</t>
  </si>
  <si>
    <t>INVERSIONES LA FAVORITA 2000,C.A</t>
  </si>
  <si>
    <t>8097</t>
  </si>
  <si>
    <t>FUNDACION FRANCESCHI FREITES(FUNDAFARMACOS)</t>
  </si>
  <si>
    <t>D275</t>
  </si>
  <si>
    <t>B561</t>
  </si>
  <si>
    <t>C063</t>
  </si>
  <si>
    <t>CLINIC FARMA C.A</t>
  </si>
  <si>
    <t>C081</t>
  </si>
  <si>
    <t>A457</t>
  </si>
  <si>
    <t>FARMACIA ROISALUD, C.A.</t>
  </si>
  <si>
    <t>9216</t>
  </si>
  <si>
    <t>C916</t>
  </si>
  <si>
    <t>FARMACIA PUNTO ECONOMICO C.A.</t>
  </si>
  <si>
    <t>E075</t>
  </si>
  <si>
    <t>FARMAAMIGA 2021, C.A</t>
  </si>
  <si>
    <t>D016</t>
  </si>
  <si>
    <t>FARMACIA AKI C.A.</t>
  </si>
  <si>
    <t>A692</t>
  </si>
  <si>
    <t>E161</t>
  </si>
  <si>
    <t>FARMACIA JOSUE 1.8, C.A</t>
  </si>
  <si>
    <t>A522</t>
  </si>
  <si>
    <t>FARMACIA EBENEZER DEL SOLER, C. A.</t>
  </si>
  <si>
    <t>E165</t>
  </si>
  <si>
    <t>ZABBI FARMA C.A.</t>
  </si>
  <si>
    <t>FARMA VIDA, CA</t>
  </si>
  <si>
    <t>B863</t>
  </si>
  <si>
    <t>FARMA OFERTAS TIERRA SANTA, C.A.</t>
  </si>
  <si>
    <t>4411</t>
  </si>
  <si>
    <t>FARMACIA FARMA BECA MADARIAGA, C.A.</t>
  </si>
  <si>
    <t>6543</t>
  </si>
  <si>
    <t>FARMACIA NUEVA VENECIA C.A</t>
  </si>
  <si>
    <t>8954</t>
  </si>
  <si>
    <t>FARMACIA LA UNION DE VALERA C.A</t>
  </si>
  <si>
    <t>B300</t>
  </si>
  <si>
    <t>D620</t>
  </si>
  <si>
    <t>D771</t>
  </si>
  <si>
    <t>EXPENDIO DE MEDICAMENTOS LA BELLA GIANNA C.A.</t>
  </si>
  <si>
    <t>A018</t>
  </si>
  <si>
    <t>FARMACIA DEL AHORRO BARRIO OBRERO C.A.</t>
  </si>
  <si>
    <t>C049</t>
  </si>
  <si>
    <t>FARMACIA LOS CORTIJOS ML, C.A.</t>
  </si>
  <si>
    <t>D436</t>
  </si>
  <si>
    <t>FARMACIA 360° , C.A.</t>
  </si>
  <si>
    <t>B956</t>
  </si>
  <si>
    <t>FARMACIAS ADN, C.A.</t>
  </si>
  <si>
    <t>D552</t>
  </si>
  <si>
    <t>FARMACIA FARMACTUAL SANTA BARBARA, C.A.</t>
  </si>
  <si>
    <t>O109</t>
  </si>
  <si>
    <t>MULTIFARMACIA CP,C.A.</t>
  </si>
  <si>
    <t>C748</t>
  </si>
  <si>
    <t>FARMACIA RENACER ML, C.A</t>
  </si>
  <si>
    <t>B254</t>
  </si>
  <si>
    <t>E145</t>
  </si>
  <si>
    <t>FARMAFAMILIA, C.A.</t>
  </si>
  <si>
    <t>5696</t>
  </si>
  <si>
    <t>FARMACOS ARAGUA,C.A</t>
  </si>
  <si>
    <t>A637</t>
  </si>
  <si>
    <t>C757</t>
  </si>
  <si>
    <t>FARMACIA VITAL ML, C.A.</t>
  </si>
  <si>
    <t>0148</t>
  </si>
  <si>
    <t>INVERSIONES ELBETUL 424 C.A</t>
  </si>
  <si>
    <t>H54</t>
  </si>
  <si>
    <t>FARMACIA LA ESPERANZA C.A.</t>
  </si>
  <si>
    <t>E151</t>
  </si>
  <si>
    <t>FARMACIA ACTIVA 24/7 C.A</t>
  </si>
  <si>
    <t>6310</t>
  </si>
  <si>
    <t>FARMACIA FARMAMARIA,C.A</t>
  </si>
  <si>
    <t>9898</t>
  </si>
  <si>
    <t>CHARCU MARKET 2017 C.A</t>
  </si>
  <si>
    <t>B538</t>
  </si>
  <si>
    <t>FARMAGRUPO SANTA RITA C.A.</t>
  </si>
  <si>
    <t>M42</t>
  </si>
  <si>
    <t>FARMACIA NEVERI C.A.</t>
  </si>
  <si>
    <t>CADENA</t>
  </si>
  <si>
    <t>REGION</t>
  </si>
  <si>
    <t>8</t>
  </si>
  <si>
    <t>INDEPENDIENTE</t>
  </si>
  <si>
    <t>GRUPO</t>
  </si>
  <si>
    <t>LABORATORIO FINE CHEMICALS C.F.C, C.A.</t>
  </si>
  <si>
    <t>INVERSIONES E&amp;R BATECH, C.A.</t>
  </si>
  <si>
    <t>INVECINE C.A</t>
  </si>
  <si>
    <t>CHOCOBRU  INT.CHOCOLATE IMP.REG. CAP. CA</t>
  </si>
  <si>
    <t>FARMACIA DON MARIO FP</t>
  </si>
  <si>
    <t>FARMACIA LA CIENCIA CA</t>
  </si>
  <si>
    <t>MIRVILIA RAMONA MATA DE LOPEZ (FARMACIA ALTAGRACIA F.P)</t>
  </si>
  <si>
    <t>EXPENDIO DE MEDICINAS BEATO DR. JOSE GREGORIO HERNANDEZ, C.A</t>
  </si>
  <si>
    <t>ALIRIO JOSE INFANTE PARRA (EXPENDIO DE MEDICINA Y COSMETICOS BUENA VISTA)</t>
  </si>
  <si>
    <t>PRESUPUESTO DE COBRANZA 2024</t>
  </si>
  <si>
    <t>PRESUPUESTO DE COBRANZA 2025</t>
  </si>
  <si>
    <t>PRESUPUESTO DE COBRANZA 2026</t>
  </si>
  <si>
    <t>84,99%</t>
  </si>
  <si>
    <t>90,15%</t>
  </si>
  <si>
    <t>92,38%</t>
  </si>
  <si>
    <t>90,92%</t>
  </si>
  <si>
    <t>93,69%</t>
  </si>
  <si>
    <t>91,57%</t>
  </si>
  <si>
    <t>89,70%</t>
  </si>
  <si>
    <t>91,38%</t>
  </si>
  <si>
    <t>93,03%</t>
  </si>
  <si>
    <t>87,67%</t>
  </si>
  <si>
    <t>92,82%</t>
  </si>
  <si>
    <t>87,94%</t>
  </si>
  <si>
    <t>90,90%</t>
  </si>
  <si>
    <t>88,67%</t>
  </si>
  <si>
    <t>94,44%</t>
  </si>
  <si>
    <t>92,46%</t>
  </si>
  <si>
    <t>92,49%</t>
  </si>
  <si>
    <t>95,39%</t>
  </si>
  <si>
    <t>84,58%</t>
  </si>
  <si>
    <t>92,91%</t>
  </si>
  <si>
    <t>n</t>
  </si>
  <si>
    <t>ENERO</t>
  </si>
  <si>
    <t>FEBRERO</t>
  </si>
  <si>
    <t>PRESUPUESTO DE COBRANZA</t>
  </si>
  <si>
    <t>REPRESENTACIONES BLUE MEDICAL TRADE CA</t>
  </si>
  <si>
    <t>LABORATORIO FARMACEUTICO LA ABEJITA</t>
  </si>
  <si>
    <t>FABRICA DE ALIMENTOS DULCES FALIDU, C.A.</t>
  </si>
  <si>
    <t>CASA DE REPRESENTACION DROGUERÍA DROVENCA C.A</t>
  </si>
  <si>
    <t>ALFONZO RIVAS &amp; CIA, C.A</t>
  </si>
  <si>
    <t>CASA DE REPRESENTACION COSMELAB VENEZUELA, C.A.</t>
  </si>
  <si>
    <t>SANOZ DE VENEZUELA C.A.</t>
  </si>
  <si>
    <t>INTERNATIONAL MEDICAL TEAM, C.A.</t>
  </si>
  <si>
    <t>MEDINSUMOS DE VENEZUELA, C.A.</t>
  </si>
  <si>
    <t>NOVALL AG, C.A.</t>
  </si>
  <si>
    <t>DISTRIBUIDORA AMERICAN COLORS VENEZOLANA C.A.</t>
  </si>
  <si>
    <t>PROULA MEDICAMENTOS,C.A.</t>
  </si>
  <si>
    <t>REP. NO HAGAS DIETAS OLALDE, C.A.</t>
  </si>
  <si>
    <t>REPRESENTACIONES AITOR, C.A.</t>
  </si>
  <si>
    <t>FARMACLUB TUCACAS C.A.</t>
  </si>
  <si>
    <t>RANDY YOJAN CHONA BLANCO (EXPENDIO DE MEDICINAS ENMANUEL 2017 CHONA) F.P</t>
  </si>
  <si>
    <t>CARMEN DEL VALLE BRITO VASQUEZ (FARMACIA MACANAO, F.P.)</t>
  </si>
  <si>
    <t>CARMEN PASTORA ROJAS CAMACARO (EXPENDIO DE MEDICINAS PASTORINDA) F.P</t>
  </si>
  <si>
    <t>FARMACIA VIDA &amp; SALUD PLUS, C.A</t>
  </si>
  <si>
    <t>TU FARMA CUMANA, C.A.</t>
  </si>
  <si>
    <t>8874</t>
  </si>
  <si>
    <t>ROMERO CESAR</t>
  </si>
  <si>
    <t>753</t>
  </si>
  <si>
    <t>LEON ALVARADO ARIANIS ANTONIA</t>
  </si>
  <si>
    <t>221X</t>
  </si>
  <si>
    <t>PERNALETE LEAL, JOSE MANUEL</t>
  </si>
  <si>
    <t>368X</t>
  </si>
  <si>
    <t>GUSTAVO ADOLFO FERNANDEZ</t>
  </si>
  <si>
    <t>958</t>
  </si>
  <si>
    <t>GONZALES FLORES, FRANCIA CAROLINA</t>
  </si>
  <si>
    <t>5333</t>
  </si>
  <si>
    <t>FRANYI MERCEDES RAMOS PACHECO</t>
  </si>
  <si>
    <t>X996</t>
  </si>
  <si>
    <t>PEREZ DE PEREZ, ENKYS CECILIA</t>
  </si>
  <si>
    <t>3975</t>
  </si>
  <si>
    <t>HERNANDEZ MOLLEJAS, LUIS ARTURO</t>
  </si>
  <si>
    <t>4363</t>
  </si>
  <si>
    <t>SANCHEZ , CARMEN YARITZA</t>
  </si>
  <si>
    <t>X100</t>
  </si>
  <si>
    <t>MIKEL AIZPURUA BUSTOS</t>
  </si>
  <si>
    <t>X377</t>
  </si>
  <si>
    <t>VASQUEZ MENDEZ, MILAGROS JOSEFINA</t>
  </si>
  <si>
    <t>X38</t>
  </si>
  <si>
    <t>GONZALEZ CEDEÑO, NORILAY DEL VALLE</t>
  </si>
  <si>
    <t>074</t>
  </si>
  <si>
    <t>LOZANO VILLEGAS CARLOS ALBERTO</t>
  </si>
  <si>
    <t>349X</t>
  </si>
  <si>
    <t>GUSTAVO ADOLFO ABREU</t>
  </si>
  <si>
    <t>4882</t>
  </si>
  <si>
    <t>DE MARCO, TERESA</t>
  </si>
  <si>
    <t>A941</t>
  </si>
  <si>
    <t>SUAREZ FRANYELY</t>
  </si>
  <si>
    <t>9918</t>
  </si>
  <si>
    <t>RIVAS MARILYN COROMOTO</t>
  </si>
  <si>
    <t>E272</t>
  </si>
  <si>
    <t>PEREZ ENNY PAOLA</t>
  </si>
  <si>
    <t>9201</t>
  </si>
  <si>
    <t>LEONARDO JOSE COLINA VASQUEZ</t>
  </si>
  <si>
    <t>993</t>
  </si>
  <si>
    <t>GIMENEZ ENCINOZA, NELSON GUSTAVO.</t>
  </si>
  <si>
    <t>A009</t>
  </si>
  <si>
    <t>FIGUEROA NIVIANYI PAOLA</t>
  </si>
  <si>
    <t>X369</t>
  </si>
  <si>
    <t>CONTRERAS, JOSE ALBERTO</t>
  </si>
  <si>
    <t>X993</t>
  </si>
  <si>
    <t>PAEZ YEPEZ, NANCY</t>
  </si>
  <si>
    <t>B002</t>
  </si>
  <si>
    <t>GUEDEZ ALMY YULIBETH</t>
  </si>
  <si>
    <t>B656</t>
  </si>
  <si>
    <t>SANCHEZ CARLA YESENIA</t>
  </si>
  <si>
    <t>6591</t>
  </si>
  <si>
    <t>TORRES MAYELA</t>
  </si>
  <si>
    <t>B440</t>
  </si>
  <si>
    <t>NOGUERA YENNIFER YISETH</t>
  </si>
  <si>
    <t>A531</t>
  </si>
  <si>
    <t>VIVAS JEIMMY BRIGGIET</t>
  </si>
  <si>
    <t>9704</t>
  </si>
  <si>
    <t>CASTILLO JORHAN</t>
  </si>
  <si>
    <t>275X</t>
  </si>
  <si>
    <t>CARDOZA NELO, ISRAEL JOSE</t>
  </si>
  <si>
    <t>8707</t>
  </si>
  <si>
    <t>DONATO KATHERIGNNE ALEJANDRA</t>
  </si>
  <si>
    <t>X220</t>
  </si>
  <si>
    <t>GARCIA GARCIA, JOSE LUIS</t>
  </si>
  <si>
    <t>2175</t>
  </si>
  <si>
    <t>RIVERO LOAIZA , MARIELANGEL</t>
  </si>
  <si>
    <t>9903</t>
  </si>
  <si>
    <t>YANETH CAROL LOPEZ LA CRUZ,</t>
  </si>
  <si>
    <t>C059</t>
  </si>
  <si>
    <t>HEVIA EDISON RAFAEL</t>
  </si>
  <si>
    <t>8774</t>
  </si>
  <si>
    <t>VASQUEZ YENIRETH MAICAR</t>
  </si>
  <si>
    <t>2470</t>
  </si>
  <si>
    <t>CRUCES SANCHEZ, MARCOS ROBERT</t>
  </si>
  <si>
    <t>308X</t>
  </si>
  <si>
    <t>PEÑA MANZANILLA ISMAEL JOSE</t>
  </si>
  <si>
    <t>790</t>
  </si>
  <si>
    <t>PEREZ PICON MARIA ALEJANDRA</t>
  </si>
  <si>
    <t>4424</t>
  </si>
  <si>
    <t>GALINDEZ JUAN</t>
  </si>
  <si>
    <t>B801</t>
  </si>
  <si>
    <t>ESCOBAR FLORELBIS DEL CARMEN</t>
  </si>
  <si>
    <t>X36</t>
  </si>
  <si>
    <t>CORDERO YEPEZ, MATILDE</t>
  </si>
  <si>
    <t>B698</t>
  </si>
  <si>
    <t>LEDEZMA SAILEN ELIANA</t>
  </si>
  <si>
    <t>X009</t>
  </si>
  <si>
    <t>CARLOS GAMARRA</t>
  </si>
  <si>
    <t>4919</t>
  </si>
  <si>
    <t>SARA REBECA GIL CORREA</t>
  </si>
  <si>
    <t>B573</t>
  </si>
  <si>
    <t>MARANTE VICTOR ARMANDO</t>
  </si>
  <si>
    <t>B004</t>
  </si>
  <si>
    <t>SANTELIZ GREISY JOCELYNE</t>
  </si>
  <si>
    <t>X274</t>
  </si>
  <si>
    <t>VALERA GONZALEZ, WILLIAMS FRANCISCO</t>
  </si>
  <si>
    <t>B669</t>
  </si>
  <si>
    <t>SUAREZ ELVANIS ROMANA</t>
  </si>
  <si>
    <t>223X</t>
  </si>
  <si>
    <t>GUTIERREZ PERDOMO, ROSANGEL BEATRIZ</t>
  </si>
  <si>
    <t>9331</t>
  </si>
  <si>
    <t>COLMENAREZ YENNY</t>
  </si>
  <si>
    <t>A070</t>
  </si>
  <si>
    <t>FARIAS MIGUEL CARMELO</t>
  </si>
  <si>
    <t>247X</t>
  </si>
  <si>
    <t>RODRIGUEZ PEREZ, JAVIER EDUARDO</t>
  </si>
  <si>
    <t>556</t>
  </si>
  <si>
    <t>PAIVA GELMARY CAROLINA</t>
  </si>
  <si>
    <t>D392</t>
  </si>
  <si>
    <t>MORAN VARGAS MARIA DE LOS ANGELES</t>
  </si>
  <si>
    <t>A710</t>
  </si>
  <si>
    <t>PEREZ YELITZA VIRGINIA</t>
  </si>
  <si>
    <t>B275</t>
  </si>
  <si>
    <t>OVIEDO VIRGINIA ADRIAN</t>
  </si>
  <si>
    <t>D978</t>
  </si>
  <si>
    <t>GREIVER JOSE CORDERO</t>
  </si>
  <si>
    <t>A633</t>
  </si>
  <si>
    <t>PAREDES MARIA ANGELICA</t>
  </si>
  <si>
    <t>848</t>
  </si>
  <si>
    <t>Garcias Ramirez, Aldo Baltazar.</t>
  </si>
  <si>
    <t>B709</t>
  </si>
  <si>
    <t>SEQUERA YOLIMAR TERESA</t>
  </si>
  <si>
    <t>5987</t>
  </si>
  <si>
    <t>BRISMAIRA MERCEDES POMPA GARCIA</t>
  </si>
  <si>
    <t>D883</t>
  </si>
  <si>
    <t>RAQUEL YARITZA PEREZ</t>
  </si>
  <si>
    <t>0169</t>
  </si>
  <si>
    <t>MANZANO ANGEL</t>
  </si>
  <si>
    <t>C802</t>
  </si>
  <si>
    <t>HOSTENCH YARCE CLAUDIA MARIA</t>
  </si>
  <si>
    <t>D210</t>
  </si>
  <si>
    <t>ALVARADO RIGIO, JOSE RAFAEL</t>
  </si>
  <si>
    <t>B075</t>
  </si>
  <si>
    <t>RODRIGUEZ WILKAR ELENA</t>
  </si>
  <si>
    <t>C607</t>
  </si>
  <si>
    <t>SALON IRIELYS PASTORA</t>
  </si>
  <si>
    <t>D553</t>
  </si>
  <si>
    <t>ESPINOZA HERNANDEZ, DARLI SILVANA</t>
  </si>
  <si>
    <t>D046</t>
  </si>
  <si>
    <t>TORREALBA VILERA DOUGLAS DANIEL</t>
  </si>
  <si>
    <t>212X</t>
  </si>
  <si>
    <t>ARAMBARRIO MARTINEZ, ANA KARINA</t>
  </si>
  <si>
    <t>C931</t>
  </si>
  <si>
    <t>PIÑA CATARI, WILMAR ANDREINA</t>
  </si>
  <si>
    <t>B925</t>
  </si>
  <si>
    <t>PEREZ MAYERLING CAROLINA</t>
  </si>
  <si>
    <t>D241</t>
  </si>
  <si>
    <t>ROJAS ARROYO JOSE ISMAEL</t>
  </si>
  <si>
    <t>X03</t>
  </si>
  <si>
    <t>ALVARADO AGUILAR, VICTOR JOSE</t>
  </si>
  <si>
    <t>0419</t>
  </si>
  <si>
    <t>PEREZ  NIETO LORENA ASTRID</t>
  </si>
  <si>
    <t>D831</t>
  </si>
  <si>
    <t>MIRLA DEL CARMEN TORREALBA</t>
  </si>
  <si>
    <t>D099</t>
  </si>
  <si>
    <t>HEREDIA VIVAS, MARGIORY ALEJANDRA</t>
  </si>
  <si>
    <t>A940</t>
  </si>
  <si>
    <t>GUTIERREZ ABRIL NATHALIE</t>
  </si>
  <si>
    <t>662</t>
  </si>
  <si>
    <t>FERNADEZ SEIJAS GERARDO ALEXANDER</t>
  </si>
  <si>
    <t>227X</t>
  </si>
  <si>
    <t>CHAVEZ SILVA, ANAIS ALEXANDRA</t>
  </si>
  <si>
    <t>B445</t>
  </si>
  <si>
    <t>PONCE RAFAEL JOSE</t>
  </si>
  <si>
    <t>D977</t>
  </si>
  <si>
    <t>STEPHANY ANDREINA MATOS</t>
  </si>
  <si>
    <t>9920</t>
  </si>
  <si>
    <t>BLANCO GLORIA SOLEDAD</t>
  </si>
  <si>
    <t>C098</t>
  </si>
  <si>
    <t>CAMACHO JOSE ANGEL</t>
  </si>
  <si>
    <t>7833</t>
  </si>
  <si>
    <t>ZAMBRANO LUIS</t>
  </si>
  <si>
    <t>5989</t>
  </si>
  <si>
    <t>CAROLINA DE JESUS GONZALEZ CRESPO</t>
  </si>
  <si>
    <t>5622</t>
  </si>
  <si>
    <t>PINEDA AIDA</t>
  </si>
  <si>
    <t>293</t>
  </si>
  <si>
    <t>CHAVEZ GRATEROL ALEXIS JOSE</t>
  </si>
  <si>
    <t>371X</t>
  </si>
  <si>
    <t>SORIMAR SARAY VIVAS</t>
  </si>
  <si>
    <t>D588</t>
  </si>
  <si>
    <t>MARISABEL CORDERO GONZALEZ</t>
  </si>
  <si>
    <t>X59</t>
  </si>
  <si>
    <t>TORRES SUAREZ, JESUS EDUARDO</t>
  </si>
  <si>
    <t>B919</t>
  </si>
  <si>
    <t>ALMEIDA HEMIL HECTOR</t>
  </si>
  <si>
    <t>D976</t>
  </si>
  <si>
    <t>GIVELYS VIZCAYA</t>
  </si>
  <si>
    <t>B835</t>
  </si>
  <si>
    <t>ROJAS REINELL RAUL</t>
  </si>
  <si>
    <t>333X</t>
  </si>
  <si>
    <t>REYES MARTINEZ EDMARY CAROLINA</t>
  </si>
  <si>
    <t>D975</t>
  </si>
  <si>
    <t>KAREN ANDREINA ANDUEZA</t>
  </si>
  <si>
    <t>179</t>
  </si>
  <si>
    <t>BRICEÑO VARGAS SAMUEL DE JESUS</t>
  </si>
  <si>
    <t>279</t>
  </si>
  <si>
    <t>DIAZ MARIA EUGENIA</t>
  </si>
  <si>
    <t>D826</t>
  </si>
  <si>
    <t>JEHISON ALFREDO YEPEZ</t>
  </si>
  <si>
    <t>D597</t>
  </si>
  <si>
    <t>LOPEZ NELO, MAIRELVIS ELIANGEL</t>
  </si>
  <si>
    <t>9180</t>
  </si>
  <si>
    <t>KAREMLYG AMARANTA MARIN CARVAJAL</t>
  </si>
  <si>
    <t>5344</t>
  </si>
  <si>
    <t>CARLOS ENRIQUE ROMERO</t>
  </si>
  <si>
    <t>A516</t>
  </si>
  <si>
    <t>PEÑA NAYAMIR DAYANA</t>
  </si>
  <si>
    <t>277X</t>
  </si>
  <si>
    <t>PEROZO PEROZO, GABRIELA KAMILA</t>
  </si>
  <si>
    <t>B597</t>
  </si>
  <si>
    <t>BONILLA VALERIA ANDREA</t>
  </si>
  <si>
    <t>ROJAS KARIN</t>
  </si>
  <si>
    <t>C842</t>
  </si>
  <si>
    <t>LUIS ARENAS</t>
  </si>
  <si>
    <t>D410</t>
  </si>
  <si>
    <t>COLMENAREZ RAMONES ARIANNA PAOLA</t>
  </si>
  <si>
    <t>4939</t>
  </si>
  <si>
    <t>YOLANDA HERRERA GUANES</t>
  </si>
  <si>
    <t>985</t>
  </si>
  <si>
    <t>TOLEDO, JOSE GREGORIO.</t>
  </si>
  <si>
    <t>378X</t>
  </si>
  <si>
    <t>JOSE DAVID SIERRA</t>
  </si>
  <si>
    <t>B749</t>
  </si>
  <si>
    <t>ESCALANTE NORLEIDY LISSETH</t>
  </si>
  <si>
    <t>5424</t>
  </si>
  <si>
    <t>YELITZA INES CUBILLAN CHOURIO</t>
  </si>
  <si>
    <t>X015</t>
  </si>
  <si>
    <t>DUDAMEL PEÑA, MARTIN JOSE</t>
  </si>
  <si>
    <t>D879</t>
  </si>
  <si>
    <t>NORKELIS PASTORA ARANGUREN</t>
  </si>
  <si>
    <t>B803</t>
  </si>
  <si>
    <t>OCANTO YOSELYN VANESSA</t>
  </si>
  <si>
    <t>D594</t>
  </si>
  <si>
    <t>SOTELDO FIGUEREDO BRYANT JOSE</t>
  </si>
  <si>
    <t>029X</t>
  </si>
  <si>
    <t>CANDOTTI LINO</t>
  </si>
  <si>
    <t>197X</t>
  </si>
  <si>
    <t>KAREN TORRES</t>
  </si>
  <si>
    <t>326X</t>
  </si>
  <si>
    <t>SUAREZ MARTINEZ JESUS ANTONIO</t>
  </si>
  <si>
    <t>2066</t>
  </si>
  <si>
    <t>GONZALEZ SOSA , WILLIAN JOSE</t>
  </si>
  <si>
    <t>X82</t>
  </si>
  <si>
    <t>PEREZ VENTURA, LUIS FERNANDO</t>
  </si>
  <si>
    <t>A529</t>
  </si>
  <si>
    <t>DURAN YOSWAR LEONEL</t>
  </si>
  <si>
    <t>8169</t>
  </si>
  <si>
    <t>SANCHEZ ELVIRA</t>
  </si>
  <si>
    <t>2308</t>
  </si>
  <si>
    <t>DESTRE SARMIENTO, GABRIEL ANGEL</t>
  </si>
  <si>
    <t>A975</t>
  </si>
  <si>
    <t>PEREZ JESUS ESTEBAN</t>
  </si>
  <si>
    <t>D963</t>
  </si>
  <si>
    <t>YARGIL MARGARITA RADA</t>
  </si>
  <si>
    <t>A631</t>
  </si>
  <si>
    <t>MENDOZA ADOLFO JOSE</t>
  </si>
  <si>
    <t>B982</t>
  </si>
  <si>
    <t>CORREA DAGNER JESUS</t>
  </si>
  <si>
    <t>A530</t>
  </si>
  <si>
    <t>RAMIREZ RAIBERTH ANTONIO</t>
  </si>
  <si>
    <t>581</t>
  </si>
  <si>
    <t>TOVAR ANDREINA DEL VALLE</t>
  </si>
  <si>
    <t>B609</t>
  </si>
  <si>
    <t>RAMOS NELSON RICARDO</t>
  </si>
  <si>
    <t>D051</t>
  </si>
  <si>
    <t>POLEO CUELLO JOSE DE JESUS</t>
  </si>
  <si>
    <t>9912</t>
  </si>
  <si>
    <t>BRAZON JEAN BAUTYE</t>
  </si>
  <si>
    <t>C811</t>
  </si>
  <si>
    <t>TORI BUSTILLOS DIEGO ARMANDO</t>
  </si>
  <si>
    <t>D595</t>
  </si>
  <si>
    <t>PATIÑO DIAZ, EDITH YURAIMA</t>
  </si>
  <si>
    <t>A786</t>
  </si>
  <si>
    <t>DURAN OMAR JAVIER</t>
  </si>
  <si>
    <t>D589</t>
  </si>
  <si>
    <t>CASTILLO MARIA FERNANDA</t>
  </si>
  <si>
    <t>B435</t>
  </si>
  <si>
    <t>CONTRERAS GREILIS YANITZA</t>
  </si>
  <si>
    <t>D348</t>
  </si>
  <si>
    <t>ALVAREZ MONTILLA JOSE DANIEL</t>
  </si>
  <si>
    <t>D458</t>
  </si>
  <si>
    <t>TORREALBA SUAREZ YERDELIN DEL CARMEN</t>
  </si>
  <si>
    <t>6185</t>
  </si>
  <si>
    <t>BRICEÑO GERMAN</t>
  </si>
  <si>
    <t>D024</t>
  </si>
  <si>
    <t>OROPEZA RIVERO, EGLENDY KATIUSKA</t>
  </si>
  <si>
    <t>C000</t>
  </si>
  <si>
    <t>QUIROZ DANIA SARAY</t>
  </si>
  <si>
    <t>C130</t>
  </si>
  <si>
    <t>LAMEDA YELITZA YAMILEX</t>
  </si>
  <si>
    <t>D590</t>
  </si>
  <si>
    <t>MOGOLLON ESCOBAR NAYLA TIBISAY</t>
  </si>
  <si>
    <t>5907</t>
  </si>
  <si>
    <t>ARNALDO ROBERTO PINTO RODRIGUEZ</t>
  </si>
  <si>
    <t>374X</t>
  </si>
  <si>
    <t>CESAR ALEJANDRO MORILLO</t>
  </si>
  <si>
    <t>B377</t>
  </si>
  <si>
    <t>ZAMBRANO LEIDY NATHALLY</t>
  </si>
  <si>
    <t>487</t>
  </si>
  <si>
    <t>CORDERO GISELT NATHALY</t>
  </si>
  <si>
    <t>C488</t>
  </si>
  <si>
    <t>BARCOS RENNY JOSNEL</t>
  </si>
  <si>
    <t>D964</t>
  </si>
  <si>
    <t>DIOZAIDA DEL VALLE LINAREZ</t>
  </si>
  <si>
    <t>9332</t>
  </si>
  <si>
    <t>ALVARADO JOHAN</t>
  </si>
  <si>
    <t>477</t>
  </si>
  <si>
    <t>HERNANDEZ ROIBER JOSE</t>
  </si>
  <si>
    <t>B802</t>
  </si>
  <si>
    <t>GONZALEZ HECTOR MOISES</t>
  </si>
  <si>
    <t>344X</t>
  </si>
  <si>
    <t>ODEILYS DEL CARMEN URBINA</t>
  </si>
  <si>
    <t>B811</t>
  </si>
  <si>
    <t>LUGO SAMANTHA COROMOTO</t>
  </si>
  <si>
    <t>D389</t>
  </si>
  <si>
    <t>ALBURJAS SANCHEZ YELITZA LILIBETH</t>
  </si>
  <si>
    <t>D796</t>
  </si>
  <si>
    <t>GERALDINE VANESSA ROSENDO</t>
  </si>
  <si>
    <t>5546</t>
  </si>
  <si>
    <t>RODRIGUEZ EMANUEL</t>
  </si>
  <si>
    <t>D050</t>
  </si>
  <si>
    <t>ADAN MELENDEZ ANGELICA MARIA</t>
  </si>
  <si>
    <t>B401</t>
  </si>
  <si>
    <t>ANGULO BEIMAR JOSYBE</t>
  </si>
  <si>
    <t>5163</t>
  </si>
  <si>
    <t>COLMENAREZ ERWIN NEOMAR</t>
  </si>
  <si>
    <t>708</t>
  </si>
  <si>
    <t>LOPEZ MARIN JULIAN RAMON</t>
  </si>
  <si>
    <t>3957</t>
  </si>
  <si>
    <t>ZABALA RINCON, JAVIER DAVID</t>
  </si>
  <si>
    <t>D090</t>
  </si>
  <si>
    <t>ARAQUE COLMENARES WILLIAM ARTURO</t>
  </si>
  <si>
    <t>D657</t>
  </si>
  <si>
    <t>ADRIANA PATRICIA ROMERO</t>
  </si>
  <si>
    <t>4400</t>
  </si>
  <si>
    <t>JOSE GREGORIO MUÑOZ RODRIGUEZ</t>
  </si>
  <si>
    <t>B426</t>
  </si>
  <si>
    <t>PERNALETE FRANCELYS CLARIANNED</t>
  </si>
  <si>
    <t>2877</t>
  </si>
  <si>
    <t>FERNANDO HIPOLITO RIVERO AMARO</t>
  </si>
  <si>
    <t>229</t>
  </si>
  <si>
    <t>ARENAS COLMENAREZ MIGUEL ANGEL</t>
  </si>
  <si>
    <t>X168</t>
  </si>
  <si>
    <t>ESPINOZA COLINA, BRADISLAV</t>
  </si>
  <si>
    <t>D656</t>
  </si>
  <si>
    <t>CESAR DAVID BRIZUELA</t>
  </si>
  <si>
    <t>C813</t>
  </si>
  <si>
    <t>WILLIAMS RODOLFO PALMERA RODRIGUEZ</t>
  </si>
  <si>
    <t>D974</t>
  </si>
  <si>
    <t>MARIA PAOLA LOPEZ</t>
  </si>
  <si>
    <t>5465</t>
  </si>
  <si>
    <t>ORDAZ EREU MARIA NATALIA</t>
  </si>
  <si>
    <t>D959</t>
  </si>
  <si>
    <t>HAROL ADRIAN RAMIREZ</t>
  </si>
  <si>
    <t>360X</t>
  </si>
  <si>
    <t>EDUARDO JOSE PEREZ</t>
  </si>
  <si>
    <t>D961</t>
  </si>
  <si>
    <t>DANIEL YOBANNY PAEZ</t>
  </si>
  <si>
    <t>D825</t>
  </si>
  <si>
    <t>LUIS ALFONSO SANCHEZ</t>
  </si>
  <si>
    <t>D828</t>
  </si>
  <si>
    <t>AURYSOL CRISTINA OVIEDO</t>
  </si>
  <si>
    <t>D658</t>
  </si>
  <si>
    <t>MARIANGEL INES YANEZ</t>
  </si>
  <si>
    <t>8054</t>
  </si>
  <si>
    <t>DARWIN DAVID ESPINOZA BLANCO</t>
  </si>
  <si>
    <t>2202</t>
  </si>
  <si>
    <t>RODRIGUEZ KEVIN JOSE</t>
  </si>
  <si>
    <t>D209</t>
  </si>
  <si>
    <t>CAMACARO REVILLA, NATHALY PAOLA</t>
  </si>
  <si>
    <t>B389</t>
  </si>
  <si>
    <t>RIVERO FELIX RAUL</t>
  </si>
  <si>
    <t>B505</t>
  </si>
  <si>
    <t>PEREZ WILLIANNY LUDITH</t>
  </si>
  <si>
    <t>677</t>
  </si>
  <si>
    <t>FIGUEROA SANCHEZ NORYA MARINA</t>
  </si>
  <si>
    <t>D791</t>
  </si>
  <si>
    <t>GUSTAVO JOSE CORONADO</t>
  </si>
  <si>
    <t>B921</t>
  </si>
  <si>
    <t>MORALES KENNYS JOSUE</t>
  </si>
  <si>
    <t>347X</t>
  </si>
  <si>
    <t>ERWIN ANTONIO VALERA</t>
  </si>
  <si>
    <t>A636</t>
  </si>
  <si>
    <t>GARCIA ROSWAL RAFAEL</t>
  </si>
  <si>
    <t>D793</t>
  </si>
  <si>
    <t>DENNY JAVIER REYES</t>
  </si>
  <si>
    <t>377X</t>
  </si>
  <si>
    <t>WAILER RAFAEL ALVARADO</t>
  </si>
  <si>
    <t>071</t>
  </si>
  <si>
    <t>LANDAETA FLORES LEANDRO JOSE</t>
  </si>
  <si>
    <t>X20</t>
  </si>
  <si>
    <t>MENDOZA GOYO, SEGUNDO NICOLAS</t>
  </si>
  <si>
    <t>X578</t>
  </si>
  <si>
    <t>RODRIGUEZ PRADO, IRAIDA COROMOTO</t>
  </si>
  <si>
    <t>D019</t>
  </si>
  <si>
    <t>BOGADO MATERAN RICHARD JESUS</t>
  </si>
  <si>
    <t>4033</t>
  </si>
  <si>
    <t>WILLIAM ARMANDO ZORRILLA PARRA</t>
  </si>
  <si>
    <t>D882</t>
  </si>
  <si>
    <t>JOSE DIEGO ACOSTA</t>
  </si>
  <si>
    <t>077X</t>
  </si>
  <si>
    <t>TORRES ROBERTO</t>
  </si>
  <si>
    <t>278X</t>
  </si>
  <si>
    <t>CASTILLO TERAN, VICTOR MANUEL</t>
  </si>
  <si>
    <t>C862</t>
  </si>
  <si>
    <t>RAMOS PACHECO DAYMELIS PASTORA</t>
  </si>
  <si>
    <t>7775</t>
  </si>
  <si>
    <t>GRANADO LOAIZA JOEL JOSE</t>
  </si>
  <si>
    <t>379X</t>
  </si>
  <si>
    <t>GREYVOR GERARTD CHAVEZ</t>
  </si>
  <si>
    <t>300</t>
  </si>
  <si>
    <t>QUERALES JAIRO</t>
  </si>
  <si>
    <t>9725</t>
  </si>
  <si>
    <t>PEREZ JEAN</t>
  </si>
  <si>
    <t>362X</t>
  </si>
  <si>
    <t>RODRIGUEZ CARUCI MARIA ALEJANDRA</t>
  </si>
  <si>
    <t>3728</t>
  </si>
  <si>
    <t>DIAZ GONZALEZ DANILO LEONARDO</t>
  </si>
  <si>
    <t>1946</t>
  </si>
  <si>
    <t>WOLFANG T. JIMENEZ G</t>
  </si>
  <si>
    <t>A886</t>
  </si>
  <si>
    <t>ORTEGA GISELA DEL CARMEN</t>
  </si>
  <si>
    <t>9040</t>
  </si>
  <si>
    <t>MORA REINALDO</t>
  </si>
  <si>
    <t>311X</t>
  </si>
  <si>
    <t>JOSE MANUEL CARIPA CARIPA</t>
  </si>
  <si>
    <t>679</t>
  </si>
  <si>
    <t>GOMEZ MATHEUS GABRIEL ALFONSO</t>
  </si>
  <si>
    <t>X40</t>
  </si>
  <si>
    <t>LOPEZ ROJAS, MARLENE</t>
  </si>
  <si>
    <t>X42</t>
  </si>
  <si>
    <t>MARTINEZ, ALEXIS COROMOTO</t>
  </si>
  <si>
    <t>D045</t>
  </si>
  <si>
    <t>PEREZ ANTILLANO JOSSELINE YARITZA</t>
  </si>
  <si>
    <t>D827</t>
  </si>
  <si>
    <t>JOSE MANUEL GATTA</t>
  </si>
  <si>
    <t>376X</t>
  </si>
  <si>
    <t>LUIS GERARDO VIELMA</t>
  </si>
  <si>
    <t>D868</t>
  </si>
  <si>
    <t>PAULA ALEJANDRA ALVARADO</t>
  </si>
  <si>
    <t>B831</t>
  </si>
  <si>
    <t>PASTRAN ANTHONY JOSUE</t>
  </si>
  <si>
    <t>356X</t>
  </si>
  <si>
    <t>YHON SHEIDER GONZALEZ</t>
  </si>
  <si>
    <t>D730</t>
  </si>
  <si>
    <t>YONEYKER JOSE MENDOZA</t>
  </si>
  <si>
    <t>D242</t>
  </si>
  <si>
    <t>ZABALA LOPEZ EDGAR ALEJANDRO</t>
  </si>
  <si>
    <t>D280</t>
  </si>
  <si>
    <t>SUAREZ LACRUZ ELIAS GADIEL</t>
  </si>
  <si>
    <t>2378</t>
  </si>
  <si>
    <t>GRATEROL MATHEUS, CARLOS ENRIQUE</t>
  </si>
  <si>
    <t>D981</t>
  </si>
  <si>
    <t>LURDES CRISDEL TORRES</t>
  </si>
  <si>
    <t>4857</t>
  </si>
  <si>
    <t>HERNANDEZ AVILA, MARGARITA EMILIA</t>
  </si>
  <si>
    <t>264X</t>
  </si>
  <si>
    <t>BRAVO COLMENAREZ, ALEJANDRA PASTORA</t>
  </si>
  <si>
    <t>4803</t>
  </si>
  <si>
    <t>JOSE ESTEBAN ALEJOS</t>
  </si>
  <si>
    <t>89</t>
  </si>
  <si>
    <t>RANGEL EDITH ROSAURA</t>
  </si>
  <si>
    <t>0449</t>
  </si>
  <si>
    <t>CUICAS ANDREINA ALEJANDRA</t>
  </si>
  <si>
    <t>B003</t>
  </si>
  <si>
    <t>NOGUERA ALDIMAR LISBETH</t>
  </si>
  <si>
    <t>318X</t>
  </si>
  <si>
    <t>ALEJANDRA SARAHI ARANGUREN</t>
  </si>
  <si>
    <t>D829</t>
  </si>
  <si>
    <t>KIMBERLYN IMAHRU RODRIGUEZ</t>
  </si>
  <si>
    <t>X218</t>
  </si>
  <si>
    <t>YEPEZ, CARLOS ALBERTO</t>
  </si>
  <si>
    <t>4704</t>
  </si>
  <si>
    <t>MEDINA VELASQUEZ, MIGUEL ALEJANDRO</t>
  </si>
  <si>
    <t>375X</t>
  </si>
  <si>
    <t>NEYCARI MAYELA GALINDEZ</t>
  </si>
  <si>
    <t>X35</t>
  </si>
  <si>
    <t>CADEVILLA, HECTOR BARTOLO</t>
  </si>
  <si>
    <t>303</t>
  </si>
  <si>
    <t>AMARO ARENA ROBETH ORLANDO</t>
  </si>
  <si>
    <t>D792</t>
  </si>
  <si>
    <t>ALEJANDRA GABRIELIS MONTAÑO</t>
  </si>
  <si>
    <t>9788</t>
  </si>
  <si>
    <t>DEIVIS AVELINO MONASTERIOS YANEZ</t>
  </si>
  <si>
    <t>D047</t>
  </si>
  <si>
    <t>CASTILLO AGÜERO MOISES DAVID</t>
  </si>
  <si>
    <t>380X</t>
  </si>
  <si>
    <t>JOSE ALBERTO FERRAZ</t>
  </si>
  <si>
    <t>345X</t>
  </si>
  <si>
    <t>YURFEL FELIAN TORO</t>
  </si>
  <si>
    <t>D510</t>
  </si>
  <si>
    <t>FUENMAYOR PARRA HUMBERTO DAVID</t>
  </si>
  <si>
    <t>6820</t>
  </si>
  <si>
    <t>BENITE DARWIN</t>
  </si>
  <si>
    <t>361X</t>
  </si>
  <si>
    <t>FABIANA COROMOTO CABRILES</t>
  </si>
  <si>
    <t>283X</t>
  </si>
  <si>
    <t>ALVIN RAUL DURAN BARRETO</t>
  </si>
  <si>
    <t>5252</t>
  </si>
  <si>
    <t>PEROZO GREGORIO</t>
  </si>
  <si>
    <t>D728</t>
  </si>
  <si>
    <t>DAIVED JOSUETH HERNANDEZ</t>
  </si>
  <si>
    <t>6345</t>
  </si>
  <si>
    <t>CARLOS LUIS PEREZ PEREZ</t>
  </si>
  <si>
    <t>8724</t>
  </si>
  <si>
    <t>ESPINOZA GENESIS JOSETH</t>
  </si>
  <si>
    <t>363X</t>
  </si>
  <si>
    <t>GOMEZ SENCLER YESSIKA NATHALY DE JESUS</t>
  </si>
  <si>
    <t>D957</t>
  </si>
  <si>
    <t>XAVIER DAVID DELGADO</t>
  </si>
  <si>
    <t>D830</t>
  </si>
  <si>
    <t>ANDREA VALENTINA CUICAS</t>
  </si>
  <si>
    <t>8635</t>
  </si>
  <si>
    <t>ESCALONA HENRY</t>
  </si>
  <si>
    <t>107X</t>
  </si>
  <si>
    <t>VASQUEZ RIVERO, REYSIS JESUS</t>
  </si>
  <si>
    <t>2853</t>
  </si>
  <si>
    <t>TONI JOSE GIL ZAPATA</t>
  </si>
  <si>
    <t>3342</t>
  </si>
  <si>
    <t>MARIO GRATEROL</t>
  </si>
  <si>
    <t>3302</t>
  </si>
  <si>
    <t>ARMANDO LARA</t>
  </si>
  <si>
    <t>012X</t>
  </si>
  <si>
    <t>VASQUEZ MORILLO, MAILETH IRINA</t>
  </si>
  <si>
    <t>357X</t>
  </si>
  <si>
    <t>CESAR LEANDRO MANZANILLA</t>
  </si>
  <si>
    <t>B608</t>
  </si>
  <si>
    <t>CORDIDO CRISOL AMARU</t>
  </si>
  <si>
    <t>4017</t>
  </si>
  <si>
    <t>JESUS VASQUEZ</t>
  </si>
  <si>
    <t>4497</t>
  </si>
  <si>
    <t>LUIS ALBERTO MONTILLA ZERPA</t>
  </si>
  <si>
    <t>D979</t>
  </si>
  <si>
    <t>JESUS MIGUEL VASQUEZ</t>
  </si>
  <si>
    <t>9385</t>
  </si>
  <si>
    <t>MARVIN DOMINGO CEDEÑO MEDINA</t>
  </si>
  <si>
    <t>6450</t>
  </si>
  <si>
    <t>JOSE GREGORIO CARCURIANO OCA</t>
  </si>
  <si>
    <t>D795</t>
  </si>
  <si>
    <t>JUAN CARLOS EREU</t>
  </si>
  <si>
    <t>5293</t>
  </si>
  <si>
    <t>EVELIO ENRIQUE  NAVARRO SUAREZ</t>
  </si>
  <si>
    <t>A663</t>
  </si>
  <si>
    <t>CISNEROS ROBERT ISMAEL</t>
  </si>
  <si>
    <t>3546</t>
  </si>
  <si>
    <t>JOSÉ GÓMEZ</t>
  </si>
  <si>
    <t>3856</t>
  </si>
  <si>
    <t>SÁNCHEZ LAMON CECILIO</t>
  </si>
  <si>
    <t>153</t>
  </si>
  <si>
    <t>RODRIGUEZ MARTINEZ ANDRES JOSE</t>
  </si>
  <si>
    <t>9921</t>
  </si>
  <si>
    <t>ESCALONA LILIAM YESSENIA</t>
  </si>
  <si>
    <t>346X</t>
  </si>
  <si>
    <t>REBECA ISABEL BRITO</t>
  </si>
  <si>
    <t>5961</t>
  </si>
  <si>
    <t>MENDOZA CASTILLO DOUGLAS LENIN</t>
  </si>
  <si>
    <t>C861</t>
  </si>
  <si>
    <t>JOSE ANTONIO FUSIL PERAZA</t>
  </si>
  <si>
    <t>4101</t>
  </si>
  <si>
    <t>CAMACARO , ENDER JESUS</t>
  </si>
  <si>
    <t>D832</t>
  </si>
  <si>
    <t>YURIMAR SAILET VARGAS</t>
  </si>
  <si>
    <t>281</t>
  </si>
  <si>
    <t>PEÑA ANDREA DAYANA</t>
  </si>
  <si>
    <t>897</t>
  </si>
  <si>
    <t>Lucena Suarez, Elisaul Jose.</t>
  </si>
  <si>
    <t>D956</t>
  </si>
  <si>
    <t>JHOSTIN JESUS LOVERA</t>
  </si>
  <si>
    <t>D409</t>
  </si>
  <si>
    <t>ARAUJO PINZON KEIBER DANIEL</t>
  </si>
  <si>
    <t>313X</t>
  </si>
  <si>
    <t>BETANCOURT RIVERO, JHILMER JOSE</t>
  </si>
  <si>
    <t>644</t>
  </si>
  <si>
    <t>PELLICER MUÑOZ VICTOR MANUEL</t>
  </si>
  <si>
    <t>5478</t>
  </si>
  <si>
    <t>CASTILLO ELEAZAR YAMILKA</t>
  </si>
  <si>
    <t>6806</t>
  </si>
  <si>
    <t>SANCHEZ ALEXIS</t>
  </si>
  <si>
    <t>7173</t>
  </si>
  <si>
    <t>MARÍN MARTINEZ GLEIBERT JESUS</t>
  </si>
  <si>
    <t>082</t>
  </si>
  <si>
    <t>MONTILLA JUAN BAUTISTA</t>
  </si>
  <si>
    <t>703</t>
  </si>
  <si>
    <t>RODRIGUEZ REYES GREGOR ALEXANDER</t>
  </si>
  <si>
    <t>D729</t>
  </si>
  <si>
    <t>GENDERSON RAFAEL REYES</t>
  </si>
  <si>
    <t>4644</t>
  </si>
  <si>
    <t>JIMENEZ GOMEZ , RICHARD GREGORIO</t>
  </si>
  <si>
    <t>6275</t>
  </si>
  <si>
    <t>PEREZ FREDDY</t>
  </si>
  <si>
    <t>X16</t>
  </si>
  <si>
    <t>GUTIERREZ PIÑA, BAUDILIO RAMON</t>
  </si>
  <si>
    <t>7008</t>
  </si>
  <si>
    <t>Bracho Juan Carlos</t>
  </si>
  <si>
    <t>3539</t>
  </si>
  <si>
    <t>ALGELBIS GABRIEL</t>
  </si>
  <si>
    <t>5248</t>
  </si>
  <si>
    <t>CHIRINOS PIÑA ANDY ALEXANDER</t>
  </si>
  <si>
    <t>5168</t>
  </si>
  <si>
    <t>SIRA RAMON</t>
  </si>
  <si>
    <t>D962</t>
  </si>
  <si>
    <t>BRYAN VENTURA CORREA</t>
  </si>
  <si>
    <t>D797</t>
  </si>
  <si>
    <t>SKARLING LISSETH SILVA</t>
  </si>
  <si>
    <t>359X</t>
  </si>
  <si>
    <t>LUIS ALEJANDRO FERREIRA</t>
  </si>
  <si>
    <t>348X</t>
  </si>
  <si>
    <t>EDUAR JOSE MONTILLA</t>
  </si>
  <si>
    <t>D747</t>
  </si>
  <si>
    <t>ANTHONY TOMAS RODRIGUEZ</t>
  </si>
  <si>
    <t>Val 2026</t>
  </si>
  <si>
    <t>Acum Ene- May</t>
  </si>
  <si>
    <t>MEDVAL C.A.</t>
  </si>
  <si>
    <t>GUDS SUPPLY C.A.</t>
  </si>
  <si>
    <t>LABORATORIOS LYA C.A.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</si>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</sst>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\$\ #,##0.00"/>
    <numFmt numFmtId="165" formatCode="0.00\ %;\-0.00\ %;0.00\ %"/>
    <numFmt numFmtId="168" formatCode="_(&quot;Bs.D&quot;* #,##0.00_);_(&quot;Bs.D&quot;* \(#,##0.00\);_(&quot;Bs.D&quot;* &quot;-&quot;??_);_(@_)"/>
    <numFmt numFmtId="169" formatCode="_ * #,##0_ ;_ * \-#,##0_ ;_ * &quot;-&quot;??_ ;_ @_ "/>
  </numFmts>
  <fonts count="18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1"/>
      <color rgb="FFFFC000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26"/>
      <color theme="0"/>
      <name val="Calibri"/>
      <family val="2"/>
    </font>
    <font>
      <sz val="8"/>
      <name val="Calibri"/>
      <family val="2"/>
    </font>
    <font>
      <b/>
      <sz val="9"/>
      <color theme="0"/>
      <name val="Calibri"/>
      <family val="2"/>
    </font>
    <font>
      <sz val="8"/>
      <name val="Calibri"/>
      <family val="2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2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/>
    <xf numFmtId="3" fontId="2" fillId="0" borderId="0" xfId="0" applyNumberFormat="1" applyFont="1"/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/>
    <xf numFmtId="10" fontId="0" fillId="0" borderId="0" xfId="1" applyNumberFormat="1" applyFont="1"/>
    <xf numFmtId="10" fontId="5" fillId="2" borderId="0" xfId="1" applyNumberFormat="1" applyFont="1" applyFill="1"/>
    <xf numFmtId="164" fontId="0" fillId="0" borderId="0" xfId="0" applyNumberFormat="1"/>
    <xf numFmtId="164" fontId="2" fillId="0" borderId="0" xfId="0" applyNumberFormat="1" applyFont="1"/>
    <xf numFmtId="164" fontId="6" fillId="2" borderId="0" xfId="0" applyNumberFormat="1" applyFont="1" applyFill="1"/>
    <xf numFmtId="3" fontId="6" fillId="3" borderId="0" xfId="0" applyNumberFormat="1" applyFont="1" applyFill="1"/>
    <xf numFmtId="10" fontId="6" fillId="3" borderId="0" xfId="1" applyNumberFormat="1" applyFont="1" applyFill="1"/>
    <xf numFmtId="164" fontId="6" fillId="3" borderId="0" xfId="0" applyNumberFormat="1" applyFont="1" applyFill="1"/>
    <xf numFmtId="10" fontId="8" fillId="0" borderId="0" xfId="1" applyNumberFormat="1" applyFont="1"/>
    <xf numFmtId="0" fontId="6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top"/>
    </xf>
    <xf numFmtId="0" fontId="6" fillId="2" borderId="0" xfId="0" applyFont="1" applyFill="1" applyAlignment="1">
      <alignment horizontal="right" vertical="top"/>
    </xf>
    <xf numFmtId="0" fontId="6" fillId="3" borderId="0" xfId="0" applyFont="1" applyFill="1" applyAlignment="1">
      <alignment horizontal="right" vertical="top"/>
    </xf>
    <xf numFmtId="165" fontId="0" fillId="0" borderId="0" xfId="0" applyNumberFormat="1"/>
    <xf numFmtId="0" fontId="9" fillId="0" borderId="0" xfId="0" applyFont="1"/>
    <xf numFmtId="165" fontId="9" fillId="0" borderId="0" xfId="0" applyNumberFormat="1" applyFont="1"/>
    <xf numFmtId="3" fontId="9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165" fontId="6" fillId="2" borderId="0" xfId="0" applyNumberFormat="1" applyFont="1" applyFill="1"/>
    <xf numFmtId="0" fontId="6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6" fillId="2" borderId="0" xfId="0" applyFont="1" applyFill="1" applyAlignment="1">
      <alignment horizontal="right"/>
    </xf>
    <xf numFmtId="165" fontId="8" fillId="0" borderId="0" xfId="0" applyNumberFormat="1" applyFont="1"/>
    <xf numFmtId="165" fontId="10" fillId="0" borderId="0" xfId="0" applyNumberFormat="1" applyFont="1"/>
    <xf numFmtId="0" fontId="7" fillId="0" borderId="0" xfId="2" applyAlignment="1">
      <alignment horizontal="right"/>
    </xf>
    <xf numFmtId="0" fontId="6" fillId="2" borderId="0" xfId="2" applyFont="1" applyFill="1" applyAlignment="1">
      <alignment horizontal="right"/>
    </xf>
    <xf numFmtId="0" fontId="7" fillId="0" borderId="0" xfId="2"/>
    <xf numFmtId="0" fontId="7" fillId="0" borderId="0" xfId="2"/>
    <xf numFmtId="0" fontId="0" fillId="0" borderId="1" xfId="0" applyBorder="1"/>
    <xf numFmtId="0" fontId="2" fillId="0" borderId="0" xfId="0" applyFont="1"/>
    <xf numFmtId="165" fontId="2" fillId="0" borderId="0" xfId="0" applyNumberFormat="1" applyFont="1"/>
    <xf numFmtId="10" fontId="12" fillId="0" borderId="0" xfId="1" applyNumberFormat="1" applyFont="1"/>
    <xf numFmtId="165" fontId="12" fillId="0" borderId="0" xfId="0" applyNumberFormat="1" applyFont="1"/>
    <xf numFmtId="43" fontId="0" fillId="0" borderId="0" xfId="7" applyFont="1"/>
    <xf numFmtId="43" fontId="0" fillId="0" borderId="0" xfId="0" applyNumberFormat="1"/>
    <xf numFmtId="0" fontId="0" fillId="0" borderId="3" xfId="0" applyBorder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3" fontId="0" fillId="0" borderId="0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6" fillId="2" borderId="0" xfId="0" applyFont="1" applyFill="1"/>
    <xf numFmtId="0" fontId="6" fillId="2" borderId="0" xfId="0" applyFont="1" applyFill="1" applyBorder="1" applyAlignment="1">
      <alignment horizontal="center" vertical="center" wrapText="1"/>
    </xf>
    <xf numFmtId="165" fontId="8" fillId="0" borderId="0" xfId="0" applyNumberFormat="1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43" fontId="0" fillId="0" borderId="0" xfId="7" applyFont="1" applyAlignment="1">
      <alignment horizontal="center"/>
    </xf>
    <xf numFmtId="164" fontId="9" fillId="6" borderId="0" xfId="0" applyNumberFormat="1" applyFont="1" applyFill="1"/>
    <xf numFmtId="0" fontId="0" fillId="0" borderId="2" xfId="0" applyBorder="1"/>
    <xf numFmtId="9" fontId="0" fillId="0" borderId="0" xfId="1" applyFont="1"/>
    <xf numFmtId="10" fontId="6" fillId="2" borderId="1" xfId="1" applyNumberFormat="1" applyFont="1" applyFill="1" applyBorder="1" applyAlignment="1">
      <alignment horizontal="center" vertical="center" wrapText="1"/>
    </xf>
    <xf numFmtId="0" fontId="3" fillId="0" borderId="0" xfId="8" applyAlignment="1">
      <alignment vertical="top"/>
    </xf>
    <xf numFmtId="0" fontId="2" fillId="0" borderId="0" xfId="8" applyFont="1" applyAlignment="1">
      <alignment vertical="top"/>
    </xf>
    <xf numFmtId="0" fontId="3" fillId="0" borderId="0" xfId="8"/>
    <xf numFmtId="164" fontId="2" fillId="0" borderId="0" xfId="8" applyNumberFormat="1" applyFont="1"/>
    <xf numFmtId="0" fontId="2" fillId="0" borderId="0" xfId="8" applyFont="1"/>
    <xf numFmtId="164" fontId="3" fillId="0" borderId="0" xfId="8" applyNumberFormat="1"/>
    <xf numFmtId="0" fontId="6" fillId="7" borderId="0" xfId="8" applyFont="1" applyFill="1" applyAlignment="1">
      <alignment horizontal="right" vertical="top"/>
    </xf>
    <xf numFmtId="164" fontId="6" fillId="7" borderId="0" xfId="8" applyNumberFormat="1" applyFont="1" applyFill="1"/>
    <xf numFmtId="0" fontId="3" fillId="0" borderId="0" xfId="8" applyAlignment="1">
      <alignment horizontal="right" vertical="top"/>
    </xf>
    <xf numFmtId="0" fontId="6" fillId="8" borderId="0" xfId="8" applyFont="1" applyFill="1" applyAlignment="1">
      <alignment horizontal="right" vertical="top"/>
    </xf>
    <xf numFmtId="164" fontId="6" fillId="8" borderId="0" xfId="8" applyNumberFormat="1" applyFont="1" applyFill="1"/>
    <xf numFmtId="0" fontId="6" fillId="2" borderId="0" xfId="8" applyFont="1" applyFill="1" applyAlignment="1">
      <alignment horizontal="right" vertical="top"/>
    </xf>
    <xf numFmtId="10" fontId="6" fillId="2" borderId="0" xfId="1" applyNumberFormat="1" applyFont="1" applyFill="1"/>
    <xf numFmtId="10" fontId="3" fillId="0" borderId="0" xfId="1" applyNumberFormat="1"/>
    <xf numFmtId="10" fontId="6" fillId="7" borderId="0" xfId="8" applyNumberFormat="1" applyFont="1" applyFill="1"/>
    <xf numFmtId="10" fontId="6" fillId="8" borderId="0" xfId="1" applyNumberFormat="1" applyFont="1" applyFill="1"/>
    <xf numFmtId="9" fontId="0" fillId="0" borderId="0" xfId="0" applyNumberFormat="1"/>
    <xf numFmtId="10" fontId="0" fillId="0" borderId="0" xfId="0" applyNumberFormat="1"/>
    <xf numFmtId="169" fontId="0" fillId="0" borderId="0" xfId="7" applyNumberFormat="1" applyFont="1"/>
    <xf numFmtId="0" fontId="0" fillId="9" borderId="0" xfId="0" applyFill="1" applyAlignment="1">
      <alignment horizontal="right" vertical="top"/>
    </xf>
    <xf numFmtId="164" fontId="0" fillId="9" borderId="0" xfId="0" applyNumberFormat="1" applyFill="1"/>
    <xf numFmtId="10" fontId="8" fillId="9" borderId="0" xfId="1" applyNumberFormat="1" applyFont="1" applyFill="1"/>
    <xf numFmtId="43" fontId="0" fillId="9" borderId="0" xfId="7" applyFont="1" applyFill="1"/>
    <xf numFmtId="10" fontId="0" fillId="9" borderId="0" xfId="1" applyNumberFormat="1" applyFont="1" applyFill="1"/>
    <xf numFmtId="0" fontId="0" fillId="9" borderId="0" xfId="0" applyFill="1"/>
    <xf numFmtId="169" fontId="0" fillId="9" borderId="0" xfId="7" applyNumberFormat="1" applyFont="1" applyFill="1"/>
    <xf numFmtId="3" fontId="0" fillId="9" borderId="0" xfId="0" applyNumberFormat="1" applyFill="1"/>
    <xf numFmtId="165" fontId="10" fillId="0" borderId="0" xfId="0" applyNumberFormat="1" applyFont="1" applyBorder="1"/>
    <xf numFmtId="0" fontId="3" fillId="0" borderId="4" xfId="0" applyFont="1" applyBorder="1" applyAlignment="1">
      <alignment horizontal="right"/>
    </xf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65" fontId="8" fillId="0" borderId="4" xfId="0" applyNumberFormat="1" applyFont="1" applyBorder="1"/>
    <xf numFmtId="3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165" fontId="10" fillId="0" borderId="1" xfId="0" applyNumberFormat="1" applyFont="1" applyBorder="1"/>
    <xf numFmtId="164" fontId="2" fillId="0" borderId="0" xfId="8" applyNumberFormat="1" applyFont="1"/>
    <xf numFmtId="165" fontId="8" fillId="0" borderId="1" xfId="0" applyNumberFormat="1" applyFont="1" applyBorder="1"/>
    <xf numFmtId="164" fontId="0" fillId="0" borderId="3" xfId="0" applyNumberFormat="1" applyBorder="1"/>
    <xf numFmtId="165" fontId="0" fillId="0" borderId="3" xfId="0" applyNumberFormat="1" applyBorder="1"/>
    <xf numFmtId="165" fontId="10" fillId="0" borderId="3" xfId="0" applyNumberFormat="1" applyFont="1" applyBorder="1"/>
    <xf numFmtId="3" fontId="0" fillId="0" borderId="3" xfId="0" applyNumberFormat="1" applyBorder="1"/>
    <xf numFmtId="165" fontId="8" fillId="0" borderId="3" xfId="0" applyNumberFormat="1" applyFont="1" applyBorder="1"/>
    <xf numFmtId="0" fontId="4" fillId="2" borderId="0" xfId="9" applyFont="1" applyFill="1" applyAlignment="1">
      <alignment horizontal="center" vertical="center" wrapText="1"/>
    </xf>
    <xf numFmtId="0" fontId="1" fillId="0" borderId="0" xfId="9" applyAlignment="1">
      <alignment horizontal="center" vertical="center" wrapText="1"/>
    </xf>
    <xf numFmtId="17" fontId="1" fillId="0" borderId="0" xfId="9" applyNumberFormat="1" applyAlignment="1">
      <alignment horizontal="center"/>
    </xf>
    <xf numFmtId="10" fontId="1" fillId="0" borderId="0" xfId="9" applyNumberFormat="1" applyAlignment="1">
      <alignment horizontal="center"/>
    </xf>
    <xf numFmtId="0" fontId="1" fillId="0" borderId="0" xfId="9"/>
    <xf numFmtId="43" fontId="0" fillId="0" borderId="0" xfId="10" applyFont="1"/>
    <xf numFmtId="0" fontId="1" fillId="0" borderId="0" xfId="9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4" fillId="2" borderId="0" xfId="1" applyFont="1" applyFill="1" applyAlignment="1">
      <alignment horizontal="right" vertical="center" wrapText="1"/>
    </xf>
    <xf numFmtId="0" fontId="4" fillId="2" borderId="0" xfId="9" applyFont="1" applyFill="1" applyAlignment="1">
      <alignment horizontal="center"/>
    </xf>
    <xf numFmtId="10" fontId="0" fillId="0" borderId="0" xfId="11" applyNumberFormat="1" applyFont="1" applyAlignment="1">
      <alignment horizontal="center"/>
    </xf>
    <xf numFmtId="10" fontId="10" fillId="0" borderId="0" xfId="1" applyNumberFormat="1" applyFont="1"/>
    <xf numFmtId="165" fontId="10" fillId="0" borderId="4" xfId="0" applyNumberFormat="1" applyFont="1" applyBorder="1"/>
    <xf numFmtId="165" fontId="12" fillId="0" borderId="0" xfId="0" applyNumberFormat="1" applyFont="1" applyBorder="1"/>
    <xf numFmtId="0" fontId="13" fillId="5" borderId="0" xfId="0" applyFont="1" applyFill="1" applyAlignment="1">
      <alignment horizontal="center" vertical="center" textRotation="90"/>
    </xf>
    <xf numFmtId="0" fontId="3" fillId="0" borderId="0" xfId="8" applyAlignment="1">
      <alignment vertical="top"/>
    </xf>
    <xf numFmtId="0" fontId="17" fillId="4" borderId="0" xfId="9" applyFont="1" applyFill="1" applyAlignment="1">
      <alignment horizontal="center" vertical="center" textRotation="90" wrapText="1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165" fontId="10" fillId="0" borderId="7" xfId="0" applyNumberFormat="1" applyFont="1" applyBorder="1"/>
  </cellXfs>
  <cellStyles count="12">
    <cellStyle name="Millares" xfId="7" builtinId="3"/>
    <cellStyle name="Millares 2" xfId="6" xr:uid="{260B6EB6-C5FF-439B-9715-81A0419667CC}"/>
    <cellStyle name="Millares 3" xfId="10" xr:uid="{6F7F7FC8-CD44-455E-A5E5-4745DB524E7F}"/>
    <cellStyle name="Moneda 2" xfId="5" xr:uid="{DE55B7BE-C1A8-49B4-B685-BB780F958057}"/>
    <cellStyle name="Normal" xfId="0" builtinId="0"/>
    <cellStyle name="Normal 2" xfId="2" xr:uid="{6A4A1924-D1C9-4425-8D52-72CAFA0DD78E}"/>
    <cellStyle name="Normal 3" xfId="3" xr:uid="{C21E60BA-0225-44FC-8BF5-8459D6FE86FD}"/>
    <cellStyle name="Normal 4" xfId="8" xr:uid="{4258DB91-F03C-4486-A06D-B9290578DB40}"/>
    <cellStyle name="Normal 5" xfId="9" xr:uid="{A145E397-565D-4476-9F15-72B951E42AAE}"/>
    <cellStyle name="Porcentaje" xfId="1" builtinId="5"/>
    <cellStyle name="Porcentaje 2" xfId="4" xr:uid="{0AC2484D-A2F7-431B-97D8-F34CBD5D2CBA}"/>
    <cellStyle name="Porcentaje 3" xfId="11" xr:uid="{CD303199-0C1B-4E3D-9C03-B70FE8841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ent-mquijada/Downloads/ESTRATEGIA%20CLIENT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General"/>
      <sheetName val="ANALISIS"/>
    </sheetNames>
    <sheetDataSet>
      <sheetData sheetId="0"/>
      <sheetData sheetId="1">
        <row r="1">
          <cell r="D1" t="str">
            <v>Agosto - Octubre</v>
          </cell>
          <cell r="J1"/>
          <cell r="K1" t="str">
            <v>NENA</v>
          </cell>
          <cell r="L1"/>
          <cell r="M1"/>
          <cell r="O1"/>
          <cell r="P1" t="str">
            <v>IMS</v>
          </cell>
          <cell r="Q1"/>
          <cell r="R1"/>
          <cell r="S1"/>
          <cell r="T1"/>
          <cell r="U1"/>
        </row>
        <row r="2">
          <cell r="A2" t="str">
            <v>CODIGO</v>
          </cell>
          <cell r="B2" t="str">
            <v>GRUPO CLIENTE COMERCIAL</v>
          </cell>
          <cell r="C2" t="str">
            <v>TIPO CLIENTE</v>
          </cell>
          <cell r="D2" t="str">
            <v>PDV</v>
          </cell>
          <cell r="E2" t="str">
            <v>DTO TOTAL</v>
          </cell>
          <cell r="F2" t="str">
            <v>Región</v>
          </cell>
          <cell r="G2" t="str">
            <v>Ejecutivo</v>
          </cell>
          <cell r="H2" t="str">
            <v>Coodinador</v>
          </cell>
          <cell r="I2" t="str">
            <v>Zona</v>
          </cell>
          <cell r="J2" t="str">
            <v>ESTATUS</v>
          </cell>
          <cell r="K2" t="str">
            <v>Valores Ventas Netas USD (NENA)</v>
          </cell>
          <cell r="L2" t="str">
            <v>PROMEDIO VALORES NENA</v>
          </cell>
          <cell r="M2" t="str">
            <v>Prom. Últimos 3 meses</v>
          </cell>
          <cell r="N2" t="str">
            <v>Estado de Actividad</v>
          </cell>
          <cell r="O2" t="str">
            <v>Frecuencia Anual</v>
          </cell>
          <cell r="P2" t="str">
            <v>Valores Estimados Totales USD (IMS)</v>
          </cell>
          <cell r="Q2" t="str">
            <v>PROMEDIO VALORES IMS</v>
          </cell>
          <cell r="R2" t="str">
            <v>Prom. Últimos 3 meses</v>
          </cell>
          <cell r="S2" t="str">
            <v>Limite de Credito</v>
          </cell>
          <cell r="T2" t="str">
            <v>DN Sugerido</v>
          </cell>
          <cell r="U2" t="str">
            <v>Descuento Total</v>
          </cell>
          <cell r="V2" t="str">
            <v>MARKET SHARE</v>
          </cell>
          <cell r="W2" t="str">
            <v>% de Ventas</v>
          </cell>
          <cell r="X2" t="str">
            <v>Frecuencia Anual</v>
          </cell>
          <cell r="Y2" t="str">
            <v>Estrategia</v>
          </cell>
        </row>
        <row r="3">
          <cell r="A3" t="str">
            <v>0646</v>
          </cell>
          <cell r="B3" t="str">
            <v>GRUPO SAN ANSELMO</v>
          </cell>
          <cell r="C3" t="str">
            <v>CADENA</v>
          </cell>
          <cell r="D3">
            <v>90</v>
          </cell>
          <cell r="E3"/>
          <cell r="F3" t="str">
            <v>CENTRO ESTE</v>
          </cell>
          <cell r="H3"/>
          <cell r="I3"/>
          <cell r="J3" t="str">
            <v>Activo</v>
          </cell>
          <cell r="K3">
            <v>12674020.230887258</v>
          </cell>
          <cell r="L3">
            <v>1267402.0230887257</v>
          </cell>
          <cell r="M3">
            <v>1573022.0511972811</v>
          </cell>
          <cell r="N3" t="str">
            <v>Si Compra</v>
          </cell>
          <cell r="O3">
            <v>10</v>
          </cell>
          <cell r="P3">
            <v>42042441.814769298</v>
          </cell>
          <cell r="Q3">
            <v>4204244.1814769302</v>
          </cell>
          <cell r="R3">
            <v>4109385.6469512484</v>
          </cell>
          <cell r="S3"/>
          <cell r="T3"/>
          <cell r="U3"/>
          <cell r="V3">
            <v>0.30145775753764464</v>
          </cell>
          <cell r="W3">
            <v>4.8394307651670618E-2</v>
          </cell>
          <cell r="X3">
            <v>10</v>
          </cell>
          <cell r="Y3" t="str">
            <v>Potenciar</v>
          </cell>
        </row>
        <row r="4">
          <cell r="A4" t="str">
            <v>0209</v>
          </cell>
          <cell r="B4" t="str">
            <v>FARMAEXPRESS 24</v>
          </cell>
          <cell r="C4" t="str">
            <v>CADENA</v>
          </cell>
          <cell r="D4">
            <v>18</v>
          </cell>
          <cell r="E4"/>
          <cell r="F4" t="str">
            <v>MARACAIBO</v>
          </cell>
          <cell r="H4"/>
          <cell r="I4"/>
          <cell r="J4" t="str">
            <v>Activo</v>
          </cell>
          <cell r="K4">
            <v>8415685.38340603</v>
          </cell>
          <cell r="L4">
            <v>841568.538340603</v>
          </cell>
          <cell r="M4">
            <v>800965.42413854226</v>
          </cell>
          <cell r="N4" t="str">
            <v>Si Compra</v>
          </cell>
          <cell r="O4">
            <v>10</v>
          </cell>
          <cell r="P4">
            <v>22509429.039536357</v>
          </cell>
          <cell r="Q4">
            <v>2250942.9039536356</v>
          </cell>
          <cell r="R4">
            <v>3188359.2442540019</v>
          </cell>
          <cell r="S4"/>
          <cell r="T4"/>
          <cell r="U4"/>
          <cell r="V4">
            <v>0.37387378278784517</v>
          </cell>
          <cell r="W4">
            <v>3.2134339390722876E-2</v>
          </cell>
          <cell r="X4">
            <v>10</v>
          </cell>
          <cell r="Y4" t="str">
            <v>Potenciar</v>
          </cell>
        </row>
        <row r="5">
          <cell r="A5" t="str">
            <v>$15</v>
          </cell>
          <cell r="B5" t="str">
            <v>FARMA VITAL</v>
          </cell>
          <cell r="C5" t="str">
            <v>CADENA</v>
          </cell>
          <cell r="D5">
            <v>67</v>
          </cell>
          <cell r="E5"/>
          <cell r="F5" t="str">
            <v>CENTRO ESTE</v>
          </cell>
          <cell r="H5"/>
          <cell r="I5"/>
          <cell r="J5" t="str">
            <v>Activo</v>
          </cell>
          <cell r="K5">
            <v>8179220.8137550345</v>
          </cell>
          <cell r="L5">
            <v>817922.08137550345</v>
          </cell>
          <cell r="M5">
            <v>1054591.9265452733</v>
          </cell>
          <cell r="N5" t="str">
            <v>Si Compra</v>
          </cell>
          <cell r="O5">
            <v>10</v>
          </cell>
          <cell r="P5">
            <v>19890518.218139313</v>
          </cell>
          <cell r="Q5">
            <v>1989051.8218139312</v>
          </cell>
          <cell r="R5">
            <v>1987555.0788286522</v>
          </cell>
          <cell r="S5"/>
          <cell r="T5"/>
          <cell r="U5"/>
          <cell r="V5">
            <v>0.41121205209706052</v>
          </cell>
          <cell r="W5">
            <v>3.1231426272080243E-2</v>
          </cell>
          <cell r="X5">
            <v>10</v>
          </cell>
          <cell r="Y5" t="str">
            <v>Potenciar</v>
          </cell>
        </row>
        <row r="6">
          <cell r="A6" t="str">
            <v>D343</v>
          </cell>
          <cell r="B6" t="str">
            <v>XANA</v>
          </cell>
          <cell r="C6" t="str">
            <v>CADENA</v>
          </cell>
          <cell r="D6">
            <v>84</v>
          </cell>
          <cell r="E6"/>
          <cell r="F6" t="str">
            <v>CARACAS</v>
          </cell>
          <cell r="H6"/>
          <cell r="I6"/>
          <cell r="J6" t="str">
            <v>Permiso</v>
          </cell>
          <cell r="K6">
            <v>5906596.4784305859</v>
          </cell>
          <cell r="L6">
            <v>590659.64784305857</v>
          </cell>
          <cell r="M6">
            <v>626497.98600059282</v>
          </cell>
          <cell r="N6" t="str">
            <v>Si Compra</v>
          </cell>
          <cell r="O6">
            <v>9</v>
          </cell>
          <cell r="P6">
            <v>8840776.2649193592</v>
          </cell>
          <cell r="Q6">
            <v>884077.62649193592</v>
          </cell>
          <cell r="R6">
            <v>321754.25278297422</v>
          </cell>
          <cell r="S6"/>
          <cell r="T6"/>
          <cell r="U6"/>
          <cell r="V6">
            <v>0.66810835399921331</v>
          </cell>
          <cell r="W6">
            <v>2.2553668208199876E-2</v>
          </cell>
          <cell r="X6">
            <v>10</v>
          </cell>
          <cell r="Y6" t="str">
            <v>Proteger</v>
          </cell>
        </row>
        <row r="7">
          <cell r="A7" t="str">
            <v>1340</v>
          </cell>
          <cell r="B7" t="str">
            <v>FSI 3 - Tony Perdomo</v>
          </cell>
          <cell r="C7" t="str">
            <v>CADENA</v>
          </cell>
          <cell r="D7">
            <v>87</v>
          </cell>
          <cell r="E7"/>
          <cell r="F7" t="str">
            <v>CENTRO OESTE</v>
          </cell>
          <cell r="H7"/>
          <cell r="I7"/>
          <cell r="J7" t="str">
            <v>Activo</v>
          </cell>
          <cell r="K7">
            <v>4991136.4451571777</v>
          </cell>
          <cell r="L7">
            <v>499113.64451571775</v>
          </cell>
          <cell r="M7">
            <v>618187.4577449403</v>
          </cell>
          <cell r="N7" t="str">
            <v>Si Compra</v>
          </cell>
          <cell r="O7">
            <v>10</v>
          </cell>
          <cell r="P7">
            <v>24922962.628074564</v>
          </cell>
          <cell r="Q7">
            <v>2492296.2628074563</v>
          </cell>
          <cell r="R7">
            <v>1746464.6339619141</v>
          </cell>
          <cell r="S7"/>
          <cell r="T7"/>
          <cell r="U7"/>
          <cell r="V7">
            <v>0.20026256587709573</v>
          </cell>
          <cell r="W7">
            <v>1.9058087982986645E-2</v>
          </cell>
          <cell r="X7">
            <v>10</v>
          </cell>
          <cell r="Y7" t="str">
            <v>Conquistar</v>
          </cell>
        </row>
        <row r="8">
          <cell r="A8" t="str">
            <v>8357</v>
          </cell>
          <cell r="B8" t="str">
            <v>8357 - FARMA DON ORIENTE, C.A.</v>
          </cell>
          <cell r="C8" t="str">
            <v>INDEPENDIENTE</v>
          </cell>
          <cell r="D8">
            <v>3</v>
          </cell>
          <cell r="E8"/>
          <cell r="F8" t="str">
            <v>ESTE</v>
          </cell>
          <cell r="G8" t="str">
            <v>CARMEN ALCALA</v>
          </cell>
          <cell r="H8"/>
          <cell r="I8" t="str">
            <v>A6</v>
          </cell>
          <cell r="J8" t="str">
            <v>Permiso</v>
          </cell>
          <cell r="K8">
            <v>4161904.5466231611</v>
          </cell>
          <cell r="L8">
            <v>416190.45466231613</v>
          </cell>
          <cell r="M8">
            <v>479644.46377069154</v>
          </cell>
          <cell r="N8" t="str">
            <v>Si Compra</v>
          </cell>
          <cell r="O8">
            <v>10</v>
          </cell>
          <cell r="P8">
            <v>8123801.3181279358</v>
          </cell>
          <cell r="Q8">
            <v>812380.13181279355</v>
          </cell>
          <cell r="R8">
            <v>344930.9434508055</v>
          </cell>
          <cell r="T8"/>
          <cell r="U8"/>
          <cell r="V8">
            <v>0.51230998686982154</v>
          </cell>
          <cell r="W8">
            <v>1.5891760102711143E-2</v>
          </cell>
          <cell r="X8">
            <v>10</v>
          </cell>
          <cell r="Y8" t="str">
            <v>Potenciar</v>
          </cell>
        </row>
        <row r="9">
          <cell r="A9" t="str">
            <v>7551</v>
          </cell>
          <cell r="B9" t="str">
            <v>GRUPO MARA PLUS</v>
          </cell>
          <cell r="C9" t="str">
            <v>CADENA</v>
          </cell>
          <cell r="D9">
            <v>60</v>
          </cell>
          <cell r="E9"/>
          <cell r="F9" t="str">
            <v>MARACAIBO</v>
          </cell>
          <cell r="H9"/>
          <cell r="I9"/>
          <cell r="J9" t="str">
            <v>Permiso</v>
          </cell>
          <cell r="K9">
            <v>3897887.1972751496</v>
          </cell>
          <cell r="L9">
            <v>389788.71972751495</v>
          </cell>
          <cell r="M9">
            <v>321227.53449019062</v>
          </cell>
          <cell r="N9" t="str">
            <v>Si Compra</v>
          </cell>
          <cell r="O9">
            <v>10</v>
          </cell>
          <cell r="P9">
            <v>33074818.573885556</v>
          </cell>
          <cell r="Q9">
            <v>3307481.8573885555</v>
          </cell>
          <cell r="R9">
            <v>4661956.0848313132</v>
          </cell>
          <cell r="S9"/>
          <cell r="T9"/>
          <cell r="U9"/>
          <cell r="V9">
            <v>0.11785059949966747</v>
          </cell>
          <cell r="W9">
            <v>1.4883639822250471E-2</v>
          </cell>
          <cell r="X9">
            <v>10</v>
          </cell>
          <cell r="Y9" t="str">
            <v>Conquistar</v>
          </cell>
        </row>
        <row r="10">
          <cell r="A10" t="str">
            <v>0179</v>
          </cell>
          <cell r="B10" t="str">
            <v>GRUPO LA SOCIAL</v>
          </cell>
          <cell r="C10" t="str">
            <v>GRUPO</v>
          </cell>
          <cell r="D10">
            <v>42</v>
          </cell>
          <cell r="E10"/>
          <cell r="F10" t="str">
            <v>MARACAIBO</v>
          </cell>
          <cell r="H10"/>
          <cell r="I10"/>
          <cell r="J10" t="str">
            <v>Activo</v>
          </cell>
          <cell r="K10">
            <v>3894012.7350384062</v>
          </cell>
          <cell r="L10">
            <v>389401.27350384061</v>
          </cell>
          <cell r="M10">
            <v>413828.69162467303</v>
          </cell>
          <cell r="N10" t="str">
            <v>Si Compra</v>
          </cell>
          <cell r="O10">
            <v>10</v>
          </cell>
          <cell r="P10">
            <v>10583837.574122829</v>
          </cell>
          <cell r="Q10">
            <v>1058383.757412283</v>
          </cell>
          <cell r="R10">
            <v>939270.4124306239</v>
          </cell>
          <cell r="S10"/>
          <cell r="T10"/>
          <cell r="U10"/>
          <cell r="V10">
            <v>0.36792068167780201</v>
          </cell>
          <cell r="W10">
            <v>1.4868845627981096E-2</v>
          </cell>
          <cell r="X10">
            <v>10</v>
          </cell>
          <cell r="Y10" t="str">
            <v>Potenciar</v>
          </cell>
        </row>
        <row r="11">
          <cell r="A11" t="str">
            <v>0211</v>
          </cell>
          <cell r="B11" t="str">
            <v>FARMABIEN</v>
          </cell>
          <cell r="C11" t="str">
            <v>CADENA</v>
          </cell>
          <cell r="D11">
            <v>325</v>
          </cell>
          <cell r="E11"/>
          <cell r="F11" t="str">
            <v>ANDES</v>
          </cell>
          <cell r="H11"/>
          <cell r="I11"/>
          <cell r="J11" t="str">
            <v>Activo</v>
          </cell>
          <cell r="K11">
            <v>3603427.8098136731</v>
          </cell>
          <cell r="L11">
            <v>360342.78098136734</v>
          </cell>
          <cell r="M11">
            <v>339328.61761217372</v>
          </cell>
          <cell r="N11" t="str">
            <v>Si Compra</v>
          </cell>
          <cell r="O11">
            <v>10</v>
          </cell>
          <cell r="P11">
            <v>19569101.248758491</v>
          </cell>
          <cell r="Q11">
            <v>1956910.1248758491</v>
          </cell>
          <cell r="R11">
            <v>2177828.3142699669</v>
          </cell>
          <cell r="S11"/>
          <cell r="T11"/>
          <cell r="U11"/>
          <cell r="V11">
            <v>0.18413864612419453</v>
          </cell>
          <cell r="W11">
            <v>1.3759280074661874E-2</v>
          </cell>
          <cell r="X11">
            <v>10</v>
          </cell>
          <cell r="Y11" t="str">
            <v>Conquistar</v>
          </cell>
        </row>
        <row r="12">
          <cell r="A12" t="str">
            <v>0141</v>
          </cell>
          <cell r="B12" t="str">
            <v>FSI 2 - Eduardo Gonzalez</v>
          </cell>
          <cell r="C12" t="str">
            <v>CADENA</v>
          </cell>
          <cell r="D12">
            <v>70</v>
          </cell>
          <cell r="E12"/>
          <cell r="F12" t="str">
            <v>CENTRO OESTE</v>
          </cell>
          <cell r="H12"/>
          <cell r="I12"/>
          <cell r="J12" t="str">
            <v>Inactivo</v>
          </cell>
          <cell r="K12">
            <v>3412513.3806146868</v>
          </cell>
          <cell r="L12">
            <v>341251.33806146868</v>
          </cell>
          <cell r="M12">
            <v>72638.275039129556</v>
          </cell>
          <cell r="N12" t="str">
            <v>Si Compra</v>
          </cell>
          <cell r="O12">
            <v>10</v>
          </cell>
          <cell r="P12">
            <v>12047998.795639606</v>
          </cell>
          <cell r="Q12">
            <v>1204799.8795639607</v>
          </cell>
          <cell r="R12">
            <v>804906.34455598611</v>
          </cell>
          <cell r="S12"/>
          <cell r="T12"/>
          <cell r="U12"/>
          <cell r="V12">
            <v>0.28324317079528083</v>
          </cell>
          <cell r="W12">
            <v>1.3030294997039662E-2</v>
          </cell>
          <cell r="X12">
            <v>10</v>
          </cell>
          <cell r="Y12" t="str">
            <v>Potenciar</v>
          </cell>
        </row>
        <row r="13">
          <cell r="A13" t="str">
            <v>3389</v>
          </cell>
          <cell r="B13" t="str">
            <v>GRUPO LIDER FARMA</v>
          </cell>
          <cell r="C13" t="str">
            <v>CADENA</v>
          </cell>
          <cell r="D13">
            <v>25</v>
          </cell>
          <cell r="E13"/>
          <cell r="F13" t="str">
            <v>ANDES</v>
          </cell>
          <cell r="H13"/>
          <cell r="I13"/>
          <cell r="J13" t="str">
            <v>Activo</v>
          </cell>
          <cell r="K13">
            <v>3306753.7268221793</v>
          </cell>
          <cell r="L13">
            <v>330675.37268221792</v>
          </cell>
          <cell r="M13">
            <v>550358.68553845596</v>
          </cell>
          <cell r="N13" t="str">
            <v>Si Compra</v>
          </cell>
          <cell r="O13">
            <v>10</v>
          </cell>
          <cell r="P13">
            <v>3593621.0133924494</v>
          </cell>
          <cell r="Q13">
            <v>359362.10133924492</v>
          </cell>
          <cell r="R13">
            <v>483464.68044882809</v>
          </cell>
          <cell r="S13"/>
          <cell r="T13"/>
          <cell r="U13"/>
          <cell r="V13">
            <v>0.92017319425137112</v>
          </cell>
          <cell r="W13">
            <v>1.2626463763577091E-2</v>
          </cell>
          <cell r="X13">
            <v>10</v>
          </cell>
          <cell r="Y13" t="str">
            <v>Proteger</v>
          </cell>
        </row>
        <row r="14">
          <cell r="A14" t="str">
            <v>A644</v>
          </cell>
          <cell r="B14" t="str">
            <v>MAXIMA SALUD</v>
          </cell>
          <cell r="C14" t="str">
            <v>CADENA</v>
          </cell>
          <cell r="D14">
            <v>26</v>
          </cell>
          <cell r="E14"/>
          <cell r="F14" t="str">
            <v>ESTE</v>
          </cell>
          <cell r="H14"/>
          <cell r="I14"/>
          <cell r="J14" t="str">
            <v>Activo</v>
          </cell>
          <cell r="K14">
            <v>3018459.5846434818</v>
          </cell>
          <cell r="L14">
            <v>301845.95846434816</v>
          </cell>
          <cell r="M14">
            <v>512626.1388158162</v>
          </cell>
          <cell r="N14" t="str">
            <v>Si Compra</v>
          </cell>
          <cell r="O14">
            <v>10</v>
          </cell>
          <cell r="P14">
            <v>2321553.3879211224</v>
          </cell>
          <cell r="Q14">
            <v>232155.33879211225</v>
          </cell>
          <cell r="R14">
            <v>260110.41995630352</v>
          </cell>
          <cell r="S14"/>
          <cell r="T14"/>
          <cell r="U14"/>
          <cell r="V14">
            <v>1.3001896059544926</v>
          </cell>
          <cell r="W14">
            <v>1.1525645305297445E-2</v>
          </cell>
          <cell r="X14">
            <v>10</v>
          </cell>
          <cell r="Y14" t="str">
            <v>Proteger</v>
          </cell>
        </row>
        <row r="15">
          <cell r="A15" t="str">
            <v>B353</v>
          </cell>
          <cell r="B15" t="str">
            <v>GRUPO BIO-FULL</v>
          </cell>
          <cell r="C15" t="str">
            <v>GRUPO</v>
          </cell>
          <cell r="D15">
            <v>27</v>
          </cell>
          <cell r="E15"/>
          <cell r="F15" t="str">
            <v>ANDES</v>
          </cell>
          <cell r="H15"/>
          <cell r="I15"/>
          <cell r="J15" t="str">
            <v>Inactivo</v>
          </cell>
          <cell r="K15">
            <v>3018055.3436473422</v>
          </cell>
          <cell r="L15">
            <v>301805.53436473419</v>
          </cell>
          <cell r="M15">
            <v>639945.71662548289</v>
          </cell>
          <cell r="N15" t="str">
            <v>Si Compra</v>
          </cell>
          <cell r="O15">
            <v>10</v>
          </cell>
          <cell r="P15">
            <v>10522107.737109078</v>
          </cell>
          <cell r="Q15">
            <v>1052210.7737109079</v>
          </cell>
          <cell r="R15">
            <v>1132613.8150255273</v>
          </cell>
          <cell r="S15"/>
          <cell r="T15"/>
          <cell r="U15"/>
          <cell r="V15">
            <v>0.2868299222030723</v>
          </cell>
          <cell r="W15">
            <v>1.1524101756938186E-2</v>
          </cell>
          <cell r="X15">
            <v>10</v>
          </cell>
          <cell r="Y15" t="str">
            <v>Potenciar</v>
          </cell>
        </row>
        <row r="16">
          <cell r="A16" t="str">
            <v>C026</v>
          </cell>
          <cell r="B16" t="str">
            <v>FARMASI</v>
          </cell>
          <cell r="C16" t="str">
            <v>CADENA</v>
          </cell>
          <cell r="D16">
            <v>32</v>
          </cell>
          <cell r="E16"/>
          <cell r="F16" t="str">
            <v>MARACAIBO</v>
          </cell>
          <cell r="H16"/>
          <cell r="I16"/>
          <cell r="J16" t="str">
            <v>Inactivo</v>
          </cell>
          <cell r="K16">
            <v>2974005.5181682291</v>
          </cell>
          <cell r="L16">
            <v>297400.5518168229</v>
          </cell>
          <cell r="M16">
            <v>344250.69508847356</v>
          </cell>
          <cell r="N16" t="str">
            <v>Si Compra</v>
          </cell>
          <cell r="O16">
            <v>10</v>
          </cell>
          <cell r="P16">
            <v>5732909.5488919169</v>
          </cell>
          <cell r="Q16">
            <v>573290.95488919166</v>
          </cell>
          <cell r="R16">
            <v>502566.20820708032</v>
          </cell>
          <cell r="S16"/>
          <cell r="T16"/>
          <cell r="U16"/>
          <cell r="V16">
            <v>0.51876023732888976</v>
          </cell>
          <cell r="W16">
            <v>1.1355902498344344E-2</v>
          </cell>
          <cell r="X16">
            <v>10</v>
          </cell>
          <cell r="Y16" t="str">
            <v>Potenciar</v>
          </cell>
        </row>
        <row r="17">
          <cell r="A17" t="str">
            <v>0211</v>
          </cell>
          <cell r="B17" t="str">
            <v>FARMABIEN</v>
          </cell>
          <cell r="C17" t="str">
            <v>CADENA</v>
          </cell>
          <cell r="D17">
            <v>325</v>
          </cell>
          <cell r="E17"/>
          <cell r="F17" t="str">
            <v>ANDES</v>
          </cell>
          <cell r="H17"/>
          <cell r="I17"/>
          <cell r="J17" t="str">
            <v>Permiso</v>
          </cell>
          <cell r="K17">
            <v>2671625.5087592467</v>
          </cell>
          <cell r="L17">
            <v>267162.55087592464</v>
          </cell>
          <cell r="M17">
            <v>335207.42628368008</v>
          </cell>
          <cell r="N17" t="str">
            <v>Si Compra</v>
          </cell>
          <cell r="O17">
            <v>10</v>
          </cell>
          <cell r="P17">
            <v>5250630.3031050675</v>
          </cell>
          <cell r="Q17">
            <v>583403.36701167421</v>
          </cell>
          <cell r="R17">
            <v>448978.38632365345</v>
          </cell>
          <cell r="S17"/>
          <cell r="T17"/>
          <cell r="U17"/>
          <cell r="V17">
            <v>0.45793796536415698</v>
          </cell>
          <cell r="W17">
            <v>1.0201298754901453E-2</v>
          </cell>
          <cell r="X17">
            <v>9</v>
          </cell>
          <cell r="Y17" t="str">
            <v>Potenciar</v>
          </cell>
        </row>
        <row r="18">
          <cell r="A18" t="str">
            <v>7721</v>
          </cell>
          <cell r="B18" t="str">
            <v>GRUPO EXPRESS CARIBE</v>
          </cell>
          <cell r="C18" t="str">
            <v>CADENA</v>
          </cell>
          <cell r="D18">
            <v>6</v>
          </cell>
          <cell r="E18"/>
          <cell r="F18" t="str">
            <v>MARACAIBO</v>
          </cell>
          <cell r="H18"/>
          <cell r="I18"/>
          <cell r="J18" t="str">
            <v>Permiso</v>
          </cell>
          <cell r="K18">
            <v>2662422.4260326568</v>
          </cell>
          <cell r="L18">
            <v>266242.24260326568</v>
          </cell>
          <cell r="M18">
            <v>258560.53767086947</v>
          </cell>
          <cell r="N18" t="str">
            <v>Si Compra</v>
          </cell>
          <cell r="O18">
            <v>10</v>
          </cell>
          <cell r="P18">
            <v>4852986.2861552723</v>
          </cell>
          <cell r="Q18">
            <v>485298.62861552724</v>
          </cell>
          <cell r="R18">
            <v>457560.20359865873</v>
          </cell>
          <cell r="S18"/>
          <cell r="T18"/>
          <cell r="U18"/>
          <cell r="V18">
            <v>0.54861527913814345</v>
          </cell>
          <cell r="W18">
            <v>1.0166157828131512E-2</v>
          </cell>
          <cell r="X18">
            <v>10</v>
          </cell>
          <cell r="Y18" t="str">
            <v>Potenciar</v>
          </cell>
        </row>
        <row r="19">
          <cell r="A19" t="str">
            <v>6436</v>
          </cell>
          <cell r="B19" t="str">
            <v>MI NIÑO JESUS (MARCEL)</v>
          </cell>
          <cell r="C19" t="str">
            <v>CADENA</v>
          </cell>
          <cell r="D19">
            <v>9</v>
          </cell>
          <cell r="E19"/>
          <cell r="F19" t="str">
            <v>ANDES</v>
          </cell>
          <cell r="H19"/>
          <cell r="I19"/>
          <cell r="J19" t="str">
            <v>Activo</v>
          </cell>
          <cell r="K19">
            <v>2551471.3545209565</v>
          </cell>
          <cell r="L19">
            <v>255147.13545209565</v>
          </cell>
          <cell r="M19">
            <v>451190.61841876927</v>
          </cell>
          <cell r="N19" t="str">
            <v>Si Compra</v>
          </cell>
          <cell r="O19">
            <v>10</v>
          </cell>
          <cell r="P19">
            <v>7204438.8091716655</v>
          </cell>
          <cell r="Q19">
            <v>720443.88091716659</v>
          </cell>
          <cell r="R19">
            <v>843919.03404739313</v>
          </cell>
          <cell r="S19"/>
          <cell r="T19"/>
          <cell r="U19"/>
          <cell r="V19">
            <v>0.35415268587926463</v>
          </cell>
          <cell r="W19">
            <v>9.7425037553745333E-3</v>
          </cell>
          <cell r="X19">
            <v>10</v>
          </cell>
          <cell r="Y19" t="str">
            <v>Potenciar</v>
          </cell>
        </row>
        <row r="20">
          <cell r="A20" t="str">
            <v>0564</v>
          </cell>
          <cell r="B20" t="str">
            <v>GRUPO FARMA DESCUENTO</v>
          </cell>
          <cell r="C20" t="str">
            <v>CADENA</v>
          </cell>
          <cell r="D20">
            <v>51</v>
          </cell>
          <cell r="E20"/>
          <cell r="F20" t="str">
            <v>CENTRO ESTE</v>
          </cell>
          <cell r="H20"/>
          <cell r="I20"/>
          <cell r="J20" t="str">
            <v>Activo</v>
          </cell>
          <cell r="K20">
            <v>2394573.5796705382</v>
          </cell>
          <cell r="L20">
            <v>239457.35796705383</v>
          </cell>
          <cell r="M20">
            <v>253812.73532044925</v>
          </cell>
          <cell r="N20" t="str">
            <v>Si Compra</v>
          </cell>
          <cell r="O20">
            <v>10</v>
          </cell>
          <cell r="P20">
            <v>9465152.5852245092</v>
          </cell>
          <cell r="Q20">
            <v>946515.25852245092</v>
          </cell>
          <cell r="R20">
            <v>816339.22351756878</v>
          </cell>
          <cell r="S20"/>
          <cell r="T20"/>
          <cell r="U20"/>
          <cell r="V20">
            <v>0.25298837584600231</v>
          </cell>
          <cell r="W20">
            <v>9.1434074112272164E-3</v>
          </cell>
          <cell r="X20">
            <v>10</v>
          </cell>
          <cell r="Y20" t="str">
            <v>Potenciar</v>
          </cell>
        </row>
        <row r="21">
          <cell r="A21" t="str">
            <v>0526</v>
          </cell>
          <cell r="B21" t="str">
            <v>FSI 5 - Hon Woo</v>
          </cell>
          <cell r="C21" t="e">
            <v>#N/A</v>
          </cell>
          <cell r="D21">
            <v>33</v>
          </cell>
          <cell r="E21"/>
          <cell r="F21" t="str">
            <v>CENTRO OESTE</v>
          </cell>
          <cell r="H21"/>
          <cell r="I21"/>
          <cell r="J21" t="str">
            <v>Inactivo</v>
          </cell>
          <cell r="K21">
            <v>2370515.6939335172</v>
          </cell>
          <cell r="L21">
            <v>237051.56939335173</v>
          </cell>
          <cell r="M21">
            <v>33811.679643695978</v>
          </cell>
          <cell r="N21" t="str">
            <v>Si Compra</v>
          </cell>
          <cell r="O21">
            <v>10</v>
          </cell>
          <cell r="P21">
            <v>8066870.8467515949</v>
          </cell>
          <cell r="Q21">
            <v>806687.08467515954</v>
          </cell>
          <cell r="R21">
            <v>634563.30978096416</v>
          </cell>
          <cell r="S21"/>
          <cell r="T21"/>
          <cell r="U21"/>
          <cell r="V21">
            <v>0.29385814387843923</v>
          </cell>
          <cell r="W21">
            <v>9.0515451052977404E-3</v>
          </cell>
          <cell r="X21">
            <v>10</v>
          </cell>
          <cell r="Y21" t="str">
            <v>Potenciar</v>
          </cell>
        </row>
        <row r="22">
          <cell r="A22" t="str">
            <v>6006</v>
          </cell>
          <cell r="B22" t="str">
            <v>PANACEA</v>
          </cell>
          <cell r="C22" t="str">
            <v>CADENA</v>
          </cell>
          <cell r="D22">
            <v>30</v>
          </cell>
          <cell r="E22">
            <v>14</v>
          </cell>
          <cell r="F22" t="str">
            <v>CENTRO ESTE</v>
          </cell>
          <cell r="G22" t="str">
            <v>KARLA SALAZAR</v>
          </cell>
          <cell r="H22" t="str">
            <v>HECTOR</v>
          </cell>
          <cell r="I22">
            <v>0</v>
          </cell>
          <cell r="J22" t="str">
            <v>Inactivo</v>
          </cell>
          <cell r="K22">
            <v>2136157.9138924698</v>
          </cell>
          <cell r="L22">
            <v>213615.791389247</v>
          </cell>
          <cell r="M22">
            <v>248974.35960181439</v>
          </cell>
          <cell r="N22" t="str">
            <v>Si Compra</v>
          </cell>
          <cell r="O22">
            <v>10</v>
          </cell>
          <cell r="P22">
            <v>5935868.3738162108</v>
          </cell>
          <cell r="Q22">
            <v>593586.83738162112</v>
          </cell>
          <cell r="R22">
            <v>638900.01699449855</v>
          </cell>
          <cell r="S22">
            <v>610000</v>
          </cell>
          <cell r="T22">
            <v>0</v>
          </cell>
          <cell r="U22">
            <v>14</v>
          </cell>
          <cell r="V22">
            <v>0.35987285757805965</v>
          </cell>
          <cell r="W22">
            <v>8.1566765236436769E-3</v>
          </cell>
          <cell r="X22">
            <v>10</v>
          </cell>
          <cell r="Y22" t="str">
            <v>Potenciar</v>
          </cell>
        </row>
        <row r="23">
          <cell r="A23" t="str">
            <v>0448</v>
          </cell>
          <cell r="B23" t="str">
            <v>MULTIAHORRO</v>
          </cell>
          <cell r="C23" t="str">
            <v>CADENA</v>
          </cell>
          <cell r="D23">
            <v>21</v>
          </cell>
          <cell r="E23"/>
          <cell r="F23" t="str">
            <v>ESTE</v>
          </cell>
          <cell r="H23"/>
          <cell r="I23"/>
          <cell r="J23" t="str">
            <v>Activo</v>
          </cell>
          <cell r="K23">
            <v>2027470.3564062449</v>
          </cell>
          <cell r="L23">
            <v>202747.0356406245</v>
          </cell>
          <cell r="M23">
            <v>246595.60945782065</v>
          </cell>
          <cell r="N23" t="str">
            <v>Si Compra</v>
          </cell>
          <cell r="O23">
            <v>10</v>
          </cell>
          <cell r="P23">
            <v>7522599.9180599814</v>
          </cell>
          <cell r="Q23">
            <v>752259.99180599814</v>
          </cell>
          <cell r="R23">
            <v>755976.61504201835</v>
          </cell>
          <cell r="S23"/>
          <cell r="T23"/>
          <cell r="U23"/>
          <cell r="V23">
            <v>0.2695172385199921</v>
          </cell>
          <cell r="W23">
            <v>7.74166542226651E-3</v>
          </cell>
          <cell r="X23">
            <v>10</v>
          </cell>
          <cell r="Y23" t="str">
            <v>Potenciar</v>
          </cell>
        </row>
        <row r="24">
          <cell r="A24" t="str">
            <v>+126</v>
          </cell>
          <cell r="B24" t="str">
            <v>GRUPO FARMAHORRO</v>
          </cell>
          <cell r="C24" t="e">
            <v>#N/A</v>
          </cell>
          <cell r="D24">
            <v>37</v>
          </cell>
          <cell r="E24"/>
          <cell r="F24" t="str">
            <v>CARACAS</v>
          </cell>
          <cell r="H24"/>
          <cell r="I24"/>
          <cell r="J24" t="str">
            <v>Suspendido</v>
          </cell>
          <cell r="K24">
            <v>1622531.8028952663</v>
          </cell>
          <cell r="L24">
            <v>180281.31143280736</v>
          </cell>
          <cell r="M24">
            <v>165121.21010868318</v>
          </cell>
          <cell r="N24" t="str">
            <v>Si Compra</v>
          </cell>
          <cell r="O24">
            <v>7</v>
          </cell>
          <cell r="P24">
            <v>9799814.6367623452</v>
          </cell>
          <cell r="Q24">
            <v>1088868.2929735938</v>
          </cell>
          <cell r="R24">
            <v>154466.49540090689</v>
          </cell>
          <cell r="S24"/>
          <cell r="T24"/>
          <cell r="U24"/>
          <cell r="V24">
            <v>0.16556760133080611</v>
          </cell>
          <cell r="W24">
            <v>6.8838372437371028E-3</v>
          </cell>
          <cell r="X24">
            <v>8</v>
          </cell>
          <cell r="Y24" t="str">
            <v>Conquistar</v>
          </cell>
        </row>
        <row r="25">
          <cell r="A25" t="str">
            <v>8280</v>
          </cell>
          <cell r="B25" t="str">
            <v>GRUPO OSPINO</v>
          </cell>
          <cell r="C25" t="str">
            <v>CADENA</v>
          </cell>
          <cell r="D25">
            <v>34</v>
          </cell>
          <cell r="E25"/>
          <cell r="F25" t="str">
            <v>CENTRO OESTE</v>
          </cell>
          <cell r="H25"/>
          <cell r="I25"/>
          <cell r="J25" t="str">
            <v>Activo</v>
          </cell>
          <cell r="K25">
            <v>1614765.6635398709</v>
          </cell>
          <cell r="L25">
            <v>161476.56635398709</v>
          </cell>
          <cell r="M25">
            <v>182881.19956428037</v>
          </cell>
          <cell r="N25" t="str">
            <v>Si Compra</v>
          </cell>
          <cell r="O25">
            <v>10</v>
          </cell>
          <cell r="P25">
            <v>3016169.4108701209</v>
          </cell>
          <cell r="Q25">
            <v>301616.94108701206</v>
          </cell>
          <cell r="R25">
            <v>227552.74176179167</v>
          </cell>
          <cell r="S25"/>
          <cell r="T25"/>
          <cell r="U25"/>
          <cell r="V25">
            <v>0.535369683718805</v>
          </cell>
          <cell r="W25">
            <v>6.1657993977520973E-3</v>
          </cell>
          <cell r="X25">
            <v>10</v>
          </cell>
          <cell r="Y25" t="str">
            <v>Potenciar</v>
          </cell>
        </row>
        <row r="26">
          <cell r="A26" t="str">
            <v>0432</v>
          </cell>
          <cell r="B26" t="str">
            <v>GRUPO INFANTE</v>
          </cell>
          <cell r="C26" t="str">
            <v>CADENA</v>
          </cell>
          <cell r="D26">
            <v>25</v>
          </cell>
          <cell r="E26"/>
          <cell r="F26" t="str">
            <v>CENTRO ESTE</v>
          </cell>
          <cell r="H26"/>
          <cell r="I26"/>
          <cell r="J26" t="str">
            <v>Activo</v>
          </cell>
          <cell r="K26">
            <v>1451614.4457968341</v>
          </cell>
          <cell r="L26">
            <v>145161.44457968342</v>
          </cell>
          <cell r="M26">
            <v>311447.19535003119</v>
          </cell>
          <cell r="N26" t="str">
            <v>Si Compra</v>
          </cell>
          <cell r="O26">
            <v>10</v>
          </cell>
          <cell r="P26">
            <v>3597431.265960136</v>
          </cell>
          <cell r="Q26">
            <v>359743.12659601361</v>
          </cell>
          <cell r="R26">
            <v>554059.71969270729</v>
          </cell>
          <cell r="S26"/>
          <cell r="T26"/>
          <cell r="U26"/>
          <cell r="V26">
            <v>0.403514157318974</v>
          </cell>
          <cell r="W26">
            <v>5.5428249917337732E-3</v>
          </cell>
          <cell r="X26">
            <v>9</v>
          </cell>
          <cell r="Y26" t="str">
            <v>Potenciar</v>
          </cell>
        </row>
        <row r="27">
          <cell r="A27" t="str">
            <v>2917</v>
          </cell>
          <cell r="B27" t="str">
            <v>LEON</v>
          </cell>
          <cell r="C27" t="str">
            <v>GRUPO</v>
          </cell>
          <cell r="D27">
            <v>25</v>
          </cell>
          <cell r="E27"/>
          <cell r="F27" t="str">
            <v>CARACAS</v>
          </cell>
          <cell r="H27"/>
          <cell r="I27"/>
          <cell r="J27" t="str">
            <v>Activo</v>
          </cell>
          <cell r="K27">
            <v>1445949.106904963</v>
          </cell>
          <cell r="L27">
            <v>144594.9106904963</v>
          </cell>
          <cell r="M27">
            <v>202523.23529975981</v>
          </cell>
          <cell r="N27" t="str">
            <v>Si Compra</v>
          </cell>
          <cell r="O27">
            <v>10</v>
          </cell>
          <cell r="P27">
            <v>2129519.9479765152</v>
          </cell>
          <cell r="Q27">
            <v>212951.99479765151</v>
          </cell>
          <cell r="R27">
            <v>251376.41857640617</v>
          </cell>
          <cell r="S27"/>
          <cell r="T27"/>
          <cell r="U27"/>
          <cell r="V27">
            <v>0.67900237716904888</v>
          </cell>
          <cell r="W27">
            <v>5.5211925382352353E-3</v>
          </cell>
          <cell r="X27">
            <v>10</v>
          </cell>
          <cell r="Y27" t="str">
            <v>Proteger</v>
          </cell>
        </row>
        <row r="28">
          <cell r="A28" t="str">
            <v>8577</v>
          </cell>
          <cell r="B28" t="str">
            <v>GRUPO FARMA OFERTAS</v>
          </cell>
          <cell r="C28" t="str">
            <v>CADENA</v>
          </cell>
          <cell r="D28">
            <v>21</v>
          </cell>
          <cell r="E28"/>
          <cell r="F28" t="str">
            <v>MARACAIBO</v>
          </cell>
          <cell r="H28"/>
          <cell r="I28"/>
          <cell r="J28" t="str">
            <v>Inactivo</v>
          </cell>
          <cell r="K28">
            <v>1203939.1539382879</v>
          </cell>
          <cell r="L28">
            <v>120393.91539382879</v>
          </cell>
          <cell r="M28">
            <v>190724.77817645029</v>
          </cell>
          <cell r="N28" t="str">
            <v>Si Compra</v>
          </cell>
          <cell r="O28">
            <v>10</v>
          </cell>
          <cell r="P28">
            <v>2695332.7292637858</v>
          </cell>
          <cell r="Q28">
            <v>269533.27292637859</v>
          </cell>
          <cell r="R28">
            <v>394042.83594011917</v>
          </cell>
          <cell r="S28"/>
          <cell r="T28"/>
          <cell r="U28"/>
          <cell r="V28">
            <v>0.44667552204849187</v>
          </cell>
          <cell r="W28">
            <v>4.5971050028458665E-3</v>
          </cell>
          <cell r="X28">
            <v>10</v>
          </cell>
          <cell r="Y28" t="str">
            <v>Potenciar</v>
          </cell>
        </row>
        <row r="29">
          <cell r="A29" t="str">
            <v>0143</v>
          </cell>
          <cell r="B29" t="str">
            <v>GRUPO LA ENTRADA DE VALENCIA</v>
          </cell>
          <cell r="C29" t="str">
            <v>CADENA</v>
          </cell>
          <cell r="D29">
            <v>25</v>
          </cell>
          <cell r="E29">
            <v>11</v>
          </cell>
          <cell r="F29" t="str">
            <v>CENTRO ESTE</v>
          </cell>
          <cell r="G29" t="str">
            <v>KARLA SALAZAR</v>
          </cell>
          <cell r="H29" t="str">
            <v>HECTOR</v>
          </cell>
          <cell r="I29">
            <v>0</v>
          </cell>
          <cell r="J29" t="str">
            <v>Inactivo</v>
          </cell>
          <cell r="K29">
            <v>1182930.1534343013</v>
          </cell>
          <cell r="L29">
            <v>118293.01534343013</v>
          </cell>
          <cell r="M29">
            <v>100139.10975060209</v>
          </cell>
          <cell r="N29" t="str">
            <v>Si Compra</v>
          </cell>
          <cell r="O29">
            <v>10</v>
          </cell>
          <cell r="P29">
            <v>5579100.4652126469</v>
          </cell>
          <cell r="Q29">
            <v>557910.04652126471</v>
          </cell>
          <cell r="R29">
            <v>349015.76725255506</v>
          </cell>
          <cell r="S29">
            <v>283000</v>
          </cell>
          <cell r="T29">
            <v>0</v>
          </cell>
          <cell r="U29">
            <v>11</v>
          </cell>
          <cell r="V29">
            <v>0.21202883167460831</v>
          </cell>
          <cell r="W29">
            <v>4.5168845191065204E-3</v>
          </cell>
          <cell r="X29">
            <v>10</v>
          </cell>
          <cell r="Y29" t="str">
            <v>Potenciar</v>
          </cell>
        </row>
        <row r="30">
          <cell r="A30" t="str">
            <v>0258</v>
          </cell>
          <cell r="B30" t="str">
            <v>GRUPO LA ECONOMIA</v>
          </cell>
          <cell r="C30" t="str">
            <v>CADENA</v>
          </cell>
          <cell r="D30">
            <v>15</v>
          </cell>
          <cell r="E30">
            <v>15</v>
          </cell>
          <cell r="F30" t="str">
            <v>CENTRO OESTE</v>
          </cell>
          <cell r="G30" t="str">
            <v>YAMILEX LAMEDA</v>
          </cell>
          <cell r="H30" t="str">
            <v>HECTOR</v>
          </cell>
          <cell r="I30" t="str">
            <v>Y1</v>
          </cell>
          <cell r="J30" t="str">
            <v>Activo</v>
          </cell>
          <cell r="K30">
            <v>1169327.983184292</v>
          </cell>
          <cell r="L30">
            <v>116932.7983184292</v>
          </cell>
          <cell r="M30">
            <v>157657.94640382889</v>
          </cell>
          <cell r="N30" t="str">
            <v>Si Compra</v>
          </cell>
          <cell r="O30">
            <v>10</v>
          </cell>
          <cell r="P30">
            <v>2967157.5028069699</v>
          </cell>
          <cell r="Q30">
            <v>296715.75028069702</v>
          </cell>
          <cell r="R30">
            <v>266669.57429683703</v>
          </cell>
          <cell r="S30">
            <v>210000</v>
          </cell>
          <cell r="T30">
            <v>10</v>
          </cell>
          <cell r="U30">
            <v>15</v>
          </cell>
          <cell r="V30">
            <v>0.39409029755855302</v>
          </cell>
          <cell r="W30">
            <v>4.4649461759590859E-3</v>
          </cell>
          <cell r="X30">
            <v>10</v>
          </cell>
          <cell r="Y30" t="str">
            <v>Potenciar</v>
          </cell>
        </row>
        <row r="31">
          <cell r="A31" t="str">
            <v>4419</v>
          </cell>
          <cell r="B31" t="str">
            <v>GRUPO INSIDE MARKET</v>
          </cell>
          <cell r="C31" t="str">
            <v>GRUPO</v>
          </cell>
          <cell r="D31">
            <v>27</v>
          </cell>
          <cell r="E31"/>
          <cell r="F31" t="str">
            <v>ESTE</v>
          </cell>
          <cell r="H31"/>
          <cell r="I31"/>
          <cell r="J31" t="str">
            <v>Inactivo</v>
          </cell>
          <cell r="K31">
            <v>1145045.0413621236</v>
          </cell>
          <cell r="L31">
            <v>127227.22681801373</v>
          </cell>
          <cell r="M31">
            <v>114416.6946510094</v>
          </cell>
          <cell r="N31" t="str">
            <v>Si Compra</v>
          </cell>
          <cell r="O31">
            <v>8</v>
          </cell>
          <cell r="P31">
            <v>1136834.0298209577</v>
          </cell>
          <cell r="Q31">
            <v>162404.86140299396</v>
          </cell>
          <cell r="R31">
            <v>0</v>
          </cell>
          <cell r="S31"/>
          <cell r="T31"/>
          <cell r="U31"/>
          <cell r="V31">
            <v>0.78339543360287778</v>
          </cell>
          <cell r="W31">
            <v>4.8580272432378804E-3</v>
          </cell>
          <cell r="X31">
            <v>6</v>
          </cell>
          <cell r="Y31" t="str">
            <v>Proteger</v>
          </cell>
        </row>
        <row r="32">
          <cell r="A32" t="str">
            <v>9794</v>
          </cell>
          <cell r="B32" t="str">
            <v>GRUPO ATENAS</v>
          </cell>
          <cell r="C32" t="str">
            <v>CADENA</v>
          </cell>
          <cell r="D32">
            <v>12</v>
          </cell>
          <cell r="E32"/>
          <cell r="F32" t="str">
            <v>ANDES</v>
          </cell>
          <cell r="H32"/>
          <cell r="I32"/>
          <cell r="J32" t="str">
            <v>Activo</v>
          </cell>
          <cell r="K32">
            <v>1123177.4163737404</v>
          </cell>
          <cell r="L32">
            <v>112317.74163737404</v>
          </cell>
          <cell r="M32">
            <v>153796.83740807153</v>
          </cell>
          <cell r="N32" t="str">
            <v>Si Compra</v>
          </cell>
          <cell r="O32">
            <v>10</v>
          </cell>
          <cell r="P32">
            <v>3740088.0595570966</v>
          </cell>
          <cell r="Q32">
            <v>374008.80595570966</v>
          </cell>
          <cell r="R32">
            <v>412687.8275510355</v>
          </cell>
          <cell r="S32"/>
          <cell r="T32"/>
          <cell r="U32"/>
          <cell r="V32">
            <v>0.30030774636540181</v>
          </cell>
          <cell r="W32">
            <v>4.2887254750416425E-3</v>
          </cell>
          <cell r="X32">
            <v>10</v>
          </cell>
          <cell r="Y32" t="str">
            <v>Potenciar</v>
          </cell>
        </row>
        <row r="33">
          <cell r="A33" t="str">
            <v>2924</v>
          </cell>
          <cell r="B33" t="str">
            <v>FARMAREBAJAS</v>
          </cell>
          <cell r="C33" t="str">
            <v>GRUPO</v>
          </cell>
          <cell r="D33">
            <v>27</v>
          </cell>
          <cell r="E33">
            <v>12</v>
          </cell>
          <cell r="F33" t="str">
            <v>ANDES</v>
          </cell>
          <cell r="G33" t="str">
            <v>MACOS CRUCES</v>
          </cell>
          <cell r="H33" t="str">
            <v>HECTOR</v>
          </cell>
          <cell r="I33">
            <v>0</v>
          </cell>
          <cell r="J33" t="str">
            <v>Permiso</v>
          </cell>
          <cell r="K33">
            <v>1121211.2488021576</v>
          </cell>
          <cell r="L33">
            <v>112121.12488021576</v>
          </cell>
          <cell r="M33">
            <v>107748.49144899558</v>
          </cell>
          <cell r="N33" t="str">
            <v>Si Compra</v>
          </cell>
          <cell r="O33">
            <v>10</v>
          </cell>
          <cell r="P33">
            <v>1650358.4708807108</v>
          </cell>
          <cell r="Q33">
            <v>165035.84708807108</v>
          </cell>
          <cell r="R33">
            <v>111047.95281957746</v>
          </cell>
          <cell r="S33">
            <v>210000</v>
          </cell>
          <cell r="T33">
            <v>0</v>
          </cell>
          <cell r="U33">
            <v>12</v>
          </cell>
          <cell r="V33">
            <v>0.67937437143811874</v>
          </cell>
          <cell r="W33">
            <v>4.2812178873448811E-3</v>
          </cell>
          <cell r="X33">
            <v>10</v>
          </cell>
          <cell r="Y33" t="str">
            <v>Proteger</v>
          </cell>
        </row>
        <row r="34">
          <cell r="A34" t="str">
            <v>A555</v>
          </cell>
          <cell r="B34" t="str">
            <v>A555 - FARMACIA ELISHEBA, C.A.</v>
          </cell>
          <cell r="C34" t="str">
            <v>INDEPENDIENTE</v>
          </cell>
          <cell r="D34">
            <v>3</v>
          </cell>
          <cell r="E34"/>
          <cell r="F34" t="str">
            <v>CENTRO OESTE</v>
          </cell>
          <cell r="G34" t="str">
            <v>SORALI SILVA</v>
          </cell>
          <cell r="H34"/>
          <cell r="I34" t="str">
            <v>L</v>
          </cell>
          <cell r="J34" t="str">
            <v>Activo</v>
          </cell>
          <cell r="K34">
            <v>1055480.6469677857</v>
          </cell>
          <cell r="L34">
            <v>105548.06469677857</v>
          </cell>
          <cell r="M34">
            <v>136131.19991286812</v>
          </cell>
          <cell r="N34" t="str">
            <v>Si Compra</v>
          </cell>
          <cell r="O34">
            <v>10</v>
          </cell>
          <cell r="P34">
            <v>1403804.6288150824</v>
          </cell>
          <cell r="Q34">
            <v>140380.46288150823</v>
          </cell>
          <cell r="R34">
            <v>156840.39551641874</v>
          </cell>
          <cell r="T34"/>
          <cell r="U34"/>
          <cell r="V34">
            <v>0.75187146793973147</v>
          </cell>
          <cell r="W34">
            <v>4.0302330451753993E-3</v>
          </cell>
          <cell r="X34">
            <v>10</v>
          </cell>
          <cell r="Y34" t="str">
            <v>Proteger</v>
          </cell>
        </row>
        <row r="35">
          <cell r="A35" t="str">
            <v>C013</v>
          </cell>
          <cell r="B35" t="str">
            <v>GRUPO FITNESS</v>
          </cell>
          <cell r="C35" t="str">
            <v>CADENA</v>
          </cell>
          <cell r="D35">
            <v>24</v>
          </cell>
          <cell r="E35"/>
          <cell r="F35" t="str">
            <v>CENTRO ESTE</v>
          </cell>
          <cell r="H35"/>
          <cell r="I35"/>
          <cell r="J35" t="str">
            <v>Activo</v>
          </cell>
          <cell r="K35">
            <v>1010843.2497938103</v>
          </cell>
          <cell r="L35">
            <v>101084.32497938102</v>
          </cell>
          <cell r="M35">
            <v>95151.13503049151</v>
          </cell>
          <cell r="N35" t="str">
            <v>Si Compra</v>
          </cell>
          <cell r="O35">
            <v>10</v>
          </cell>
          <cell r="P35">
            <v>2397636.0008101678</v>
          </cell>
          <cell r="Q35">
            <v>239763.60008101678</v>
          </cell>
          <cell r="R35">
            <v>148796.95607709102</v>
          </cell>
          <cell r="S35"/>
          <cell r="T35"/>
          <cell r="U35"/>
          <cell r="V35">
            <v>0.42159996323555515</v>
          </cell>
          <cell r="W35">
            <v>3.8597902107586862E-3</v>
          </cell>
          <cell r="X35">
            <v>10</v>
          </cell>
          <cell r="Y35" t="str">
            <v>Potenciar</v>
          </cell>
        </row>
        <row r="36">
          <cell r="A36" t="str">
            <v>71</v>
          </cell>
          <cell r="B36" t="str">
            <v>GRUPO MI FARMA</v>
          </cell>
          <cell r="C36" t="str">
            <v>CADENA</v>
          </cell>
          <cell r="D36">
            <v>12</v>
          </cell>
          <cell r="E36"/>
          <cell r="F36" t="str">
            <v>MARACAIBO</v>
          </cell>
          <cell r="H36"/>
          <cell r="I36"/>
          <cell r="J36" t="str">
            <v>Activo</v>
          </cell>
          <cell r="K36">
            <v>982142.54385466664</v>
          </cell>
          <cell r="L36">
            <v>98214.254385466658</v>
          </cell>
          <cell r="M36">
            <v>106989.24569701262</v>
          </cell>
          <cell r="N36" t="str">
            <v>Si Compra</v>
          </cell>
          <cell r="O36">
            <v>10</v>
          </cell>
          <cell r="P36">
            <v>11100901.886385027</v>
          </cell>
          <cell r="Q36">
            <v>1110090.1886385027</v>
          </cell>
          <cell r="R36">
            <v>1067408.9093663862</v>
          </cell>
          <cell r="S36"/>
          <cell r="T36"/>
          <cell r="U36"/>
          <cell r="V36">
            <v>8.8474121644047624E-2</v>
          </cell>
          <cell r="W36">
            <v>3.7501998228836454E-3</v>
          </cell>
          <cell r="X36">
            <v>10</v>
          </cell>
          <cell r="Y36" t="str">
            <v>Conquistar</v>
          </cell>
        </row>
        <row r="37">
          <cell r="A37" t="str">
            <v>1348</v>
          </cell>
          <cell r="B37" t="str">
            <v>GRUPO TIERRA NEGRA</v>
          </cell>
          <cell r="C37" t="str">
            <v>CADENA</v>
          </cell>
          <cell r="D37">
            <v>18</v>
          </cell>
          <cell r="E37"/>
          <cell r="F37" t="str">
            <v>MARACAIBO</v>
          </cell>
          <cell r="H37"/>
          <cell r="I37"/>
          <cell r="J37" t="str">
            <v>Permiso</v>
          </cell>
          <cell r="K37">
            <v>971532.7956769662</v>
          </cell>
          <cell r="L37">
            <v>97153.27956769662</v>
          </cell>
          <cell r="M37">
            <v>144620.52143371705</v>
          </cell>
          <cell r="N37" t="str">
            <v>Si Compra</v>
          </cell>
          <cell r="O37">
            <v>10</v>
          </cell>
          <cell r="P37">
            <v>12056439.302621456</v>
          </cell>
          <cell r="Q37">
            <v>1205643.9302621456</v>
          </cell>
          <cell r="R37">
            <v>1249979.9898018842</v>
          </cell>
          <cell r="S37"/>
          <cell r="T37"/>
          <cell r="U37"/>
          <cell r="V37">
            <v>8.0582066669196761E-2</v>
          </cell>
          <cell r="W37">
            <v>3.7096877037561191E-3</v>
          </cell>
          <cell r="X37">
            <v>10</v>
          </cell>
          <cell r="Y37" t="str">
            <v>Conquistar</v>
          </cell>
        </row>
        <row r="38">
          <cell r="A38" t="str">
            <v>8701</v>
          </cell>
          <cell r="B38" t="str">
            <v>MAS POR MENOS ANDES</v>
          </cell>
          <cell r="C38" t="str">
            <v>CADENA</v>
          </cell>
          <cell r="D38">
            <v>28</v>
          </cell>
          <cell r="E38"/>
          <cell r="F38" t="str">
            <v>ANDES</v>
          </cell>
          <cell r="H38"/>
          <cell r="I38"/>
          <cell r="J38" t="str">
            <v>Permiso</v>
          </cell>
          <cell r="K38">
            <v>957360.29333889112</v>
          </cell>
          <cell r="L38">
            <v>95736.029333889106</v>
          </cell>
          <cell r="M38">
            <v>288325.81929219578</v>
          </cell>
          <cell r="N38" t="str">
            <v>Si Compra</v>
          </cell>
          <cell r="O38">
            <v>10</v>
          </cell>
          <cell r="P38">
            <v>7127341.0746827144</v>
          </cell>
          <cell r="Q38">
            <v>712734.1074682714</v>
          </cell>
          <cell r="R38">
            <v>614962.32866287394</v>
          </cell>
          <cell r="S38"/>
          <cell r="T38"/>
          <cell r="U38"/>
          <cell r="V38">
            <v>0.13432222245397588</v>
          </cell>
          <cell r="W38">
            <v>3.6555716122675377E-3</v>
          </cell>
          <cell r="X38">
            <v>10</v>
          </cell>
          <cell r="Y38" t="str">
            <v>Conquistar</v>
          </cell>
        </row>
        <row r="39">
          <cell r="A39" t="str">
            <v>0852</v>
          </cell>
          <cell r="B39" t="str">
            <v>GERMANIA</v>
          </cell>
          <cell r="C39" t="str">
            <v>GRUPO</v>
          </cell>
          <cell r="D39">
            <v>9</v>
          </cell>
          <cell r="E39"/>
          <cell r="F39" t="str">
            <v>ESTE</v>
          </cell>
          <cell r="H39"/>
          <cell r="I39"/>
          <cell r="J39" t="str">
            <v>Activo</v>
          </cell>
          <cell r="K39">
            <v>955205.22314358305</v>
          </cell>
          <cell r="L39">
            <v>95520.522314358299</v>
          </cell>
          <cell r="M39">
            <v>120581.50959327359</v>
          </cell>
          <cell r="N39" t="str">
            <v>Si Compra</v>
          </cell>
          <cell r="O39">
            <v>10</v>
          </cell>
          <cell r="P39">
            <v>1747934.7591744845</v>
          </cell>
          <cell r="Q39">
            <v>174793.47591744846</v>
          </cell>
          <cell r="R39">
            <v>176582.81823107132</v>
          </cell>
          <cell r="S39"/>
          <cell r="T39"/>
          <cell r="U39"/>
          <cell r="V39">
            <v>0.54647647352393613</v>
          </cell>
          <cell r="W39">
            <v>3.6473427213439998E-3</v>
          </cell>
          <cell r="X39">
            <v>10</v>
          </cell>
          <cell r="Y39" t="str">
            <v>Potenciar</v>
          </cell>
        </row>
        <row r="40">
          <cell r="A40" t="str">
            <v>448</v>
          </cell>
          <cell r="B40" t="str">
            <v>GRUPO TODOHOGAR</v>
          </cell>
          <cell r="C40" t="str">
            <v>CADENA</v>
          </cell>
          <cell r="D40">
            <v>27</v>
          </cell>
          <cell r="E40"/>
          <cell r="F40" t="str">
            <v>ESTE</v>
          </cell>
          <cell r="H40"/>
          <cell r="I40"/>
          <cell r="J40" t="str">
            <v>Permiso</v>
          </cell>
          <cell r="K40">
            <v>953246.40409372118</v>
          </cell>
          <cell r="L40">
            <v>95324.640409372121</v>
          </cell>
          <cell r="M40">
            <v>91265.447687793639</v>
          </cell>
          <cell r="N40" t="str">
            <v>Si Compra</v>
          </cell>
          <cell r="O40">
            <v>10</v>
          </cell>
          <cell r="P40">
            <v>2935226.6461134152</v>
          </cell>
          <cell r="Q40">
            <v>293522.66461134155</v>
          </cell>
          <cell r="R40">
            <v>225148.40078363373</v>
          </cell>
          <cell r="S40"/>
          <cell r="T40"/>
          <cell r="U40"/>
          <cell r="V40">
            <v>0.32476074900584978</v>
          </cell>
          <cell r="W40">
            <v>3.6398631931433153E-3</v>
          </cell>
          <cell r="X40">
            <v>10</v>
          </cell>
          <cell r="Y40" t="str">
            <v>Potenciar</v>
          </cell>
        </row>
        <row r="41">
          <cell r="A41" t="str">
            <v>4727</v>
          </cell>
          <cell r="B41" t="str">
            <v>4727 - PLANSUAREZ, C.A.</v>
          </cell>
          <cell r="C41" t="str">
            <v>INDEPENDIENTE</v>
          </cell>
          <cell r="D41">
            <v>3</v>
          </cell>
          <cell r="E41"/>
          <cell r="F41" t="str">
            <v>CARACAS</v>
          </cell>
          <cell r="G41">
            <v>0</v>
          </cell>
          <cell r="H41"/>
          <cell r="I41" t="str">
            <v>C1</v>
          </cell>
          <cell r="J41" t="str">
            <v>Permiso</v>
          </cell>
          <cell r="K41">
            <v>924517.8583847126</v>
          </cell>
          <cell r="L41">
            <v>92451.78583847126</v>
          </cell>
          <cell r="M41">
            <v>122197.3714163589</v>
          </cell>
          <cell r="N41" t="str">
            <v>Si Compra</v>
          </cell>
          <cell r="O41">
            <v>10</v>
          </cell>
          <cell r="P41">
            <v>0</v>
          </cell>
          <cell r="Q41">
            <v>0</v>
          </cell>
          <cell r="R41">
            <v>0</v>
          </cell>
          <cell r="T41"/>
          <cell r="U41"/>
          <cell r="V41">
            <v>0</v>
          </cell>
          <cell r="W41">
            <v>3.530166502267076E-3</v>
          </cell>
          <cell r="X41">
            <v>0</v>
          </cell>
          <cell r="Y41" t="str">
            <v>Conquistar</v>
          </cell>
        </row>
        <row r="42">
          <cell r="A42" t="str">
            <v>-002</v>
          </cell>
          <cell r="B42" t="str">
            <v>GRUPO FARMAMIGO</v>
          </cell>
          <cell r="C42" t="str">
            <v>GRUPO</v>
          </cell>
          <cell r="D42">
            <v>15</v>
          </cell>
          <cell r="E42"/>
          <cell r="F42" t="str">
            <v>CARACAS</v>
          </cell>
          <cell r="H42"/>
          <cell r="I42"/>
          <cell r="J42" t="str">
            <v>Activo</v>
          </cell>
          <cell r="K42">
            <v>917093.91351589258</v>
          </cell>
          <cell r="L42">
            <v>91709.391351589264</v>
          </cell>
          <cell r="M42">
            <v>74853.958360582663</v>
          </cell>
          <cell r="N42" t="str">
            <v>Si Compra</v>
          </cell>
          <cell r="O42">
            <v>10</v>
          </cell>
          <cell r="P42">
            <v>1405910.5227991121</v>
          </cell>
          <cell r="Q42">
            <v>140591.05227991121</v>
          </cell>
          <cell r="R42">
            <v>139403.24903604621</v>
          </cell>
          <cell r="S42"/>
          <cell r="T42"/>
          <cell r="U42"/>
          <cell r="V42">
            <v>0.65231314414660968</v>
          </cell>
          <cell r="W42">
            <v>3.5018190114610302E-3</v>
          </cell>
          <cell r="X42">
            <v>10</v>
          </cell>
          <cell r="Y42" t="str">
            <v>Proteger</v>
          </cell>
        </row>
        <row r="43">
          <cell r="A43" t="str">
            <v>A003</v>
          </cell>
          <cell r="B43" t="str">
            <v>FARMATUYA</v>
          </cell>
          <cell r="C43" t="str">
            <v>CADENA</v>
          </cell>
          <cell r="D43">
            <v>45</v>
          </cell>
          <cell r="E43"/>
          <cell r="F43" t="str">
            <v>CARACAS</v>
          </cell>
          <cell r="H43"/>
          <cell r="I43"/>
          <cell r="J43" t="str">
            <v>Inactivo</v>
          </cell>
          <cell r="K43">
            <v>895674.57482439419</v>
          </cell>
          <cell r="L43">
            <v>111959.32185304927</v>
          </cell>
          <cell r="M43">
            <v>161215.79291690802</v>
          </cell>
          <cell r="N43" t="str">
            <v>Si Compra</v>
          </cell>
          <cell r="O43">
            <v>8</v>
          </cell>
          <cell r="P43">
            <v>2633441.1550347437</v>
          </cell>
          <cell r="Q43">
            <v>329180.14437934296</v>
          </cell>
          <cell r="R43">
            <v>339582.38873560034</v>
          </cell>
          <cell r="S43"/>
          <cell r="T43"/>
          <cell r="U43"/>
          <cell r="V43">
            <v>0.3401156593577187</v>
          </cell>
          <cell r="W43">
            <v>4.275039622411562E-3</v>
          </cell>
          <cell r="X43">
            <v>8</v>
          </cell>
          <cell r="Y43" t="str">
            <v>Potenciar</v>
          </cell>
        </row>
        <row r="44">
          <cell r="A44" t="str">
            <v>3701</v>
          </cell>
          <cell r="B44" t="str">
            <v>FSI 6 - Adriana Nieves</v>
          </cell>
          <cell r="C44" t="str">
            <v>CADENA</v>
          </cell>
          <cell r="D44">
            <v>15</v>
          </cell>
          <cell r="E44"/>
          <cell r="F44" t="str">
            <v>CENTRO OESTE</v>
          </cell>
          <cell r="H44"/>
          <cell r="I44"/>
          <cell r="J44" t="str">
            <v>Inactivo</v>
          </cell>
          <cell r="K44">
            <v>860360.33157303382</v>
          </cell>
          <cell r="L44">
            <v>86036.033157303376</v>
          </cell>
          <cell r="M44">
            <v>47031.629341838379</v>
          </cell>
          <cell r="N44" t="str">
            <v>Si Compra</v>
          </cell>
          <cell r="O44">
            <v>10</v>
          </cell>
          <cell r="P44">
            <v>3627364.3091781163</v>
          </cell>
          <cell r="Q44">
            <v>362736.43091781164</v>
          </cell>
          <cell r="R44">
            <v>177202.56612040277</v>
          </cell>
          <cell r="S44"/>
          <cell r="T44"/>
          <cell r="U44"/>
          <cell r="V44">
            <v>0.23718608285253076</v>
          </cell>
          <cell r="W44">
            <v>3.2851882685154851E-3</v>
          </cell>
          <cell r="X44">
            <v>10</v>
          </cell>
          <cell r="Y44" t="str">
            <v>Potenciar</v>
          </cell>
        </row>
        <row r="45">
          <cell r="A45" t="str">
            <v>0410</v>
          </cell>
          <cell r="B45" t="str">
            <v>GRUPO FAR MÁS</v>
          </cell>
          <cell r="C45" t="str">
            <v>CADENA</v>
          </cell>
          <cell r="D45">
            <v>36</v>
          </cell>
          <cell r="E45"/>
          <cell r="F45" t="str">
            <v>CENTRO OESTE</v>
          </cell>
          <cell r="H45"/>
          <cell r="I45"/>
          <cell r="J45" t="str">
            <v>Activo</v>
          </cell>
          <cell r="K45">
            <v>851138.12505270611</v>
          </cell>
          <cell r="L45">
            <v>85113.812505270616</v>
          </cell>
          <cell r="M45">
            <v>69945.468778505325</v>
          </cell>
          <cell r="N45" t="str">
            <v>Si Compra</v>
          </cell>
          <cell r="O45">
            <v>10</v>
          </cell>
          <cell r="P45">
            <v>1965675.2226510097</v>
          </cell>
          <cell r="Q45">
            <v>196567.52226510097</v>
          </cell>
          <cell r="R45">
            <v>70293.096088971637</v>
          </cell>
          <cell r="S45"/>
          <cell r="T45"/>
          <cell r="U45"/>
          <cell r="V45">
            <v>0.4330003834025124</v>
          </cell>
          <cell r="W45">
            <v>3.2499743197098555E-3</v>
          </cell>
          <cell r="X45">
            <v>10</v>
          </cell>
          <cell r="Y45" t="str">
            <v>Potenciar</v>
          </cell>
        </row>
        <row r="46">
          <cell r="A46" t="str">
            <v>4828</v>
          </cell>
          <cell r="B46" t="str">
            <v>4828 - OFERMACIA, C.A.</v>
          </cell>
          <cell r="C46" t="str">
            <v>INDEPENDIENTE</v>
          </cell>
          <cell r="D46">
            <v>3</v>
          </cell>
          <cell r="E46"/>
          <cell r="F46" t="str">
            <v>MARACAIBO</v>
          </cell>
          <cell r="G46" t="str">
            <v>YENNIFER LUZARDO</v>
          </cell>
          <cell r="H46"/>
          <cell r="I46" t="str">
            <v>BE</v>
          </cell>
          <cell r="J46" t="str">
            <v>Activo</v>
          </cell>
          <cell r="K46">
            <v>840670.11981202231</v>
          </cell>
          <cell r="L46">
            <v>84067.011981202231</v>
          </cell>
          <cell r="M46">
            <v>84063.161814461651</v>
          </cell>
          <cell r="N46" t="str">
            <v>Si Compra</v>
          </cell>
          <cell r="O46">
            <v>10</v>
          </cell>
          <cell r="P46">
            <v>876671.17852780223</v>
          </cell>
          <cell r="Q46">
            <v>97407.908725311354</v>
          </cell>
          <cell r="R46">
            <v>87129.708883308049</v>
          </cell>
          <cell r="T46"/>
          <cell r="U46"/>
          <cell r="V46">
            <v>0.86304092841444502</v>
          </cell>
          <cell r="W46">
            <v>3.2100034298983998E-3</v>
          </cell>
          <cell r="X46">
            <v>9</v>
          </cell>
          <cell r="Y46" t="str">
            <v>Proteger</v>
          </cell>
        </row>
        <row r="47">
          <cell r="A47" t="str">
            <v>0447</v>
          </cell>
          <cell r="B47" t="str">
            <v>GRUPO EL MORRO</v>
          </cell>
          <cell r="C47" t="str">
            <v>CADENA</v>
          </cell>
          <cell r="D47">
            <v>33</v>
          </cell>
          <cell r="E47">
            <v>12</v>
          </cell>
          <cell r="F47" t="str">
            <v>CENTRO ESTE</v>
          </cell>
          <cell r="G47" t="str">
            <v>KARLA SALAZAR</v>
          </cell>
          <cell r="H47" t="str">
            <v>HECTOR</v>
          </cell>
          <cell r="I47">
            <v>0</v>
          </cell>
          <cell r="J47" t="str">
            <v>Activo</v>
          </cell>
          <cell r="K47">
            <v>836487.54733268695</v>
          </cell>
          <cell r="L47">
            <v>83648.754733268695</v>
          </cell>
          <cell r="M47">
            <v>84443.257651962122</v>
          </cell>
          <cell r="N47" t="str">
            <v>Si Compra</v>
          </cell>
          <cell r="O47">
            <v>10</v>
          </cell>
          <cell r="P47">
            <v>5079799.9195942348</v>
          </cell>
          <cell r="Q47">
            <v>507979.99195942347</v>
          </cell>
          <cell r="R47">
            <v>334342.5928106939</v>
          </cell>
          <cell r="S47">
            <v>400000</v>
          </cell>
          <cell r="T47">
            <v>0</v>
          </cell>
          <cell r="U47">
            <v>12</v>
          </cell>
          <cell r="V47">
            <v>0.16466938867141526</v>
          </cell>
          <cell r="W47">
            <v>3.1940327516405981E-3</v>
          </cell>
          <cell r="X47">
            <v>10</v>
          </cell>
          <cell r="Y47" t="str">
            <v>Conquistar</v>
          </cell>
        </row>
        <row r="48">
          <cell r="A48" t="str">
            <v>9373</v>
          </cell>
          <cell r="B48" t="str">
            <v>LAS REBAJAS</v>
          </cell>
          <cell r="C48" t="str">
            <v>CADENA</v>
          </cell>
          <cell r="D48">
            <v>9</v>
          </cell>
          <cell r="E48"/>
          <cell r="F48" t="str">
            <v>CENTRO OESTE</v>
          </cell>
          <cell r="H48"/>
          <cell r="I48"/>
          <cell r="J48" t="str">
            <v>Activo</v>
          </cell>
          <cell r="K48">
            <v>831875.39732001757</v>
          </cell>
          <cell r="L48">
            <v>83187.539732001751</v>
          </cell>
          <cell r="M48">
            <v>125320.21969832947</v>
          </cell>
          <cell r="N48" t="str">
            <v>Si Compra</v>
          </cell>
          <cell r="O48">
            <v>10</v>
          </cell>
          <cell r="P48">
            <v>8531.2691839399558</v>
          </cell>
          <cell r="Q48">
            <v>947.91879821555062</v>
          </cell>
          <cell r="R48">
            <v>1246.4725105284431</v>
          </cell>
          <cell r="S48"/>
          <cell r="T48"/>
          <cell r="U48"/>
          <cell r="V48">
            <v>87.758086334611804</v>
          </cell>
          <cell r="W48">
            <v>3.1764217803321552E-3</v>
          </cell>
          <cell r="X48">
            <v>6</v>
          </cell>
          <cell r="Y48" t="str">
            <v>Proteger</v>
          </cell>
        </row>
        <row r="49">
          <cell r="A49" t="str">
            <v>A684</v>
          </cell>
          <cell r="B49" t="str">
            <v>BIOFARMA COLON</v>
          </cell>
          <cell r="C49" t="str">
            <v>CADENA</v>
          </cell>
          <cell r="D49">
            <v>9</v>
          </cell>
          <cell r="E49"/>
          <cell r="F49" t="str">
            <v>ANDES</v>
          </cell>
          <cell r="H49"/>
          <cell r="I49"/>
          <cell r="J49" t="str">
            <v>Activo</v>
          </cell>
          <cell r="K49">
            <v>830397.22485746432</v>
          </cell>
          <cell r="L49">
            <v>83039.722485746432</v>
          </cell>
          <cell r="M49">
            <v>78580.495604747164</v>
          </cell>
          <cell r="N49" t="str">
            <v>Si Compra</v>
          </cell>
          <cell r="O49">
            <v>10</v>
          </cell>
          <cell r="P49">
            <v>1654936.9599494855</v>
          </cell>
          <cell r="Q49">
            <v>165493.69599494856</v>
          </cell>
          <cell r="R49">
            <v>238211.3858868746</v>
          </cell>
          <cell r="S49"/>
          <cell r="T49"/>
          <cell r="U49"/>
          <cell r="V49">
            <v>0.50176970177934199</v>
          </cell>
          <cell r="W49">
            <v>3.1707775465679793E-3</v>
          </cell>
          <cell r="X49">
            <v>9</v>
          </cell>
          <cell r="Y49" t="str">
            <v>Potenciar</v>
          </cell>
        </row>
        <row r="50">
          <cell r="A50" t="str">
            <v>B872</v>
          </cell>
          <cell r="B50" t="str">
            <v>MEGAFARMA</v>
          </cell>
          <cell r="C50" t="str">
            <v>CADENA</v>
          </cell>
          <cell r="D50">
            <v>12</v>
          </cell>
          <cell r="E50"/>
          <cell r="F50" t="str">
            <v>MARACAIBO</v>
          </cell>
          <cell r="H50"/>
          <cell r="I50"/>
          <cell r="J50" t="str">
            <v>Activo</v>
          </cell>
          <cell r="K50">
            <v>821533.41821565968</v>
          </cell>
          <cell r="L50">
            <v>82153.341821565962</v>
          </cell>
          <cell r="M50">
            <v>113973.10982556158</v>
          </cell>
          <cell r="N50" t="str">
            <v>Si Compra</v>
          </cell>
          <cell r="O50">
            <v>10</v>
          </cell>
          <cell r="P50">
            <v>1108051.249337473</v>
          </cell>
          <cell r="Q50">
            <v>110805.1249337473</v>
          </cell>
          <cell r="R50">
            <v>118333.80588968268</v>
          </cell>
          <cell r="S50"/>
          <cell r="T50"/>
          <cell r="U50"/>
          <cell r="V50">
            <v>0.74142185996078402</v>
          </cell>
          <cell r="W50">
            <v>3.1369321070173128E-3</v>
          </cell>
          <cell r="X50">
            <v>10</v>
          </cell>
          <cell r="Y50" t="str">
            <v>Proteger</v>
          </cell>
        </row>
        <row r="51">
          <cell r="A51" t="str">
            <v>E207</v>
          </cell>
          <cell r="B51" t="str">
            <v>INSUMEDIC</v>
          </cell>
          <cell r="C51" t="str">
            <v>CADENA</v>
          </cell>
          <cell r="D51">
            <v>9</v>
          </cell>
          <cell r="E51"/>
          <cell r="F51" t="str">
            <v>ANDES</v>
          </cell>
          <cell r="H51"/>
          <cell r="I51"/>
          <cell r="J51" t="str">
            <v>Inactivo</v>
          </cell>
          <cell r="K51">
            <v>819049.27993331256</v>
          </cell>
          <cell r="L51">
            <v>102381.15999166407</v>
          </cell>
          <cell r="M51">
            <v>170728.60467420079</v>
          </cell>
          <cell r="N51" t="str">
            <v>Si Compra</v>
          </cell>
          <cell r="O51">
            <v>8</v>
          </cell>
          <cell r="P51">
            <v>0</v>
          </cell>
          <cell r="Q51">
            <v>0</v>
          </cell>
          <cell r="R51">
            <v>0</v>
          </cell>
          <cell r="S51"/>
          <cell r="T51"/>
          <cell r="U51"/>
          <cell r="V51">
            <v>0</v>
          </cell>
          <cell r="W51">
            <v>3.9093083836940082E-3</v>
          </cell>
          <cell r="X51">
            <v>0</v>
          </cell>
          <cell r="Y51" t="str">
            <v>Conquistar</v>
          </cell>
        </row>
        <row r="52">
          <cell r="A52" t="str">
            <v>2092</v>
          </cell>
          <cell r="B52" t="str">
            <v>FARMAVIDA</v>
          </cell>
          <cell r="C52" t="str">
            <v>CADENA</v>
          </cell>
          <cell r="D52">
            <v>27</v>
          </cell>
          <cell r="E52">
            <v>10</v>
          </cell>
          <cell r="F52" t="str">
            <v>CENTRO OESTE</v>
          </cell>
          <cell r="G52" t="str">
            <v/>
          </cell>
          <cell r="H52" t="str">
            <v>HECTOR</v>
          </cell>
          <cell r="I52">
            <v>0</v>
          </cell>
          <cell r="J52" t="str">
            <v>Activo</v>
          </cell>
          <cell r="K52">
            <v>815960.42271197715</v>
          </cell>
          <cell r="L52">
            <v>81596.042271197715</v>
          </cell>
          <cell r="M52">
            <v>118035.23790862283</v>
          </cell>
          <cell r="N52" t="str">
            <v>Si Compra</v>
          </cell>
          <cell r="O52">
            <v>10</v>
          </cell>
          <cell r="P52">
            <v>2226780.5832839264</v>
          </cell>
          <cell r="Q52">
            <v>222678.05832839262</v>
          </cell>
          <cell r="R52">
            <v>224028.71422589305</v>
          </cell>
          <cell r="S52">
            <v>220000</v>
          </cell>
          <cell r="T52">
            <v>6</v>
          </cell>
          <cell r="U52">
            <v>10</v>
          </cell>
          <cell r="V52">
            <v>0.36643054499273847</v>
          </cell>
          <cell r="W52">
            <v>3.1156522562648804E-3</v>
          </cell>
          <cell r="X52">
            <v>10</v>
          </cell>
          <cell r="Y52" t="str">
            <v>Potenciar</v>
          </cell>
        </row>
        <row r="53">
          <cell r="A53" t="str">
            <v>7561</v>
          </cell>
          <cell r="B53" t="str">
            <v>GRUPO SANTA ROSA DE BARINAS</v>
          </cell>
          <cell r="C53" t="str">
            <v>GRUPO</v>
          </cell>
          <cell r="D53">
            <v>6</v>
          </cell>
          <cell r="E53"/>
          <cell r="F53" t="str">
            <v>CENTRO OESTE</v>
          </cell>
          <cell r="H53"/>
          <cell r="I53"/>
          <cell r="J53" t="str">
            <v>Inactivo</v>
          </cell>
          <cell r="K53">
            <v>815531.77868913708</v>
          </cell>
          <cell r="L53">
            <v>81553.177868913714</v>
          </cell>
          <cell r="M53">
            <v>80548.437701192961</v>
          </cell>
          <cell r="N53" t="str">
            <v>Si Compra</v>
          </cell>
          <cell r="O53">
            <v>10</v>
          </cell>
          <cell r="P53">
            <v>986445.17516615195</v>
          </cell>
          <cell r="Q53">
            <v>98644.517516615189</v>
          </cell>
          <cell r="R53">
            <v>106889.46730931547</v>
          </cell>
          <cell r="S53"/>
          <cell r="T53"/>
          <cell r="U53"/>
          <cell r="V53">
            <v>0.8267380683896326</v>
          </cell>
          <cell r="W53">
            <v>3.1140155277180996E-3</v>
          </cell>
          <cell r="X53">
            <v>10</v>
          </cell>
          <cell r="Y53" t="str">
            <v>Proteger</v>
          </cell>
        </row>
        <row r="54">
          <cell r="A54" t="str">
            <v>A812</v>
          </cell>
          <cell r="B54" t="str">
            <v>GRUPO JORGE JARROUJ</v>
          </cell>
          <cell r="C54" t="str">
            <v>CADENA</v>
          </cell>
          <cell r="D54">
            <v>41</v>
          </cell>
          <cell r="E54"/>
          <cell r="F54" t="str">
            <v>ESTE</v>
          </cell>
          <cell r="H54"/>
          <cell r="I54"/>
          <cell r="J54" t="str">
            <v>Activo</v>
          </cell>
          <cell r="K54">
            <v>804031.22796962003</v>
          </cell>
          <cell r="L54">
            <v>80403.122796962009</v>
          </cell>
          <cell r="M54">
            <v>114646.6750072509</v>
          </cell>
          <cell r="N54" t="str">
            <v>Si Compra</v>
          </cell>
          <cell r="O54">
            <v>10</v>
          </cell>
          <cell r="P54">
            <v>4619811.3539704364</v>
          </cell>
          <cell r="Q54">
            <v>461981.13539704366</v>
          </cell>
          <cell r="R54">
            <v>422482.58289694489</v>
          </cell>
          <cell r="S54"/>
          <cell r="T54"/>
          <cell r="U54"/>
          <cell r="V54">
            <v>0.17403983980397944</v>
          </cell>
          <cell r="W54">
            <v>3.0701019801976704E-3</v>
          </cell>
          <cell r="X54">
            <v>10</v>
          </cell>
          <cell r="Y54" t="str">
            <v>Conquistar</v>
          </cell>
        </row>
        <row r="55">
          <cell r="A55" t="str">
            <v>3995</v>
          </cell>
          <cell r="B55" t="str">
            <v>EXCELSIOR GAMA</v>
          </cell>
          <cell r="C55" t="str">
            <v>CADENA</v>
          </cell>
          <cell r="D55">
            <v>3</v>
          </cell>
          <cell r="E55"/>
          <cell r="F55" t="str">
            <v>CARACAS</v>
          </cell>
          <cell r="H55"/>
          <cell r="I55"/>
          <cell r="J55" t="str">
            <v>Inactivo</v>
          </cell>
          <cell r="K55">
            <v>796221.68431133835</v>
          </cell>
          <cell r="L55">
            <v>79622.168431133832</v>
          </cell>
          <cell r="M55">
            <v>136761.05146839237</v>
          </cell>
          <cell r="N55" t="str">
            <v>Si Compra</v>
          </cell>
          <cell r="O55">
            <v>9</v>
          </cell>
          <cell r="P55">
            <v>0</v>
          </cell>
          <cell r="Q55">
            <v>0</v>
          </cell>
          <cell r="R55">
            <v>0</v>
          </cell>
          <cell r="S55"/>
          <cell r="T55"/>
          <cell r="U55"/>
          <cell r="V55">
            <v>0</v>
          </cell>
          <cell r="W55">
            <v>3.0402821241825298E-3</v>
          </cell>
          <cell r="X55">
            <v>0</v>
          </cell>
          <cell r="Y55" t="str">
            <v>Conquistar</v>
          </cell>
        </row>
        <row r="56">
          <cell r="A56" t="str">
            <v>1944</v>
          </cell>
          <cell r="B56" t="str">
            <v>FARMAPAZ</v>
          </cell>
          <cell r="C56" t="str">
            <v>CADENA</v>
          </cell>
          <cell r="D56">
            <v>12</v>
          </cell>
          <cell r="E56"/>
          <cell r="F56" t="str">
            <v>ESTE</v>
          </cell>
          <cell r="H56"/>
          <cell r="I56"/>
          <cell r="J56" t="str">
            <v>Activo</v>
          </cell>
          <cell r="K56">
            <v>790193.02633793314</v>
          </cell>
          <cell r="L56">
            <v>79019.302633793312</v>
          </cell>
          <cell r="M56">
            <v>182402.49826045716</v>
          </cell>
          <cell r="N56" t="str">
            <v>Si Compra</v>
          </cell>
          <cell r="O56">
            <v>10</v>
          </cell>
          <cell r="P56">
            <v>4822130.8051233264</v>
          </cell>
          <cell r="Q56">
            <v>482213.08051233261</v>
          </cell>
          <cell r="R56">
            <v>532237.26114445238</v>
          </cell>
          <cell r="S56"/>
          <cell r="T56"/>
          <cell r="U56"/>
          <cell r="V56">
            <v>0.1638680198177917</v>
          </cell>
          <cell r="W56">
            <v>3.0172623780106993E-3</v>
          </cell>
          <cell r="X56">
            <v>10</v>
          </cell>
          <cell r="Y56" t="str">
            <v>Conquistar</v>
          </cell>
        </row>
        <row r="57">
          <cell r="A57" t="str">
            <v>A782</v>
          </cell>
          <cell r="B57" t="str">
            <v>GRUPO YADIXON RAMIREZ</v>
          </cell>
          <cell r="C57" t="str">
            <v>CADENA</v>
          </cell>
          <cell r="D57">
            <v>21</v>
          </cell>
          <cell r="E57">
            <v>10</v>
          </cell>
          <cell r="F57" t="str">
            <v>CENTRO ESTE</v>
          </cell>
          <cell r="G57" t="str">
            <v>KARLA SALAZAR</v>
          </cell>
          <cell r="H57" t="str">
            <v>HECTOR</v>
          </cell>
          <cell r="I57">
            <v>0</v>
          </cell>
          <cell r="J57" t="str">
            <v>Activo</v>
          </cell>
          <cell r="K57">
            <v>777401.96636918047</v>
          </cell>
          <cell r="L57">
            <v>77740.196636918045</v>
          </cell>
          <cell r="M57">
            <v>50622.02490671214</v>
          </cell>
          <cell r="N57" t="str">
            <v>Si Compra</v>
          </cell>
          <cell r="O57">
            <v>10</v>
          </cell>
          <cell r="P57">
            <v>3669945.821947387</v>
          </cell>
          <cell r="Q57">
            <v>366994.58219473867</v>
          </cell>
          <cell r="R57">
            <v>303218.86055661063</v>
          </cell>
          <cell r="S57">
            <v>270000</v>
          </cell>
          <cell r="T57">
            <v>0</v>
          </cell>
          <cell r="U57">
            <v>10</v>
          </cell>
          <cell r="V57">
            <v>0.21182927598551493</v>
          </cell>
          <cell r="W57">
            <v>2.9684211674049108E-3</v>
          </cell>
          <cell r="X57">
            <v>10</v>
          </cell>
          <cell r="Y57" t="str">
            <v>Potenciar</v>
          </cell>
        </row>
        <row r="58">
          <cell r="A58" t="str">
            <v>7430</v>
          </cell>
          <cell r="B58" t="str">
            <v>GRUPO POPULAR YARITAGUA</v>
          </cell>
          <cell r="C58" t="str">
            <v>CADENA</v>
          </cell>
          <cell r="D58">
            <v>9</v>
          </cell>
          <cell r="E58">
            <v>14</v>
          </cell>
          <cell r="F58" t="str">
            <v>CENTRO OESTE</v>
          </cell>
          <cell r="G58" t="str">
            <v>YAMILEX LAMEDA</v>
          </cell>
          <cell r="H58" t="str">
            <v>HECTOR</v>
          </cell>
          <cell r="I58" t="str">
            <v>Y1</v>
          </cell>
          <cell r="J58" t="str">
            <v>Inactivo</v>
          </cell>
          <cell r="K58">
            <v>743491.04010815406</v>
          </cell>
          <cell r="L58">
            <v>74349.104010815412</v>
          </cell>
          <cell r="M58">
            <v>81287.616087918796</v>
          </cell>
          <cell r="N58" t="str">
            <v>Si Compra</v>
          </cell>
          <cell r="O58">
            <v>10</v>
          </cell>
          <cell r="P58">
            <v>1362099.6270221649</v>
          </cell>
          <cell r="Q58">
            <v>136209.96270221649</v>
          </cell>
          <cell r="R58">
            <v>152567.57972157284</v>
          </cell>
          <cell r="S58">
            <v>173000</v>
          </cell>
          <cell r="T58">
            <v>4</v>
          </cell>
          <cell r="U58">
            <v>14</v>
          </cell>
          <cell r="V58">
            <v>0.54584189391019899</v>
          </cell>
          <cell r="W58">
            <v>2.8389361446313332E-3</v>
          </cell>
          <cell r="X58">
            <v>10</v>
          </cell>
          <cell r="Y58" t="str">
            <v>Potenciar</v>
          </cell>
        </row>
        <row r="59">
          <cell r="A59" t="str">
            <v>D577</v>
          </cell>
          <cell r="B59" t="str">
            <v>DROFARBIS</v>
          </cell>
          <cell r="C59" t="str">
            <v>GRUPO</v>
          </cell>
          <cell r="D59">
            <v>6</v>
          </cell>
          <cell r="E59">
            <v>10</v>
          </cell>
          <cell r="F59" t="str">
            <v>CENTRO OESTE</v>
          </cell>
          <cell r="G59" t="str">
            <v/>
          </cell>
          <cell r="H59" t="str">
            <v>HECTOR</v>
          </cell>
          <cell r="I59">
            <v>0</v>
          </cell>
          <cell r="J59" t="str">
            <v>Activo</v>
          </cell>
          <cell r="K59">
            <v>731307.25269450422</v>
          </cell>
          <cell r="L59">
            <v>73130.725269450428</v>
          </cell>
          <cell r="M59">
            <v>66034.414097414527</v>
          </cell>
          <cell r="N59" t="str">
            <v>Si Compra</v>
          </cell>
          <cell r="O59">
            <v>10</v>
          </cell>
          <cell r="P59">
            <v>1257849.3059382949</v>
          </cell>
          <cell r="Q59">
            <v>125784.93059382949</v>
          </cell>
          <cell r="R59">
            <v>97463.847934151869</v>
          </cell>
          <cell r="S59">
            <v>80000</v>
          </cell>
          <cell r="T59">
            <v>0</v>
          </cell>
          <cell r="U59">
            <v>10</v>
          </cell>
          <cell r="V59">
            <v>0.58139496459711792</v>
          </cell>
          <cell r="W59">
            <v>2.792413735347042E-3</v>
          </cell>
          <cell r="X59">
            <v>10</v>
          </cell>
          <cell r="Y59" t="str">
            <v>Potenciar</v>
          </cell>
        </row>
        <row r="60">
          <cell r="A60" t="str">
            <v>3024</v>
          </cell>
          <cell r="B60" t="str">
            <v>GRUPO FARMA FE</v>
          </cell>
          <cell r="C60" t="str">
            <v>CADENA</v>
          </cell>
          <cell r="D60">
            <v>15</v>
          </cell>
          <cell r="E60"/>
          <cell r="F60" t="str">
            <v>ANDES</v>
          </cell>
          <cell r="H60"/>
          <cell r="I60"/>
          <cell r="J60" t="str">
            <v>Activo</v>
          </cell>
          <cell r="K60">
            <v>728640.81292377738</v>
          </cell>
          <cell r="L60">
            <v>72864.081292377741</v>
          </cell>
          <cell r="M60">
            <v>99058.2034559655</v>
          </cell>
          <cell r="N60" t="str">
            <v>Si Compra</v>
          </cell>
          <cell r="O60">
            <v>10</v>
          </cell>
          <cell r="P60">
            <v>1580610.9059287403</v>
          </cell>
          <cell r="Q60">
            <v>158061.09059287404</v>
          </cell>
          <cell r="R60">
            <v>97199.159742634089</v>
          </cell>
          <cell r="S60"/>
          <cell r="T60"/>
          <cell r="U60"/>
          <cell r="V60">
            <v>0.46098683122500683</v>
          </cell>
          <cell r="W60">
            <v>2.7822322377441954E-3</v>
          </cell>
          <cell r="X60">
            <v>10</v>
          </cell>
          <cell r="Y60" t="str">
            <v>Potenciar</v>
          </cell>
        </row>
        <row r="61">
          <cell r="A61" t="str">
            <v>2625</v>
          </cell>
          <cell r="B61" t="str">
            <v>FAR-TODO</v>
          </cell>
          <cell r="C61" t="str">
            <v>CADENA</v>
          </cell>
          <cell r="D61">
            <v>21</v>
          </cell>
          <cell r="E61">
            <v>5</v>
          </cell>
          <cell r="F61" t="str">
            <v>CENTRO ESTE</v>
          </cell>
          <cell r="G61" t="str">
            <v>MACOS CRUCES</v>
          </cell>
          <cell r="H61" t="str">
            <v>HECTOR</v>
          </cell>
          <cell r="I61">
            <v>0</v>
          </cell>
          <cell r="J61" t="str">
            <v>Inactivo</v>
          </cell>
          <cell r="K61">
            <v>721008.51522113092</v>
          </cell>
          <cell r="L61">
            <v>72100.851522113095</v>
          </cell>
          <cell r="M61">
            <v>75793.891293932567</v>
          </cell>
          <cell r="N61" t="str">
            <v>Si Compra</v>
          </cell>
          <cell r="O61">
            <v>10</v>
          </cell>
          <cell r="P61">
            <v>4616081.9339716192</v>
          </cell>
          <cell r="Q61">
            <v>461608.1933971619</v>
          </cell>
          <cell r="R61">
            <v>408952.1587315402</v>
          </cell>
          <cell r="S61">
            <v>198000</v>
          </cell>
          <cell r="T61">
            <v>7</v>
          </cell>
          <cell r="U61">
            <v>12</v>
          </cell>
          <cell r="V61">
            <v>0.15619491281446651</v>
          </cell>
          <cell r="W61">
            <v>2.753089175291852E-3</v>
          </cell>
          <cell r="X61">
            <v>10</v>
          </cell>
          <cell r="Y61" t="str">
            <v>Conquistar</v>
          </cell>
        </row>
        <row r="62">
          <cell r="A62" t="str">
            <v>7717</v>
          </cell>
          <cell r="B62" t="str">
            <v>GRUPO LA IGUALDAD</v>
          </cell>
          <cell r="C62" t="str">
            <v>CADENA</v>
          </cell>
          <cell r="D62">
            <v>21</v>
          </cell>
          <cell r="E62"/>
          <cell r="F62" t="str">
            <v>ESTE</v>
          </cell>
          <cell r="H62"/>
          <cell r="I62"/>
          <cell r="J62" t="str">
            <v>Inactivo</v>
          </cell>
          <cell r="K62">
            <v>717087.67604983714</v>
          </cell>
          <cell r="L62">
            <v>71708.767604983717</v>
          </cell>
          <cell r="M62">
            <v>72146.638702728073</v>
          </cell>
          <cell r="N62" t="str">
            <v>Si Compra</v>
          </cell>
          <cell r="O62">
            <v>8</v>
          </cell>
          <cell r="P62">
            <v>4205.0635000000002</v>
          </cell>
          <cell r="Q62">
            <v>467.22927777777778</v>
          </cell>
          <cell r="R62">
            <v>93.009100000000004</v>
          </cell>
          <cell r="S62"/>
          <cell r="T62"/>
          <cell r="U62"/>
          <cell r="V62">
            <v>153.47661419259268</v>
          </cell>
          <cell r="W62">
            <v>2.7381178959620389E-3</v>
          </cell>
          <cell r="X62">
            <v>7</v>
          </cell>
          <cell r="Y62" t="str">
            <v>Proteger</v>
          </cell>
        </row>
        <row r="63">
          <cell r="A63" t="str">
            <v>7803</v>
          </cell>
          <cell r="B63" t="str">
            <v>7803 - FARMACIA GRAN PROGRESO, C.A.</v>
          </cell>
          <cell r="C63" t="str">
            <v>INDEPENDIENTE</v>
          </cell>
          <cell r="D63">
            <v>3</v>
          </cell>
          <cell r="E63"/>
          <cell r="F63" t="str">
            <v>MARACAIBO</v>
          </cell>
          <cell r="G63" t="str">
            <v>YENNIFER LUZARDO</v>
          </cell>
          <cell r="H63"/>
          <cell r="I63" t="str">
            <v>B</v>
          </cell>
          <cell r="J63" t="str">
            <v>Activo</v>
          </cell>
          <cell r="K63">
            <v>716728.26857091801</v>
          </cell>
          <cell r="L63">
            <v>79636.474285657561</v>
          </cell>
          <cell r="M63">
            <v>122679.61751492957</v>
          </cell>
          <cell r="N63" t="str">
            <v>Si Compra</v>
          </cell>
          <cell r="O63">
            <v>9</v>
          </cell>
          <cell r="P63">
            <v>5550005.5352173056</v>
          </cell>
          <cell r="Q63">
            <v>616667.28169081174</v>
          </cell>
          <cell r="R63">
            <v>528483.32163732604</v>
          </cell>
          <cell r="T63"/>
          <cell r="U63"/>
          <cell r="V63">
            <v>0.12914009977520774</v>
          </cell>
          <cell r="W63">
            <v>3.0408283769992597E-3</v>
          </cell>
          <cell r="X63">
            <v>9</v>
          </cell>
          <cell r="Y63" t="str">
            <v>Conquistar</v>
          </cell>
        </row>
        <row r="64">
          <cell r="A64" t="str">
            <v>8334</v>
          </cell>
          <cell r="B64" t="str">
            <v>GRUPO LOS FERNANDEZ</v>
          </cell>
          <cell r="C64" t="str">
            <v>GRUPO</v>
          </cell>
          <cell r="D64">
            <v>21</v>
          </cell>
          <cell r="E64"/>
          <cell r="F64" t="str">
            <v>ANDES</v>
          </cell>
          <cell r="H64"/>
          <cell r="I64"/>
          <cell r="J64" t="str">
            <v>Activo</v>
          </cell>
          <cell r="K64">
            <v>715862.55337032955</v>
          </cell>
          <cell r="L64">
            <v>71586.255337032955</v>
          </cell>
          <cell r="M64">
            <v>89300.584901620241</v>
          </cell>
          <cell r="N64" t="str">
            <v>Si Compra</v>
          </cell>
          <cell r="O64">
            <v>10</v>
          </cell>
          <cell r="P64">
            <v>3897672.8400746356</v>
          </cell>
          <cell r="Q64">
            <v>389767.28400746355</v>
          </cell>
          <cell r="R64">
            <v>260689.89533018996</v>
          </cell>
          <cell r="S64"/>
          <cell r="T64"/>
          <cell r="U64"/>
          <cell r="V64">
            <v>0.18366409463874389</v>
          </cell>
          <cell r="W64">
            <v>2.733439904071302E-3</v>
          </cell>
          <cell r="X64">
            <v>10</v>
          </cell>
          <cell r="Y64" t="str">
            <v>Conquistar</v>
          </cell>
        </row>
        <row r="65">
          <cell r="A65" t="str">
            <v>0242</v>
          </cell>
          <cell r="B65" t="str">
            <v>CLINIFARMA</v>
          </cell>
          <cell r="C65" t="str">
            <v>CADENA</v>
          </cell>
          <cell r="D65">
            <v>34</v>
          </cell>
          <cell r="E65"/>
          <cell r="F65" t="str">
            <v>CENTRO OESTE</v>
          </cell>
          <cell r="H65"/>
          <cell r="I65"/>
          <cell r="J65" t="str">
            <v>Inactivo</v>
          </cell>
          <cell r="K65">
            <v>707280.10259824968</v>
          </cell>
          <cell r="L65">
            <v>70728.010259824965</v>
          </cell>
          <cell r="M65">
            <v>73063.997231426169</v>
          </cell>
          <cell r="N65" t="str">
            <v>Si Compra</v>
          </cell>
          <cell r="O65">
            <v>10</v>
          </cell>
          <cell r="P65">
            <v>1956711.7828045564</v>
          </cell>
          <cell r="Q65">
            <v>195671.17828045564</v>
          </cell>
          <cell r="R65">
            <v>173122.82135118809</v>
          </cell>
          <cell r="S65"/>
          <cell r="T65"/>
          <cell r="U65"/>
          <cell r="V65">
            <v>0.36146360890437557</v>
          </cell>
          <cell r="W65">
            <v>2.7006687899730976E-3</v>
          </cell>
          <cell r="X65">
            <v>10</v>
          </cell>
          <cell r="Y65" t="str">
            <v>Potenciar</v>
          </cell>
        </row>
        <row r="66">
          <cell r="A66" t="str">
            <v>0413</v>
          </cell>
          <cell r="B66" t="str">
            <v>GRUPO LOS PAEZ</v>
          </cell>
          <cell r="C66" t="str">
            <v>CADENA</v>
          </cell>
          <cell r="D66">
            <v>23</v>
          </cell>
          <cell r="E66"/>
          <cell r="F66" t="str">
            <v>CENTRO OESTE</v>
          </cell>
          <cell r="H66"/>
          <cell r="I66"/>
          <cell r="J66" t="str">
            <v>Activo</v>
          </cell>
          <cell r="K66">
            <v>699823.63660574413</v>
          </cell>
          <cell r="L66">
            <v>69982.36366057441</v>
          </cell>
          <cell r="M66">
            <v>68003.28209712611</v>
          </cell>
          <cell r="N66" t="str">
            <v>Si Compra</v>
          </cell>
          <cell r="O66">
            <v>10</v>
          </cell>
          <cell r="P66">
            <v>1436781.030840327</v>
          </cell>
          <cell r="Q66">
            <v>143678.10308403271</v>
          </cell>
          <cell r="R66">
            <v>96913.595114588563</v>
          </cell>
          <cell r="S66"/>
          <cell r="T66"/>
          <cell r="U66"/>
          <cell r="V66">
            <v>0.48707744714338252</v>
          </cell>
          <cell r="W66">
            <v>2.6721971209476593E-3</v>
          </cell>
          <cell r="X66">
            <v>10</v>
          </cell>
          <cell r="Y66" t="str">
            <v>Potenciar</v>
          </cell>
        </row>
        <row r="67">
          <cell r="A67" t="str">
            <v>A043</v>
          </cell>
          <cell r="B67" t="str">
            <v>GRUPO LAS ECONOMICAS</v>
          </cell>
          <cell r="C67" t="str">
            <v>CADENA</v>
          </cell>
          <cell r="D67">
            <v>15</v>
          </cell>
          <cell r="E67">
            <v>3</v>
          </cell>
          <cell r="F67" t="str">
            <v>CENTRO OESTE</v>
          </cell>
          <cell r="G67" t="str">
            <v/>
          </cell>
          <cell r="H67" t="str">
            <v>HECTOR</v>
          </cell>
          <cell r="I67">
            <v>0</v>
          </cell>
          <cell r="J67" t="str">
            <v>Activo</v>
          </cell>
          <cell r="K67">
            <v>699553.15894025087</v>
          </cell>
          <cell r="L67">
            <v>69955.315894025087</v>
          </cell>
          <cell r="M67">
            <v>77110.847900523295</v>
          </cell>
          <cell r="N67" t="str">
            <v>Si Compra</v>
          </cell>
          <cell r="O67">
            <v>10</v>
          </cell>
          <cell r="P67">
            <v>2245850.8375583575</v>
          </cell>
          <cell r="Q67">
            <v>224585.08375583575</v>
          </cell>
          <cell r="R67">
            <v>171783.17528259015</v>
          </cell>
          <cell r="S67">
            <v>150000</v>
          </cell>
          <cell r="T67">
            <v>0</v>
          </cell>
          <cell r="U67">
            <v>3</v>
          </cell>
          <cell r="V67">
            <v>0.31148691945222445</v>
          </cell>
          <cell r="W67">
            <v>2.6711643326832943E-3</v>
          </cell>
          <cell r="X67">
            <v>10</v>
          </cell>
          <cell r="Y67" t="str">
            <v>Potenciar</v>
          </cell>
        </row>
        <row r="68">
          <cell r="A68" t="str">
            <v>A651</v>
          </cell>
          <cell r="B68" t="str">
            <v>GRUPO SALUD MARKET</v>
          </cell>
          <cell r="C68" t="str">
            <v>GRUPO</v>
          </cell>
          <cell r="D68">
            <v>6</v>
          </cell>
          <cell r="E68"/>
          <cell r="F68" t="str">
            <v>ESTE</v>
          </cell>
          <cell r="H68"/>
          <cell r="I68"/>
          <cell r="J68" t="str">
            <v>Inactivo</v>
          </cell>
          <cell r="K68">
            <v>684484.3757372906</v>
          </cell>
          <cell r="L68">
            <v>68448.437573729054</v>
          </cell>
          <cell r="M68">
            <v>46558.828530173225</v>
          </cell>
          <cell r="N68" t="str">
            <v>Si Compra</v>
          </cell>
          <cell r="O68">
            <v>10</v>
          </cell>
          <cell r="P68">
            <v>963473.1007184356</v>
          </cell>
          <cell r="Q68">
            <v>96347.31007184356</v>
          </cell>
          <cell r="R68">
            <v>67648.974429925263</v>
          </cell>
          <cell r="S68"/>
          <cell r="T68"/>
          <cell r="U68"/>
          <cell r="V68">
            <v>0.71043433929487931</v>
          </cell>
          <cell r="W68">
            <v>2.6136258944470048E-3</v>
          </cell>
          <cell r="X68">
            <v>10</v>
          </cell>
          <cell r="Y68" t="str">
            <v>Proteger</v>
          </cell>
        </row>
        <row r="69">
          <cell r="A69" t="str">
            <v>339</v>
          </cell>
          <cell r="B69" t="str">
            <v>FARMAPLUS DE ZIAD (MARACAIBO)</v>
          </cell>
          <cell r="C69" t="str">
            <v>CADENA</v>
          </cell>
          <cell r="D69">
            <v>17</v>
          </cell>
          <cell r="E69"/>
          <cell r="F69" t="str">
            <v>MARACAIBO</v>
          </cell>
          <cell r="H69"/>
          <cell r="I69"/>
          <cell r="J69" t="str">
            <v>Activo</v>
          </cell>
          <cell r="K69">
            <v>679153.47549745941</v>
          </cell>
          <cell r="L69">
            <v>67915.347549745944</v>
          </cell>
          <cell r="M69">
            <v>91053.021405421896</v>
          </cell>
          <cell r="N69" t="str">
            <v>Si Compra</v>
          </cell>
          <cell r="O69">
            <v>10</v>
          </cell>
          <cell r="P69">
            <v>5390087.0487643341</v>
          </cell>
          <cell r="Q69">
            <v>539008.70487643336</v>
          </cell>
          <cell r="R69">
            <v>247313.9955656548</v>
          </cell>
          <cell r="S69"/>
          <cell r="T69"/>
          <cell r="U69"/>
          <cell r="V69">
            <v>0.12600046517860114</v>
          </cell>
          <cell r="W69">
            <v>2.5932704569798918E-3</v>
          </cell>
          <cell r="X69">
            <v>10</v>
          </cell>
          <cell r="Y69" t="str">
            <v>Conquistar</v>
          </cell>
        </row>
        <row r="70">
          <cell r="A70" t="str">
            <v>0101</v>
          </cell>
          <cell r="B70" t="str">
            <v>GRUPO CITY PHARMA</v>
          </cell>
          <cell r="C70" t="str">
            <v>GRUPO</v>
          </cell>
          <cell r="D70">
            <v>18</v>
          </cell>
          <cell r="E70"/>
          <cell r="F70" t="str">
            <v>ESTE</v>
          </cell>
          <cell r="H70"/>
          <cell r="I70"/>
          <cell r="J70" t="str">
            <v>Activo</v>
          </cell>
          <cell r="K70">
            <v>678639.93486053683</v>
          </cell>
          <cell r="L70">
            <v>67863.993486053689</v>
          </cell>
          <cell r="M70">
            <v>78096.026464347684</v>
          </cell>
          <cell r="N70" t="str">
            <v>Si Compra</v>
          </cell>
          <cell r="O70">
            <v>10</v>
          </cell>
          <cell r="P70">
            <v>1879907.6094455279</v>
          </cell>
          <cell r="Q70">
            <v>187990.76094455278</v>
          </cell>
          <cell r="R70">
            <v>136539.14231924526</v>
          </cell>
          <cell r="S70"/>
          <cell r="T70"/>
          <cell r="U70"/>
          <cell r="V70">
            <v>0.36099642953235311</v>
          </cell>
          <cell r="W70">
            <v>2.5913095603486637E-3</v>
          </cell>
          <cell r="X70">
            <v>10</v>
          </cell>
          <cell r="Y70" t="str">
            <v>Potenciar</v>
          </cell>
        </row>
        <row r="71">
          <cell r="A71" t="str">
            <v>7778</v>
          </cell>
          <cell r="B71" t="str">
            <v>GRUPO LA FORTUNA</v>
          </cell>
          <cell r="C71" t="str">
            <v>CADENA</v>
          </cell>
          <cell r="D71">
            <v>18</v>
          </cell>
          <cell r="E71"/>
          <cell r="F71" t="str">
            <v>CARACAS</v>
          </cell>
          <cell r="H71"/>
          <cell r="I71"/>
          <cell r="J71" t="str">
            <v>Activo</v>
          </cell>
          <cell r="K71">
            <v>676015.73053113825</v>
          </cell>
          <cell r="L71">
            <v>67601.573053113825</v>
          </cell>
          <cell r="M71">
            <v>65475.56618261226</v>
          </cell>
          <cell r="N71" t="str">
            <v>Si Compra</v>
          </cell>
          <cell r="O71">
            <v>10</v>
          </cell>
          <cell r="P71">
            <v>922629.01767814765</v>
          </cell>
          <cell r="Q71">
            <v>92262.901767814765</v>
          </cell>
          <cell r="R71">
            <v>82955.520044039891</v>
          </cell>
          <cell r="S71"/>
          <cell r="T71"/>
          <cell r="U71"/>
          <cell r="V71">
            <v>0.73270590625078447</v>
          </cell>
          <cell r="W71">
            <v>2.5812893339844777E-3</v>
          </cell>
          <cell r="X71">
            <v>10</v>
          </cell>
          <cell r="Y71" t="str">
            <v>Proteger</v>
          </cell>
        </row>
        <row r="72">
          <cell r="A72" t="str">
            <v>$155</v>
          </cell>
          <cell r="B72" t="str">
            <v>FACIFARMA</v>
          </cell>
          <cell r="C72" t="str">
            <v>GRUPO</v>
          </cell>
          <cell r="D72">
            <v>0</v>
          </cell>
          <cell r="E72"/>
          <cell r="F72" t="str">
            <v>CENTRO ESTE</v>
          </cell>
          <cell r="H72"/>
          <cell r="I72"/>
          <cell r="J72" t="str">
            <v>Suspendido</v>
          </cell>
          <cell r="K72">
            <v>657859.95941971417</v>
          </cell>
          <cell r="L72">
            <v>82232.494927464271</v>
          </cell>
          <cell r="M72">
            <v>446.72084653508944</v>
          </cell>
          <cell r="N72" t="str">
            <v>Si Compra</v>
          </cell>
          <cell r="O72">
            <v>8</v>
          </cell>
          <cell r="P72">
            <v>2338921.5191055285</v>
          </cell>
          <cell r="Q72">
            <v>292365.18988819106</v>
          </cell>
          <cell r="R72">
            <v>0</v>
          </cell>
          <cell r="S72"/>
          <cell r="T72"/>
          <cell r="U72"/>
          <cell r="V72">
            <v>0.28126636744583844</v>
          </cell>
          <cell r="W72">
            <v>3.139954478521102E-3</v>
          </cell>
          <cell r="X72">
            <v>7</v>
          </cell>
          <cell r="Y72" t="str">
            <v>Potenciar</v>
          </cell>
        </row>
        <row r="73">
          <cell r="A73" t="str">
            <v>1900</v>
          </cell>
          <cell r="B73" t="str">
            <v>SAN GREGORIO</v>
          </cell>
          <cell r="C73" t="str">
            <v>CADENA</v>
          </cell>
          <cell r="D73">
            <v>9</v>
          </cell>
          <cell r="E73">
            <v>7</v>
          </cell>
          <cell r="F73" t="str">
            <v>CENTRO OESTE</v>
          </cell>
          <cell r="G73" t="str">
            <v>LUIS PLACERES</v>
          </cell>
          <cell r="H73" t="str">
            <v>HECTOR</v>
          </cell>
          <cell r="I73" t="str">
            <v>E</v>
          </cell>
          <cell r="J73" t="str">
            <v>Activo</v>
          </cell>
          <cell r="K73">
            <v>644537.00984527031</v>
          </cell>
          <cell r="L73">
            <v>64453.70098452703</v>
          </cell>
          <cell r="M73">
            <v>62916.800979357453</v>
          </cell>
          <cell r="N73" t="str">
            <v>Si Compra</v>
          </cell>
          <cell r="O73">
            <v>10</v>
          </cell>
          <cell r="P73">
            <v>948979.54296201817</v>
          </cell>
          <cell r="Q73">
            <v>94897.954296201817</v>
          </cell>
          <cell r="R73">
            <v>54383.897912577202</v>
          </cell>
          <cell r="S73">
            <v>120000</v>
          </cell>
          <cell r="T73">
            <v>9</v>
          </cell>
          <cell r="U73">
            <v>9</v>
          </cell>
          <cell r="V73">
            <v>0.67918957223619225</v>
          </cell>
          <cell r="W73">
            <v>2.4610914121253728E-3</v>
          </cell>
          <cell r="X73">
            <v>10</v>
          </cell>
          <cell r="Y73" t="str">
            <v>Proteger</v>
          </cell>
        </row>
        <row r="74">
          <cell r="A74" t="str">
            <v>0364</v>
          </cell>
          <cell r="B74" t="str">
            <v>GRUPO VIRGEN DE LOURDES</v>
          </cell>
          <cell r="C74" t="str">
            <v>GRUPO</v>
          </cell>
          <cell r="D74">
            <v>17</v>
          </cell>
          <cell r="E74">
            <v>8</v>
          </cell>
          <cell r="F74" t="str">
            <v>ESTE</v>
          </cell>
          <cell r="G74" t="str">
            <v>ALEXMAR CASTILLO</v>
          </cell>
          <cell r="H74" t="str">
            <v>HECTOR</v>
          </cell>
          <cell r="I74" t="str">
            <v>A1</v>
          </cell>
          <cell r="J74" t="str">
            <v>Activo</v>
          </cell>
          <cell r="K74">
            <v>643529.75521320663</v>
          </cell>
          <cell r="L74">
            <v>64352.975521320666</v>
          </cell>
          <cell r="M74">
            <v>63856.056005503378</v>
          </cell>
          <cell r="N74" t="str">
            <v>Si Compra</v>
          </cell>
          <cell r="O74">
            <v>10</v>
          </cell>
          <cell r="P74">
            <v>2129692.7741448623</v>
          </cell>
          <cell r="Q74">
            <v>212969.27741448622</v>
          </cell>
          <cell r="R74">
            <v>230152.63875775586</v>
          </cell>
          <cell r="S74">
            <v>237000</v>
          </cell>
          <cell r="T74">
            <v>6</v>
          </cell>
          <cell r="U74">
            <v>10</v>
          </cell>
          <cell r="V74">
            <v>0.30217022991572284</v>
          </cell>
          <cell r="W74">
            <v>2.4572453246440805E-3</v>
          </cell>
          <cell r="X74">
            <v>10</v>
          </cell>
          <cell r="Y74" t="str">
            <v>Potenciar</v>
          </cell>
        </row>
        <row r="75">
          <cell r="A75" t="str">
            <v>4855</v>
          </cell>
          <cell r="B75" t="str">
            <v>IBERFARMA</v>
          </cell>
          <cell r="C75" t="str">
            <v>GRUPO</v>
          </cell>
          <cell r="D75">
            <v>6</v>
          </cell>
          <cell r="E75">
            <v>8</v>
          </cell>
          <cell r="F75" t="str">
            <v>CENTRO OESTE</v>
          </cell>
          <cell r="G75" t="str">
            <v>YAMILEX LAMEDA</v>
          </cell>
          <cell r="H75" t="str">
            <v>HECTOR</v>
          </cell>
          <cell r="I75" t="str">
            <v>Y1</v>
          </cell>
          <cell r="J75" t="str">
            <v>Activo</v>
          </cell>
          <cell r="K75">
            <v>630628.86444063927</v>
          </cell>
          <cell r="L75">
            <v>63062.88644406393</v>
          </cell>
          <cell r="M75">
            <v>66188.552627376848</v>
          </cell>
          <cell r="N75" t="str">
            <v>Si Compra</v>
          </cell>
          <cell r="O75">
            <v>10</v>
          </cell>
          <cell r="P75">
            <v>1130055.0345002147</v>
          </cell>
          <cell r="Q75">
            <v>113005.50345002147</v>
          </cell>
          <cell r="R75">
            <v>98562.789976745844</v>
          </cell>
          <cell r="S75">
            <v>150000</v>
          </cell>
          <cell r="T75">
            <v>5</v>
          </cell>
          <cell r="U75">
            <v>8</v>
          </cell>
          <cell r="V75">
            <v>0.55805146226311464</v>
          </cell>
          <cell r="W75">
            <v>2.4079847375805775E-3</v>
          </cell>
          <cell r="X75">
            <v>10</v>
          </cell>
          <cell r="Y75" t="str">
            <v>Potenciar</v>
          </cell>
        </row>
        <row r="76">
          <cell r="A76" t="str">
            <v>2888</v>
          </cell>
          <cell r="B76" t="str">
            <v>GRUPO FARMANUTRY</v>
          </cell>
          <cell r="C76" t="str">
            <v>GRUPO</v>
          </cell>
          <cell r="D76">
            <v>12</v>
          </cell>
          <cell r="E76"/>
          <cell r="F76" t="str">
            <v>CARACAS</v>
          </cell>
          <cell r="H76"/>
          <cell r="I76"/>
          <cell r="J76" t="str">
            <v>Activo</v>
          </cell>
          <cell r="K76">
            <v>626995.01592563791</v>
          </cell>
          <cell r="L76">
            <v>62699.501592563793</v>
          </cell>
          <cell r="M76">
            <v>62728.933657320587</v>
          </cell>
          <cell r="N76" t="str">
            <v>Si Compra</v>
          </cell>
          <cell r="O76">
            <v>10</v>
          </cell>
          <cell r="P76">
            <v>1288631.2156019793</v>
          </cell>
          <cell r="Q76">
            <v>128863.12156019793</v>
          </cell>
          <cell r="R76">
            <v>111143.40872544295</v>
          </cell>
          <cell r="S76"/>
          <cell r="T76"/>
          <cell r="U76"/>
          <cell r="V76">
            <v>0.48655892262608236</v>
          </cell>
          <cell r="W76">
            <v>2.3941092994961433E-3</v>
          </cell>
          <cell r="X76">
            <v>10</v>
          </cell>
          <cell r="Y76" t="str">
            <v>Potenciar</v>
          </cell>
        </row>
        <row r="77">
          <cell r="A77" t="str">
            <v>0264</v>
          </cell>
          <cell r="B77" t="str">
            <v>LOCATEL</v>
          </cell>
          <cell r="C77" t="str">
            <v>CADENA</v>
          </cell>
          <cell r="D77">
            <v>32</v>
          </cell>
          <cell r="E77"/>
          <cell r="F77" t="str">
            <v>CARACAS</v>
          </cell>
          <cell r="H77"/>
          <cell r="I77"/>
          <cell r="J77" t="str">
            <v>Activo</v>
          </cell>
          <cell r="K77">
            <v>621368.53861048876</v>
          </cell>
          <cell r="L77">
            <v>62136.853861048876</v>
          </cell>
          <cell r="M77">
            <v>40928.752279730143</v>
          </cell>
          <cell r="N77" t="str">
            <v>Si Compra</v>
          </cell>
          <cell r="O77">
            <v>10</v>
          </cell>
          <cell r="P77">
            <v>23348705.365318134</v>
          </cell>
          <cell r="Q77">
            <v>2594300.5961464592</v>
          </cell>
          <cell r="R77">
            <v>3746395.9548122115</v>
          </cell>
          <cell r="S77"/>
          <cell r="T77"/>
          <cell r="U77"/>
          <cell r="V77">
            <v>2.3951293058848369E-2</v>
          </cell>
          <cell r="W77">
            <v>2.3726252345172274E-3</v>
          </cell>
          <cell r="X77">
            <v>9</v>
          </cell>
          <cell r="Y77" t="str">
            <v>Conquistar</v>
          </cell>
        </row>
        <row r="78">
          <cell r="A78" t="str">
            <v>5203</v>
          </cell>
          <cell r="B78" t="str">
            <v>SANAB</v>
          </cell>
          <cell r="C78" t="str">
            <v>CADENA</v>
          </cell>
          <cell r="D78">
            <v>12</v>
          </cell>
          <cell r="E78">
            <v>13</v>
          </cell>
          <cell r="F78" t="str">
            <v>CENTRO ESTE</v>
          </cell>
          <cell r="G78" t="str">
            <v>LAURA FLORES</v>
          </cell>
          <cell r="H78" t="str">
            <v>HECTOR</v>
          </cell>
          <cell r="I78">
            <v>0</v>
          </cell>
          <cell r="J78" t="str">
            <v>Inactivo</v>
          </cell>
          <cell r="K78">
            <v>619725.16979335831</v>
          </cell>
          <cell r="L78">
            <v>61972.516979335829</v>
          </cell>
          <cell r="M78">
            <v>112131.77068106119</v>
          </cell>
          <cell r="N78" t="str">
            <v>Si Compra</v>
          </cell>
          <cell r="O78">
            <v>10</v>
          </cell>
          <cell r="P78">
            <v>3384062.4615221443</v>
          </cell>
          <cell r="Q78">
            <v>338406.24615221441</v>
          </cell>
          <cell r="R78">
            <v>292402.71539199114</v>
          </cell>
          <cell r="S78">
            <v>320000</v>
          </cell>
          <cell r="T78">
            <v>0</v>
          </cell>
          <cell r="U78">
            <v>13</v>
          </cell>
          <cell r="V78">
            <v>0.18313053521908318</v>
          </cell>
          <cell r="W78">
            <v>2.3663502172241702E-3</v>
          </cell>
          <cell r="X78">
            <v>10</v>
          </cell>
          <cell r="Y78" t="str">
            <v>Conquistar</v>
          </cell>
        </row>
        <row r="79">
          <cell r="A79" t="str">
            <v>2323</v>
          </cell>
          <cell r="B79" t="str">
            <v>GRUPO GIRASOL</v>
          </cell>
          <cell r="C79" t="str">
            <v>CADENA</v>
          </cell>
          <cell r="D79">
            <v>27</v>
          </cell>
          <cell r="E79"/>
          <cell r="F79" t="str">
            <v>CENTRO OESTE</v>
          </cell>
          <cell r="H79"/>
          <cell r="I79"/>
          <cell r="J79" t="str">
            <v>Inactivo</v>
          </cell>
          <cell r="K79">
            <v>615133.73501362372</v>
          </cell>
          <cell r="L79">
            <v>61513.373501362374</v>
          </cell>
          <cell r="M79">
            <v>29571.717772790551</v>
          </cell>
          <cell r="N79" t="str">
            <v>Si Compra</v>
          </cell>
          <cell r="O79">
            <v>10</v>
          </cell>
          <cell r="P79">
            <v>1916236.4310054106</v>
          </cell>
          <cell r="Q79">
            <v>191623.64310054106</v>
          </cell>
          <cell r="R79">
            <v>136434.82783701064</v>
          </cell>
          <cell r="S79"/>
          <cell r="T79"/>
          <cell r="U79"/>
          <cell r="V79">
            <v>0.32101139768586673</v>
          </cell>
          <cell r="W79">
            <v>2.3488183446813489E-3</v>
          </cell>
          <cell r="X79">
            <v>10</v>
          </cell>
          <cell r="Y79" t="str">
            <v>Potenciar</v>
          </cell>
        </row>
        <row r="80">
          <cell r="A80" t="str">
            <v>2723</v>
          </cell>
          <cell r="B80" t="str">
            <v>FSI 7 - Endric Aponte</v>
          </cell>
          <cell r="C80" t="str">
            <v>CADENA</v>
          </cell>
          <cell r="D80">
            <v>9</v>
          </cell>
          <cell r="E80"/>
          <cell r="F80" t="str">
            <v>CENTRO OESTE</v>
          </cell>
          <cell r="H80"/>
          <cell r="I80"/>
          <cell r="J80" t="str">
            <v>Activo</v>
          </cell>
          <cell r="K80">
            <v>614532.07105840079</v>
          </cell>
          <cell r="L80">
            <v>61453.207105840076</v>
          </cell>
          <cell r="M80">
            <v>67479.327319844902</v>
          </cell>
          <cell r="N80" t="str">
            <v>Si Compra</v>
          </cell>
          <cell r="O80">
            <v>10</v>
          </cell>
          <cell r="P80">
            <v>2311966.4146355474</v>
          </cell>
          <cell r="Q80">
            <v>231196.64146355476</v>
          </cell>
          <cell r="R80">
            <v>203814.05871111449</v>
          </cell>
          <cell r="S80"/>
          <cell r="T80"/>
          <cell r="U80"/>
          <cell r="V80">
            <v>0.26580493002329103</v>
          </cell>
          <cell r="W80">
            <v>2.3465209591618731E-3</v>
          </cell>
          <cell r="X80">
            <v>10</v>
          </cell>
          <cell r="Y80" t="str">
            <v>Potenciar</v>
          </cell>
        </row>
        <row r="81">
          <cell r="A81" t="str">
            <v>8221</v>
          </cell>
          <cell r="B81" t="str">
            <v>8221 - FARMACIA PARQUE CRISTAL ME, C.A.</v>
          </cell>
          <cell r="C81" t="str">
            <v>INDEPENDIENTE</v>
          </cell>
          <cell r="D81">
            <v>3</v>
          </cell>
          <cell r="E81"/>
          <cell r="F81" t="str">
            <v>CARACAS</v>
          </cell>
          <cell r="G81" t="str">
            <v>MAIRUBI QUIJADA</v>
          </cell>
          <cell r="H81"/>
          <cell r="I81" t="str">
            <v>C1</v>
          </cell>
          <cell r="J81" t="str">
            <v>Activo</v>
          </cell>
          <cell r="K81">
            <v>599940.70185416611</v>
          </cell>
          <cell r="L81">
            <v>59994.070185416611</v>
          </cell>
          <cell r="M81">
            <v>74236.556002608442</v>
          </cell>
          <cell r="N81" t="str">
            <v>Si Compra</v>
          </cell>
          <cell r="O81">
            <v>10</v>
          </cell>
          <cell r="P81">
            <v>933107.35812083783</v>
          </cell>
          <cell r="Q81">
            <v>93310.735812083789</v>
          </cell>
          <cell r="R81">
            <v>91015.132366565173</v>
          </cell>
          <cell r="T81"/>
          <cell r="U81"/>
          <cell r="V81">
            <v>0.64294927762907372</v>
          </cell>
          <cell r="W81">
            <v>2.2908054720895119E-3</v>
          </cell>
          <cell r="X81">
            <v>10</v>
          </cell>
          <cell r="Y81" t="str">
            <v>Proteger</v>
          </cell>
        </row>
        <row r="82">
          <cell r="A82" t="str">
            <v>C337</v>
          </cell>
          <cell r="B82" t="str">
            <v>SUCRESALUD</v>
          </cell>
          <cell r="C82" t="str">
            <v>CADENA</v>
          </cell>
          <cell r="D82">
            <v>9</v>
          </cell>
          <cell r="E82"/>
          <cell r="F82" t="str">
            <v>ANDES</v>
          </cell>
          <cell r="H82"/>
          <cell r="I82"/>
          <cell r="J82" t="str">
            <v>Activo</v>
          </cell>
          <cell r="K82">
            <v>590892.78270655544</v>
          </cell>
          <cell r="L82">
            <v>59089.278270655544</v>
          </cell>
          <cell r="M82">
            <v>64263.81434134367</v>
          </cell>
          <cell r="N82" t="str">
            <v>Si Compra</v>
          </cell>
          <cell r="O82">
            <v>10</v>
          </cell>
          <cell r="P82">
            <v>1825139.8401008605</v>
          </cell>
          <cell r="Q82">
            <v>182513.98401008605</v>
          </cell>
          <cell r="R82">
            <v>126426.75431616831</v>
          </cell>
          <cell r="S82"/>
          <cell r="T82"/>
          <cell r="U82"/>
          <cell r="V82">
            <v>0.32375205982786592</v>
          </cell>
          <cell r="W82">
            <v>2.2562570198336285E-3</v>
          </cell>
          <cell r="X82">
            <v>10</v>
          </cell>
          <cell r="Y82" t="str">
            <v>Potenciar</v>
          </cell>
        </row>
        <row r="83">
          <cell r="A83" t="str">
            <v>2224</v>
          </cell>
          <cell r="B83" t="str">
            <v>GRUPO ANTO</v>
          </cell>
          <cell r="C83" t="str">
            <v>GRUPO</v>
          </cell>
          <cell r="D83">
            <v>6</v>
          </cell>
          <cell r="E83"/>
          <cell r="F83" t="str">
            <v>CARACAS</v>
          </cell>
          <cell r="H83"/>
          <cell r="I83"/>
          <cell r="J83" t="str">
            <v>Activo</v>
          </cell>
          <cell r="K83">
            <v>588203.58787115989</v>
          </cell>
          <cell r="L83">
            <v>58820.358787115991</v>
          </cell>
          <cell r="M83">
            <v>75808.262707817965</v>
          </cell>
          <cell r="N83" t="str">
            <v>Si Compra</v>
          </cell>
          <cell r="O83">
            <v>10</v>
          </cell>
          <cell r="P83">
            <v>1158542.957649454</v>
          </cell>
          <cell r="Q83">
            <v>115854.2957649454</v>
          </cell>
          <cell r="R83">
            <v>119251.99935596809</v>
          </cell>
          <cell r="S83"/>
          <cell r="T83"/>
          <cell r="U83"/>
          <cell r="V83">
            <v>0.50770977803408779</v>
          </cell>
          <cell r="W83">
            <v>2.2459886345992217E-3</v>
          </cell>
          <cell r="X83">
            <v>10</v>
          </cell>
          <cell r="Y83" t="str">
            <v>Potenciar</v>
          </cell>
        </row>
        <row r="84">
          <cell r="A84" t="str">
            <v>B719</v>
          </cell>
          <cell r="B84" t="str">
            <v>FARMALYDO</v>
          </cell>
          <cell r="C84" t="str">
            <v>CADENA</v>
          </cell>
          <cell r="D84">
            <v>9</v>
          </cell>
          <cell r="E84">
            <v>7</v>
          </cell>
          <cell r="F84" t="str">
            <v>CENTRO OESTE</v>
          </cell>
          <cell r="G84" t="str">
            <v/>
          </cell>
          <cell r="H84" t="str">
            <v>HECTOR</v>
          </cell>
          <cell r="I84">
            <v>0</v>
          </cell>
          <cell r="J84" t="str">
            <v>Activo</v>
          </cell>
          <cell r="K84">
            <v>582857.82657160098</v>
          </cell>
          <cell r="L84">
            <v>58285.782657160096</v>
          </cell>
          <cell r="M84">
            <v>44666.044426366767</v>
          </cell>
          <cell r="N84" t="str">
            <v>Si Compra</v>
          </cell>
          <cell r="O84">
            <v>10</v>
          </cell>
          <cell r="P84">
            <v>770994.02427078527</v>
          </cell>
          <cell r="Q84">
            <v>77099.40242707853</v>
          </cell>
          <cell r="R84">
            <v>66691.265450842417</v>
          </cell>
          <cell r="S84">
            <v>175000</v>
          </cell>
          <cell r="T84">
            <v>0</v>
          </cell>
          <cell r="U84">
            <v>2</v>
          </cell>
          <cell r="V84">
            <v>0.75598228808955348</v>
          </cell>
          <cell r="W84">
            <v>2.2255764518623838E-3</v>
          </cell>
          <cell r="X84">
            <v>10</v>
          </cell>
          <cell r="Y84" t="str">
            <v>Proteger</v>
          </cell>
        </row>
        <row r="85">
          <cell r="A85" t="str">
            <v>B660</v>
          </cell>
          <cell r="B85" t="str">
            <v>GANDICA</v>
          </cell>
          <cell r="C85" t="str">
            <v>GRUPO</v>
          </cell>
          <cell r="D85">
            <v>11</v>
          </cell>
          <cell r="E85"/>
          <cell r="F85" t="str">
            <v>ANDES</v>
          </cell>
          <cell r="H85"/>
          <cell r="I85"/>
          <cell r="J85" t="str">
            <v>Activo</v>
          </cell>
          <cell r="K85">
            <v>575634.22306808678</v>
          </cell>
          <cell r="L85">
            <v>57563.422306808679</v>
          </cell>
          <cell r="M85">
            <v>72085.861753628458</v>
          </cell>
          <cell r="N85" t="str">
            <v>Si Compra</v>
          </cell>
          <cell r="O85">
            <v>10</v>
          </cell>
          <cell r="P85">
            <v>1021551.2879080994</v>
          </cell>
          <cell r="Q85">
            <v>102155.12879080993</v>
          </cell>
          <cell r="R85">
            <v>99180.657501622991</v>
          </cell>
          <cell r="S85"/>
          <cell r="T85"/>
          <cell r="U85"/>
          <cell r="V85">
            <v>0.56349028177219818</v>
          </cell>
          <cell r="W85">
            <v>2.1979939418194537E-3</v>
          </cell>
          <cell r="X85">
            <v>10</v>
          </cell>
          <cell r="Y85" t="str">
            <v>Potenciar</v>
          </cell>
        </row>
        <row r="86">
          <cell r="A86" t="str">
            <v>7600</v>
          </cell>
          <cell r="B86" t="str">
            <v>FARMASOL</v>
          </cell>
          <cell r="C86" t="str">
            <v>CADENA</v>
          </cell>
          <cell r="D86">
            <v>30</v>
          </cell>
          <cell r="E86"/>
          <cell r="F86" t="str">
            <v>ANDES</v>
          </cell>
          <cell r="H86"/>
          <cell r="I86"/>
          <cell r="J86" t="str">
            <v>Activo</v>
          </cell>
          <cell r="K86">
            <v>568966.77611070685</v>
          </cell>
          <cell r="L86">
            <v>56896.677611070685</v>
          </cell>
          <cell r="M86">
            <v>66108.493764165309</v>
          </cell>
          <cell r="N86" t="str">
            <v>Si Compra</v>
          </cell>
          <cell r="O86">
            <v>10</v>
          </cell>
          <cell r="P86">
            <v>2279446.9424968571</v>
          </cell>
          <cell r="Q86">
            <v>227944.69424968571</v>
          </cell>
          <cell r="R86">
            <v>126305.65522567516</v>
          </cell>
          <cell r="S86"/>
          <cell r="T86"/>
          <cell r="U86"/>
          <cell r="V86">
            <v>0.24960737865978705</v>
          </cell>
          <cell r="W86">
            <v>2.1725350524198386E-3</v>
          </cell>
          <cell r="X86">
            <v>10</v>
          </cell>
          <cell r="Y86" t="str">
            <v>Potenciar</v>
          </cell>
        </row>
        <row r="87">
          <cell r="A87" t="str">
            <v>8342</v>
          </cell>
          <cell r="B87" t="str">
            <v>GLOBALMED</v>
          </cell>
          <cell r="C87" t="str">
            <v>CADENA</v>
          </cell>
          <cell r="D87">
            <v>15</v>
          </cell>
          <cell r="E87">
            <v>0</v>
          </cell>
          <cell r="F87" t="str">
            <v>MARACAIBO</v>
          </cell>
          <cell r="G87" t="str">
            <v/>
          </cell>
          <cell r="H87" t="str">
            <v>VICTOR</v>
          </cell>
          <cell r="I87">
            <v>0</v>
          </cell>
          <cell r="J87" t="str">
            <v>Activo</v>
          </cell>
          <cell r="K87">
            <v>552919.16170394246</v>
          </cell>
          <cell r="L87">
            <v>55291.916170394245</v>
          </cell>
          <cell r="M87">
            <v>82957.861539919439</v>
          </cell>
          <cell r="N87" t="str">
            <v>Si Compra</v>
          </cell>
          <cell r="O87">
            <v>10</v>
          </cell>
          <cell r="P87">
            <v>2596833.264576742</v>
          </cell>
          <cell r="Q87">
            <v>259683.32645767421</v>
          </cell>
          <cell r="R87">
            <v>290542.06522337714</v>
          </cell>
          <cell r="S87">
            <v>0</v>
          </cell>
          <cell r="T87">
            <v>0</v>
          </cell>
          <cell r="U87">
            <v>0</v>
          </cell>
          <cell r="V87">
            <v>0.21292054797906432</v>
          </cell>
          <cell r="W87">
            <v>2.1112590583367858E-3</v>
          </cell>
          <cell r="X87">
            <v>10</v>
          </cell>
          <cell r="Y87" t="str">
            <v>Potenciar</v>
          </cell>
        </row>
        <row r="88">
          <cell r="A88" t="str">
            <v>A715</v>
          </cell>
          <cell r="B88" t="str">
            <v>GUAMACHO</v>
          </cell>
          <cell r="C88" t="str">
            <v>CADENA</v>
          </cell>
          <cell r="D88">
            <v>15</v>
          </cell>
          <cell r="E88"/>
          <cell r="F88" t="str">
            <v>MARACAIBO</v>
          </cell>
          <cell r="H88"/>
          <cell r="I88"/>
          <cell r="J88" t="str">
            <v>Activo</v>
          </cell>
          <cell r="K88">
            <v>549630.33796293417</v>
          </cell>
          <cell r="L88">
            <v>54963.033796293414</v>
          </cell>
          <cell r="M88">
            <v>56765.681797931953</v>
          </cell>
          <cell r="N88" t="str">
            <v>Si Compra</v>
          </cell>
          <cell r="O88">
            <v>10</v>
          </cell>
          <cell r="P88">
            <v>1060281.6295245218</v>
          </cell>
          <cell r="Q88">
            <v>106028.16295245217</v>
          </cell>
          <cell r="R88">
            <v>75695.715085387099</v>
          </cell>
          <cell r="S88"/>
          <cell r="T88"/>
          <cell r="U88"/>
          <cell r="V88">
            <v>0.51838145890485088</v>
          </cell>
          <cell r="W88">
            <v>2.0987010581888462E-3</v>
          </cell>
          <cell r="X88">
            <v>10</v>
          </cell>
          <cell r="Y88" t="str">
            <v>Potenciar</v>
          </cell>
        </row>
        <row r="89">
          <cell r="A89" t="str">
            <v>2415</v>
          </cell>
          <cell r="B89" t="str">
            <v>GRUPO LUIS GONZALEZ</v>
          </cell>
          <cell r="C89" t="str">
            <v>CADENA</v>
          </cell>
          <cell r="D89">
            <v>15</v>
          </cell>
          <cell r="E89">
            <v>12</v>
          </cell>
          <cell r="F89" t="str">
            <v>CENTRO ESTE</v>
          </cell>
          <cell r="G89" t="str">
            <v>LAURA FLORES</v>
          </cell>
          <cell r="H89" t="str">
            <v>HECTOR</v>
          </cell>
          <cell r="I89">
            <v>0</v>
          </cell>
          <cell r="J89" t="str">
            <v>Permiso</v>
          </cell>
          <cell r="K89">
            <v>545521.50537445769</v>
          </cell>
          <cell r="L89">
            <v>54552.15053744577</v>
          </cell>
          <cell r="M89">
            <v>56084.379882449335</v>
          </cell>
          <cell r="N89" t="str">
            <v>Si Compra</v>
          </cell>
          <cell r="O89">
            <v>10</v>
          </cell>
          <cell r="P89">
            <v>2471763.8761698594</v>
          </cell>
          <cell r="Q89">
            <v>247176.38761698594</v>
          </cell>
          <cell r="R89">
            <v>155423.24437564006</v>
          </cell>
          <cell r="S89">
            <v>200000</v>
          </cell>
          <cell r="T89">
            <v>0</v>
          </cell>
          <cell r="U89">
            <v>12</v>
          </cell>
          <cell r="V89">
            <v>0.22070130186536049</v>
          </cell>
          <cell r="W89">
            <v>2.0830119473342376E-3</v>
          </cell>
          <cell r="X89">
            <v>10</v>
          </cell>
          <cell r="Y89" t="str">
            <v>Potenciar</v>
          </cell>
        </row>
        <row r="90">
          <cell r="A90" t="str">
            <v>7063</v>
          </cell>
          <cell r="B90" t="str">
            <v>FARMA 24/7</v>
          </cell>
          <cell r="C90" t="str">
            <v>GRUPO</v>
          </cell>
          <cell r="D90">
            <v>6</v>
          </cell>
          <cell r="E90"/>
          <cell r="F90" t="str">
            <v>CARACAS</v>
          </cell>
          <cell r="H90"/>
          <cell r="I90"/>
          <cell r="J90" t="str">
            <v>Activo</v>
          </cell>
          <cell r="K90">
            <v>528685.643168426</v>
          </cell>
          <cell r="L90">
            <v>52868.564316842603</v>
          </cell>
          <cell r="M90">
            <v>70283.62368694738</v>
          </cell>
          <cell r="N90" t="str">
            <v>Si Compra</v>
          </cell>
          <cell r="O90">
            <v>10</v>
          </cell>
          <cell r="P90">
            <v>1006641.3605278669</v>
          </cell>
          <cell r="Q90">
            <v>100664.13605278669</v>
          </cell>
          <cell r="R90">
            <v>102697.91613689612</v>
          </cell>
          <cell r="S90"/>
          <cell r="T90"/>
          <cell r="U90"/>
          <cell r="V90">
            <v>0.52519761644921048</v>
          </cell>
          <cell r="W90">
            <v>2.018726118501945E-3</v>
          </cell>
          <cell r="X90">
            <v>10</v>
          </cell>
          <cell r="Y90" t="str">
            <v>Potenciar</v>
          </cell>
        </row>
        <row r="91">
          <cell r="A91" t="str">
            <v>+207</v>
          </cell>
          <cell r="B91" t="str">
            <v>GRUPO ARENAS- BERROETA</v>
          </cell>
          <cell r="C91" t="str">
            <v>GRUPO</v>
          </cell>
          <cell r="D91">
            <v>12</v>
          </cell>
          <cell r="E91"/>
          <cell r="F91" t="str">
            <v>CARACAS</v>
          </cell>
          <cell r="H91"/>
          <cell r="I91"/>
          <cell r="J91" t="str">
            <v>Activo</v>
          </cell>
          <cell r="K91">
            <v>522572.1957037957</v>
          </cell>
          <cell r="L91">
            <v>52257.219570379573</v>
          </cell>
          <cell r="M91">
            <v>48917.62898933352</v>
          </cell>
          <cell r="N91" t="str">
            <v>Si Compra</v>
          </cell>
          <cell r="O91">
            <v>10</v>
          </cell>
          <cell r="P91">
            <v>914404.14960688842</v>
          </cell>
          <cell r="Q91">
            <v>91440.414960688839</v>
          </cell>
          <cell r="R91">
            <v>70799.740802189612</v>
          </cell>
          <cell r="S91"/>
          <cell r="T91"/>
          <cell r="U91"/>
          <cell r="V91">
            <v>0.57148930910741691</v>
          </cell>
          <cell r="W91">
            <v>1.995382613282139E-3</v>
          </cell>
          <cell r="X91">
            <v>10</v>
          </cell>
          <cell r="Y91" t="str">
            <v>Potenciar</v>
          </cell>
        </row>
        <row r="92">
          <cell r="A92" t="str">
            <v>8674</v>
          </cell>
          <cell r="B92" t="str">
            <v>GRUPO MIS ANGELES</v>
          </cell>
          <cell r="C92" t="str">
            <v>CADENA</v>
          </cell>
          <cell r="D92">
            <v>9</v>
          </cell>
          <cell r="E92">
            <v>9</v>
          </cell>
          <cell r="F92" t="str">
            <v>CENTRO OESTE</v>
          </cell>
          <cell r="G92" t="str">
            <v/>
          </cell>
          <cell r="H92" t="str">
            <v>HECTOR</v>
          </cell>
          <cell r="I92">
            <v>0</v>
          </cell>
          <cell r="J92" t="str">
            <v>Inactivo</v>
          </cell>
          <cell r="K92">
            <v>521814.66159675736</v>
          </cell>
          <cell r="L92">
            <v>52181.466159675736</v>
          </cell>
          <cell r="M92">
            <v>48594.441625896834</v>
          </cell>
          <cell r="N92" t="str">
            <v>Si Compra</v>
          </cell>
          <cell r="O92">
            <v>10</v>
          </cell>
          <cell r="P92">
            <v>934747.31508287671</v>
          </cell>
          <cell r="Q92">
            <v>93474.731508287674</v>
          </cell>
          <cell r="R92">
            <v>75595.825671350016</v>
          </cell>
          <cell r="S92">
            <v>80000</v>
          </cell>
          <cell r="T92">
            <v>0</v>
          </cell>
          <cell r="U92">
            <v>3</v>
          </cell>
          <cell r="V92">
            <v>0.55824141260089322</v>
          </cell>
          <cell r="W92">
            <v>1.9924900552804321E-3</v>
          </cell>
          <cell r="X92">
            <v>10</v>
          </cell>
          <cell r="Y92" t="str">
            <v>Potenciar</v>
          </cell>
        </row>
        <row r="93">
          <cell r="A93" t="str">
            <v>B724</v>
          </cell>
          <cell r="B93" t="str">
            <v>FSI 11 - ANA NIEVES</v>
          </cell>
          <cell r="C93" t="e">
            <v>#N/A</v>
          </cell>
          <cell r="D93">
            <v>5</v>
          </cell>
          <cell r="E93"/>
          <cell r="F93" t="str">
            <v>CENTRO OESTE</v>
          </cell>
          <cell r="H93"/>
          <cell r="I93"/>
          <cell r="J93" t="str">
            <v>Activo</v>
          </cell>
          <cell r="K93">
            <v>509376.61892482318</v>
          </cell>
          <cell r="L93">
            <v>50937.66189248232</v>
          </cell>
          <cell r="M93">
            <v>74413.360389342401</v>
          </cell>
          <cell r="N93" t="str">
            <v>Si Compra</v>
          </cell>
          <cell r="O93">
            <v>10</v>
          </cell>
          <cell r="P93">
            <v>0</v>
          </cell>
          <cell r="Q93">
            <v>0</v>
          </cell>
          <cell r="R93">
            <v>0</v>
          </cell>
          <cell r="S93"/>
          <cell r="T93"/>
          <cell r="U93"/>
          <cell r="V93">
            <v>0</v>
          </cell>
          <cell r="W93">
            <v>1.9449968011523338E-3</v>
          </cell>
          <cell r="X93">
            <v>0</v>
          </cell>
          <cell r="Y93" t="str">
            <v>Conquistar</v>
          </cell>
        </row>
        <row r="94">
          <cell r="A94" t="str">
            <v>0609</v>
          </cell>
          <cell r="B94" t="str">
            <v>GRUPO ALOANDRA</v>
          </cell>
          <cell r="C94" t="str">
            <v>GRUPO</v>
          </cell>
          <cell r="D94">
            <v>18</v>
          </cell>
          <cell r="E94">
            <v>12</v>
          </cell>
          <cell r="F94" t="str">
            <v>ESTE</v>
          </cell>
          <cell r="G94" t="str">
            <v>CARLOS BLONDELL</v>
          </cell>
          <cell r="H94" t="str">
            <v>HECTOR</v>
          </cell>
          <cell r="I94" t="str">
            <v>A3</v>
          </cell>
          <cell r="J94" t="str">
            <v>Activo</v>
          </cell>
          <cell r="K94">
            <v>490198.10216429952</v>
          </cell>
          <cell r="L94">
            <v>49019.810216429949</v>
          </cell>
          <cell r="M94">
            <v>62313.738699072099</v>
          </cell>
          <cell r="N94" t="str">
            <v>Si Compra</v>
          </cell>
          <cell r="O94">
            <v>10</v>
          </cell>
          <cell r="P94">
            <v>495917.06918212055</v>
          </cell>
          <cell r="Q94">
            <v>49591.706918212054</v>
          </cell>
          <cell r="R94">
            <v>32909.588248655127</v>
          </cell>
          <cell r="S94">
            <v>200000</v>
          </cell>
          <cell r="T94">
            <v>0</v>
          </cell>
          <cell r="U94">
            <v>4</v>
          </cell>
          <cell r="V94">
            <v>0.9884678964020075</v>
          </cell>
          <cell r="W94">
            <v>1.8717658118132445E-3</v>
          </cell>
          <cell r="X94">
            <v>10</v>
          </cell>
          <cell r="Y94" t="str">
            <v>Proteger</v>
          </cell>
        </row>
        <row r="95">
          <cell r="A95" t="str">
            <v>Z167</v>
          </cell>
          <cell r="B95" t="str">
            <v>GRUPO TOUMA</v>
          </cell>
          <cell r="C95" t="str">
            <v>GRUPO</v>
          </cell>
          <cell r="D95">
            <v>6</v>
          </cell>
          <cell r="E95">
            <v>0</v>
          </cell>
          <cell r="F95" t="str">
            <v>MARACAIBO</v>
          </cell>
          <cell r="G95" t="str">
            <v/>
          </cell>
          <cell r="H95" t="str">
            <v>VICTOR</v>
          </cell>
          <cell r="I95">
            <v>0</v>
          </cell>
          <cell r="J95" t="str">
            <v>Activo</v>
          </cell>
          <cell r="K95">
            <v>483707.3247412605</v>
          </cell>
          <cell r="L95">
            <v>48370.732474126053</v>
          </cell>
          <cell r="M95">
            <v>33998.733708999724</v>
          </cell>
          <cell r="N95" t="str">
            <v>Si Compra</v>
          </cell>
          <cell r="O95">
            <v>10</v>
          </cell>
          <cell r="P95">
            <v>994288.87700402434</v>
          </cell>
          <cell r="Q95">
            <v>99428.88770040244</v>
          </cell>
          <cell r="R95">
            <v>82757.530810380718</v>
          </cell>
          <cell r="S95">
            <v>0</v>
          </cell>
          <cell r="T95">
            <v>0</v>
          </cell>
          <cell r="U95">
            <v>0</v>
          </cell>
          <cell r="V95">
            <v>0.48648570443507305</v>
          </cell>
          <cell r="W95">
            <v>1.8469815149771431E-3</v>
          </cell>
          <cell r="X95">
            <v>10</v>
          </cell>
          <cell r="Y95" t="str">
            <v>Potenciar</v>
          </cell>
        </row>
        <row r="96">
          <cell r="A96" t="str">
            <v>C950</v>
          </cell>
          <cell r="B96" t="str">
            <v>LA MILAGROSA</v>
          </cell>
          <cell r="C96" t="str">
            <v>CADENA</v>
          </cell>
          <cell r="D96">
            <v>11</v>
          </cell>
          <cell r="E96">
            <v>10</v>
          </cell>
          <cell r="F96" t="str">
            <v>CENTRO OESTE</v>
          </cell>
          <cell r="G96" t="str">
            <v>YAMILEX LAMEDA</v>
          </cell>
          <cell r="H96" t="str">
            <v>HECTOR</v>
          </cell>
          <cell r="I96" t="str">
            <v>Y1</v>
          </cell>
          <cell r="J96" t="str">
            <v>Activo</v>
          </cell>
          <cell r="K96">
            <v>480462.81534120569</v>
          </cell>
          <cell r="L96">
            <v>48046.281534120571</v>
          </cell>
          <cell r="M96">
            <v>52044.955234137858</v>
          </cell>
          <cell r="N96" t="str">
            <v>Si Compra</v>
          </cell>
          <cell r="O96">
            <v>10</v>
          </cell>
          <cell r="P96">
            <v>902418.45093764865</v>
          </cell>
          <cell r="Q96">
            <v>90241.845093764859</v>
          </cell>
          <cell r="R96">
            <v>75611.916710974867</v>
          </cell>
          <cell r="S96">
            <v>100000</v>
          </cell>
          <cell r="T96">
            <v>10</v>
          </cell>
          <cell r="U96">
            <v>10</v>
          </cell>
          <cell r="V96">
            <v>0.53241687915621161</v>
          </cell>
          <cell r="W96">
            <v>1.8345927241101114E-3</v>
          </cell>
          <cell r="X96">
            <v>10</v>
          </cell>
          <cell r="Y96" t="str">
            <v>Potenciar</v>
          </cell>
        </row>
        <row r="97">
          <cell r="A97" t="str">
            <v>B043</v>
          </cell>
          <cell r="B97" t="str">
            <v>FSI 8 - Gustavo Riera</v>
          </cell>
          <cell r="C97" t="str">
            <v>CADENA</v>
          </cell>
          <cell r="D97">
            <v>6</v>
          </cell>
          <cell r="E97"/>
          <cell r="F97" t="str">
            <v>CENTRO OESTE</v>
          </cell>
          <cell r="H97"/>
          <cell r="I97"/>
          <cell r="J97" t="str">
            <v>Activo</v>
          </cell>
          <cell r="K97">
            <v>479782.55234071816</v>
          </cell>
          <cell r="L97">
            <v>53309.172482302019</v>
          </cell>
          <cell r="M97">
            <v>25643.257767200863</v>
          </cell>
          <cell r="N97" t="str">
            <v>Si Compra</v>
          </cell>
          <cell r="O97">
            <v>9</v>
          </cell>
          <cell r="P97">
            <v>1345980.4864022741</v>
          </cell>
          <cell r="Q97">
            <v>149553.38737803046</v>
          </cell>
          <cell r="R97">
            <v>68834.735670594731</v>
          </cell>
          <cell r="S97"/>
          <cell r="T97"/>
          <cell r="U97"/>
          <cell r="V97">
            <v>0.356455800947864</v>
          </cell>
          <cell r="W97">
            <v>2.0355502411754408E-3</v>
          </cell>
          <cell r="X97">
            <v>9</v>
          </cell>
          <cell r="Y97" t="str">
            <v>Potenciar</v>
          </cell>
        </row>
        <row r="98">
          <cell r="A98" t="str">
            <v>2187</v>
          </cell>
          <cell r="B98" t="str">
            <v>GRUPO EL CARMEN</v>
          </cell>
          <cell r="C98" t="str">
            <v>CADENA</v>
          </cell>
          <cell r="D98">
            <v>9</v>
          </cell>
          <cell r="E98"/>
          <cell r="F98" t="str">
            <v>ANDES</v>
          </cell>
          <cell r="H98"/>
          <cell r="I98"/>
          <cell r="J98" t="str">
            <v>Activo</v>
          </cell>
          <cell r="K98">
            <v>465507.54831634933</v>
          </cell>
          <cell r="L98">
            <v>46550.754831634935</v>
          </cell>
          <cell r="M98">
            <v>67223.226797345327</v>
          </cell>
          <cell r="N98" t="str">
            <v>Si Compra</v>
          </cell>
          <cell r="O98">
            <v>10</v>
          </cell>
          <cell r="P98">
            <v>1356601.2315813913</v>
          </cell>
          <cell r="Q98">
            <v>135660.12315813912</v>
          </cell>
          <cell r="R98">
            <v>122103.6005569336</v>
          </cell>
          <cell r="S98"/>
          <cell r="T98"/>
          <cell r="U98"/>
          <cell r="V98">
            <v>0.34314250752500558</v>
          </cell>
          <cell r="W98">
            <v>1.777487734514942E-3</v>
          </cell>
          <cell r="X98">
            <v>10</v>
          </cell>
          <cell r="Y98" t="str">
            <v>Potenciar</v>
          </cell>
        </row>
        <row r="99">
          <cell r="A99" t="str">
            <v>5070</v>
          </cell>
          <cell r="B99" t="str">
            <v>GRUPO FARMACIA LA TORRE</v>
          </cell>
          <cell r="C99" t="str">
            <v>CADENA</v>
          </cell>
          <cell r="D99">
            <v>21</v>
          </cell>
          <cell r="E99"/>
          <cell r="F99" t="str">
            <v>CENTRO ESTE</v>
          </cell>
          <cell r="H99"/>
          <cell r="I99"/>
          <cell r="J99" t="str">
            <v>Inactivo</v>
          </cell>
          <cell r="K99">
            <v>464627.10583867977</v>
          </cell>
          <cell r="L99">
            <v>46462.710583867978</v>
          </cell>
          <cell r="M99">
            <v>59207.328330497374</v>
          </cell>
          <cell r="N99" t="str">
            <v>Si Compra</v>
          </cell>
          <cell r="O99">
            <v>10</v>
          </cell>
          <cell r="P99">
            <v>3761728.3631608146</v>
          </cell>
          <cell r="Q99">
            <v>376172.83631608146</v>
          </cell>
          <cell r="R99">
            <v>286468.41766615392</v>
          </cell>
          <cell r="S99"/>
          <cell r="T99"/>
          <cell r="U99"/>
          <cell r="V99">
            <v>0.12351426285556517</v>
          </cell>
          <cell r="W99">
            <v>1.7741258648510368E-3</v>
          </cell>
          <cell r="X99">
            <v>10</v>
          </cell>
          <cell r="Y99" t="str">
            <v>Conquistar</v>
          </cell>
        </row>
        <row r="100">
          <cell r="A100" t="str">
            <v>4168</v>
          </cell>
          <cell r="B100" t="str">
            <v>URIBANTE</v>
          </cell>
          <cell r="C100" t="e">
            <v>#N/A</v>
          </cell>
          <cell r="D100">
            <v>4</v>
          </cell>
          <cell r="E100"/>
          <cell r="F100" t="str">
            <v>ANDES</v>
          </cell>
          <cell r="H100"/>
          <cell r="I100"/>
          <cell r="J100" t="str">
            <v>Activo</v>
          </cell>
          <cell r="K100">
            <v>462712.93185288191</v>
          </cell>
          <cell r="L100">
            <v>46271.293185288188</v>
          </cell>
          <cell r="M100">
            <v>91599.804194424767</v>
          </cell>
          <cell r="N100" t="str">
            <v>Si Compra</v>
          </cell>
          <cell r="O100">
            <v>9</v>
          </cell>
          <cell r="P100">
            <v>1865246.9015565538</v>
          </cell>
          <cell r="Q100">
            <v>186524.69015565538</v>
          </cell>
          <cell r="R100">
            <v>235999.3368675205</v>
          </cell>
          <cell r="S100"/>
          <cell r="T100"/>
          <cell r="U100"/>
          <cell r="V100">
            <v>0.24807060741757386</v>
          </cell>
          <cell r="W100">
            <v>1.7668168087599182E-3</v>
          </cell>
          <cell r="X100">
            <v>10</v>
          </cell>
          <cell r="Y100" t="str">
            <v>Potenciar</v>
          </cell>
        </row>
        <row r="101">
          <cell r="A101" t="str">
            <v>4244</v>
          </cell>
          <cell r="B101" t="str">
            <v>GRUPO DIMAWORLD</v>
          </cell>
          <cell r="C101" t="str">
            <v>CADENA</v>
          </cell>
          <cell r="D101">
            <v>16</v>
          </cell>
          <cell r="E101">
            <v>0</v>
          </cell>
          <cell r="F101" t="str">
            <v>MARACAIBO</v>
          </cell>
          <cell r="G101" t="str">
            <v/>
          </cell>
          <cell r="H101" t="str">
            <v>VICTOR</v>
          </cell>
          <cell r="I101">
            <v>0</v>
          </cell>
          <cell r="J101" t="str">
            <v>Inactivo</v>
          </cell>
          <cell r="K101">
            <v>462244.42800898146</v>
          </cell>
          <cell r="L101">
            <v>46224.442800898149</v>
          </cell>
          <cell r="M101">
            <v>68874.686987714187</v>
          </cell>
          <cell r="N101" t="str">
            <v>Si Compra</v>
          </cell>
          <cell r="O101">
            <v>10</v>
          </cell>
          <cell r="P101">
            <v>3300415.1140460013</v>
          </cell>
          <cell r="Q101">
            <v>330041.51140460011</v>
          </cell>
          <cell r="R101">
            <v>100159.21451641334</v>
          </cell>
          <cell r="S101">
            <v>0</v>
          </cell>
          <cell r="T101">
            <v>0</v>
          </cell>
          <cell r="U101">
            <v>0</v>
          </cell>
          <cell r="V101">
            <v>0.1400564510936059</v>
          </cell>
          <cell r="W101">
            <v>1.7650278800108185E-3</v>
          </cell>
          <cell r="X101">
            <v>10</v>
          </cell>
          <cell r="Y101" t="str">
            <v>Conquistar</v>
          </cell>
        </row>
        <row r="102">
          <cell r="A102" t="str">
            <v>0208</v>
          </cell>
          <cell r="B102" t="str">
            <v>GRUPO QUIROFANOS ANACO</v>
          </cell>
          <cell r="C102" t="str">
            <v>GRUPO</v>
          </cell>
          <cell r="D102">
            <v>9</v>
          </cell>
          <cell r="E102"/>
          <cell r="F102" t="str">
            <v>ESTE</v>
          </cell>
          <cell r="H102"/>
          <cell r="I102"/>
          <cell r="J102" t="str">
            <v>Inactivo</v>
          </cell>
          <cell r="K102">
            <v>460112.12843016541</v>
          </cell>
          <cell r="L102">
            <v>46011.212843016539</v>
          </cell>
          <cell r="M102">
            <v>43944.786117494543</v>
          </cell>
          <cell r="N102" t="str">
            <v>Si Compra</v>
          </cell>
          <cell r="O102">
            <v>10</v>
          </cell>
          <cell r="P102">
            <v>872725.07256445801</v>
          </cell>
          <cell r="Q102">
            <v>87272.507256445795</v>
          </cell>
          <cell r="R102">
            <v>42578.495830267413</v>
          </cell>
          <cell r="S102"/>
          <cell r="T102"/>
          <cell r="U102"/>
          <cell r="V102">
            <v>0.52721314294105182</v>
          </cell>
          <cell r="W102">
            <v>1.7568859361017128E-3</v>
          </cell>
          <cell r="X102">
            <v>10</v>
          </cell>
          <cell r="Y102" t="str">
            <v>Potenciar</v>
          </cell>
        </row>
        <row r="103">
          <cell r="A103" t="str">
            <v>4337</v>
          </cell>
          <cell r="B103" t="str">
            <v>GRUPO TRINIDAD DE BARINAS</v>
          </cell>
          <cell r="C103" t="str">
            <v>CADENA</v>
          </cell>
          <cell r="D103">
            <v>15</v>
          </cell>
          <cell r="E103">
            <v>7</v>
          </cell>
          <cell r="F103" t="str">
            <v>CENTRO OESTE</v>
          </cell>
          <cell r="G103" t="str">
            <v>LUIS PLACERES</v>
          </cell>
          <cell r="H103" t="str">
            <v>HECTOR</v>
          </cell>
          <cell r="I103" t="str">
            <v>E</v>
          </cell>
          <cell r="J103" t="str">
            <v>Activo</v>
          </cell>
          <cell r="K103">
            <v>459956.07326763414</v>
          </cell>
          <cell r="L103">
            <v>45995.607326763413</v>
          </cell>
          <cell r="M103">
            <v>40105.883667187583</v>
          </cell>
          <cell r="N103" t="str">
            <v>Si Compra</v>
          </cell>
          <cell r="O103">
            <v>10</v>
          </cell>
          <cell r="P103">
            <v>899014.74140976975</v>
          </cell>
          <cell r="Q103">
            <v>89901.474140976978</v>
          </cell>
          <cell r="R103">
            <v>68124.431516391502</v>
          </cell>
          <cell r="S103">
            <v>75000</v>
          </cell>
          <cell r="T103">
            <v>4</v>
          </cell>
          <cell r="U103">
            <v>8</v>
          </cell>
          <cell r="V103">
            <v>0.51162239291689959</v>
          </cell>
          <cell r="W103">
            <v>1.7562900571770632E-3</v>
          </cell>
          <cell r="X103">
            <v>10</v>
          </cell>
          <cell r="Y103" t="str">
            <v>Potenciar</v>
          </cell>
        </row>
        <row r="104">
          <cell r="A104" t="str">
            <v>B475</v>
          </cell>
          <cell r="B104" t="str">
            <v>FARMA FACTORY</v>
          </cell>
          <cell r="C104" t="str">
            <v>GRUPO</v>
          </cell>
          <cell r="D104">
            <v>6</v>
          </cell>
          <cell r="E104"/>
          <cell r="F104" t="str">
            <v>CARACAS</v>
          </cell>
          <cell r="H104"/>
          <cell r="I104"/>
          <cell r="J104" t="str">
            <v>Activo</v>
          </cell>
          <cell r="K104">
            <v>458361.63364912983</v>
          </cell>
          <cell r="L104">
            <v>45836.16336491298</v>
          </cell>
          <cell r="M104">
            <v>47386.437534681543</v>
          </cell>
          <cell r="N104" t="str">
            <v>Si Compra</v>
          </cell>
          <cell r="O104">
            <v>10</v>
          </cell>
          <cell r="P104">
            <v>1230033.275099789</v>
          </cell>
          <cell r="Q104">
            <v>123003.3275099789</v>
          </cell>
          <cell r="R104">
            <v>116102.70164428279</v>
          </cell>
          <cell r="S104"/>
          <cell r="T104"/>
          <cell r="U104"/>
          <cell r="V104">
            <v>0.3726416536267641</v>
          </cell>
          <cell r="W104">
            <v>1.750201870475115E-3</v>
          </cell>
          <cell r="X104">
            <v>10</v>
          </cell>
          <cell r="Y104" t="str">
            <v>Potenciar</v>
          </cell>
        </row>
        <row r="105">
          <cell r="A105" t="str">
            <v>E124</v>
          </cell>
          <cell r="B105" t="str">
            <v>E124 - PARRA SULBARAN,MARIA (FCIA LS MARIAS HOSPITL)</v>
          </cell>
          <cell r="C105" t="str">
            <v>INDEPENDIENTE</v>
          </cell>
          <cell r="D105">
            <v>3</v>
          </cell>
          <cell r="F105" t="str">
            <v>CENTRO OESTE</v>
          </cell>
          <cell r="G105" t="str">
            <v>LUIS PLACERES</v>
          </cell>
          <cell r="H105"/>
          <cell r="I105" t="str">
            <v>E</v>
          </cell>
          <cell r="J105" t="str">
            <v>Activo</v>
          </cell>
          <cell r="K105">
            <v>436707.08828224172</v>
          </cell>
          <cell r="L105">
            <v>43670.708828224175</v>
          </cell>
          <cell r="M105">
            <v>46397.556514277239</v>
          </cell>
          <cell r="N105" t="str">
            <v>Si Compra</v>
          </cell>
          <cell r="O105">
            <v>10</v>
          </cell>
          <cell r="P105">
            <v>563727.54144318623</v>
          </cell>
          <cell r="Q105">
            <v>56372.75414431862</v>
          </cell>
          <cell r="R105">
            <v>52047.667749442393</v>
          </cell>
          <cell r="V105">
            <v>0.7746775812376272</v>
          </cell>
          <cell r="W105">
            <v>1.6675164469511479E-3</v>
          </cell>
          <cell r="X105">
            <v>10</v>
          </cell>
          <cell r="Y105" t="str">
            <v>Proteger</v>
          </cell>
        </row>
        <row r="106">
          <cell r="A106" t="str">
            <v>3284</v>
          </cell>
          <cell r="B106" t="str">
            <v>3284 - FARMACIA SAN PEDRO,C.A</v>
          </cell>
          <cell r="C106" t="str">
            <v>INDEPENDIENTE</v>
          </cell>
          <cell r="D106">
            <v>3</v>
          </cell>
          <cell r="E106"/>
          <cell r="F106" t="str">
            <v>MARACAIBO</v>
          </cell>
          <cell r="G106" t="str">
            <v>YENNIFER LUZARDO</v>
          </cell>
          <cell r="H106"/>
          <cell r="I106" t="str">
            <v>B</v>
          </cell>
          <cell r="J106" t="str">
            <v>Activo</v>
          </cell>
          <cell r="K106">
            <v>436655.71273323498</v>
          </cell>
          <cell r="L106">
            <v>43665.571273323498</v>
          </cell>
          <cell r="M106">
            <v>49382.889424025838</v>
          </cell>
          <cell r="N106" t="str">
            <v>Si Compra</v>
          </cell>
          <cell r="O106">
            <v>10</v>
          </cell>
          <cell r="P106">
            <v>621976.49696140795</v>
          </cell>
          <cell r="Q106">
            <v>62197.649696140797</v>
          </cell>
          <cell r="R106">
            <v>66081.260374717807</v>
          </cell>
          <cell r="T106"/>
          <cell r="U106"/>
          <cell r="V106">
            <v>0.70204535841219795</v>
          </cell>
          <cell r="W106">
            <v>1.6673202752487905E-3</v>
          </cell>
          <cell r="X106">
            <v>10</v>
          </cell>
          <cell r="Y106" t="str">
            <v>Proteger</v>
          </cell>
        </row>
        <row r="107">
          <cell r="A107" t="str">
            <v>B392</v>
          </cell>
          <cell r="B107" t="str">
            <v>SAN JOSE</v>
          </cell>
          <cell r="C107" t="str">
            <v>GRUPO</v>
          </cell>
          <cell r="D107">
            <v>6</v>
          </cell>
          <cell r="E107">
            <v>8</v>
          </cell>
          <cell r="F107" t="str">
            <v>ESTE</v>
          </cell>
          <cell r="G107" t="str">
            <v>CARLOS BLONDELL</v>
          </cell>
          <cell r="H107" t="str">
            <v>HECTOR</v>
          </cell>
          <cell r="I107" t="str">
            <v>A5</v>
          </cell>
          <cell r="J107" t="str">
            <v>Activo</v>
          </cell>
          <cell r="K107">
            <v>432952.42573160888</v>
          </cell>
          <cell r="L107">
            <v>43295.242573160889</v>
          </cell>
          <cell r="M107">
            <v>39193.165379368271</v>
          </cell>
          <cell r="N107" t="str">
            <v>Si Compra</v>
          </cell>
          <cell r="O107">
            <v>10</v>
          </cell>
          <cell r="P107">
            <v>1368719.4411936775</v>
          </cell>
          <cell r="Q107">
            <v>136871.94411936775</v>
          </cell>
          <cell r="R107">
            <v>99745.578761499535</v>
          </cell>
          <cell r="S107">
            <v>100000</v>
          </cell>
          <cell r="T107">
            <v>7</v>
          </cell>
          <cell r="U107">
            <v>10</v>
          </cell>
          <cell r="V107">
            <v>0.31631933667430456</v>
          </cell>
          <cell r="W107">
            <v>1.6531796941849886E-3</v>
          </cell>
          <cell r="X107">
            <v>10</v>
          </cell>
          <cell r="Y107" t="str">
            <v>Potenciar</v>
          </cell>
        </row>
        <row r="108">
          <cell r="A108" t="str">
            <v>4811</v>
          </cell>
          <cell r="B108" t="str">
            <v>4811 - FARMACIA SANTA ROSA ALTO BARINAS,C.A</v>
          </cell>
          <cell r="C108" t="str">
            <v>INDEPENDIENTE</v>
          </cell>
          <cell r="D108">
            <v>3</v>
          </cell>
          <cell r="E108"/>
          <cell r="F108" t="str">
            <v>CENTRO OESTE</v>
          </cell>
          <cell r="G108" t="str">
            <v>LUIS PLACERES</v>
          </cell>
          <cell r="H108"/>
          <cell r="I108" t="str">
            <v>E</v>
          </cell>
          <cell r="J108" t="str">
            <v>Activo</v>
          </cell>
          <cell r="K108">
            <v>432603.95588577265</v>
          </cell>
          <cell r="L108">
            <v>43260.395588577267</v>
          </cell>
          <cell r="M108">
            <v>44019.744607395442</v>
          </cell>
          <cell r="N108" t="str">
            <v>Si Compra</v>
          </cell>
          <cell r="O108">
            <v>10</v>
          </cell>
          <cell r="P108">
            <v>491421.48309663276</v>
          </cell>
          <cell r="Q108">
            <v>49142.148309663273</v>
          </cell>
          <cell r="R108">
            <v>44401.220595490129</v>
          </cell>
          <cell r="T108"/>
          <cell r="U108"/>
          <cell r="V108">
            <v>0.88031144499375857</v>
          </cell>
          <cell r="W108">
            <v>1.6518491016327035E-3</v>
          </cell>
          <cell r="X108">
            <v>10</v>
          </cell>
          <cell r="Y108" t="str">
            <v>Proteger</v>
          </cell>
        </row>
        <row r="109">
          <cell r="A109" t="str">
            <v>4388</v>
          </cell>
          <cell r="B109" t="str">
            <v>GRUPO ABREU</v>
          </cell>
          <cell r="C109" t="str">
            <v>GRUPO</v>
          </cell>
          <cell r="D109">
            <v>58</v>
          </cell>
          <cell r="E109">
            <v>11</v>
          </cell>
          <cell r="F109" t="str">
            <v>ESTE</v>
          </cell>
          <cell r="G109" t="str">
            <v>PEDRO VIRE</v>
          </cell>
          <cell r="H109" t="str">
            <v>HECTOR</v>
          </cell>
          <cell r="I109" t="str">
            <v>A7</v>
          </cell>
          <cell r="J109" t="str">
            <v>Activo</v>
          </cell>
          <cell r="K109">
            <v>430822.87868045666</v>
          </cell>
          <cell r="L109">
            <v>43082.287868045663</v>
          </cell>
          <cell r="M109">
            <v>61468.776977450536</v>
          </cell>
          <cell r="N109" t="str">
            <v>Si Compra</v>
          </cell>
          <cell r="O109">
            <v>10</v>
          </cell>
          <cell r="P109">
            <v>3630475.5034528575</v>
          </cell>
          <cell r="Q109">
            <v>363047.55034528574</v>
          </cell>
          <cell r="R109">
            <v>317418.89426003251</v>
          </cell>
          <cell r="S109">
            <v>120000</v>
          </cell>
          <cell r="T109">
            <v>0</v>
          </cell>
          <cell r="U109">
            <v>4</v>
          </cell>
          <cell r="V109">
            <v>0.11866844391890578</v>
          </cell>
          <cell r="W109">
            <v>1.645048260490334E-3</v>
          </cell>
          <cell r="X109">
            <v>10</v>
          </cell>
          <cell r="Y109" t="str">
            <v>Conquistar</v>
          </cell>
        </row>
        <row r="110">
          <cell r="A110" t="str">
            <v>B301</v>
          </cell>
          <cell r="B110" t="str">
            <v>LA GRAN AVENIDA</v>
          </cell>
          <cell r="C110" t="str">
            <v>GRUPO</v>
          </cell>
          <cell r="D110">
            <v>6</v>
          </cell>
          <cell r="E110"/>
          <cell r="F110" t="str">
            <v>CENTRO ESTE</v>
          </cell>
          <cell r="H110"/>
          <cell r="I110"/>
          <cell r="J110" t="str">
            <v>Activo</v>
          </cell>
          <cell r="K110">
            <v>428400.92265822017</v>
          </cell>
          <cell r="L110">
            <v>42840.092265822015</v>
          </cell>
          <cell r="M110">
            <v>52521.587323923915</v>
          </cell>
          <cell r="N110" t="str">
            <v>Si Compra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/>
          <cell r="T110"/>
          <cell r="U110"/>
          <cell r="V110">
            <v>0</v>
          </cell>
          <cell r="W110">
            <v>1.6358002963302891E-3</v>
          </cell>
          <cell r="X110">
            <v>0</v>
          </cell>
          <cell r="Y110" t="str">
            <v>Conquistar</v>
          </cell>
        </row>
        <row r="111">
          <cell r="A111" t="str">
            <v>9393</v>
          </cell>
          <cell r="B111" t="str">
            <v>FARMA ASISTENCIA</v>
          </cell>
          <cell r="C111" t="e">
            <v>#N/A</v>
          </cell>
          <cell r="D111">
            <v>3</v>
          </cell>
          <cell r="E111"/>
          <cell r="F111" t="str">
            <v>CENTRO OESTE</v>
          </cell>
          <cell r="H111"/>
          <cell r="I111"/>
          <cell r="J111" t="str">
            <v>Activo</v>
          </cell>
          <cell r="K111">
            <v>427479.42967525916</v>
          </cell>
          <cell r="L111">
            <v>42747.942967525916</v>
          </cell>
          <cell r="M111">
            <v>47887.791812000294</v>
          </cell>
          <cell r="N111" t="str">
            <v>Si Compra</v>
          </cell>
          <cell r="O111">
            <v>10</v>
          </cell>
          <cell r="P111">
            <v>796684.83928204444</v>
          </cell>
          <cell r="Q111">
            <v>79668.483928204441</v>
          </cell>
          <cell r="R111">
            <v>76423.357179365456</v>
          </cell>
          <cell r="S111"/>
          <cell r="T111"/>
          <cell r="U111"/>
          <cell r="V111">
            <v>0.53657281850686978</v>
          </cell>
          <cell r="W111">
            <v>1.6322816799714806E-3</v>
          </cell>
          <cell r="X111">
            <v>10</v>
          </cell>
          <cell r="Y111" t="str">
            <v>Potenciar</v>
          </cell>
        </row>
        <row r="112">
          <cell r="A112" t="str">
            <v>6522</v>
          </cell>
          <cell r="B112" t="str">
            <v>6522 - MEGAFARMA, C.A</v>
          </cell>
          <cell r="C112" t="str">
            <v>INDEPENDIENTE</v>
          </cell>
          <cell r="D112">
            <v>3</v>
          </cell>
          <cell r="E112"/>
          <cell r="F112" t="str">
            <v>ESTE</v>
          </cell>
          <cell r="G112">
            <v>0</v>
          </cell>
          <cell r="H112"/>
          <cell r="I112" t="str">
            <v>A0</v>
          </cell>
          <cell r="J112" t="str">
            <v>Inactivo</v>
          </cell>
          <cell r="K112">
            <v>426408.69488908804</v>
          </cell>
          <cell r="L112">
            <v>42640.869488908807</v>
          </cell>
          <cell r="M112">
            <v>77661.285324443597</v>
          </cell>
          <cell r="N112" t="str">
            <v>Si Compra</v>
          </cell>
          <cell r="O112">
            <v>10</v>
          </cell>
          <cell r="P112">
            <v>0</v>
          </cell>
          <cell r="Q112">
            <v>0</v>
          </cell>
          <cell r="R112">
            <v>0</v>
          </cell>
          <cell r="T112"/>
          <cell r="U112"/>
          <cell r="V112">
            <v>0</v>
          </cell>
          <cell r="W112">
            <v>1.6281932007272209E-3</v>
          </cell>
          <cell r="X112">
            <v>0</v>
          </cell>
          <cell r="Y112" t="str">
            <v>Conquistar</v>
          </cell>
        </row>
        <row r="113">
          <cell r="A113" t="str">
            <v>197</v>
          </cell>
          <cell r="B113" t="str">
            <v>197 - FARMACIA LOS CANALES C.A.</v>
          </cell>
          <cell r="C113" t="str">
            <v>INDEPENDIENTE</v>
          </cell>
          <cell r="D113">
            <v>3</v>
          </cell>
          <cell r="E113"/>
          <cell r="F113" t="str">
            <v>CARACAS</v>
          </cell>
          <cell r="G113" t="str">
            <v>MAIRUBI QUIJADA</v>
          </cell>
          <cell r="H113"/>
          <cell r="I113" t="str">
            <v>C7</v>
          </cell>
          <cell r="J113" t="str">
            <v>Activo</v>
          </cell>
          <cell r="K113">
            <v>421241.24455160997</v>
          </cell>
          <cell r="L113">
            <v>42124.124455161</v>
          </cell>
          <cell r="M113">
            <v>56749.402394980942</v>
          </cell>
          <cell r="N113" t="str">
            <v>Si Compra</v>
          </cell>
          <cell r="O113">
            <v>10</v>
          </cell>
          <cell r="P113">
            <v>655979.68368149421</v>
          </cell>
          <cell r="Q113">
            <v>65597.968368149421</v>
          </cell>
          <cell r="R113">
            <v>70062.323604131831</v>
          </cell>
          <cell r="T113"/>
          <cell r="U113"/>
          <cell r="V113">
            <v>0.64215593109151892</v>
          </cell>
          <cell r="W113">
            <v>1.6084618781594066E-3</v>
          </cell>
          <cell r="X113">
            <v>10</v>
          </cell>
          <cell r="Y113" t="str">
            <v>Proteger</v>
          </cell>
        </row>
        <row r="114">
          <cell r="A114" t="str">
            <v>$124</v>
          </cell>
          <cell r="B114" t="str">
            <v>FARMADIA</v>
          </cell>
          <cell r="C114" t="str">
            <v>CADENA</v>
          </cell>
          <cell r="D114">
            <v>9</v>
          </cell>
          <cell r="E114">
            <v>12</v>
          </cell>
          <cell r="F114" t="str">
            <v>CENTRO ESTE</v>
          </cell>
          <cell r="G114" t="str">
            <v>LAURA FLORES</v>
          </cell>
          <cell r="H114" t="str">
            <v>HECTOR</v>
          </cell>
          <cell r="I114">
            <v>0</v>
          </cell>
          <cell r="J114" t="str">
            <v>Activo</v>
          </cell>
          <cell r="K114">
            <v>420844.61209323298</v>
          </cell>
          <cell r="L114">
            <v>42084.461209323301</v>
          </cell>
          <cell r="M114">
            <v>46165.614501639422</v>
          </cell>
          <cell r="N114" t="str">
            <v>Si Compra</v>
          </cell>
          <cell r="O114">
            <v>10</v>
          </cell>
          <cell r="P114">
            <v>937629.92920827214</v>
          </cell>
          <cell r="Q114">
            <v>93762.992920827208</v>
          </cell>
          <cell r="R114">
            <v>60356.750412642694</v>
          </cell>
          <cell r="S114">
            <v>150000</v>
          </cell>
          <cell r="T114">
            <v>0</v>
          </cell>
          <cell r="U114">
            <v>12</v>
          </cell>
          <cell r="V114">
            <v>0.44883871449004531</v>
          </cell>
          <cell r="W114">
            <v>1.6069473821379661E-3</v>
          </cell>
          <cell r="X114">
            <v>10</v>
          </cell>
          <cell r="Y114" t="str">
            <v>Potenciar</v>
          </cell>
        </row>
        <row r="115">
          <cell r="A115" t="str">
            <v>4110</v>
          </cell>
          <cell r="B115" t="str">
            <v>SUMIFAR</v>
          </cell>
          <cell r="C115" t="str">
            <v>GRUPO</v>
          </cell>
          <cell r="D115">
            <v>12</v>
          </cell>
          <cell r="E115"/>
          <cell r="F115" t="str">
            <v>ANDES</v>
          </cell>
          <cell r="H115"/>
          <cell r="I115"/>
          <cell r="J115" t="str">
            <v>Activo</v>
          </cell>
          <cell r="K115">
            <v>420733.22390177252</v>
          </cell>
          <cell r="L115">
            <v>42073.322390177251</v>
          </cell>
          <cell r="M115">
            <v>67993.543422461138</v>
          </cell>
          <cell r="N115" t="str">
            <v>Si Compra</v>
          </cell>
          <cell r="O115">
            <v>10</v>
          </cell>
          <cell r="P115">
            <v>2006397.7870075954</v>
          </cell>
          <cell r="Q115">
            <v>200639.77870075955</v>
          </cell>
          <cell r="R115">
            <v>176272.85177323941</v>
          </cell>
          <cell r="S115"/>
          <cell r="T115"/>
          <cell r="U115"/>
          <cell r="V115">
            <v>0.20969581736295034</v>
          </cell>
          <cell r="W115">
            <v>1.606522058972301E-3</v>
          </cell>
          <cell r="X115">
            <v>10</v>
          </cell>
          <cell r="Y115" t="str">
            <v>Conquistar</v>
          </cell>
        </row>
        <row r="116">
          <cell r="A116" t="str">
            <v>5211</v>
          </cell>
          <cell r="B116" t="str">
            <v>FARMAHORA 24</v>
          </cell>
          <cell r="C116" t="str">
            <v>CADENA</v>
          </cell>
          <cell r="D116">
            <v>12</v>
          </cell>
          <cell r="E116"/>
          <cell r="F116" t="str">
            <v>CARACAS</v>
          </cell>
          <cell r="H116"/>
          <cell r="I116"/>
          <cell r="J116" t="str">
            <v>Activo</v>
          </cell>
          <cell r="K116">
            <v>415409.80464397027</v>
          </cell>
          <cell r="L116">
            <v>41540.980464397027</v>
          </cell>
          <cell r="M116">
            <v>44569.160359203874</v>
          </cell>
          <cell r="N116" t="str">
            <v>Si Compra</v>
          </cell>
          <cell r="O116">
            <v>10</v>
          </cell>
          <cell r="P116">
            <v>746365.82369956328</v>
          </cell>
          <cell r="Q116">
            <v>74636.582369956333</v>
          </cell>
          <cell r="R116">
            <v>75371.740050195731</v>
          </cell>
          <cell r="S116"/>
          <cell r="T116"/>
          <cell r="U116"/>
          <cell r="V116">
            <v>0.55657666984921639</v>
          </cell>
          <cell r="W116">
            <v>1.5861951867859156E-3</v>
          </cell>
          <cell r="X116">
            <v>10</v>
          </cell>
          <cell r="Y116" t="str">
            <v>Potenciar</v>
          </cell>
        </row>
        <row r="117">
          <cell r="A117" t="str">
            <v>4808</v>
          </cell>
          <cell r="B117" t="str">
            <v>ROSA MISTICA</v>
          </cell>
          <cell r="C117" t="str">
            <v>GRUPO</v>
          </cell>
          <cell r="D117">
            <v>6</v>
          </cell>
          <cell r="E117">
            <v>9</v>
          </cell>
          <cell r="F117" t="str">
            <v>CARACAS</v>
          </cell>
          <cell r="G117" t="str">
            <v>MAIRE ACOSTA</v>
          </cell>
          <cell r="H117" t="str">
            <v>VICTOR</v>
          </cell>
          <cell r="I117" t="str">
            <v>C9</v>
          </cell>
          <cell r="J117" t="str">
            <v>Activo</v>
          </cell>
          <cell r="K117">
            <v>404172.20348042034</v>
          </cell>
          <cell r="L117">
            <v>40417.220348042036</v>
          </cell>
          <cell r="M117">
            <v>41254.194042847761</v>
          </cell>
          <cell r="N117" t="str">
            <v>Si Compra</v>
          </cell>
          <cell r="O117">
            <v>10</v>
          </cell>
          <cell r="P117">
            <v>124491.37193764278</v>
          </cell>
          <cell r="Q117">
            <v>12449.137193764278</v>
          </cell>
          <cell r="R117">
            <v>9304.9528529924482</v>
          </cell>
          <cell r="S117">
            <v>80000</v>
          </cell>
          <cell r="T117">
            <v>6</v>
          </cell>
          <cell r="U117">
            <v>9</v>
          </cell>
          <cell r="V117">
            <v>3.2465880742552069</v>
          </cell>
          <cell r="W117">
            <v>1.5432856822981248E-3</v>
          </cell>
          <cell r="X117">
            <v>10</v>
          </cell>
          <cell r="Y117" t="str">
            <v>Proteger</v>
          </cell>
        </row>
        <row r="118">
          <cell r="A118" t="str">
            <v>6000</v>
          </cell>
          <cell r="B118" t="str">
            <v>FARMATOKUKO</v>
          </cell>
          <cell r="C118" t="str">
            <v>GRUPO</v>
          </cell>
          <cell r="D118">
            <v>12</v>
          </cell>
          <cell r="E118"/>
          <cell r="F118" t="str">
            <v>MARACAIBO</v>
          </cell>
          <cell r="H118"/>
          <cell r="I118"/>
          <cell r="J118" t="str">
            <v>Activo</v>
          </cell>
          <cell r="K118">
            <v>396650.95778752305</v>
          </cell>
          <cell r="L118">
            <v>39665.095778752308</v>
          </cell>
          <cell r="M118">
            <v>31785.89615271318</v>
          </cell>
          <cell r="N118" t="str">
            <v>Si Compra</v>
          </cell>
          <cell r="O118">
            <v>10</v>
          </cell>
          <cell r="P118">
            <v>1546026.6312218155</v>
          </cell>
          <cell r="Q118">
            <v>154602.66312218155</v>
          </cell>
          <cell r="R118">
            <v>97478.280907278066</v>
          </cell>
          <cell r="S118"/>
          <cell r="T118"/>
          <cell r="U118"/>
          <cell r="V118">
            <v>0.2565615299097741</v>
          </cell>
          <cell r="W118">
            <v>1.514566659339741E-3</v>
          </cell>
          <cell r="X118">
            <v>10</v>
          </cell>
          <cell r="Y118" t="str">
            <v>Potenciar</v>
          </cell>
        </row>
        <row r="119">
          <cell r="A119" t="str">
            <v>D948</v>
          </cell>
          <cell r="B119" t="str">
            <v>MI DIVINA PASTORA</v>
          </cell>
          <cell r="C119" t="str">
            <v>CADENA</v>
          </cell>
          <cell r="D119">
            <v>12</v>
          </cell>
          <cell r="E119"/>
          <cell r="F119" t="str">
            <v>CENTRO OESTE</v>
          </cell>
          <cell r="H119"/>
          <cell r="I119"/>
          <cell r="J119" t="str">
            <v>Activo</v>
          </cell>
          <cell r="K119">
            <v>393615.25422792422</v>
          </cell>
          <cell r="L119">
            <v>39361.525422792423</v>
          </cell>
          <cell r="M119">
            <v>32925.254393306932</v>
          </cell>
          <cell r="N119" t="str">
            <v>Si Compra</v>
          </cell>
          <cell r="O119">
            <v>10</v>
          </cell>
          <cell r="P119">
            <v>0</v>
          </cell>
          <cell r="Q119">
            <v>0</v>
          </cell>
          <cell r="R119">
            <v>0</v>
          </cell>
          <cell r="S119"/>
          <cell r="T119"/>
          <cell r="U119"/>
          <cell r="V119">
            <v>0</v>
          </cell>
          <cell r="W119">
            <v>1.5029751698734019E-3</v>
          </cell>
          <cell r="X119">
            <v>0</v>
          </cell>
          <cell r="Y119" t="str">
            <v>Conquistar</v>
          </cell>
        </row>
        <row r="120">
          <cell r="A120" t="str">
            <v>A597</v>
          </cell>
          <cell r="B120" t="str">
            <v>SOCIAL MEDICAL</v>
          </cell>
          <cell r="C120" t="str">
            <v>GRUPO</v>
          </cell>
          <cell r="D120">
            <v>6</v>
          </cell>
          <cell r="E120">
            <v>8</v>
          </cell>
          <cell r="F120" t="str">
            <v>CENTRO ESTE</v>
          </cell>
          <cell r="G120" t="str">
            <v>MACOS CRUCES</v>
          </cell>
          <cell r="H120" t="str">
            <v>HECTOR</v>
          </cell>
          <cell r="I120">
            <v>0</v>
          </cell>
          <cell r="J120" t="str">
            <v>Activo</v>
          </cell>
          <cell r="K120">
            <v>391972.71198483102</v>
          </cell>
          <cell r="L120">
            <v>39197.271198483104</v>
          </cell>
          <cell r="M120">
            <v>38703.272122293602</v>
          </cell>
          <cell r="N120" t="str">
            <v>Si Compra</v>
          </cell>
          <cell r="O120">
            <v>10</v>
          </cell>
          <cell r="P120">
            <v>107815.83579446668</v>
          </cell>
          <cell r="Q120">
            <v>11979.537310496298</v>
          </cell>
          <cell r="R120">
            <v>11630.05406052678</v>
          </cell>
          <cell r="S120">
            <v>70000</v>
          </cell>
          <cell r="T120">
            <v>0</v>
          </cell>
          <cell r="U120">
            <v>8</v>
          </cell>
          <cell r="V120">
            <v>3.2720187919227079</v>
          </cell>
          <cell r="W120">
            <v>1.4967033087594835E-3</v>
          </cell>
          <cell r="X120">
            <v>9</v>
          </cell>
          <cell r="Y120" t="str">
            <v>Proteger</v>
          </cell>
        </row>
        <row r="121">
          <cell r="A121" t="str">
            <v>4121</v>
          </cell>
          <cell r="B121" t="str">
            <v>GRUPO ATRIO</v>
          </cell>
          <cell r="C121" t="str">
            <v>GRUPO</v>
          </cell>
          <cell r="D121">
            <v>12</v>
          </cell>
          <cell r="E121"/>
          <cell r="F121" t="str">
            <v>ANDES</v>
          </cell>
          <cell r="H121"/>
          <cell r="I121"/>
          <cell r="J121" t="str">
            <v>Activo</v>
          </cell>
          <cell r="K121">
            <v>391358.67237954435</v>
          </cell>
          <cell r="L121">
            <v>39135.867237954437</v>
          </cell>
          <cell r="M121">
            <v>79551.4368078017</v>
          </cell>
          <cell r="N121" t="str">
            <v>Si Compra</v>
          </cell>
          <cell r="O121">
            <v>10</v>
          </cell>
          <cell r="P121">
            <v>465808.10809576442</v>
          </cell>
          <cell r="Q121">
            <v>46580.81080957644</v>
          </cell>
          <cell r="R121">
            <v>42260.551104185135</v>
          </cell>
          <cell r="S121"/>
          <cell r="T121"/>
          <cell r="U121"/>
          <cell r="V121">
            <v>0.84017144737868288</v>
          </cell>
          <cell r="W121">
            <v>1.4943586682249722E-3</v>
          </cell>
          <cell r="X121">
            <v>10</v>
          </cell>
          <cell r="Y121" t="str">
            <v>Proteger</v>
          </cell>
        </row>
        <row r="122">
          <cell r="A122" t="str">
            <v>A916</v>
          </cell>
          <cell r="B122" t="str">
            <v>A916 - FARMA EDUARDO, C.A.</v>
          </cell>
          <cell r="C122" t="str">
            <v>INDEPENDIENTE</v>
          </cell>
          <cell r="D122">
            <v>3</v>
          </cell>
          <cell r="E122"/>
          <cell r="F122" t="str">
            <v>CARACAS</v>
          </cell>
          <cell r="G122" t="str">
            <v>MAIRE ACOSTA FERNANDEZ</v>
          </cell>
          <cell r="H122"/>
          <cell r="I122" t="str">
            <v>C9</v>
          </cell>
          <cell r="J122" t="str">
            <v>Activo</v>
          </cell>
          <cell r="K122">
            <v>390759.94242762396</v>
          </cell>
          <cell r="L122">
            <v>39075.994242762397</v>
          </cell>
          <cell r="M122">
            <v>37050.654108189025</v>
          </cell>
          <cell r="N122" t="str">
            <v>Si Compra</v>
          </cell>
          <cell r="O122">
            <v>10</v>
          </cell>
          <cell r="P122">
            <v>496851.35714197857</v>
          </cell>
          <cell r="Q122">
            <v>49685.135714197859</v>
          </cell>
          <cell r="R122">
            <v>38883.169603188981</v>
          </cell>
          <cell r="T122"/>
          <cell r="U122"/>
          <cell r="V122">
            <v>0.78647252706600079</v>
          </cell>
          <cell r="W122">
            <v>1.4920724858640754E-3</v>
          </cell>
          <cell r="X122">
            <v>10</v>
          </cell>
          <cell r="Y122" t="str">
            <v>Proteger</v>
          </cell>
        </row>
        <row r="123">
          <cell r="A123" t="str">
            <v>A919</v>
          </cell>
          <cell r="B123" t="str">
            <v>DANIEL CASTAÑEDA</v>
          </cell>
          <cell r="C123" t="str">
            <v>GRUPO</v>
          </cell>
          <cell r="D123">
            <v>12</v>
          </cell>
          <cell r="E123"/>
          <cell r="F123" t="str">
            <v>ESTE</v>
          </cell>
          <cell r="H123"/>
          <cell r="I123"/>
          <cell r="J123" t="str">
            <v>Activo</v>
          </cell>
          <cell r="K123">
            <v>390678.1848956857</v>
          </cell>
          <cell r="L123">
            <v>39067.81848956857</v>
          </cell>
          <cell r="M123">
            <v>58930.927027210848</v>
          </cell>
          <cell r="N123" t="str">
            <v>Si Compra</v>
          </cell>
          <cell r="O123">
            <v>10</v>
          </cell>
          <cell r="P123">
            <v>2943985.0472588749</v>
          </cell>
          <cell r="Q123">
            <v>294398.5047258875</v>
          </cell>
          <cell r="R123">
            <v>240977.5280167372</v>
          </cell>
          <cell r="S123"/>
          <cell r="T123"/>
          <cell r="U123"/>
          <cell r="V123">
            <v>0.1327038618145984</v>
          </cell>
          <cell r="W123">
            <v>1.4917603040084854E-3</v>
          </cell>
          <cell r="X123">
            <v>10</v>
          </cell>
          <cell r="Y123" t="str">
            <v>Conquistar</v>
          </cell>
        </row>
        <row r="124">
          <cell r="A124" t="str">
            <v>D335</v>
          </cell>
          <cell r="B124" t="str">
            <v>JHON TORRES JIREH</v>
          </cell>
          <cell r="C124" t="str">
            <v>GRUPO</v>
          </cell>
          <cell r="D124">
            <v>10</v>
          </cell>
          <cell r="E124">
            <v>0</v>
          </cell>
          <cell r="F124" t="str">
            <v>ANDES</v>
          </cell>
          <cell r="G124" t="str">
            <v/>
          </cell>
          <cell r="H124" t="str">
            <v>VICTOR</v>
          </cell>
          <cell r="I124">
            <v>0</v>
          </cell>
          <cell r="J124" t="str">
            <v>Activo</v>
          </cell>
          <cell r="K124">
            <v>390593.01232208079</v>
          </cell>
          <cell r="L124">
            <v>43399.223591342306</v>
          </cell>
          <cell r="M124">
            <v>26210.641735891859</v>
          </cell>
          <cell r="N124" t="str">
            <v>Si Compra</v>
          </cell>
          <cell r="O124">
            <v>9</v>
          </cell>
          <cell r="P124">
            <v>861439.64343699405</v>
          </cell>
          <cell r="Q124">
            <v>95715.515937443779</v>
          </cell>
          <cell r="R124">
            <v>44405.540775090914</v>
          </cell>
          <cell r="S124">
            <v>0</v>
          </cell>
          <cell r="T124">
            <v>0</v>
          </cell>
          <cell r="U124">
            <v>0</v>
          </cell>
          <cell r="V124">
            <v>0.45341889626031456</v>
          </cell>
          <cell r="W124">
            <v>1.6571500913376946E-3</v>
          </cell>
          <cell r="X124">
            <v>9</v>
          </cell>
          <cell r="Y124" t="str">
            <v>Potenciar</v>
          </cell>
        </row>
        <row r="125">
          <cell r="A125" t="str">
            <v>A764</v>
          </cell>
          <cell r="B125" t="str">
            <v>GRUPO DIOS EN TI CONFIO</v>
          </cell>
          <cell r="C125" t="str">
            <v>CADENA</v>
          </cell>
          <cell r="D125">
            <v>10</v>
          </cell>
          <cell r="E125">
            <v>0</v>
          </cell>
          <cell r="F125" t="str">
            <v>MARACAIBO</v>
          </cell>
          <cell r="G125" t="str">
            <v/>
          </cell>
          <cell r="H125" t="str">
            <v>VICTOR</v>
          </cell>
          <cell r="I125">
            <v>0</v>
          </cell>
          <cell r="J125" t="str">
            <v>Activo</v>
          </cell>
          <cell r="K125">
            <v>385904.51114183501</v>
          </cell>
          <cell r="L125">
            <v>38590.451114183503</v>
          </cell>
          <cell r="M125">
            <v>44491.61692778518</v>
          </cell>
          <cell r="N125" t="str">
            <v>Si Compra</v>
          </cell>
          <cell r="O125">
            <v>10</v>
          </cell>
          <cell r="P125">
            <v>1914647.2671672427</v>
          </cell>
          <cell r="Q125">
            <v>191464.72671672428</v>
          </cell>
          <cell r="R125">
            <v>140621.53900112084</v>
          </cell>
          <cell r="S125">
            <v>0</v>
          </cell>
          <cell r="T125">
            <v>0</v>
          </cell>
          <cell r="U125">
            <v>0</v>
          </cell>
          <cell r="V125">
            <v>0.20155384114839497</v>
          </cell>
          <cell r="W125">
            <v>1.473532572628544E-3</v>
          </cell>
          <cell r="X125">
            <v>10</v>
          </cell>
          <cell r="Y125" t="str">
            <v>Conquistar</v>
          </cell>
        </row>
        <row r="126">
          <cell r="A126" t="str">
            <v>2649</v>
          </cell>
          <cell r="B126" t="str">
            <v>GRUPO POLICLINICO BEJUMA</v>
          </cell>
          <cell r="C126" t="str">
            <v>GRUPO</v>
          </cell>
          <cell r="D126">
            <v>6</v>
          </cell>
          <cell r="E126">
            <v>12</v>
          </cell>
          <cell r="F126" t="str">
            <v>CENTRO ESTE</v>
          </cell>
          <cell r="G126" t="str">
            <v>KARLA SALAZAR</v>
          </cell>
          <cell r="H126" t="str">
            <v>HECTOR</v>
          </cell>
          <cell r="I126">
            <v>0</v>
          </cell>
          <cell r="J126" t="str">
            <v>Activo</v>
          </cell>
          <cell r="K126">
            <v>385797.06015658559</v>
          </cell>
          <cell r="L126">
            <v>38579.706015658558</v>
          </cell>
          <cell r="M126">
            <v>39540.734067090103</v>
          </cell>
          <cell r="N126" t="str">
            <v>Si Compra</v>
          </cell>
          <cell r="O126">
            <v>10</v>
          </cell>
          <cell r="P126">
            <v>1380220.5939304233</v>
          </cell>
          <cell r="Q126">
            <v>138022.05939304232</v>
          </cell>
          <cell r="R126">
            <v>105033.07148825983</v>
          </cell>
          <cell r="S126">
            <v>150000</v>
          </cell>
          <cell r="T126">
            <v>0</v>
          </cell>
          <cell r="U126">
            <v>12</v>
          </cell>
          <cell r="V126">
            <v>0.27951840586435533</v>
          </cell>
          <cell r="W126">
            <v>1.4731222832378924E-3</v>
          </cell>
          <cell r="X126">
            <v>10</v>
          </cell>
          <cell r="Y126" t="str">
            <v>Potenciar</v>
          </cell>
        </row>
        <row r="127">
          <cell r="A127" t="str">
            <v>2478</v>
          </cell>
          <cell r="B127" t="str">
            <v>SAK</v>
          </cell>
          <cell r="C127" t="str">
            <v>CADENA</v>
          </cell>
          <cell r="D127">
            <v>12</v>
          </cell>
          <cell r="E127"/>
          <cell r="F127" t="str">
            <v>CENTRO OESTE</v>
          </cell>
          <cell r="H127"/>
          <cell r="I127"/>
          <cell r="J127" t="str">
            <v>Activo</v>
          </cell>
          <cell r="K127">
            <v>384347.34596294072</v>
          </cell>
          <cell r="L127">
            <v>38434.734596294074</v>
          </cell>
          <cell r="M127">
            <v>53737.174718729599</v>
          </cell>
          <cell r="N127" t="str">
            <v>Si Compra</v>
          </cell>
          <cell r="O127">
            <v>10</v>
          </cell>
          <cell r="P127">
            <v>619640.32789805043</v>
          </cell>
          <cell r="Q127">
            <v>61964.032789805045</v>
          </cell>
          <cell r="R127">
            <v>25709.2544242697</v>
          </cell>
          <cell r="S127"/>
          <cell r="T127"/>
          <cell r="U127"/>
          <cell r="V127">
            <v>0.62027490571300825</v>
          </cell>
          <cell r="W127">
            <v>1.4675867141433077E-3</v>
          </cell>
          <cell r="X127">
            <v>10</v>
          </cell>
          <cell r="Y127" t="str">
            <v>Proteger</v>
          </cell>
        </row>
        <row r="128">
          <cell r="A128" t="str">
            <v>1666</v>
          </cell>
          <cell r="B128" t="str">
            <v>EXPERTOS EN MEDICAMENTOS</v>
          </cell>
          <cell r="C128" t="str">
            <v>CADENA</v>
          </cell>
          <cell r="D128">
            <v>15</v>
          </cell>
          <cell r="E128"/>
          <cell r="F128" t="str">
            <v>CENTRO ESTE</v>
          </cell>
          <cell r="H128"/>
          <cell r="I128"/>
          <cell r="J128" t="str">
            <v>Activo</v>
          </cell>
          <cell r="K128">
            <v>382532.69322724349</v>
          </cell>
          <cell r="L128">
            <v>38253.269322724351</v>
          </cell>
          <cell r="M128">
            <v>48223.685283926992</v>
          </cell>
          <cell r="N128" t="str">
            <v>Si Compra</v>
          </cell>
          <cell r="O128">
            <v>10</v>
          </cell>
          <cell r="P128">
            <v>30348.154392042885</v>
          </cell>
          <cell r="Q128">
            <v>3034.8154392042884</v>
          </cell>
          <cell r="R128">
            <v>2348.672677735608</v>
          </cell>
          <cell r="S128"/>
          <cell r="T128"/>
          <cell r="U128"/>
          <cell r="V128">
            <v>12.604809119052769</v>
          </cell>
          <cell r="W128">
            <v>1.4606576686492616E-3</v>
          </cell>
          <cell r="X128">
            <v>10</v>
          </cell>
          <cell r="Y128" t="str">
            <v>Proteger</v>
          </cell>
        </row>
        <row r="129">
          <cell r="A129" t="str">
            <v>0136</v>
          </cell>
          <cell r="B129" t="str">
            <v>GRUPO FARMATENCION</v>
          </cell>
          <cell r="C129" t="str">
            <v>CADENA</v>
          </cell>
          <cell r="D129">
            <v>25</v>
          </cell>
          <cell r="E129"/>
          <cell r="F129" t="str">
            <v>CARACAS</v>
          </cell>
          <cell r="H129"/>
          <cell r="I129"/>
          <cell r="J129" t="str">
            <v>Permiso</v>
          </cell>
          <cell r="K129">
            <v>377459.28790746687</v>
          </cell>
          <cell r="L129">
            <v>37745.928790746686</v>
          </cell>
          <cell r="M129">
            <v>57107.074342978471</v>
          </cell>
          <cell r="N129" t="str">
            <v>Si Compra</v>
          </cell>
          <cell r="O129">
            <v>10</v>
          </cell>
          <cell r="P129">
            <v>2388617.0271783397</v>
          </cell>
          <cell r="Q129">
            <v>238861.70271783398</v>
          </cell>
          <cell r="R129">
            <v>243786.22018565339</v>
          </cell>
          <cell r="S129"/>
          <cell r="T129"/>
          <cell r="U129"/>
          <cell r="V129">
            <v>0.15802419710344168</v>
          </cell>
          <cell r="W129">
            <v>1.4412854463066985E-3</v>
          </cell>
          <cell r="X129">
            <v>10</v>
          </cell>
          <cell r="Y129" t="str">
            <v>Conquistar</v>
          </cell>
        </row>
        <row r="130">
          <cell r="A130" t="str">
            <v>B850</v>
          </cell>
          <cell r="B130" t="str">
            <v>FARMAEXPRESS SUR LEONARDO</v>
          </cell>
          <cell r="C130" t="str">
            <v>GRUPO</v>
          </cell>
          <cell r="D130">
            <v>4</v>
          </cell>
          <cell r="E130">
            <v>0</v>
          </cell>
          <cell r="F130" t="str">
            <v>MARACAIBO</v>
          </cell>
          <cell r="G130" t="str">
            <v/>
          </cell>
          <cell r="H130" t="str">
            <v>VICTOR</v>
          </cell>
          <cell r="I130">
            <v>0</v>
          </cell>
          <cell r="J130" t="str">
            <v>Inactivo</v>
          </cell>
          <cell r="K130">
            <v>374843.35968354234</v>
          </cell>
          <cell r="L130">
            <v>37484.335968354237</v>
          </cell>
          <cell r="M130">
            <v>24494.570891915952</v>
          </cell>
          <cell r="N130" t="str">
            <v>Si Compra</v>
          </cell>
          <cell r="O130">
            <v>9</v>
          </cell>
          <cell r="P130">
            <v>1571389.8108337654</v>
          </cell>
          <cell r="Q130">
            <v>157138.98108337654</v>
          </cell>
          <cell r="R130">
            <v>49878.432335383986</v>
          </cell>
          <cell r="S130">
            <v>0</v>
          </cell>
          <cell r="T130">
            <v>0</v>
          </cell>
          <cell r="U130">
            <v>0</v>
          </cell>
          <cell r="V130">
            <v>0.2385425672861235</v>
          </cell>
          <cell r="W130">
            <v>1.431296821311863E-3</v>
          </cell>
          <cell r="X130">
            <v>10</v>
          </cell>
          <cell r="Y130" t="str">
            <v>Potenciar</v>
          </cell>
        </row>
        <row r="131">
          <cell r="A131" t="str">
            <v>2558</v>
          </cell>
          <cell r="B131" t="str">
            <v>GRUPO LA PLAZUELA</v>
          </cell>
          <cell r="C131" t="str">
            <v>CADENA</v>
          </cell>
          <cell r="D131">
            <v>25</v>
          </cell>
          <cell r="E131"/>
          <cell r="F131" t="str">
            <v>ANDES</v>
          </cell>
          <cell r="H131"/>
          <cell r="I131"/>
          <cell r="J131" t="str">
            <v>Inactivo</v>
          </cell>
          <cell r="K131">
            <v>372113.98900918872</v>
          </cell>
          <cell r="L131">
            <v>37211.398900918874</v>
          </cell>
          <cell r="M131">
            <v>7906.4280739346868</v>
          </cell>
          <cell r="N131" t="str">
            <v>Si Compra</v>
          </cell>
          <cell r="O131">
            <v>10</v>
          </cell>
          <cell r="P131">
            <v>2312629.957929966</v>
          </cell>
          <cell r="Q131">
            <v>231262.9957929966</v>
          </cell>
          <cell r="R131">
            <v>203667.6535761127</v>
          </cell>
          <cell r="S131"/>
          <cell r="T131"/>
          <cell r="U131"/>
          <cell r="V131">
            <v>0.16090511485990944</v>
          </cell>
          <cell r="W131">
            <v>1.4208750291966653E-3</v>
          </cell>
          <cell r="X131">
            <v>10</v>
          </cell>
          <cell r="Y131" t="str">
            <v>Conquistar</v>
          </cell>
        </row>
        <row r="132">
          <cell r="A132" t="str">
            <v>454</v>
          </cell>
          <cell r="B132" t="str">
            <v>FARMAGO</v>
          </cell>
          <cell r="C132" t="str">
            <v>CADENA</v>
          </cell>
          <cell r="D132">
            <v>74</v>
          </cell>
          <cell r="E132"/>
          <cell r="F132" t="str">
            <v>CARACAS</v>
          </cell>
          <cell r="H132"/>
          <cell r="I132"/>
          <cell r="J132" t="str">
            <v>Activo</v>
          </cell>
          <cell r="K132">
            <v>371832.21051164792</v>
          </cell>
          <cell r="L132">
            <v>37183.221051164794</v>
          </cell>
          <cell r="M132">
            <v>51833.0797266011</v>
          </cell>
          <cell r="N132" t="str">
            <v>Si Compra</v>
          </cell>
          <cell r="O132">
            <v>10</v>
          </cell>
          <cell r="P132">
            <v>7811083.3510318222</v>
          </cell>
          <cell r="Q132">
            <v>781108.33510318224</v>
          </cell>
          <cell r="R132">
            <v>1116713.2232062037</v>
          </cell>
          <cell r="S132"/>
          <cell r="T132"/>
          <cell r="U132"/>
          <cell r="V132">
            <v>4.7603154876401356E-2</v>
          </cell>
          <cell r="W132">
            <v>1.419799089987859E-3</v>
          </cell>
          <cell r="X132">
            <v>10</v>
          </cell>
          <cell r="Y132" t="str">
            <v>Conquistar</v>
          </cell>
        </row>
        <row r="133">
          <cell r="A133" t="str">
            <v>1086</v>
          </cell>
          <cell r="B133" t="str">
            <v>CEBALLOS</v>
          </cell>
          <cell r="C133" t="str">
            <v>GRUPO</v>
          </cell>
          <cell r="D133">
            <v>7</v>
          </cell>
          <cell r="E133">
            <v>10</v>
          </cell>
          <cell r="F133" t="str">
            <v>ESTE</v>
          </cell>
          <cell r="G133" t="str">
            <v>CARLOS BLONDELL</v>
          </cell>
          <cell r="H133" t="str">
            <v>HECTOR</v>
          </cell>
          <cell r="I133" t="str">
            <v>A5</v>
          </cell>
          <cell r="J133" t="str">
            <v>Activo</v>
          </cell>
          <cell r="K133">
            <v>370606.38654328353</v>
          </cell>
          <cell r="L133">
            <v>37060.638654328352</v>
          </cell>
          <cell r="M133">
            <v>28979.95590442661</v>
          </cell>
          <cell r="N133" t="str">
            <v>Si Compra</v>
          </cell>
          <cell r="O133">
            <v>10</v>
          </cell>
          <cell r="P133">
            <v>1356465.1886054564</v>
          </cell>
          <cell r="Q133">
            <v>135646.51886054565</v>
          </cell>
          <cell r="R133">
            <v>98071.583562702639</v>
          </cell>
          <cell r="S133">
            <v>80000</v>
          </cell>
          <cell r="T133">
            <v>6</v>
          </cell>
          <cell r="U133">
            <v>11</v>
          </cell>
          <cell r="V133">
            <v>0.2732148157257861</v>
          </cell>
          <cell r="W133">
            <v>1.4151184203052237E-3</v>
          </cell>
          <cell r="X133">
            <v>10</v>
          </cell>
          <cell r="Y133" t="str">
            <v>Potenciar</v>
          </cell>
        </row>
        <row r="134">
          <cell r="A134" t="str">
            <v>2945</v>
          </cell>
          <cell r="B134" t="str">
            <v>EL AHORRO</v>
          </cell>
          <cell r="C134" t="str">
            <v>GRUPO</v>
          </cell>
          <cell r="D134">
            <v>12</v>
          </cell>
          <cell r="E134"/>
          <cell r="F134" t="str">
            <v>ANDES</v>
          </cell>
          <cell r="H134"/>
          <cell r="I134"/>
          <cell r="J134" t="str">
            <v>Activo</v>
          </cell>
          <cell r="K134">
            <v>369885.09760531521</v>
          </cell>
          <cell r="L134">
            <v>36988.509760531524</v>
          </cell>
          <cell r="M134">
            <v>52815.119264944449</v>
          </cell>
          <cell r="N134" t="str">
            <v>Si Compra</v>
          </cell>
          <cell r="O134">
            <v>10</v>
          </cell>
          <cell r="P134">
            <v>961789.70749168156</v>
          </cell>
          <cell r="Q134">
            <v>96178.970749168162</v>
          </cell>
          <cell r="R134">
            <v>69412.306954420739</v>
          </cell>
          <cell r="S134"/>
          <cell r="T134"/>
          <cell r="U134"/>
          <cell r="V134">
            <v>0.38458001237085843</v>
          </cell>
          <cell r="W134">
            <v>1.412364260367502E-3</v>
          </cell>
          <cell r="X134">
            <v>10</v>
          </cell>
          <cell r="Y134" t="str">
            <v>Potenciar</v>
          </cell>
        </row>
        <row r="135">
          <cell r="A135" t="str">
            <v>B817</v>
          </cell>
          <cell r="B135" t="str">
            <v>LA NUEVA CATEDRAL</v>
          </cell>
          <cell r="C135" t="str">
            <v>CADENA</v>
          </cell>
          <cell r="D135">
            <v>9</v>
          </cell>
          <cell r="E135">
            <v>9</v>
          </cell>
          <cell r="F135" t="str">
            <v>CARACAS</v>
          </cell>
          <cell r="G135" t="str">
            <v>RAMON SERRANO</v>
          </cell>
          <cell r="H135" t="str">
            <v>VICTOR</v>
          </cell>
          <cell r="I135" t="str">
            <v>C6</v>
          </cell>
          <cell r="J135" t="str">
            <v>Inactivo</v>
          </cell>
          <cell r="K135">
            <v>362072.42978015763</v>
          </cell>
          <cell r="L135">
            <v>36207.242978015762</v>
          </cell>
          <cell r="M135">
            <v>14747.329922012714</v>
          </cell>
          <cell r="N135" t="str">
            <v>Si Compra</v>
          </cell>
          <cell r="O135">
            <v>10</v>
          </cell>
          <cell r="P135">
            <v>2005618.8492389522</v>
          </cell>
          <cell r="Q135">
            <v>200561.88492389521</v>
          </cell>
          <cell r="R135">
            <v>240346.06240000002</v>
          </cell>
          <cell r="S135">
            <v>15000</v>
          </cell>
          <cell r="T135">
            <v>10</v>
          </cell>
          <cell r="U135">
            <v>12</v>
          </cell>
          <cell r="V135">
            <v>0.18052903218253502</v>
          </cell>
          <cell r="W135">
            <v>1.3825324750757629E-3</v>
          </cell>
          <cell r="X135">
            <v>10</v>
          </cell>
          <cell r="Y135" t="str">
            <v>Conquistar</v>
          </cell>
        </row>
        <row r="136">
          <cell r="A136" t="str">
            <v>A642</v>
          </cell>
          <cell r="B136" t="str">
            <v>FARMATONYS</v>
          </cell>
          <cell r="C136" t="str">
            <v>GRUPO</v>
          </cell>
          <cell r="D136">
            <v>8</v>
          </cell>
          <cell r="E136"/>
          <cell r="F136" t="str">
            <v>ESTE</v>
          </cell>
          <cell r="H136"/>
          <cell r="I136"/>
          <cell r="J136" t="str">
            <v>Activo</v>
          </cell>
          <cell r="K136">
            <v>360543.60439588682</v>
          </cell>
          <cell r="L136">
            <v>36054.36043958868</v>
          </cell>
          <cell r="M136">
            <v>39974.222744655883</v>
          </cell>
          <cell r="N136" t="str">
            <v>Si Compra</v>
          </cell>
          <cell r="O136">
            <v>10</v>
          </cell>
          <cell r="P136">
            <v>0</v>
          </cell>
          <cell r="Q136">
            <v>0</v>
          </cell>
          <cell r="R136">
            <v>0</v>
          </cell>
          <cell r="S136"/>
          <cell r="T136"/>
          <cell r="U136"/>
          <cell r="V136">
            <v>0</v>
          </cell>
          <cell r="W136">
            <v>1.376694828879509E-3</v>
          </cell>
          <cell r="X136">
            <v>0</v>
          </cell>
          <cell r="Y136" t="str">
            <v>Conquistar</v>
          </cell>
        </row>
        <row r="137">
          <cell r="A137" t="str">
            <v>C989</v>
          </cell>
          <cell r="B137" t="str">
            <v>SOYFARMA</v>
          </cell>
          <cell r="C137" t="str">
            <v>CADENA</v>
          </cell>
          <cell r="D137">
            <v>9</v>
          </cell>
          <cell r="E137"/>
          <cell r="F137" t="str">
            <v>CARACAS</v>
          </cell>
          <cell r="H137"/>
          <cell r="I137"/>
          <cell r="J137" t="str">
            <v>Activo</v>
          </cell>
          <cell r="K137">
            <v>360094.82387366489</v>
          </cell>
          <cell r="L137">
            <v>36009.482387366486</v>
          </cell>
          <cell r="M137">
            <v>32837.935226923611</v>
          </cell>
          <cell r="N137" t="str">
            <v>Si Compra</v>
          </cell>
          <cell r="O137">
            <v>10</v>
          </cell>
          <cell r="P137">
            <v>1464345.1937948077</v>
          </cell>
          <cell r="Q137">
            <v>146434.51937948077</v>
          </cell>
          <cell r="R137">
            <v>107266.05273147288</v>
          </cell>
          <cell r="S137"/>
          <cell r="T137"/>
          <cell r="U137"/>
          <cell r="V137">
            <v>0.24590842746612884</v>
          </cell>
          <cell r="W137">
            <v>1.3749812113954879E-3</v>
          </cell>
          <cell r="X137">
            <v>10</v>
          </cell>
          <cell r="Y137" t="str">
            <v>Potenciar</v>
          </cell>
        </row>
        <row r="138">
          <cell r="A138" t="str">
            <v>A436</v>
          </cell>
          <cell r="B138" t="str">
            <v>HOSPISALUD</v>
          </cell>
          <cell r="C138" t="str">
            <v>GRUPO</v>
          </cell>
          <cell r="D138">
            <v>9</v>
          </cell>
          <cell r="E138"/>
          <cell r="F138" t="str">
            <v>ESTE</v>
          </cell>
          <cell r="H138"/>
          <cell r="I138"/>
          <cell r="J138" t="str">
            <v>Activo</v>
          </cell>
          <cell r="K138">
            <v>351254.11385354918</v>
          </cell>
          <cell r="L138">
            <v>35125.411385354921</v>
          </cell>
          <cell r="M138">
            <v>47988.155221021909</v>
          </cell>
          <cell r="N138" t="str">
            <v>Si Compra</v>
          </cell>
          <cell r="O138">
            <v>10</v>
          </cell>
          <cell r="P138">
            <v>0</v>
          </cell>
          <cell r="Q138">
            <v>0</v>
          </cell>
          <cell r="R138">
            <v>0</v>
          </cell>
          <cell r="S138"/>
          <cell r="T138"/>
          <cell r="U138"/>
          <cell r="V138">
            <v>0</v>
          </cell>
          <cell r="W138">
            <v>1.3412239636730948E-3</v>
          </cell>
          <cell r="X138">
            <v>0</v>
          </cell>
          <cell r="Y138" t="str">
            <v>Conquistar</v>
          </cell>
        </row>
        <row r="139">
          <cell r="A139" t="str">
            <v>6249</v>
          </cell>
          <cell r="B139" t="str">
            <v>GRUPO SU FARMACIA</v>
          </cell>
          <cell r="C139" t="str">
            <v>CADENA</v>
          </cell>
          <cell r="D139">
            <v>17</v>
          </cell>
          <cell r="E139">
            <v>10</v>
          </cell>
          <cell r="F139" t="str">
            <v>CARACAS</v>
          </cell>
          <cell r="G139" t="str">
            <v>VARIOS</v>
          </cell>
          <cell r="H139" t="str">
            <v>VICTOR</v>
          </cell>
          <cell r="I139" t="str">
            <v>VARIAS</v>
          </cell>
          <cell r="J139" t="str">
            <v>Activo</v>
          </cell>
          <cell r="K139">
            <v>346614.94219431333</v>
          </cell>
          <cell r="L139">
            <v>34661.494219431333</v>
          </cell>
          <cell r="M139">
            <v>40684.65394500066</v>
          </cell>
          <cell r="N139" t="str">
            <v>Si Compra</v>
          </cell>
          <cell r="O139">
            <v>10</v>
          </cell>
          <cell r="P139">
            <v>1077753.8918186889</v>
          </cell>
          <cell r="Q139">
            <v>107775.3891818689</v>
          </cell>
          <cell r="R139">
            <v>70862.442084663577</v>
          </cell>
          <cell r="S139">
            <v>100000</v>
          </cell>
          <cell r="T139">
            <v>6</v>
          </cell>
          <cell r="U139">
            <v>10</v>
          </cell>
          <cell r="V139">
            <v>0.32160862032185034</v>
          </cell>
          <cell r="W139">
            <v>1.3235098132744051E-3</v>
          </cell>
          <cell r="X139">
            <v>10</v>
          </cell>
          <cell r="Y139" t="str">
            <v>Potenciar</v>
          </cell>
        </row>
        <row r="140">
          <cell r="A140" t="str">
            <v>A037</v>
          </cell>
          <cell r="B140" t="str">
            <v>SUPERFARMA</v>
          </cell>
          <cell r="C140" t="str">
            <v>GRUPO</v>
          </cell>
          <cell r="D140">
            <v>7</v>
          </cell>
          <cell r="E140"/>
          <cell r="F140" t="str">
            <v>ESTE</v>
          </cell>
          <cell r="H140"/>
          <cell r="I140"/>
          <cell r="J140" t="str">
            <v>Activo</v>
          </cell>
          <cell r="K140">
            <v>344611.54016721912</v>
          </cell>
          <cell r="L140">
            <v>34461.154016721914</v>
          </cell>
          <cell r="M140">
            <v>26124.308751527074</v>
          </cell>
          <cell r="N140" t="str">
            <v>Si Compra</v>
          </cell>
          <cell r="O140">
            <v>10</v>
          </cell>
          <cell r="P140">
            <v>1762172.8245822978</v>
          </cell>
          <cell r="Q140">
            <v>176217.28245822978</v>
          </cell>
          <cell r="R140">
            <v>116562.66122917132</v>
          </cell>
          <cell r="S140"/>
          <cell r="T140"/>
          <cell r="U140"/>
          <cell r="V140">
            <v>0.19556058030171089</v>
          </cell>
          <cell r="W140">
            <v>1.3158600500356738E-3</v>
          </cell>
          <cell r="X140">
            <v>10</v>
          </cell>
          <cell r="Y140" t="str">
            <v>Conquistar</v>
          </cell>
        </row>
        <row r="141">
          <cell r="A141" t="str">
            <v>9013</v>
          </cell>
          <cell r="B141" t="str">
            <v>FARMASALUD (CARACAS)</v>
          </cell>
          <cell r="C141" t="str">
            <v>GRUPO</v>
          </cell>
          <cell r="D141">
            <v>6</v>
          </cell>
          <cell r="E141"/>
          <cell r="F141" t="str">
            <v>CARACAS</v>
          </cell>
          <cell r="H141"/>
          <cell r="I141"/>
          <cell r="J141" t="str">
            <v>Activo</v>
          </cell>
          <cell r="K141">
            <v>321507.06533234107</v>
          </cell>
          <cell r="L141">
            <v>32150.706533234108</v>
          </cell>
          <cell r="M141">
            <v>28185.871881575305</v>
          </cell>
          <cell r="N141" t="str">
            <v>Si Compra</v>
          </cell>
          <cell r="O141">
            <v>10</v>
          </cell>
          <cell r="P141">
            <v>617513.82808033866</v>
          </cell>
          <cell r="Q141">
            <v>61751.382808033864</v>
          </cell>
          <cell r="R141">
            <v>47864.046912283484</v>
          </cell>
          <cell r="S141"/>
          <cell r="T141"/>
          <cell r="U141"/>
          <cell r="V141">
            <v>0.52064755591272838</v>
          </cell>
          <cell r="W141">
            <v>1.2276382354164703E-3</v>
          </cell>
          <cell r="X141">
            <v>10</v>
          </cell>
          <cell r="Y141" t="str">
            <v>Potenciar</v>
          </cell>
        </row>
        <row r="142">
          <cell r="A142" t="str">
            <v>9068</v>
          </cell>
          <cell r="B142" t="str">
            <v>GRUPO CARRANO GIOVANA</v>
          </cell>
          <cell r="C142" t="str">
            <v>GRUPO</v>
          </cell>
          <cell r="D142">
            <v>6</v>
          </cell>
          <cell r="E142"/>
          <cell r="F142" t="str">
            <v>MARACAIBO</v>
          </cell>
          <cell r="H142"/>
          <cell r="I142"/>
          <cell r="J142" t="str">
            <v>Inactivo</v>
          </cell>
          <cell r="K142">
            <v>317133.34487711044</v>
          </cell>
          <cell r="L142">
            <v>31713.334487711043</v>
          </cell>
          <cell r="M142">
            <v>33412.613974154126</v>
          </cell>
          <cell r="N142" t="str">
            <v>Si Compra</v>
          </cell>
          <cell r="O142">
            <v>10</v>
          </cell>
          <cell r="P142">
            <v>594677.32672588935</v>
          </cell>
          <cell r="Q142">
            <v>59467.732672588936</v>
          </cell>
          <cell r="R142">
            <v>43154.710696838207</v>
          </cell>
          <cell r="S142"/>
          <cell r="T142"/>
          <cell r="U142"/>
          <cell r="V142">
            <v>0.5332864237874162</v>
          </cell>
          <cell r="W142">
            <v>1.2109376803094963E-3</v>
          </cell>
          <cell r="X142">
            <v>10</v>
          </cell>
          <cell r="Y142" t="str">
            <v>Potenciar</v>
          </cell>
        </row>
        <row r="143">
          <cell r="A143" t="str">
            <v>B489</v>
          </cell>
          <cell r="B143" t="str">
            <v>LA CIRCUNVALACION</v>
          </cell>
          <cell r="C143" t="str">
            <v>GRUPO</v>
          </cell>
          <cell r="D143">
            <v>9</v>
          </cell>
          <cell r="E143">
            <v>7</v>
          </cell>
          <cell r="F143" t="str">
            <v>CENTRO OESTE</v>
          </cell>
          <cell r="G143" t="str">
            <v/>
          </cell>
          <cell r="H143" t="str">
            <v>HECTOR</v>
          </cell>
          <cell r="I143">
            <v>0</v>
          </cell>
          <cell r="J143" t="str">
            <v>Inactivo</v>
          </cell>
          <cell r="K143">
            <v>316982.41693557438</v>
          </cell>
          <cell r="L143">
            <v>31698.241693557437</v>
          </cell>
          <cell r="M143">
            <v>30458.382327548021</v>
          </cell>
          <cell r="N143" t="str">
            <v>Si Compra</v>
          </cell>
          <cell r="O143">
            <v>10</v>
          </cell>
          <cell r="P143">
            <v>223792.9789832221</v>
          </cell>
          <cell r="Q143">
            <v>22379.297898322209</v>
          </cell>
          <cell r="R143">
            <v>7377.4095773361378</v>
          </cell>
          <cell r="S143">
            <v>65000</v>
          </cell>
          <cell r="T143">
            <v>0</v>
          </cell>
          <cell r="U143">
            <v>0</v>
          </cell>
          <cell r="V143">
            <v>1.416409122286802</v>
          </cell>
          <cell r="W143">
            <v>1.2103613790962371E-3</v>
          </cell>
          <cell r="X143">
            <v>10</v>
          </cell>
          <cell r="Y143" t="str">
            <v>Proteger</v>
          </cell>
        </row>
        <row r="144">
          <cell r="A144" t="str">
            <v>B341</v>
          </cell>
          <cell r="B144" t="str">
            <v>FV</v>
          </cell>
          <cell r="C144" t="str">
            <v>GRUPO</v>
          </cell>
          <cell r="D144">
            <v>6</v>
          </cell>
          <cell r="E144">
            <v>6</v>
          </cell>
          <cell r="F144" t="str">
            <v>CENTRO OESTE</v>
          </cell>
          <cell r="G144" t="str">
            <v/>
          </cell>
          <cell r="H144" t="str">
            <v>HECTOR</v>
          </cell>
          <cell r="I144">
            <v>0</v>
          </cell>
          <cell r="J144" t="str">
            <v>Activo</v>
          </cell>
          <cell r="K144">
            <v>314415.21509668167</v>
          </cell>
          <cell r="L144">
            <v>31441.521509668168</v>
          </cell>
          <cell r="M144">
            <v>19095.483764267312</v>
          </cell>
          <cell r="N144" t="str">
            <v>Si Compra</v>
          </cell>
          <cell r="O144">
            <v>10</v>
          </cell>
          <cell r="P144">
            <v>1231997.6737270767</v>
          </cell>
          <cell r="Q144">
            <v>123199.76737270768</v>
          </cell>
          <cell r="R144">
            <v>109364.19054755499</v>
          </cell>
          <cell r="S144">
            <v>115000</v>
          </cell>
          <cell r="T144">
            <v>0</v>
          </cell>
          <cell r="U144">
            <v>3</v>
          </cell>
          <cell r="V144">
            <v>0.25520763699618298</v>
          </cell>
          <cell r="W144">
            <v>1.2005588102718217E-3</v>
          </cell>
          <cell r="X144">
            <v>10</v>
          </cell>
          <cell r="Y144" t="str">
            <v>Potenciar</v>
          </cell>
        </row>
        <row r="145">
          <cell r="A145" t="str">
            <v>4103</v>
          </cell>
          <cell r="B145" t="str">
            <v>FULLFARMA GROUP</v>
          </cell>
          <cell r="C145" t="str">
            <v>CADENA</v>
          </cell>
          <cell r="D145">
            <v>6</v>
          </cell>
          <cell r="E145">
            <v>0</v>
          </cell>
          <cell r="F145" t="str">
            <v>ANDES</v>
          </cell>
          <cell r="G145" t="str">
            <v/>
          </cell>
          <cell r="H145" t="str">
            <v>VICTOR</v>
          </cell>
          <cell r="I145">
            <v>0</v>
          </cell>
          <cell r="J145" t="str">
            <v>Activo</v>
          </cell>
          <cell r="K145">
            <v>306711.01968002348</v>
          </cell>
          <cell r="L145">
            <v>30671.101968002349</v>
          </cell>
          <cell r="M145">
            <v>61428.055673272269</v>
          </cell>
          <cell r="N145" t="str">
            <v>Si Compra</v>
          </cell>
          <cell r="O145">
            <v>10</v>
          </cell>
          <cell r="P145">
            <v>2006775.0499437586</v>
          </cell>
          <cell r="Q145">
            <v>200677.50499437586</v>
          </cell>
          <cell r="R145">
            <v>149503.97267090101</v>
          </cell>
          <cell r="S145">
            <v>0</v>
          </cell>
          <cell r="T145">
            <v>0</v>
          </cell>
          <cell r="U145">
            <v>0</v>
          </cell>
          <cell r="V145">
            <v>0.15283776808398097</v>
          </cell>
          <cell r="W145">
            <v>1.1711412145594747E-3</v>
          </cell>
          <cell r="X145">
            <v>10</v>
          </cell>
          <cell r="Y145" t="str">
            <v>Conquistar</v>
          </cell>
        </row>
        <row r="146">
          <cell r="A146" t="str">
            <v>0882</v>
          </cell>
          <cell r="B146" t="str">
            <v>GRUPO HOSPITALARIA</v>
          </cell>
          <cell r="C146" t="str">
            <v>GRUPO</v>
          </cell>
          <cell r="D146">
            <v>9</v>
          </cell>
          <cell r="E146">
            <v>12</v>
          </cell>
          <cell r="F146" t="str">
            <v>ESTE</v>
          </cell>
          <cell r="G146" t="str">
            <v>IRAIDA RODRIGUEZ</v>
          </cell>
          <cell r="H146" t="str">
            <v>HECTOR</v>
          </cell>
          <cell r="I146" t="str">
            <v>AB</v>
          </cell>
          <cell r="J146" t="str">
            <v>Activo</v>
          </cell>
          <cell r="K146">
            <v>306538.80353836226</v>
          </cell>
          <cell r="L146">
            <v>30653.880353836226</v>
          </cell>
          <cell r="M146">
            <v>34505.880182257853</v>
          </cell>
          <cell r="N146" t="str">
            <v>Si Compra</v>
          </cell>
          <cell r="O146">
            <v>10</v>
          </cell>
          <cell r="P146">
            <v>1764887.2834016036</v>
          </cell>
          <cell r="Q146">
            <v>176488.72834016036</v>
          </cell>
          <cell r="R146">
            <v>160138.89126442131</v>
          </cell>
          <cell r="S146">
            <v>70000</v>
          </cell>
          <cell r="T146">
            <v>0</v>
          </cell>
          <cell r="U146">
            <v>4</v>
          </cell>
          <cell r="V146">
            <v>0.17368746798806683</v>
          </cell>
          <cell r="W146">
            <v>1.1704836267704144E-3</v>
          </cell>
          <cell r="X146">
            <v>10</v>
          </cell>
          <cell r="Y146" t="str">
            <v>Conquistar</v>
          </cell>
        </row>
        <row r="147">
          <cell r="A147" t="str">
            <v>3000</v>
          </cell>
          <cell r="B147" t="str">
            <v>GRUPO FARMONAGAS</v>
          </cell>
          <cell r="C147" t="str">
            <v>CADENA</v>
          </cell>
          <cell r="D147">
            <v>23</v>
          </cell>
          <cell r="E147">
            <v>9</v>
          </cell>
          <cell r="F147" t="str">
            <v>CENTRO ESTE</v>
          </cell>
          <cell r="G147" t="str">
            <v>WILLIBETTI GONZALEZ</v>
          </cell>
          <cell r="H147" t="str">
            <v>HECTOR</v>
          </cell>
          <cell r="I147">
            <v>0</v>
          </cell>
          <cell r="J147" t="str">
            <v>Activo</v>
          </cell>
          <cell r="K147">
            <v>305595.17219869117</v>
          </cell>
          <cell r="L147">
            <v>30559.517219869118</v>
          </cell>
          <cell r="M147">
            <v>39275.78243480988</v>
          </cell>
          <cell r="N147" t="str">
            <v>Si Compra</v>
          </cell>
          <cell r="O147">
            <v>10</v>
          </cell>
          <cell r="P147">
            <v>5927607.2895803526</v>
          </cell>
          <cell r="Q147">
            <v>592760.72895803524</v>
          </cell>
          <cell r="R147">
            <v>565391.65154191677</v>
          </cell>
          <cell r="S147">
            <v>180000</v>
          </cell>
          <cell r="T147">
            <v>0</v>
          </cell>
          <cell r="U147">
            <v>9</v>
          </cell>
          <cell r="V147">
            <v>5.15545577278494E-2</v>
          </cell>
          <cell r="W147">
            <v>1.166880477609384E-3</v>
          </cell>
          <cell r="X147">
            <v>10</v>
          </cell>
          <cell r="Y147" t="str">
            <v>Conquistar</v>
          </cell>
        </row>
        <row r="148">
          <cell r="A148" t="str">
            <v>A023</v>
          </cell>
          <cell r="B148" t="str">
            <v>HIPER FARMAZ</v>
          </cell>
          <cell r="C148" t="str">
            <v>GRUPO</v>
          </cell>
          <cell r="D148">
            <v>7</v>
          </cell>
          <cell r="E148">
            <v>6</v>
          </cell>
          <cell r="F148" t="str">
            <v>CARACAS</v>
          </cell>
          <cell r="G148" t="str">
            <v>JHON TORRES</v>
          </cell>
          <cell r="H148" t="str">
            <v>VICTOR</v>
          </cell>
          <cell r="I148" t="str">
            <v>C4</v>
          </cell>
          <cell r="J148" t="str">
            <v>Activo</v>
          </cell>
          <cell r="K148">
            <v>300849.90516774828</v>
          </cell>
          <cell r="L148">
            <v>30084.990516774829</v>
          </cell>
          <cell r="M148">
            <v>39982.937865043255</v>
          </cell>
          <cell r="N148" t="str">
            <v>Si Compra</v>
          </cell>
          <cell r="O148">
            <v>10</v>
          </cell>
          <cell r="P148">
            <v>473455.02554473595</v>
          </cell>
          <cell r="Q148">
            <v>47345.502554473598</v>
          </cell>
          <cell r="R148">
            <v>49372.659816227933</v>
          </cell>
          <cell r="S148">
            <v>70000</v>
          </cell>
          <cell r="T148">
            <v>6</v>
          </cell>
          <cell r="U148">
            <v>8</v>
          </cell>
          <cell r="V148">
            <v>0.63543502325612444</v>
          </cell>
          <cell r="W148">
            <v>1.1487612140764819E-3</v>
          </cell>
          <cell r="X148">
            <v>10</v>
          </cell>
          <cell r="Y148" t="str">
            <v>Proteger</v>
          </cell>
        </row>
        <row r="149">
          <cell r="A149" t="str">
            <v>4681</v>
          </cell>
          <cell r="B149" t="str">
            <v>FARMA ONCE</v>
          </cell>
          <cell r="C149" t="str">
            <v>CADENA</v>
          </cell>
          <cell r="D149">
            <v>42</v>
          </cell>
          <cell r="E149">
            <v>4</v>
          </cell>
          <cell r="F149" t="str">
            <v>CENTRO ESTE</v>
          </cell>
          <cell r="G149" t="str">
            <v>WILLIBETTI GONZALEZ</v>
          </cell>
          <cell r="H149" t="str">
            <v>HECTOR</v>
          </cell>
          <cell r="I149">
            <v>0</v>
          </cell>
          <cell r="J149" t="str">
            <v>Activo</v>
          </cell>
          <cell r="K149">
            <v>299719.33896272816</v>
          </cell>
          <cell r="L149">
            <v>37464.91737034102</v>
          </cell>
          <cell r="M149">
            <v>95619.811160038982</v>
          </cell>
          <cell r="N149" t="str">
            <v>Si Compra</v>
          </cell>
          <cell r="O149">
            <v>7</v>
          </cell>
          <cell r="P149">
            <v>465060.38772455871</v>
          </cell>
          <cell r="Q149">
            <v>58132.548465569838</v>
          </cell>
          <cell r="R149">
            <v>96623.361834789393</v>
          </cell>
          <cell r="S149">
            <v>500000</v>
          </cell>
          <cell r="T149">
            <v>0</v>
          </cell>
          <cell r="U149">
            <v>4</v>
          </cell>
          <cell r="V149">
            <v>0.64447402288806188</v>
          </cell>
          <cell r="W149">
            <v>1.4305553441883488E-3</v>
          </cell>
          <cell r="X149">
            <v>8</v>
          </cell>
          <cell r="Y149" t="str">
            <v>Proteger</v>
          </cell>
        </row>
        <row r="150">
          <cell r="A150" t="str">
            <v>C959</v>
          </cell>
          <cell r="B150" t="str">
            <v>C959 - FARMACIA ANDRÉS BELLO C.A.</v>
          </cell>
          <cell r="C150" t="str">
            <v>INDEPENDIENTE</v>
          </cell>
          <cell r="D150">
            <v>3</v>
          </cell>
          <cell r="E150"/>
          <cell r="F150" t="str">
            <v>ANDES</v>
          </cell>
          <cell r="G150">
            <v>0</v>
          </cell>
          <cell r="H150"/>
          <cell r="I150" t="str">
            <v>G2</v>
          </cell>
          <cell r="J150" t="str">
            <v>Activo</v>
          </cell>
          <cell r="K150">
            <v>299233.90676685702</v>
          </cell>
          <cell r="L150">
            <v>29923.390676685704</v>
          </cell>
          <cell r="M150">
            <v>35839.565270024148</v>
          </cell>
          <cell r="N150" t="str">
            <v>Si Compra</v>
          </cell>
          <cell r="O150">
            <v>10</v>
          </cell>
          <cell r="P150">
            <v>0</v>
          </cell>
          <cell r="Q150">
            <v>0</v>
          </cell>
          <cell r="R150">
            <v>0</v>
          </cell>
          <cell r="T150"/>
          <cell r="U150"/>
          <cell r="V150">
            <v>0</v>
          </cell>
          <cell r="W150">
            <v>1.1425907076110789E-3</v>
          </cell>
          <cell r="X150">
            <v>0</v>
          </cell>
          <cell r="Y150" t="str">
            <v>Conquistar</v>
          </cell>
        </row>
        <row r="151">
          <cell r="A151" t="str">
            <v>B283</v>
          </cell>
          <cell r="B151" t="str">
            <v>SERVIFARMA BOTIQUERIA RUBIO</v>
          </cell>
          <cell r="C151" t="str">
            <v>CADENA</v>
          </cell>
          <cell r="D151">
            <v>6</v>
          </cell>
          <cell r="E151">
            <v>0</v>
          </cell>
          <cell r="F151" t="str">
            <v>ANDES</v>
          </cell>
          <cell r="G151" t="str">
            <v/>
          </cell>
          <cell r="H151" t="str">
            <v>VICTOR</v>
          </cell>
          <cell r="I151">
            <v>0</v>
          </cell>
          <cell r="J151" t="str">
            <v>Activo</v>
          </cell>
          <cell r="K151">
            <v>294378.43096523936</v>
          </cell>
          <cell r="L151">
            <v>29437.843096523935</v>
          </cell>
          <cell r="M151">
            <v>27814.468859936009</v>
          </cell>
          <cell r="N151" t="str">
            <v>Si Compra</v>
          </cell>
          <cell r="O151">
            <v>10</v>
          </cell>
          <cell r="P151">
            <v>1212015.6107088795</v>
          </cell>
          <cell r="Q151">
            <v>121201.56107088795</v>
          </cell>
          <cell r="R151">
            <v>111928.66286156869</v>
          </cell>
          <cell r="S151">
            <v>0</v>
          </cell>
          <cell r="T151">
            <v>0</v>
          </cell>
          <cell r="U151">
            <v>0</v>
          </cell>
          <cell r="V151">
            <v>0.2428833658281549</v>
          </cell>
          <cell r="W151">
            <v>1.1240506243969084E-3</v>
          </cell>
          <cell r="X151">
            <v>10</v>
          </cell>
          <cell r="Y151" t="str">
            <v>Potenciar</v>
          </cell>
        </row>
        <row r="152">
          <cell r="A152" t="str">
            <v>2938</v>
          </cell>
          <cell r="B152" t="str">
            <v>2938 - FARMACIA EL PODER DE DIOS, C.A</v>
          </cell>
          <cell r="C152" t="str">
            <v>INDEPENDIENTE</v>
          </cell>
          <cell r="D152">
            <v>3</v>
          </cell>
          <cell r="E152"/>
          <cell r="F152" t="str">
            <v>MARACAIBO</v>
          </cell>
          <cell r="G152" t="str">
            <v>JOEL JIMENEZ</v>
          </cell>
          <cell r="H152"/>
          <cell r="I152" t="str">
            <v>S</v>
          </cell>
          <cell r="J152" t="str">
            <v>Activo</v>
          </cell>
          <cell r="K152">
            <v>290815.03960000002</v>
          </cell>
          <cell r="L152">
            <v>29081.503960000002</v>
          </cell>
          <cell r="M152">
            <v>30467.375466666668</v>
          </cell>
          <cell r="N152" t="str">
            <v>Si Compra</v>
          </cell>
          <cell r="O152">
            <v>10</v>
          </cell>
          <cell r="P152">
            <v>348934.40600000002</v>
          </cell>
          <cell r="Q152">
            <v>34893.440600000002</v>
          </cell>
          <cell r="R152">
            <v>32838.527133333329</v>
          </cell>
          <cell r="T152"/>
          <cell r="U152"/>
          <cell r="V152">
            <v>0.83343755903509265</v>
          </cell>
          <cell r="W152">
            <v>1.1104442189414055E-3</v>
          </cell>
          <cell r="X152">
            <v>10</v>
          </cell>
          <cell r="Y152" t="str">
            <v>Proteger</v>
          </cell>
        </row>
        <row r="153">
          <cell r="A153" t="str">
            <v>1694</v>
          </cell>
          <cell r="B153" t="str">
            <v>GRAN CAMPO</v>
          </cell>
          <cell r="C153" t="str">
            <v>GRUPO</v>
          </cell>
          <cell r="D153">
            <v>9</v>
          </cell>
          <cell r="E153">
            <v>0</v>
          </cell>
          <cell r="F153" t="str">
            <v>CARACAS</v>
          </cell>
          <cell r="G153" t="str">
            <v>RAMON SERRANO</v>
          </cell>
          <cell r="H153" t="str">
            <v>VICTOR</v>
          </cell>
          <cell r="I153" t="str">
            <v>C6</v>
          </cell>
          <cell r="J153" t="str">
            <v>Activo</v>
          </cell>
          <cell r="K153">
            <v>285060.14734547026</v>
          </cell>
          <cell r="L153">
            <v>28506.014734547025</v>
          </cell>
          <cell r="M153">
            <v>29060.514185642834</v>
          </cell>
          <cell r="N153" t="str">
            <v>Si Compra</v>
          </cell>
          <cell r="O153">
            <v>10</v>
          </cell>
          <cell r="P153">
            <v>209769.17440272841</v>
          </cell>
          <cell r="Q153">
            <v>20976.917440272842</v>
          </cell>
          <cell r="R153">
            <v>8279.0097666666679</v>
          </cell>
          <cell r="S153">
            <v>55000</v>
          </cell>
          <cell r="T153">
            <v>5</v>
          </cell>
          <cell r="U153">
            <v>5</v>
          </cell>
          <cell r="V153">
            <v>1.3589229597585837</v>
          </cell>
          <cell r="W153">
            <v>1.0884698160925604E-3</v>
          </cell>
          <cell r="X153">
            <v>10</v>
          </cell>
          <cell r="Y153" t="str">
            <v>Proteger</v>
          </cell>
        </row>
        <row r="154">
          <cell r="A154" t="str">
            <v>0491</v>
          </cell>
          <cell r="B154" t="str">
            <v>GRUPO FARMAMILAN</v>
          </cell>
          <cell r="C154" t="str">
            <v>GRUPO</v>
          </cell>
          <cell r="D154">
            <v>9</v>
          </cell>
          <cell r="E154"/>
          <cell r="F154" t="str">
            <v>CENTRO ESTE</v>
          </cell>
          <cell r="H154"/>
          <cell r="I154"/>
          <cell r="J154" t="str">
            <v>Activo</v>
          </cell>
          <cell r="K154">
            <v>284776.84196433175</v>
          </cell>
          <cell r="L154">
            <v>28477.684196433176</v>
          </cell>
          <cell r="M154">
            <v>23230.098768534954</v>
          </cell>
          <cell r="N154" t="str">
            <v>Si Compra</v>
          </cell>
          <cell r="O154">
            <v>10</v>
          </cell>
          <cell r="P154">
            <v>827974.61916730867</v>
          </cell>
          <cell r="Q154">
            <v>82797.46191673087</v>
          </cell>
          <cell r="R154">
            <v>68060.061481118275</v>
          </cell>
          <cell r="S154"/>
          <cell r="T154"/>
          <cell r="U154"/>
          <cell r="V154">
            <v>0.34394392698985249</v>
          </cell>
          <cell r="W154">
            <v>1.0873880466520497E-3</v>
          </cell>
          <cell r="X154">
            <v>10</v>
          </cell>
          <cell r="Y154" t="str">
            <v>Potenciar</v>
          </cell>
        </row>
        <row r="155">
          <cell r="A155" t="str">
            <v>D953</v>
          </cell>
          <cell r="B155" t="str">
            <v>FARMATLANTICO</v>
          </cell>
          <cell r="C155" t="str">
            <v>GRUPO</v>
          </cell>
          <cell r="D155">
            <v>9</v>
          </cell>
          <cell r="E155"/>
          <cell r="F155" t="str">
            <v>ESTE</v>
          </cell>
          <cell r="H155"/>
          <cell r="I155"/>
          <cell r="J155" t="str">
            <v>Activo</v>
          </cell>
          <cell r="K155">
            <v>284034.63835025392</v>
          </cell>
          <cell r="L155">
            <v>28403.463835025392</v>
          </cell>
          <cell r="M155">
            <v>24939.531592464675</v>
          </cell>
          <cell r="N155" t="str">
            <v>Si Compra</v>
          </cell>
          <cell r="O155">
            <v>10</v>
          </cell>
          <cell r="P155">
            <v>391090.79461628821</v>
          </cell>
          <cell r="Q155">
            <v>39109.079461628819</v>
          </cell>
          <cell r="R155">
            <v>46808.528384683537</v>
          </cell>
          <cell r="S155"/>
          <cell r="T155"/>
          <cell r="U155"/>
          <cell r="V155">
            <v>0.7262626537372977</v>
          </cell>
          <cell r="W155">
            <v>1.0845540263975822E-3</v>
          </cell>
          <cell r="X155">
            <v>10</v>
          </cell>
          <cell r="Y155" t="str">
            <v>Proteger</v>
          </cell>
        </row>
        <row r="156">
          <cell r="A156" t="str">
            <v>3988</v>
          </cell>
          <cell r="B156" t="str">
            <v>GALERIAS COMPRE CON MENOS</v>
          </cell>
          <cell r="C156" t="str">
            <v>CADENA</v>
          </cell>
          <cell r="D156">
            <v>9</v>
          </cell>
          <cell r="E156"/>
          <cell r="F156" t="str">
            <v>MARACAIBO</v>
          </cell>
          <cell r="H156"/>
          <cell r="I156"/>
          <cell r="J156" t="str">
            <v>Activo</v>
          </cell>
          <cell r="K156">
            <v>282916.57773901918</v>
          </cell>
          <cell r="L156">
            <v>28291.657773901919</v>
          </cell>
          <cell r="M156">
            <v>23478.662492026982</v>
          </cell>
          <cell r="N156" t="str">
            <v>Si Compra</v>
          </cell>
          <cell r="O156">
            <v>10</v>
          </cell>
          <cell r="P156">
            <v>868614.6503492617</v>
          </cell>
          <cell r="Q156">
            <v>86861.465034926165</v>
          </cell>
          <cell r="R156">
            <v>88860.532869904186</v>
          </cell>
          <cell r="S156"/>
          <cell r="T156"/>
          <cell r="U156"/>
          <cell r="V156">
            <v>0.32571011509564241</v>
          </cell>
          <cell r="W156">
            <v>1.0802848388621667E-3</v>
          </cell>
          <cell r="X156">
            <v>10</v>
          </cell>
          <cell r="Y156" t="str">
            <v>Potenciar</v>
          </cell>
        </row>
        <row r="157">
          <cell r="A157" t="str">
            <v>6242</v>
          </cell>
          <cell r="B157" t="str">
            <v>TAMIN</v>
          </cell>
          <cell r="C157" t="str">
            <v>GRUPO</v>
          </cell>
          <cell r="D157">
            <v>9</v>
          </cell>
          <cell r="E157">
            <v>0</v>
          </cell>
          <cell r="F157" t="str">
            <v>ANDES</v>
          </cell>
          <cell r="G157" t="str">
            <v/>
          </cell>
          <cell r="H157" t="str">
            <v>VICTOR</v>
          </cell>
          <cell r="I157">
            <v>0</v>
          </cell>
          <cell r="J157" t="str">
            <v>Activo</v>
          </cell>
          <cell r="K157">
            <v>281808.23971084302</v>
          </cell>
          <cell r="L157">
            <v>28180.823971084301</v>
          </cell>
          <cell r="M157">
            <v>24043.128452869598</v>
          </cell>
          <cell r="N157" t="str">
            <v>Si Compra</v>
          </cell>
          <cell r="O157">
            <v>10</v>
          </cell>
          <cell r="P157">
            <v>140991.60588235501</v>
          </cell>
          <cell r="Q157">
            <v>14099.160588235502</v>
          </cell>
          <cell r="R157">
            <v>10139.758566666666</v>
          </cell>
          <cell r="S157">
            <v>0</v>
          </cell>
          <cell r="T157">
            <v>0</v>
          </cell>
          <cell r="U157">
            <v>0</v>
          </cell>
          <cell r="V157">
            <v>1.9987589895669886</v>
          </cell>
          <cell r="W157">
            <v>1.0760527759065713E-3</v>
          </cell>
          <cell r="X157">
            <v>10</v>
          </cell>
          <cell r="Y157" t="str">
            <v>Proteger</v>
          </cell>
        </row>
        <row r="158">
          <cell r="A158" t="str">
            <v>3754</v>
          </cell>
          <cell r="B158" t="str">
            <v>GRUPO FARMAPLAZA TRUJILLO</v>
          </cell>
          <cell r="C158" t="str">
            <v>CADENA</v>
          </cell>
          <cell r="D158">
            <v>15</v>
          </cell>
          <cell r="E158"/>
          <cell r="F158" t="str">
            <v>ANDES</v>
          </cell>
          <cell r="H158"/>
          <cell r="I158"/>
          <cell r="J158" t="str">
            <v>Activo</v>
          </cell>
          <cell r="K158">
            <v>280672.18671092321</v>
          </cell>
          <cell r="L158">
            <v>28067.21867109232</v>
          </cell>
          <cell r="M158">
            <v>31723.220661244457</v>
          </cell>
          <cell r="N158" t="str">
            <v>Si Compra</v>
          </cell>
          <cell r="O158">
            <v>10</v>
          </cell>
          <cell r="P158">
            <v>402728.5017621431</v>
          </cell>
          <cell r="Q158">
            <v>40272.850176214313</v>
          </cell>
          <cell r="R158">
            <v>33268.957859799084</v>
          </cell>
          <cell r="S158"/>
          <cell r="T158"/>
          <cell r="U158"/>
          <cell r="V158">
            <v>0.69692655345434673</v>
          </cell>
          <cell r="W158">
            <v>1.0717148864772378E-3</v>
          </cell>
          <cell r="X158">
            <v>10</v>
          </cell>
          <cell r="Y158" t="str">
            <v>Proteger</v>
          </cell>
        </row>
        <row r="159">
          <cell r="A159" t="str">
            <v>9840</v>
          </cell>
          <cell r="B159" t="str">
            <v>FARMACIAS ABBA (ELISMER TERAN)</v>
          </cell>
          <cell r="C159" t="str">
            <v>CADENA</v>
          </cell>
          <cell r="D159">
            <v>12</v>
          </cell>
          <cell r="E159"/>
          <cell r="F159" t="str">
            <v>CENTRO OESTE</v>
          </cell>
          <cell r="H159"/>
          <cell r="I159"/>
          <cell r="J159" t="str">
            <v>Activo</v>
          </cell>
          <cell r="K159">
            <v>279608.84996754734</v>
          </cell>
          <cell r="L159">
            <v>27960.884996754736</v>
          </cell>
          <cell r="M159">
            <v>16064.625033425318</v>
          </cell>
          <cell r="N159" t="str">
            <v>Si Compra</v>
          </cell>
          <cell r="O159">
            <v>10</v>
          </cell>
          <cell r="P159">
            <v>1166787.3181772789</v>
          </cell>
          <cell r="Q159">
            <v>116678.73181772788</v>
          </cell>
          <cell r="R159">
            <v>122711.529710603</v>
          </cell>
          <cell r="S159"/>
          <cell r="T159"/>
          <cell r="U159"/>
          <cell r="V159">
            <v>0.23963994603947544</v>
          </cell>
          <cell r="W159">
            <v>1.0676546558196565E-3</v>
          </cell>
          <cell r="X159">
            <v>10</v>
          </cell>
          <cell r="Y159" t="str">
            <v>Potenciar</v>
          </cell>
        </row>
        <row r="160">
          <cell r="A160" t="str">
            <v>6993</v>
          </cell>
          <cell r="B160" t="str">
            <v>FARMAROCA</v>
          </cell>
          <cell r="C160" t="str">
            <v>CADENA</v>
          </cell>
          <cell r="D160">
            <v>19</v>
          </cell>
          <cell r="E160"/>
          <cell r="F160" t="str">
            <v>CENTRO OESTE</v>
          </cell>
          <cell r="H160"/>
          <cell r="I160"/>
          <cell r="J160" t="str">
            <v>Inactivo</v>
          </cell>
          <cell r="K160">
            <v>276413.94594190904</v>
          </cell>
          <cell r="L160">
            <v>27641.394594190904</v>
          </cell>
          <cell r="M160">
            <v>40357.813634738974</v>
          </cell>
          <cell r="N160" t="str">
            <v>Si Compra</v>
          </cell>
          <cell r="O160">
            <v>10</v>
          </cell>
          <cell r="P160">
            <v>3892637.5279981839</v>
          </cell>
          <cell r="Q160">
            <v>389263.75279981841</v>
          </cell>
          <cell r="R160">
            <v>265797.02696961939</v>
          </cell>
          <cell r="S160"/>
          <cell r="T160"/>
          <cell r="U160"/>
          <cell r="V160">
            <v>7.1009423290448737E-2</v>
          </cell>
          <cell r="W160">
            <v>1.055455277444238E-3</v>
          </cell>
          <cell r="X160">
            <v>10</v>
          </cell>
          <cell r="Y160" t="str">
            <v>Conquistar</v>
          </cell>
        </row>
        <row r="161">
          <cell r="A161" t="str">
            <v>3725</v>
          </cell>
          <cell r="B161" t="str">
            <v>SIRIANA PLUS</v>
          </cell>
          <cell r="C161" t="str">
            <v>GRUPO</v>
          </cell>
          <cell r="D161">
            <v>15</v>
          </cell>
          <cell r="E161">
            <v>0</v>
          </cell>
          <cell r="F161" t="str">
            <v>MARACAIBO</v>
          </cell>
          <cell r="G161" t="str">
            <v/>
          </cell>
          <cell r="H161" t="str">
            <v>VICTOR</v>
          </cell>
          <cell r="I161">
            <v>0</v>
          </cell>
          <cell r="J161" t="str">
            <v>Activo</v>
          </cell>
          <cell r="K161">
            <v>273322.47452457115</v>
          </cell>
          <cell r="L161">
            <v>27332.247452457115</v>
          </cell>
          <cell r="M161">
            <v>23732.28819670052</v>
          </cell>
          <cell r="N161" t="str">
            <v>Si Compra</v>
          </cell>
          <cell r="O161">
            <v>10</v>
          </cell>
          <cell r="P161">
            <v>1435344.4650655075</v>
          </cell>
          <cell r="Q161">
            <v>143534.44650655074</v>
          </cell>
          <cell r="R161">
            <v>143500.57629012913</v>
          </cell>
          <cell r="S161">
            <v>0</v>
          </cell>
          <cell r="T161">
            <v>0</v>
          </cell>
          <cell r="U161">
            <v>0</v>
          </cell>
          <cell r="V161">
            <v>0.19042291322877469</v>
          </cell>
          <cell r="W161">
            <v>1.0436508447432085E-3</v>
          </cell>
          <cell r="X161">
            <v>10</v>
          </cell>
          <cell r="Y161" t="str">
            <v>Conquistar</v>
          </cell>
        </row>
        <row r="162">
          <cell r="A162" t="str">
            <v>2519</v>
          </cell>
          <cell r="B162" t="str">
            <v>2519 - FARMACIA LOS MEDANOS , C.A</v>
          </cell>
          <cell r="C162" t="str">
            <v>INDEPENDIENTE</v>
          </cell>
          <cell r="D162">
            <v>3</v>
          </cell>
          <cell r="E162"/>
          <cell r="F162" t="str">
            <v>CARACAS</v>
          </cell>
          <cell r="G162" t="str">
            <v>JHON TORRES</v>
          </cell>
          <cell r="H162"/>
          <cell r="I162" t="str">
            <v>C4</v>
          </cell>
          <cell r="J162" t="str">
            <v>Activo</v>
          </cell>
          <cell r="K162">
            <v>272789.10044831113</v>
          </cell>
          <cell r="L162">
            <v>27278.910044831115</v>
          </cell>
          <cell r="M162">
            <v>28561.769326649213</v>
          </cell>
          <cell r="N162" t="str">
            <v>Si Compra</v>
          </cell>
          <cell r="O162">
            <v>10</v>
          </cell>
          <cell r="P162">
            <v>726787.97931163583</v>
          </cell>
          <cell r="Q162">
            <v>72678.797931163586</v>
          </cell>
          <cell r="R162">
            <v>67826.659921083599</v>
          </cell>
          <cell r="T162"/>
          <cell r="U162"/>
          <cell r="V162">
            <v>0.37533518469399896</v>
          </cell>
          <cell r="W162">
            <v>1.04161421637512E-3</v>
          </cell>
          <cell r="X162">
            <v>10</v>
          </cell>
          <cell r="Y162" t="str">
            <v>Potenciar</v>
          </cell>
        </row>
        <row r="163">
          <cell r="A163" t="str">
            <v>4850</v>
          </cell>
          <cell r="B163" t="str">
            <v>GRUPO SAN LUIS</v>
          </cell>
          <cell r="C163" t="str">
            <v>GRUPO</v>
          </cell>
          <cell r="D163">
            <v>18</v>
          </cell>
          <cell r="E163"/>
          <cell r="F163" t="str">
            <v>ANDES</v>
          </cell>
          <cell r="H163"/>
          <cell r="I163"/>
          <cell r="J163" t="str">
            <v>Activo</v>
          </cell>
          <cell r="K163">
            <v>272388.78822999744</v>
          </cell>
          <cell r="L163">
            <v>27238.878822999744</v>
          </cell>
          <cell r="M163">
            <v>27997.790370075043</v>
          </cell>
          <cell r="N163" t="str">
            <v>Si Compra</v>
          </cell>
          <cell r="O163">
            <v>10</v>
          </cell>
          <cell r="P163">
            <v>901309.96306817268</v>
          </cell>
          <cell r="Q163">
            <v>90130.996306817266</v>
          </cell>
          <cell r="R163">
            <v>53511.75470176126</v>
          </cell>
          <cell r="S163"/>
          <cell r="T163"/>
          <cell r="U163"/>
          <cell r="V163">
            <v>0.30221433179630203</v>
          </cell>
          <cell r="W163">
            <v>1.0400856696080427E-3</v>
          </cell>
          <cell r="X163">
            <v>10</v>
          </cell>
          <cell r="Y163" t="str">
            <v>Potenciar</v>
          </cell>
        </row>
        <row r="164">
          <cell r="A164" t="str">
            <v>A626</v>
          </cell>
          <cell r="B164" t="str">
            <v>FARMACIAS AYUB</v>
          </cell>
          <cell r="C164" t="str">
            <v>GRUPO</v>
          </cell>
          <cell r="D164">
            <v>6</v>
          </cell>
          <cell r="E164">
            <v>9</v>
          </cell>
          <cell r="F164" t="str">
            <v>ESTE</v>
          </cell>
          <cell r="G164" t="str">
            <v>CARLOS BLONDELL</v>
          </cell>
          <cell r="H164" t="str">
            <v>HECTOR</v>
          </cell>
          <cell r="I164" t="str">
            <v>A3</v>
          </cell>
          <cell r="J164" t="str">
            <v>Permiso</v>
          </cell>
          <cell r="K164">
            <v>271975.2122409204</v>
          </cell>
          <cell r="L164">
            <v>30219.468026768933</v>
          </cell>
          <cell r="M164">
            <v>44160.620434468517</v>
          </cell>
          <cell r="N164" t="str">
            <v>Si Compra</v>
          </cell>
          <cell r="O164">
            <v>9</v>
          </cell>
          <cell r="P164">
            <v>1262638.8802045139</v>
          </cell>
          <cell r="Q164">
            <v>140293.20891161266</v>
          </cell>
          <cell r="R164">
            <v>148875.16077892267</v>
          </cell>
          <cell r="S164">
            <v>60000</v>
          </cell>
          <cell r="T164">
            <v>7</v>
          </cell>
          <cell r="U164">
            <v>10</v>
          </cell>
          <cell r="V164">
            <v>0.21540221555419523</v>
          </cell>
          <cell r="W164">
            <v>1.1538960851531629E-3</v>
          </cell>
          <cell r="X164">
            <v>9</v>
          </cell>
          <cell r="Y164" t="str">
            <v>Potenciar</v>
          </cell>
        </row>
        <row r="165">
          <cell r="A165" t="str">
            <v>I102</v>
          </cell>
          <cell r="B165" t="str">
            <v>I102 - FARMACIA MORONERA, C.A</v>
          </cell>
          <cell r="C165" t="str">
            <v>INDEPENDIENTE</v>
          </cell>
          <cell r="D165">
            <v>3</v>
          </cell>
          <cell r="F165" t="str">
            <v>CENTRO ESTE</v>
          </cell>
          <cell r="G165" t="str">
            <v>ELIANA PERAZA</v>
          </cell>
          <cell r="H165"/>
          <cell r="I165" t="str">
            <v>I</v>
          </cell>
          <cell r="J165" t="str">
            <v>Activo</v>
          </cell>
          <cell r="K165">
            <v>267537.89469844545</v>
          </cell>
          <cell r="L165">
            <v>26753.789469844545</v>
          </cell>
          <cell r="M165">
            <v>28612.600777715958</v>
          </cell>
          <cell r="N165" t="str">
            <v>Si Compra</v>
          </cell>
          <cell r="O165">
            <v>10</v>
          </cell>
          <cell r="P165">
            <v>327687.88649522874</v>
          </cell>
          <cell r="Q165">
            <v>32768.788649522874</v>
          </cell>
          <cell r="R165">
            <v>30738.094546374345</v>
          </cell>
          <cell r="V165">
            <v>0.81644121044535745</v>
          </cell>
          <cell r="W165">
            <v>1.0215630832719948E-3</v>
          </cell>
          <cell r="X165">
            <v>10</v>
          </cell>
          <cell r="Y165" t="str">
            <v>Proteger</v>
          </cell>
        </row>
        <row r="166">
          <cell r="A166" t="str">
            <v>9640</v>
          </cell>
          <cell r="B166" t="str">
            <v>9640 - EXPENDIO DE MEDICINAS MIRIMIRE, C.A</v>
          </cell>
          <cell r="C166" t="str">
            <v>INDEPENDIENTE</v>
          </cell>
          <cell r="D166">
            <v>3</v>
          </cell>
          <cell r="E166"/>
          <cell r="F166" t="str">
            <v>CENTRO ESTE</v>
          </cell>
          <cell r="G166">
            <v>0</v>
          </cell>
          <cell r="H166"/>
          <cell r="I166" t="str">
            <v>I</v>
          </cell>
          <cell r="J166" t="str">
            <v>Activo</v>
          </cell>
          <cell r="K166">
            <v>267490.06586826104</v>
          </cell>
          <cell r="L166">
            <v>26749.006586826104</v>
          </cell>
          <cell r="M166">
            <v>25284.88256208874</v>
          </cell>
          <cell r="N166" t="str">
            <v>Si Compra</v>
          </cell>
          <cell r="O166">
            <v>10</v>
          </cell>
          <cell r="P166">
            <v>0</v>
          </cell>
          <cell r="Q166">
            <v>0</v>
          </cell>
          <cell r="R166">
            <v>0</v>
          </cell>
          <cell r="T166"/>
          <cell r="U166"/>
          <cell r="V166">
            <v>0</v>
          </cell>
          <cell r="W166">
            <v>1.0213804543128802E-3</v>
          </cell>
          <cell r="X166">
            <v>0</v>
          </cell>
          <cell r="Y166" t="str">
            <v>Conquistar</v>
          </cell>
        </row>
        <row r="167">
          <cell r="A167" t="str">
            <v>3015</v>
          </cell>
          <cell r="B167" t="str">
            <v>FARMALIDER</v>
          </cell>
          <cell r="C167" t="str">
            <v>GRUPO</v>
          </cell>
          <cell r="D167">
            <v>6</v>
          </cell>
          <cell r="E167">
            <v>0</v>
          </cell>
          <cell r="F167" t="str">
            <v>CENTRO ESTE</v>
          </cell>
          <cell r="G167" t="str">
            <v>LAURA FLORES</v>
          </cell>
          <cell r="H167" t="str">
            <v>HECTOR</v>
          </cell>
          <cell r="I167">
            <v>0</v>
          </cell>
          <cell r="J167" t="str">
            <v>Activo</v>
          </cell>
          <cell r="K167">
            <v>263700.22931814485</v>
          </cell>
          <cell r="L167">
            <v>26370.022931814485</v>
          </cell>
          <cell r="M167">
            <v>24950.401231473468</v>
          </cell>
          <cell r="N167" t="str">
            <v>Si Compra</v>
          </cell>
          <cell r="O167">
            <v>10</v>
          </cell>
          <cell r="P167">
            <v>511363.40713882621</v>
          </cell>
          <cell r="Q167">
            <v>51136.340713882622</v>
          </cell>
          <cell r="R167">
            <v>31578.294946080976</v>
          </cell>
          <cell r="S167">
            <v>50000</v>
          </cell>
          <cell r="T167">
            <v>0</v>
          </cell>
          <cell r="U167">
            <v>0</v>
          </cell>
          <cell r="V167">
            <v>0.51568067960434805</v>
          </cell>
          <cell r="W167">
            <v>1.0069093936222165E-3</v>
          </cell>
          <cell r="X167">
            <v>10</v>
          </cell>
          <cell r="Y167" t="str">
            <v>Potenciar</v>
          </cell>
        </row>
        <row r="168">
          <cell r="A168" t="str">
            <v>D329</v>
          </cell>
          <cell r="B168" t="str">
            <v>D329 - FARMACIA EL COMBATE, C.A</v>
          </cell>
          <cell r="C168" t="str">
            <v>INDEPENDIENTE</v>
          </cell>
          <cell r="D168">
            <v>3</v>
          </cell>
          <cell r="E168"/>
          <cell r="F168" t="str">
            <v>CENTRO ESTE</v>
          </cell>
          <cell r="G168" t="str">
            <v>KARLA SALAZAR</v>
          </cell>
          <cell r="H168"/>
          <cell r="I168" t="str">
            <v>H</v>
          </cell>
          <cell r="J168" t="str">
            <v>Inactivo</v>
          </cell>
          <cell r="K168">
            <v>261756.65239624691</v>
          </cell>
          <cell r="L168">
            <v>26175.66523962469</v>
          </cell>
          <cell r="M168">
            <v>11729.754140897639</v>
          </cell>
          <cell r="N168" t="str">
            <v>Si Compra</v>
          </cell>
          <cell r="O168">
            <v>9</v>
          </cell>
          <cell r="P168">
            <v>872060.17276987608</v>
          </cell>
          <cell r="Q168">
            <v>87206.017276987608</v>
          </cell>
          <cell r="R168">
            <v>123161.18195712251</v>
          </cell>
          <cell r="T168"/>
          <cell r="U168"/>
          <cell r="V168">
            <v>0.30015893463503079</v>
          </cell>
          <cell r="W168">
            <v>9.9948806575706189E-4</v>
          </cell>
          <cell r="X168">
            <v>10</v>
          </cell>
          <cell r="Y168" t="str">
            <v>Potenciar</v>
          </cell>
        </row>
        <row r="169">
          <cell r="A169" t="str">
            <v>A903</v>
          </cell>
          <cell r="B169" t="str">
            <v>A903 - FARMASIETE, C.A.</v>
          </cell>
          <cell r="C169" t="str">
            <v>INDEPENDIENTE</v>
          </cell>
          <cell r="D169">
            <v>3</v>
          </cell>
          <cell r="E169"/>
          <cell r="F169" t="str">
            <v>ANDES</v>
          </cell>
          <cell r="G169" t="str">
            <v>ANYERSSON TORRES</v>
          </cell>
          <cell r="H169"/>
          <cell r="I169" t="str">
            <v>4</v>
          </cell>
          <cell r="J169" t="str">
            <v>Inactivo</v>
          </cell>
          <cell r="K169">
            <v>260741.29886623315</v>
          </cell>
          <cell r="L169">
            <v>37248.756980890452</v>
          </cell>
          <cell r="M169">
            <v>53826.081750965699</v>
          </cell>
          <cell r="N169" t="str">
            <v>Si Compra</v>
          </cell>
          <cell r="O169">
            <v>7</v>
          </cell>
          <cell r="P169">
            <v>272793.00712501566</v>
          </cell>
          <cell r="Q169">
            <v>38970.429589287953</v>
          </cell>
          <cell r="R169">
            <v>55758.148000342051</v>
          </cell>
          <cell r="T169"/>
          <cell r="U169"/>
          <cell r="V169">
            <v>0.9558210513319374</v>
          </cell>
          <cell r="W169">
            <v>1.4223015050760506E-3</v>
          </cell>
          <cell r="X169">
            <v>7</v>
          </cell>
          <cell r="Y169" t="str">
            <v>Proteger</v>
          </cell>
        </row>
        <row r="170">
          <cell r="A170" t="str">
            <v>B879</v>
          </cell>
          <cell r="B170" t="str">
            <v>LA CURVA</v>
          </cell>
          <cell r="C170" t="str">
            <v>CADENA</v>
          </cell>
          <cell r="D170">
            <v>9</v>
          </cell>
          <cell r="E170">
            <v>0</v>
          </cell>
          <cell r="F170" t="str">
            <v>ANDES</v>
          </cell>
          <cell r="G170" t="str">
            <v/>
          </cell>
          <cell r="H170" t="str">
            <v>VICTOR</v>
          </cell>
          <cell r="I170">
            <v>0</v>
          </cell>
          <cell r="J170" t="str">
            <v>Activo</v>
          </cell>
          <cell r="K170">
            <v>259461.67386656904</v>
          </cell>
          <cell r="L170">
            <v>25946.167386656904</v>
          </cell>
          <cell r="M170">
            <v>35317.261523694237</v>
          </cell>
          <cell r="N170" t="str">
            <v>Si Compra</v>
          </cell>
          <cell r="O170">
            <v>10</v>
          </cell>
          <cell r="P170">
            <v>993034.41646485811</v>
          </cell>
          <cell r="Q170">
            <v>99303.441646485808</v>
          </cell>
          <cell r="R170">
            <v>75616.203346883078</v>
          </cell>
          <cell r="S170">
            <v>0</v>
          </cell>
          <cell r="T170">
            <v>0</v>
          </cell>
          <cell r="U170">
            <v>0</v>
          </cell>
          <cell r="V170">
            <v>0.26128165304706835</v>
          </cell>
          <cell r="W170">
            <v>9.9072495073941808E-4</v>
          </cell>
          <cell r="X170">
            <v>10</v>
          </cell>
          <cell r="Y170" t="str">
            <v>Potenciar</v>
          </cell>
        </row>
        <row r="171">
          <cell r="A171" t="str">
            <v>2638</v>
          </cell>
          <cell r="B171" t="str">
            <v>FARMALAURA</v>
          </cell>
          <cell r="C171" t="str">
            <v>CADENA</v>
          </cell>
          <cell r="D171">
            <v>15</v>
          </cell>
          <cell r="E171"/>
          <cell r="F171" t="str">
            <v>CENTRO OESTE</v>
          </cell>
          <cell r="H171"/>
          <cell r="I171"/>
          <cell r="J171" t="str">
            <v>Activo</v>
          </cell>
          <cell r="K171">
            <v>256815.30774509811</v>
          </cell>
          <cell r="L171">
            <v>25681.530774509811</v>
          </cell>
          <cell r="M171">
            <v>27908.579041034998</v>
          </cell>
          <cell r="N171" t="str">
            <v>Si Compra</v>
          </cell>
          <cell r="O171">
            <v>10</v>
          </cell>
          <cell r="P171">
            <v>708631.02456468972</v>
          </cell>
          <cell r="Q171">
            <v>70863.102456468972</v>
          </cell>
          <cell r="R171">
            <v>44773.088427651674</v>
          </cell>
          <cell r="S171"/>
          <cell r="T171"/>
          <cell r="U171"/>
          <cell r="V171">
            <v>0.36241047716314584</v>
          </cell>
          <cell r="W171">
            <v>9.8062010208774014E-4</v>
          </cell>
          <cell r="X171">
            <v>10</v>
          </cell>
          <cell r="Y171" t="str">
            <v>Potenciar</v>
          </cell>
        </row>
        <row r="172">
          <cell r="A172" t="str">
            <v>6594</v>
          </cell>
          <cell r="B172" t="str">
            <v>GRUPO FARMAREAL</v>
          </cell>
          <cell r="C172" t="str">
            <v>CADENA</v>
          </cell>
          <cell r="D172">
            <v>20</v>
          </cell>
          <cell r="E172"/>
          <cell r="F172" t="str">
            <v>ESTE</v>
          </cell>
          <cell r="H172"/>
          <cell r="I172"/>
          <cell r="J172" t="str">
            <v>Permiso</v>
          </cell>
          <cell r="K172">
            <v>254495.68593925354</v>
          </cell>
          <cell r="L172">
            <v>25449.568593925353</v>
          </cell>
          <cell r="M172">
            <v>47433.451644232991</v>
          </cell>
          <cell r="N172" t="str">
            <v>Si Compra</v>
          </cell>
          <cell r="O172">
            <v>10</v>
          </cell>
          <cell r="P172">
            <v>2837567.899153857</v>
          </cell>
          <cell r="Q172">
            <v>283756.78991538571</v>
          </cell>
          <cell r="R172">
            <v>196549.30623198478</v>
          </cell>
          <cell r="S172"/>
          <cell r="T172"/>
          <cell r="U172"/>
          <cell r="V172">
            <v>8.9687963419357239E-2</v>
          </cell>
          <cell r="W172">
            <v>9.7176288951725742E-4</v>
          </cell>
          <cell r="X172">
            <v>10</v>
          </cell>
          <cell r="Y172" t="str">
            <v>Conquistar</v>
          </cell>
        </row>
        <row r="173">
          <cell r="A173" t="str">
            <v>B410</v>
          </cell>
          <cell r="B173" t="str">
            <v>MUNDO FARMACIA</v>
          </cell>
          <cell r="C173" t="str">
            <v>CADENA</v>
          </cell>
          <cell r="D173">
            <v>12</v>
          </cell>
          <cell r="E173"/>
          <cell r="F173" t="str">
            <v>CENTRO OESTE</v>
          </cell>
          <cell r="H173"/>
          <cell r="I173"/>
          <cell r="J173" t="str">
            <v>Activo</v>
          </cell>
          <cell r="K173">
            <v>254374.58014484882</v>
          </cell>
          <cell r="L173">
            <v>25437.458014484881</v>
          </cell>
          <cell r="M173">
            <v>42186.207982239786</v>
          </cell>
          <cell r="N173" t="str">
            <v>Si Compra</v>
          </cell>
          <cell r="O173">
            <v>10</v>
          </cell>
          <cell r="P173">
            <v>1481502.2950467393</v>
          </cell>
          <cell r="Q173">
            <v>148150.22950467392</v>
          </cell>
          <cell r="R173">
            <v>141584.05117948152</v>
          </cell>
          <cell r="S173"/>
          <cell r="T173"/>
          <cell r="U173"/>
          <cell r="V173">
            <v>0.17170042935156146</v>
          </cell>
          <cell r="W173">
            <v>9.7130046078777353E-4</v>
          </cell>
          <cell r="X173">
            <v>10</v>
          </cell>
          <cell r="Y173" t="str">
            <v>Conquistar</v>
          </cell>
        </row>
        <row r="174">
          <cell r="A174" t="str">
            <v>1936</v>
          </cell>
          <cell r="B174" t="str">
            <v>GRUPO LAS MALVINAS</v>
          </cell>
          <cell r="C174" t="str">
            <v>GRUPO</v>
          </cell>
          <cell r="D174">
            <v>15</v>
          </cell>
          <cell r="E174"/>
          <cell r="F174" t="str">
            <v>CENTRO OESTE</v>
          </cell>
          <cell r="H174"/>
          <cell r="I174"/>
          <cell r="J174" t="str">
            <v>Inactivo</v>
          </cell>
          <cell r="K174">
            <v>252020.9369190376</v>
          </cell>
          <cell r="L174">
            <v>25202.093691903759</v>
          </cell>
          <cell r="M174">
            <v>37204.198057186943</v>
          </cell>
          <cell r="N174" t="str">
            <v>Si Compra</v>
          </cell>
          <cell r="O174">
            <v>10</v>
          </cell>
          <cell r="P174">
            <v>2264826.3413925208</v>
          </cell>
          <cell r="Q174">
            <v>226482.63413925207</v>
          </cell>
          <cell r="R174">
            <v>172513.60612780557</v>
          </cell>
          <cell r="S174"/>
          <cell r="T174"/>
          <cell r="U174"/>
          <cell r="V174">
            <v>0.11127605340552661</v>
          </cell>
          <cell r="W174">
            <v>9.6231334128684429E-4</v>
          </cell>
          <cell r="X174">
            <v>10</v>
          </cell>
          <cell r="Y174" t="str">
            <v>Conquistar</v>
          </cell>
        </row>
        <row r="175">
          <cell r="A175" t="str">
            <v>B427</v>
          </cell>
          <cell r="B175" t="str">
            <v>GRUPO LAS AZULES</v>
          </cell>
          <cell r="C175" t="str">
            <v>CADENA</v>
          </cell>
          <cell r="D175">
            <v>25</v>
          </cell>
          <cell r="E175">
            <v>0</v>
          </cell>
          <cell r="F175" t="str">
            <v>CENTRO ESTE</v>
          </cell>
          <cell r="G175" t="str">
            <v>KARLA SALAZAR</v>
          </cell>
          <cell r="H175" t="str">
            <v>HECTOR</v>
          </cell>
          <cell r="I175">
            <v>0</v>
          </cell>
          <cell r="J175" t="str">
            <v>Inactivo</v>
          </cell>
          <cell r="K175">
            <v>250589.10950076871</v>
          </cell>
          <cell r="L175">
            <v>25058.910950076872</v>
          </cell>
          <cell r="M175">
            <v>42693.435815057681</v>
          </cell>
          <cell r="N175" t="str">
            <v>Si Compra</v>
          </cell>
          <cell r="O175">
            <v>10</v>
          </cell>
          <cell r="P175">
            <v>807812.65752730507</v>
          </cell>
          <cell r="Q175">
            <v>80781.265752730513</v>
          </cell>
          <cell r="R175">
            <v>94390.636924687205</v>
          </cell>
          <cell r="S175">
            <v>80000</v>
          </cell>
          <cell r="T175">
            <v>0</v>
          </cell>
          <cell r="U175">
            <v>0</v>
          </cell>
          <cell r="V175">
            <v>0.31020696094044364</v>
          </cell>
          <cell r="W175">
            <v>9.5684607081374432E-4</v>
          </cell>
          <cell r="X175">
            <v>10</v>
          </cell>
          <cell r="Y175" t="str">
            <v>Potenciar</v>
          </cell>
        </row>
        <row r="176">
          <cell r="A176" t="str">
            <v>3385</v>
          </cell>
          <cell r="B176" t="str">
            <v>GRUPO CAJIGAL</v>
          </cell>
          <cell r="C176" t="str">
            <v>GRUPO</v>
          </cell>
          <cell r="D176">
            <v>12</v>
          </cell>
          <cell r="E176">
            <v>9</v>
          </cell>
          <cell r="F176" t="str">
            <v>ESTE</v>
          </cell>
          <cell r="G176" t="str">
            <v>PEDRO VIRE</v>
          </cell>
          <cell r="H176" t="str">
            <v>HECTOR</v>
          </cell>
          <cell r="I176" t="str">
            <v>A7</v>
          </cell>
          <cell r="J176" t="str">
            <v>Activo</v>
          </cell>
          <cell r="K176">
            <v>249333.49278668221</v>
          </cell>
          <cell r="L176">
            <v>24933.349278668222</v>
          </cell>
          <cell r="M176">
            <v>28009.942649037865</v>
          </cell>
          <cell r="N176" t="str">
            <v>Si Compra</v>
          </cell>
          <cell r="O176">
            <v>10</v>
          </cell>
          <cell r="P176">
            <v>957708.78702983761</v>
          </cell>
          <cell r="Q176">
            <v>95770.878702983755</v>
          </cell>
          <cell r="R176">
            <v>71861.591351400057</v>
          </cell>
          <cell r="S176">
            <v>150000</v>
          </cell>
          <cell r="T176">
            <v>6</v>
          </cell>
          <cell r="U176">
            <v>9</v>
          </cell>
          <cell r="V176">
            <v>0.2603437455762993</v>
          </cell>
          <cell r="W176">
            <v>9.5205164091327794E-4</v>
          </cell>
          <cell r="X176">
            <v>10</v>
          </cell>
          <cell r="Y176" t="str">
            <v>Potenciar</v>
          </cell>
        </row>
        <row r="177">
          <cell r="A177" t="str">
            <v>D875</v>
          </cell>
          <cell r="B177" t="str">
            <v>D875 - FARMA EL ANGEL C.A.</v>
          </cell>
          <cell r="C177" t="str">
            <v>INDEPENDIENTE</v>
          </cell>
          <cell r="D177">
            <v>3</v>
          </cell>
          <cell r="E177"/>
          <cell r="F177" t="str">
            <v>ANDES</v>
          </cell>
          <cell r="G177" t="str">
            <v>ANYERSSON TORRES</v>
          </cell>
          <cell r="H177" t="str">
            <v>VICTOR</v>
          </cell>
          <cell r="I177" t="str">
            <v>4</v>
          </cell>
          <cell r="J177" t="str">
            <v>Activo</v>
          </cell>
          <cell r="K177">
            <v>245925.32169474268</v>
          </cell>
          <cell r="L177">
            <v>24592.532169474267</v>
          </cell>
          <cell r="M177">
            <v>21627.129583893602</v>
          </cell>
          <cell r="N177" t="str">
            <v>Si Compra</v>
          </cell>
          <cell r="O177">
            <v>10</v>
          </cell>
          <cell r="P177">
            <v>456259.31520443154</v>
          </cell>
          <cell r="Q177">
            <v>45625.931520443155</v>
          </cell>
          <cell r="R177">
            <v>52981.512046177028</v>
          </cell>
          <cell r="T177"/>
          <cell r="U177"/>
          <cell r="V177">
            <v>0.53900339894332538</v>
          </cell>
          <cell r="W177">
            <v>9.3903792645266078E-4</v>
          </cell>
          <cell r="X177">
            <v>10</v>
          </cell>
          <cell r="Y177" t="str">
            <v>Potenciar</v>
          </cell>
        </row>
        <row r="178">
          <cell r="A178" t="str">
            <v>D488</v>
          </cell>
          <cell r="B178" t="str">
            <v>D488 - FARMACIA EL BUEN VIVIR, C.A.</v>
          </cell>
          <cell r="C178" t="str">
            <v>INDEPENDIENTE</v>
          </cell>
          <cell r="D178">
            <v>3</v>
          </cell>
          <cell r="E178"/>
          <cell r="F178" t="str">
            <v>MARACAIBO</v>
          </cell>
          <cell r="G178" t="str">
            <v>JOEL JIMENEZ</v>
          </cell>
          <cell r="H178"/>
          <cell r="I178" t="str">
            <v>S</v>
          </cell>
          <cell r="J178" t="str">
            <v>Activo</v>
          </cell>
          <cell r="K178">
            <v>245695.35956222203</v>
          </cell>
          <cell r="L178">
            <v>24569.535956222204</v>
          </cell>
          <cell r="M178">
            <v>28586.052076892218</v>
          </cell>
          <cell r="N178" t="str">
            <v>Si Compra</v>
          </cell>
          <cell r="O178">
            <v>10</v>
          </cell>
          <cell r="P178">
            <v>328564.2940586381</v>
          </cell>
          <cell r="Q178">
            <v>32856.429405863812</v>
          </cell>
          <cell r="R178">
            <v>29984.801423445035</v>
          </cell>
          <cell r="T178"/>
          <cell r="U178"/>
          <cell r="V178">
            <v>0.74778472282314812</v>
          </cell>
          <cell r="W178">
            <v>9.3815984215212314E-4</v>
          </cell>
          <cell r="X178">
            <v>10</v>
          </cell>
          <cell r="Y178" t="str">
            <v>Proteger</v>
          </cell>
        </row>
        <row r="179">
          <cell r="A179" t="str">
            <v>2521</v>
          </cell>
          <cell r="B179" t="str">
            <v>2521 - FARMACIA SAN ENRIQUE C.A.</v>
          </cell>
          <cell r="C179" t="str">
            <v>INDEPENDIENTE</v>
          </cell>
          <cell r="D179">
            <v>3</v>
          </cell>
          <cell r="E179"/>
          <cell r="F179" t="str">
            <v>CARACAS</v>
          </cell>
          <cell r="G179" t="str">
            <v>JHON TORRES</v>
          </cell>
          <cell r="H179"/>
          <cell r="I179" t="str">
            <v>C4</v>
          </cell>
          <cell r="J179" t="str">
            <v>Activo</v>
          </cell>
          <cell r="K179">
            <v>244191.90384441719</v>
          </cell>
          <cell r="L179">
            <v>24419.190384441717</v>
          </cell>
          <cell r="M179">
            <v>27982.443693763344</v>
          </cell>
          <cell r="N179" t="str">
            <v>Si Compra</v>
          </cell>
          <cell r="O179">
            <v>10</v>
          </cell>
          <cell r="P179">
            <v>300234.59734567051</v>
          </cell>
          <cell r="Q179">
            <v>30023.459734567052</v>
          </cell>
          <cell r="R179">
            <v>31883.172414262372</v>
          </cell>
          <cell r="T179"/>
          <cell r="U179"/>
          <cell r="V179">
            <v>0.81333699048437968</v>
          </cell>
          <cell r="W179">
            <v>9.324190671476147E-4</v>
          </cell>
          <cell r="X179">
            <v>10</v>
          </cell>
          <cell r="Y179" t="str">
            <v>Proteger</v>
          </cell>
        </row>
        <row r="180">
          <cell r="A180" t="str">
            <v>3984</v>
          </cell>
          <cell r="B180" t="str">
            <v>GRUPO JORGE RAMÍREZ</v>
          </cell>
          <cell r="C180" t="str">
            <v>CADENA</v>
          </cell>
          <cell r="D180">
            <v>15</v>
          </cell>
          <cell r="E180"/>
          <cell r="F180" t="str">
            <v>CENTRO OESTE</v>
          </cell>
          <cell r="H180"/>
          <cell r="I180"/>
          <cell r="J180" t="str">
            <v>Activo</v>
          </cell>
          <cell r="K180">
            <v>243946.15722928711</v>
          </cell>
          <cell r="L180">
            <v>24394.615722928713</v>
          </cell>
          <cell r="M180">
            <v>21313.821655390177</v>
          </cell>
          <cell r="N180" t="str">
            <v>Si Compra</v>
          </cell>
          <cell r="O180">
            <v>10</v>
          </cell>
          <cell r="P180">
            <v>437419.9338403141</v>
          </cell>
          <cell r="Q180">
            <v>43741.993384031412</v>
          </cell>
          <cell r="R180">
            <v>30889.962898787257</v>
          </cell>
          <cell r="S180"/>
          <cell r="T180"/>
          <cell r="U180"/>
          <cell r="V180">
            <v>0.55769327905925492</v>
          </cell>
          <cell r="W180">
            <v>9.3148071159189472E-4</v>
          </cell>
          <cell r="X180">
            <v>10</v>
          </cell>
          <cell r="Y180" t="str">
            <v>Potenciar</v>
          </cell>
        </row>
        <row r="181">
          <cell r="A181" t="str">
            <v>C906</v>
          </cell>
          <cell r="B181" t="str">
            <v>LA ECONOMICA</v>
          </cell>
          <cell r="C181" t="str">
            <v>CADENA</v>
          </cell>
          <cell r="D181">
            <v>9</v>
          </cell>
          <cell r="E181"/>
          <cell r="F181" t="str">
            <v>CENTRO OESTE</v>
          </cell>
          <cell r="H181"/>
          <cell r="I181"/>
          <cell r="J181" t="str">
            <v>Activo</v>
          </cell>
          <cell r="K181">
            <v>243508.35231576351</v>
          </cell>
          <cell r="L181">
            <v>24350.835231576351</v>
          </cell>
          <cell r="M181">
            <v>28082.166238587844</v>
          </cell>
          <cell r="N181" t="str">
            <v>Si Compra</v>
          </cell>
          <cell r="O181">
            <v>10</v>
          </cell>
          <cell r="P181">
            <v>297528.2403651959</v>
          </cell>
          <cell r="Q181">
            <v>29752.824036519589</v>
          </cell>
          <cell r="R181">
            <v>17724.67032173197</v>
          </cell>
          <cell r="S181"/>
          <cell r="T181"/>
          <cell r="U181"/>
          <cell r="V181">
            <v>0.81843777927390493</v>
          </cell>
          <cell r="W181">
            <v>9.2980900322387112E-4</v>
          </cell>
          <cell r="X181">
            <v>10</v>
          </cell>
          <cell r="Y181" t="str">
            <v>Proteger</v>
          </cell>
        </row>
        <row r="182">
          <cell r="A182" t="str">
            <v>2159</v>
          </cell>
          <cell r="B182" t="str">
            <v>2159 - FARMACIA TABBAN, C.A</v>
          </cell>
          <cell r="C182" t="str">
            <v>INDEPENDIENTE</v>
          </cell>
          <cell r="D182">
            <v>3</v>
          </cell>
          <cell r="E182"/>
          <cell r="F182" t="str">
            <v>CARACAS</v>
          </cell>
          <cell r="G182" t="str">
            <v>WILLIAM ARAQUE</v>
          </cell>
          <cell r="H182"/>
          <cell r="I182" t="str">
            <v>C3</v>
          </cell>
          <cell r="J182" t="str">
            <v>Activo</v>
          </cell>
          <cell r="K182">
            <v>243498.54059300906</v>
          </cell>
          <cell r="L182">
            <v>24349.854059300906</v>
          </cell>
          <cell r="M182">
            <v>25811.628307807463</v>
          </cell>
          <cell r="N182" t="str">
            <v>Si Compra</v>
          </cell>
          <cell r="O182">
            <v>10</v>
          </cell>
          <cell r="P182">
            <v>435825.42531297391</v>
          </cell>
          <cell r="Q182">
            <v>43582.542531297389</v>
          </cell>
          <cell r="R182">
            <v>40369.46711604861</v>
          </cell>
          <cell r="T182"/>
          <cell r="U182"/>
          <cell r="V182">
            <v>0.55870659775791753</v>
          </cell>
          <cell r="W182">
            <v>9.297715382742402E-4</v>
          </cell>
          <cell r="X182">
            <v>10</v>
          </cell>
          <cell r="Y182" t="str">
            <v>Potenciar</v>
          </cell>
        </row>
        <row r="183">
          <cell r="A183" t="str">
            <v>D447</v>
          </cell>
          <cell r="B183" t="str">
            <v>FARMASUAREZ EXPRESS</v>
          </cell>
          <cell r="C183" t="str">
            <v>GRUPO</v>
          </cell>
          <cell r="D183">
            <v>6</v>
          </cell>
          <cell r="E183"/>
          <cell r="F183" t="str">
            <v>ANDES</v>
          </cell>
          <cell r="H183"/>
          <cell r="I183"/>
          <cell r="J183" t="str">
            <v>Activo</v>
          </cell>
          <cell r="K183">
            <v>242709.62793828431</v>
          </cell>
          <cell r="L183">
            <v>24270.962793828432</v>
          </cell>
          <cell r="M183">
            <v>29351.860402133792</v>
          </cell>
          <cell r="N183" t="str">
            <v>Si Compra</v>
          </cell>
          <cell r="O183">
            <v>10</v>
          </cell>
          <cell r="P183">
            <v>355184.02884921961</v>
          </cell>
          <cell r="Q183">
            <v>35518.402884921961</v>
          </cell>
          <cell r="R183">
            <v>20231.449482551274</v>
          </cell>
          <cell r="S183"/>
          <cell r="T183"/>
          <cell r="U183"/>
          <cell r="V183">
            <v>0.68333485805837801</v>
          </cell>
          <cell r="W183">
            <v>9.2675916484990237E-4</v>
          </cell>
          <cell r="X183">
            <v>10</v>
          </cell>
          <cell r="Y183" t="str">
            <v>Proteger</v>
          </cell>
        </row>
        <row r="184">
          <cell r="A184" t="str">
            <v>A525</v>
          </cell>
          <cell r="B184" t="str">
            <v>A525 - FARMACIA BOTICA POPULAR, C.A.</v>
          </cell>
          <cell r="C184" t="str">
            <v>INDEPENDIENTE</v>
          </cell>
          <cell r="D184">
            <v>3</v>
          </cell>
          <cell r="E184"/>
          <cell r="F184" t="str">
            <v>CENTRO ESTE</v>
          </cell>
          <cell r="G184">
            <v>0</v>
          </cell>
          <cell r="H184"/>
          <cell r="I184" t="str">
            <v>H</v>
          </cell>
          <cell r="J184" t="str">
            <v>Activo</v>
          </cell>
          <cell r="K184">
            <v>241255.95860249334</v>
          </cell>
          <cell r="L184">
            <v>24125.595860249334</v>
          </cell>
          <cell r="M184">
            <v>23776.995276556918</v>
          </cell>
          <cell r="N184" t="str">
            <v>Si Compra</v>
          </cell>
          <cell r="O184">
            <v>10</v>
          </cell>
          <cell r="P184">
            <v>0</v>
          </cell>
          <cell r="Q184">
            <v>0</v>
          </cell>
          <cell r="R184">
            <v>0</v>
          </cell>
          <cell r="T184"/>
          <cell r="U184"/>
          <cell r="V184">
            <v>0</v>
          </cell>
          <cell r="W184">
            <v>9.2120849349397189E-4</v>
          </cell>
          <cell r="X184">
            <v>0</v>
          </cell>
          <cell r="Y184" t="str">
            <v>Conquistar</v>
          </cell>
        </row>
        <row r="185">
          <cell r="A185" t="str">
            <v>9236</v>
          </cell>
          <cell r="B185" t="str">
            <v>GRUPO FARMAFULL</v>
          </cell>
          <cell r="C185" t="str">
            <v>CADENA</v>
          </cell>
          <cell r="D185">
            <v>21</v>
          </cell>
          <cell r="E185"/>
          <cell r="F185" t="str">
            <v>CENTRO OESTE</v>
          </cell>
          <cell r="H185"/>
          <cell r="I185"/>
          <cell r="J185" t="str">
            <v>Activo</v>
          </cell>
          <cell r="K185">
            <v>241213.64768422951</v>
          </cell>
          <cell r="L185">
            <v>24121.364768422951</v>
          </cell>
          <cell r="M185">
            <v>33668.563990347953</v>
          </cell>
          <cell r="N185" t="str">
            <v>Si Compra</v>
          </cell>
          <cell r="O185">
            <v>10</v>
          </cell>
          <cell r="P185">
            <v>3679518.4788736412</v>
          </cell>
          <cell r="Q185">
            <v>367951.8478873641</v>
          </cell>
          <cell r="R185">
            <v>273867.66438778752</v>
          </cell>
          <cell r="S185"/>
          <cell r="T185"/>
          <cell r="U185"/>
          <cell r="V185">
            <v>6.5555764720080664E-2</v>
          </cell>
          <cell r="W185">
            <v>9.2104693405520017E-4</v>
          </cell>
          <cell r="X185">
            <v>10</v>
          </cell>
          <cell r="Y185" t="str">
            <v>Conquistar</v>
          </cell>
        </row>
        <row r="186">
          <cell r="A186" t="str">
            <v>A544</v>
          </cell>
          <cell r="B186" t="str">
            <v>VARINI</v>
          </cell>
          <cell r="C186" t="str">
            <v>GRUPO</v>
          </cell>
          <cell r="D186">
            <v>6</v>
          </cell>
          <cell r="E186"/>
          <cell r="F186" t="str">
            <v>CARACAS</v>
          </cell>
          <cell r="H186"/>
          <cell r="I186"/>
          <cell r="J186" t="str">
            <v>Activo</v>
          </cell>
          <cell r="K186">
            <v>236383.35899649392</v>
          </cell>
          <cell r="L186">
            <v>23638.335899649392</v>
          </cell>
          <cell r="M186">
            <v>18306.174962574314</v>
          </cell>
          <cell r="N186" t="str">
            <v>Si Compra</v>
          </cell>
          <cell r="O186">
            <v>10</v>
          </cell>
          <cell r="P186">
            <v>409939.46781706793</v>
          </cell>
          <cell r="Q186">
            <v>40993.946781706793</v>
          </cell>
          <cell r="R186">
            <v>25455.533251762474</v>
          </cell>
          <cell r="S186"/>
          <cell r="T186"/>
          <cell r="U186"/>
          <cell r="V186">
            <v>0.57662991137505704</v>
          </cell>
          <cell r="W186">
            <v>9.0260302497645502E-4</v>
          </cell>
          <cell r="X186">
            <v>10</v>
          </cell>
          <cell r="Y186" t="str">
            <v>Potenciar</v>
          </cell>
        </row>
        <row r="187">
          <cell r="A187" t="str">
            <v>9372</v>
          </cell>
          <cell r="B187" t="str">
            <v>9372 - FARMACIA PALO VERDE UNO C.A.</v>
          </cell>
          <cell r="C187" t="str">
            <v>INDEPENDIENTE</v>
          </cell>
          <cell r="D187">
            <v>3</v>
          </cell>
          <cell r="E187"/>
          <cell r="F187" t="str">
            <v>CARACAS</v>
          </cell>
          <cell r="G187" t="str">
            <v>MAIRUBI QUIJADA</v>
          </cell>
          <cell r="H187"/>
          <cell r="I187" t="str">
            <v>C1</v>
          </cell>
          <cell r="J187" t="str">
            <v>Suspendido</v>
          </cell>
          <cell r="K187">
            <v>234635.50697098643</v>
          </cell>
          <cell r="L187">
            <v>26070.611885665159</v>
          </cell>
          <cell r="M187">
            <v>18892.894133333331</v>
          </cell>
          <cell r="N187" t="str">
            <v>Si Compra</v>
          </cell>
          <cell r="O187">
            <v>9</v>
          </cell>
          <cell r="P187">
            <v>830.16179999999997</v>
          </cell>
          <cell r="Q187">
            <v>92.240200000000002</v>
          </cell>
          <cell r="R187">
            <v>0</v>
          </cell>
          <cell r="T187"/>
          <cell r="U187"/>
          <cell r="V187">
            <v>282.63828445368893</v>
          </cell>
          <cell r="W187">
            <v>9.9547672267985316E-4</v>
          </cell>
          <cell r="X187">
            <v>1</v>
          </cell>
          <cell r="Y187" t="str">
            <v>Proteger</v>
          </cell>
        </row>
        <row r="188">
          <cell r="A188" t="str">
            <v>0928</v>
          </cell>
          <cell r="B188" t="str">
            <v>FARMA-CLINICA</v>
          </cell>
          <cell r="C188" t="e">
            <v>#N/A</v>
          </cell>
          <cell r="D188">
            <v>6</v>
          </cell>
          <cell r="E188"/>
          <cell r="F188" t="str">
            <v>ESTE</v>
          </cell>
          <cell r="H188"/>
          <cell r="I188"/>
          <cell r="J188" t="str">
            <v>Activo</v>
          </cell>
          <cell r="K188">
            <v>230147.39431415717</v>
          </cell>
          <cell r="L188">
            <v>23014.739431415717</v>
          </cell>
          <cell r="M188">
            <v>27266.163511191709</v>
          </cell>
          <cell r="N188" t="str">
            <v>Si Compra</v>
          </cell>
          <cell r="O188">
            <v>10</v>
          </cell>
          <cell r="P188">
            <v>1785424.9036805062</v>
          </cell>
          <cell r="Q188">
            <v>178542.49036805061</v>
          </cell>
          <cell r="R188">
            <v>143173.52823445396</v>
          </cell>
          <cell r="S188"/>
          <cell r="T188"/>
          <cell r="U188"/>
          <cell r="V188">
            <v>0.12890343012451955</v>
          </cell>
          <cell r="W188">
            <v>8.7879170166749502E-4</v>
          </cell>
          <cell r="X188">
            <v>10</v>
          </cell>
          <cell r="Y188" t="str">
            <v>Conquistar</v>
          </cell>
        </row>
        <row r="189">
          <cell r="A189" t="str">
            <v>1227</v>
          </cell>
          <cell r="B189" t="str">
            <v>DROGUERIA PUERTO ORDAZ</v>
          </cell>
          <cell r="C189" t="str">
            <v>GRUPO</v>
          </cell>
          <cell r="D189">
            <v>6</v>
          </cell>
          <cell r="E189">
            <v>3</v>
          </cell>
          <cell r="F189" t="str">
            <v>ESTE</v>
          </cell>
          <cell r="G189" t="str">
            <v>JOSE RAMIREZ</v>
          </cell>
          <cell r="H189" t="str">
            <v>HECTOR</v>
          </cell>
          <cell r="I189" t="str">
            <v>A2</v>
          </cell>
          <cell r="J189" t="str">
            <v>Permiso</v>
          </cell>
          <cell r="K189">
            <v>228076.72217507375</v>
          </cell>
          <cell r="L189">
            <v>22807.672217507374</v>
          </cell>
          <cell r="M189">
            <v>27831.763097815507</v>
          </cell>
          <cell r="N189" t="str">
            <v>Si Compra</v>
          </cell>
          <cell r="O189">
            <v>10</v>
          </cell>
          <cell r="P189">
            <v>453900.70017866814</v>
          </cell>
          <cell r="Q189">
            <v>45390.070017866812</v>
          </cell>
          <cell r="R189">
            <v>40125.385501560631</v>
          </cell>
          <cell r="S189">
            <v>40000</v>
          </cell>
          <cell r="T189">
            <v>4</v>
          </cell>
          <cell r="U189">
            <v>7</v>
          </cell>
          <cell r="V189">
            <v>0.50248153855082467</v>
          </cell>
          <cell r="W189">
            <v>8.7088507514181427E-4</v>
          </cell>
          <cell r="X189">
            <v>10</v>
          </cell>
          <cell r="Y189" t="str">
            <v>Potenciar</v>
          </cell>
        </row>
        <row r="190">
          <cell r="A190" t="str">
            <v>-3</v>
          </cell>
          <cell r="B190" t="str">
            <v>-3 - FARMACIA SAN ANTONIO DE LOS ALTOS C.A.</v>
          </cell>
          <cell r="C190" t="str">
            <v>INDEPENDIENTE</v>
          </cell>
          <cell r="D190">
            <v>3</v>
          </cell>
          <cell r="E190"/>
          <cell r="F190" t="str">
            <v>CARACAS</v>
          </cell>
          <cell r="G190" t="str">
            <v>RAMON SERRANO</v>
          </cell>
          <cell r="H190"/>
          <cell r="I190" t="str">
            <v>CB</v>
          </cell>
          <cell r="J190" t="str">
            <v>Activo</v>
          </cell>
          <cell r="K190">
            <v>228008.41134300057</v>
          </cell>
          <cell r="L190">
            <v>22800.841134300055</v>
          </cell>
          <cell r="M190">
            <v>23798.170063150435</v>
          </cell>
          <cell r="N190" t="str">
            <v>Si Compra</v>
          </cell>
          <cell r="O190">
            <v>10</v>
          </cell>
          <cell r="P190">
            <v>241669.54256332404</v>
          </cell>
          <cell r="Q190">
            <v>24166.954256332403</v>
          </cell>
          <cell r="R190">
            <v>22733.745208641962</v>
          </cell>
          <cell r="T190"/>
          <cell r="U190"/>
          <cell r="V190">
            <v>0.94347185385703336</v>
          </cell>
          <cell r="W190">
            <v>8.7062423798335412E-4</v>
          </cell>
          <cell r="X190">
            <v>10</v>
          </cell>
          <cell r="Y190" t="str">
            <v>Proteger</v>
          </cell>
        </row>
        <row r="191">
          <cell r="A191" t="str">
            <v>B438</v>
          </cell>
          <cell r="B191" t="str">
            <v>FARMASIGA</v>
          </cell>
          <cell r="C191" t="str">
            <v>GRUPO</v>
          </cell>
          <cell r="D191">
            <v>6</v>
          </cell>
          <cell r="E191">
            <v>0</v>
          </cell>
          <cell r="F191" t="str">
            <v>ANDES</v>
          </cell>
          <cell r="G191" t="str">
            <v/>
          </cell>
          <cell r="H191" t="str">
            <v>VICTOR</v>
          </cell>
          <cell r="I191">
            <v>0</v>
          </cell>
          <cell r="J191" t="str">
            <v>Activo</v>
          </cell>
          <cell r="K191">
            <v>227695.25541168934</v>
          </cell>
          <cell r="L191">
            <v>22769.525541168936</v>
          </cell>
          <cell r="M191">
            <v>32573.445557201998</v>
          </cell>
          <cell r="N191" t="str">
            <v>Si Compra</v>
          </cell>
          <cell r="O191">
            <v>10</v>
          </cell>
          <cell r="P191">
            <v>1239300.3975609511</v>
          </cell>
          <cell r="Q191">
            <v>123930.03975609511</v>
          </cell>
          <cell r="R191">
            <v>79182.341936738958</v>
          </cell>
          <cell r="S191">
            <v>0</v>
          </cell>
          <cell r="T191">
            <v>0</v>
          </cell>
          <cell r="U191">
            <v>0</v>
          </cell>
          <cell r="V191">
            <v>0.18372886497883245</v>
          </cell>
          <cell r="W191">
            <v>8.6942848760527874E-4</v>
          </cell>
          <cell r="X191">
            <v>10</v>
          </cell>
          <cell r="Y191" t="str">
            <v>Conquistar</v>
          </cell>
        </row>
        <row r="192">
          <cell r="A192" t="str">
            <v>A745</v>
          </cell>
          <cell r="B192" t="str">
            <v>A745 - FARMACIA LA MARABINA, C.A.</v>
          </cell>
          <cell r="C192" t="str">
            <v>INDEPENDIENTE</v>
          </cell>
          <cell r="D192">
            <v>3</v>
          </cell>
          <cell r="E192"/>
          <cell r="F192" t="str">
            <v>MARACAIBO</v>
          </cell>
          <cell r="G192" t="str">
            <v>JOEL JIMENEZ</v>
          </cell>
          <cell r="H192" t="str">
            <v>VICTOR</v>
          </cell>
          <cell r="I192" t="str">
            <v>S1</v>
          </cell>
          <cell r="J192" t="str">
            <v>Activo</v>
          </cell>
          <cell r="K192">
            <v>224720.61343935461</v>
          </cell>
          <cell r="L192">
            <v>22472.06134393546</v>
          </cell>
          <cell r="M192">
            <v>21883.574878480129</v>
          </cell>
          <cell r="N192" t="str">
            <v>Si Compra</v>
          </cell>
          <cell r="O192">
            <v>10</v>
          </cell>
          <cell r="P192">
            <v>1074370.4847341974</v>
          </cell>
          <cell r="Q192">
            <v>107437.04847341974</v>
          </cell>
          <cell r="R192">
            <v>62315.08278767101</v>
          </cell>
          <cell r="T192"/>
          <cell r="U192"/>
          <cell r="V192">
            <v>0.20916491716072336</v>
          </cell>
          <cell r="W192">
            <v>8.5807015487894198E-4</v>
          </cell>
          <cell r="X192">
            <v>10</v>
          </cell>
          <cell r="Y192" t="str">
            <v>Conquistar</v>
          </cell>
        </row>
        <row r="193">
          <cell r="A193" t="str">
            <v>D485</v>
          </cell>
          <cell r="B193" t="str">
            <v>MEDICAL GROUP</v>
          </cell>
          <cell r="C193" t="str">
            <v>GRUPO</v>
          </cell>
          <cell r="D193">
            <v>6</v>
          </cell>
          <cell r="E193">
            <v>0</v>
          </cell>
          <cell r="F193" t="str">
            <v>CENTRO OESTE</v>
          </cell>
          <cell r="G193" t="str">
            <v>JHON TORRES</v>
          </cell>
          <cell r="H193" t="str">
            <v>VICTOR</v>
          </cell>
          <cell r="I193" t="str">
            <v>VARIAS</v>
          </cell>
          <cell r="J193" t="str">
            <v>Activo</v>
          </cell>
          <cell r="K193">
            <v>223460.19148770306</v>
          </cell>
          <cell r="L193">
            <v>22346.019148770305</v>
          </cell>
          <cell r="M193">
            <v>24718.25186833728</v>
          </cell>
          <cell r="N193" t="str">
            <v>Si Compra</v>
          </cell>
          <cell r="O193">
            <v>10</v>
          </cell>
          <cell r="P193">
            <v>0</v>
          </cell>
          <cell r="Q193">
            <v>0</v>
          </cell>
          <cell r="R193">
            <v>0</v>
          </cell>
          <cell r="S193">
            <v>15000</v>
          </cell>
          <cell r="T193">
            <v>4</v>
          </cell>
          <cell r="U193">
            <v>4</v>
          </cell>
          <cell r="V193">
            <v>0</v>
          </cell>
          <cell r="W193">
            <v>8.5325737672426534E-4</v>
          </cell>
          <cell r="X193">
            <v>0</v>
          </cell>
          <cell r="Y193" t="str">
            <v>Conquistar</v>
          </cell>
        </row>
        <row r="194">
          <cell r="A194" t="str">
            <v>C758</v>
          </cell>
          <cell r="B194" t="str">
            <v>VENFARMA</v>
          </cell>
          <cell r="C194" t="str">
            <v>GRUPO</v>
          </cell>
          <cell r="D194">
            <v>12</v>
          </cell>
          <cell r="E194">
            <v>0</v>
          </cell>
          <cell r="F194" t="str">
            <v>ANDES</v>
          </cell>
          <cell r="G194" t="str">
            <v/>
          </cell>
          <cell r="H194" t="str">
            <v>VICTOR</v>
          </cell>
          <cell r="I194">
            <v>0</v>
          </cell>
          <cell r="J194" t="str">
            <v>Activo</v>
          </cell>
          <cell r="K194">
            <v>222867.84942922031</v>
          </cell>
          <cell r="L194">
            <v>22286.78494292203</v>
          </cell>
          <cell r="M194">
            <v>24128.692810788434</v>
          </cell>
          <cell r="N194" t="str">
            <v>Si Compra</v>
          </cell>
          <cell r="O194">
            <v>10</v>
          </cell>
          <cell r="P194">
            <v>3679981.1474460806</v>
          </cell>
          <cell r="Q194">
            <v>367998.11474460806</v>
          </cell>
          <cell r="R194">
            <v>383924.55309485731</v>
          </cell>
          <cell r="S194">
            <v>0</v>
          </cell>
          <cell r="T194">
            <v>0</v>
          </cell>
          <cell r="U194">
            <v>0</v>
          </cell>
          <cell r="V194">
            <v>6.0562225864632849E-2</v>
          </cell>
          <cell r="W194">
            <v>8.5099558580938441E-4</v>
          </cell>
          <cell r="X194">
            <v>10</v>
          </cell>
          <cell r="Y194" t="str">
            <v>Conquistar</v>
          </cell>
        </row>
        <row r="195">
          <cell r="A195" t="str">
            <v>B016</v>
          </cell>
          <cell r="B195" t="str">
            <v>TRIGUS</v>
          </cell>
          <cell r="C195" t="str">
            <v>CADENA</v>
          </cell>
          <cell r="D195">
            <v>15</v>
          </cell>
          <cell r="E195">
            <v>0</v>
          </cell>
          <cell r="F195" t="str">
            <v>CENTRO ESTE</v>
          </cell>
          <cell r="G195" t="str">
            <v>KARLA SALAZAR</v>
          </cell>
          <cell r="H195" t="str">
            <v>HECTOR</v>
          </cell>
          <cell r="I195">
            <v>0</v>
          </cell>
          <cell r="J195" t="str">
            <v>Inactivo</v>
          </cell>
          <cell r="K195">
            <v>221240.47825184918</v>
          </cell>
          <cell r="L195">
            <v>22124.04782518492</v>
          </cell>
          <cell r="M195">
            <v>11272.012595791042</v>
          </cell>
          <cell r="N195" t="str">
            <v>Si Compra</v>
          </cell>
          <cell r="O195">
            <v>10</v>
          </cell>
          <cell r="P195">
            <v>1247652.2674517655</v>
          </cell>
          <cell r="Q195">
            <v>124765.22674517655</v>
          </cell>
          <cell r="R195">
            <v>54615.484751622913</v>
          </cell>
          <cell r="S195">
            <v>40000</v>
          </cell>
          <cell r="T195">
            <v>0</v>
          </cell>
          <cell r="U195">
            <v>0</v>
          </cell>
          <cell r="V195">
            <v>0.17732543275356361</v>
          </cell>
          <cell r="W195">
            <v>8.4478165368789165E-4</v>
          </cell>
          <cell r="X195">
            <v>10</v>
          </cell>
          <cell r="Y195" t="str">
            <v>Conquistar</v>
          </cell>
        </row>
        <row r="196">
          <cell r="A196" t="str">
            <v>8509</v>
          </cell>
          <cell r="B196" t="str">
            <v>GRUPO GERARDO  BRICEÑO (BOCONO)</v>
          </cell>
          <cell r="C196" t="str">
            <v>GRUPO</v>
          </cell>
          <cell r="D196">
            <v>6</v>
          </cell>
          <cell r="E196"/>
          <cell r="F196" t="str">
            <v>ANDES</v>
          </cell>
          <cell r="H196"/>
          <cell r="I196"/>
          <cell r="J196" t="str">
            <v>Activo</v>
          </cell>
          <cell r="K196">
            <v>221114.0233566752</v>
          </cell>
          <cell r="L196">
            <v>22111.402335667521</v>
          </cell>
          <cell r="M196">
            <v>12253.972246652689</v>
          </cell>
          <cell r="N196" t="str">
            <v>Si Compra</v>
          </cell>
          <cell r="O196">
            <v>10</v>
          </cell>
          <cell r="P196">
            <v>239307.38939714222</v>
          </cell>
          <cell r="Q196">
            <v>23930.738939714221</v>
          </cell>
          <cell r="R196">
            <v>8109.6448965702266</v>
          </cell>
          <cell r="S196"/>
          <cell r="T196"/>
          <cell r="U196"/>
          <cell r="V196">
            <v>0.92397490906444912</v>
          </cell>
          <cell r="W196">
            <v>8.4429880002428494E-4</v>
          </cell>
          <cell r="X196">
            <v>10</v>
          </cell>
          <cell r="Y196" t="str">
            <v>Proteger</v>
          </cell>
        </row>
        <row r="197">
          <cell r="A197" t="str">
            <v>2901</v>
          </cell>
          <cell r="B197" t="str">
            <v>GRUPO FARMAMUNDO - 2 VARIOS</v>
          </cell>
          <cell r="C197" t="str">
            <v>CADENA</v>
          </cell>
          <cell r="D197">
            <v>15</v>
          </cell>
          <cell r="E197">
            <v>0</v>
          </cell>
          <cell r="F197" t="str">
            <v>ANDES</v>
          </cell>
          <cell r="G197" t="str">
            <v/>
          </cell>
          <cell r="H197" t="str">
            <v>VICTOR</v>
          </cell>
          <cell r="I197">
            <v>0</v>
          </cell>
          <cell r="J197" t="str">
            <v>Activo</v>
          </cell>
          <cell r="K197">
            <v>219980.55926857347</v>
          </cell>
          <cell r="L197">
            <v>21998.055926857349</v>
          </cell>
          <cell r="M197">
            <v>34871.510865452816</v>
          </cell>
          <cell r="N197" t="str">
            <v>Si Compra</v>
          </cell>
          <cell r="O197">
            <v>10</v>
          </cell>
          <cell r="P197">
            <v>600098.90626690304</v>
          </cell>
          <cell r="Q197">
            <v>60009.890626690307</v>
          </cell>
          <cell r="R197">
            <v>47459.78374067504</v>
          </cell>
          <cell r="S197">
            <v>0</v>
          </cell>
          <cell r="T197">
            <v>0</v>
          </cell>
          <cell r="U197">
            <v>0</v>
          </cell>
          <cell r="V197">
            <v>0.36657383803118249</v>
          </cell>
          <cell r="W197">
            <v>8.3997079606086729E-4</v>
          </cell>
          <cell r="X197">
            <v>10</v>
          </cell>
          <cell r="Y197" t="str">
            <v>Potenciar</v>
          </cell>
        </row>
        <row r="198">
          <cell r="A198" t="str">
            <v>E097</v>
          </cell>
          <cell r="B198" t="str">
            <v>E097 - FARMACIA SANTA MARTA C A</v>
          </cell>
          <cell r="C198" t="str">
            <v>INDEPENDIENTE</v>
          </cell>
          <cell r="D198">
            <v>3</v>
          </cell>
          <cell r="F198" t="str">
            <v>ANDES</v>
          </cell>
          <cell r="G198">
            <v>0</v>
          </cell>
          <cell r="H198"/>
          <cell r="I198" t="str">
            <v>G2</v>
          </cell>
          <cell r="J198" t="str">
            <v>Activo</v>
          </cell>
          <cell r="K198">
            <v>219699.72230171011</v>
          </cell>
          <cell r="L198">
            <v>27462.465287713763</v>
          </cell>
          <cell r="M198">
            <v>51741.754003459122</v>
          </cell>
          <cell r="N198" t="str">
            <v>Si Compra</v>
          </cell>
          <cell r="O198">
            <v>8</v>
          </cell>
          <cell r="P198">
            <v>0</v>
          </cell>
          <cell r="Q198">
            <v>0</v>
          </cell>
          <cell r="R198">
            <v>0</v>
          </cell>
          <cell r="V198">
            <v>0</v>
          </cell>
          <cell r="W198">
            <v>1.0486230649751022E-3</v>
          </cell>
          <cell r="X198">
            <v>0</v>
          </cell>
          <cell r="Y198" t="str">
            <v>Conquistar</v>
          </cell>
        </row>
        <row r="199">
          <cell r="A199" t="str">
            <v>C498</v>
          </cell>
          <cell r="B199" t="str">
            <v>FARMAECONOMICA 777</v>
          </cell>
          <cell r="C199" t="e">
            <v>#N/A</v>
          </cell>
          <cell r="D199">
            <v>3</v>
          </cell>
          <cell r="E199"/>
          <cell r="F199" t="str">
            <v>CARACAS</v>
          </cell>
          <cell r="G199" t="str">
            <v>MAIRE ACOSTA FERNANDEZ</v>
          </cell>
          <cell r="H199"/>
          <cell r="I199" t="str">
            <v>C9</v>
          </cell>
          <cell r="J199" t="str">
            <v>Activo</v>
          </cell>
          <cell r="K199">
            <v>218499.35362943122</v>
          </cell>
          <cell r="L199">
            <v>21849.935362943121</v>
          </cell>
          <cell r="M199">
            <v>19893.819466666664</v>
          </cell>
          <cell r="N199" t="str">
            <v>Si Compra</v>
          </cell>
          <cell r="O199">
            <v>9</v>
          </cell>
          <cell r="P199">
            <v>1418738.178066896</v>
          </cell>
          <cell r="Q199">
            <v>141873.81780668959</v>
          </cell>
          <cell r="R199">
            <v>238072.18233333333</v>
          </cell>
          <cell r="T199"/>
          <cell r="U199"/>
          <cell r="V199">
            <v>0.15400963828798056</v>
          </cell>
          <cell r="W199">
            <v>8.3431498045617486E-4</v>
          </cell>
          <cell r="X199">
            <v>10</v>
          </cell>
          <cell r="Y199" t="str">
            <v>Conquistar</v>
          </cell>
        </row>
        <row r="200">
          <cell r="A200" t="str">
            <v>B933</v>
          </cell>
          <cell r="B200" t="str">
            <v>FARMACIA LUIS DOMINGUEZ</v>
          </cell>
          <cell r="C200" t="str">
            <v>CADENA</v>
          </cell>
          <cell r="D200">
            <v>12</v>
          </cell>
          <cell r="E200"/>
          <cell r="F200" t="str">
            <v>MARACAIBO</v>
          </cell>
          <cell r="H200"/>
          <cell r="I200"/>
          <cell r="J200" t="str">
            <v>Inactivo</v>
          </cell>
          <cell r="K200">
            <v>218493.01514836366</v>
          </cell>
          <cell r="L200">
            <v>21849.301514836367</v>
          </cell>
          <cell r="M200">
            <v>15938.090147193834</v>
          </cell>
          <cell r="N200" t="str">
            <v>Si Compra</v>
          </cell>
          <cell r="O200">
            <v>10</v>
          </cell>
          <cell r="P200">
            <v>1221474.9340858771</v>
          </cell>
          <cell r="Q200">
            <v>122147.49340858772</v>
          </cell>
          <cell r="R200">
            <v>72868.712685052888</v>
          </cell>
          <cell r="S200"/>
          <cell r="T200"/>
          <cell r="U200"/>
          <cell r="V200">
            <v>0.17887638055534774</v>
          </cell>
          <cell r="W200">
            <v>8.3429077768568539E-4</v>
          </cell>
          <cell r="X200">
            <v>10</v>
          </cell>
          <cell r="Y200" t="str">
            <v>Conquistar</v>
          </cell>
        </row>
        <row r="201">
          <cell r="A201" t="str">
            <v>8693</v>
          </cell>
          <cell r="B201" t="str">
            <v>GRUPO LA NUEVA</v>
          </cell>
          <cell r="C201" t="str">
            <v>GRUPO</v>
          </cell>
          <cell r="D201">
            <v>15</v>
          </cell>
          <cell r="E201">
            <v>0</v>
          </cell>
          <cell r="F201" t="str">
            <v>ANDES</v>
          </cell>
          <cell r="G201" t="str">
            <v/>
          </cell>
          <cell r="H201" t="str">
            <v>VICTOR</v>
          </cell>
          <cell r="I201">
            <v>0</v>
          </cell>
          <cell r="J201" t="str">
            <v>Activo</v>
          </cell>
          <cell r="K201">
            <v>217839.43088073505</v>
          </cell>
          <cell r="L201">
            <v>21783.943088073505</v>
          </cell>
          <cell r="M201">
            <v>29946.439261628493</v>
          </cell>
          <cell r="N201" t="str">
            <v>Si Compra</v>
          </cell>
          <cell r="O201">
            <v>10</v>
          </cell>
          <cell r="P201">
            <v>1007540.0532535629</v>
          </cell>
          <cell r="Q201">
            <v>100754.00532535629</v>
          </cell>
          <cell r="R201">
            <v>63844.82686409419</v>
          </cell>
          <cell r="S201">
            <v>0</v>
          </cell>
          <cell r="T201">
            <v>0</v>
          </cell>
          <cell r="U201">
            <v>0</v>
          </cell>
          <cell r="V201">
            <v>0.21620920198386637</v>
          </cell>
          <cell r="W201">
            <v>8.3179514034664845E-4</v>
          </cell>
          <cell r="X201">
            <v>10</v>
          </cell>
          <cell r="Y201" t="str">
            <v>Potenciar</v>
          </cell>
        </row>
        <row r="202">
          <cell r="A202" t="str">
            <v>D227</v>
          </cell>
          <cell r="B202" t="str">
            <v>D227 - VENEFARMACIA, C.A.</v>
          </cell>
          <cell r="C202" t="str">
            <v>INDEPENDIENTE</v>
          </cell>
          <cell r="D202">
            <v>3</v>
          </cell>
          <cell r="E202"/>
          <cell r="F202" t="str">
            <v>CARACAS</v>
          </cell>
          <cell r="G202" t="str">
            <v>MAIRUBI QUIJADA</v>
          </cell>
          <cell r="H202" t="str">
            <v>VICTOR</v>
          </cell>
          <cell r="I202" t="str">
            <v>C2</v>
          </cell>
          <cell r="J202" t="str">
            <v>Activo</v>
          </cell>
          <cell r="K202">
            <v>216964.05882291458</v>
          </cell>
          <cell r="L202">
            <v>21696.405882291459</v>
          </cell>
          <cell r="M202">
            <v>32010.368889680802</v>
          </cell>
          <cell r="N202" t="str">
            <v>Si Compra</v>
          </cell>
          <cell r="O202">
            <v>10</v>
          </cell>
          <cell r="P202">
            <v>824323.99360796122</v>
          </cell>
          <cell r="Q202">
            <v>82432.399360796117</v>
          </cell>
          <cell r="R202">
            <v>133280.03466637371</v>
          </cell>
          <cell r="T202"/>
          <cell r="U202"/>
          <cell r="V202">
            <v>0.2632024064631317</v>
          </cell>
          <cell r="W202">
            <v>8.2845263150540496E-4</v>
          </cell>
          <cell r="X202">
            <v>10</v>
          </cell>
          <cell r="Y202" t="str">
            <v>Potenciar</v>
          </cell>
        </row>
        <row r="203">
          <cell r="A203" t="str">
            <v>A848</v>
          </cell>
          <cell r="B203" t="str">
            <v>GRUPO CASA FARMACIA</v>
          </cell>
          <cell r="C203" t="str">
            <v>CADENA</v>
          </cell>
          <cell r="D203">
            <v>12</v>
          </cell>
          <cell r="E203"/>
          <cell r="F203" t="str">
            <v>ANDES</v>
          </cell>
          <cell r="H203"/>
          <cell r="I203"/>
          <cell r="J203" t="str">
            <v>Activo</v>
          </cell>
          <cell r="K203">
            <v>214249.55909874063</v>
          </cell>
          <cell r="L203">
            <v>21424.955909874065</v>
          </cell>
          <cell r="M203">
            <v>23521.348836187492</v>
          </cell>
          <cell r="N203" t="str">
            <v>Si Compra</v>
          </cell>
          <cell r="O203">
            <v>10</v>
          </cell>
          <cell r="P203">
            <v>572102.37209228671</v>
          </cell>
          <cell r="Q203">
            <v>57210.237209228668</v>
          </cell>
          <cell r="R203">
            <v>51853.924144409226</v>
          </cell>
          <cell r="S203"/>
          <cell r="T203"/>
          <cell r="U203"/>
          <cell r="V203">
            <v>0.37449514204108164</v>
          </cell>
          <cell r="W203">
            <v>8.1808762242549982E-4</v>
          </cell>
          <cell r="X203">
            <v>10</v>
          </cell>
          <cell r="Y203" t="str">
            <v>Potenciar</v>
          </cell>
        </row>
        <row r="204">
          <cell r="A204" t="str">
            <v>0587</v>
          </cell>
          <cell r="B204" t="str">
            <v>FARMAEXPRESS 24 SAMUEL</v>
          </cell>
          <cell r="C204" t="str">
            <v>CADENA</v>
          </cell>
          <cell r="D204">
            <v>0</v>
          </cell>
          <cell r="E204"/>
          <cell r="F204" t="str">
            <v>MARACAIBO</v>
          </cell>
          <cell r="H204"/>
          <cell r="I204"/>
          <cell r="J204" t="str">
            <v>Suspendido</v>
          </cell>
          <cell r="K204">
            <v>213688.41183829622</v>
          </cell>
          <cell r="L204">
            <v>53422.102959574055</v>
          </cell>
          <cell r="M204">
            <v>0</v>
          </cell>
          <cell r="N204" t="str">
            <v>No Compra</v>
          </cell>
          <cell r="O204">
            <v>3</v>
          </cell>
          <cell r="P204">
            <v>192815.2785598936</v>
          </cell>
          <cell r="Q204">
            <v>64271.759519964537</v>
          </cell>
          <cell r="R204">
            <v>0</v>
          </cell>
          <cell r="S204"/>
          <cell r="T204"/>
          <cell r="U204"/>
          <cell r="V204">
            <v>0.83119092053143051</v>
          </cell>
          <cell r="W204">
            <v>2.0398623632651891E-3</v>
          </cell>
          <cell r="X204">
            <v>3</v>
          </cell>
          <cell r="Y204" t="str">
            <v>Proteger</v>
          </cell>
        </row>
        <row r="205">
          <cell r="A205" t="str">
            <v>A644</v>
          </cell>
          <cell r="B205" t="str">
            <v>MAXIMA SALUD</v>
          </cell>
          <cell r="C205" t="str">
            <v>CADENA</v>
          </cell>
          <cell r="D205">
            <v>26</v>
          </cell>
          <cell r="E205"/>
          <cell r="F205" t="str">
            <v>ESTE</v>
          </cell>
          <cell r="H205"/>
          <cell r="I205"/>
          <cell r="J205" t="str">
            <v>Activo</v>
          </cell>
          <cell r="K205">
            <v>213679.06502826809</v>
          </cell>
          <cell r="L205">
            <v>21367.906502826809</v>
          </cell>
          <cell r="M205">
            <v>38986.886536018399</v>
          </cell>
          <cell r="N205" t="str">
            <v>Si Compra</v>
          </cell>
          <cell r="O205">
            <v>10</v>
          </cell>
          <cell r="P205">
            <v>537737.53408119886</v>
          </cell>
          <cell r="Q205">
            <v>53773.753408119883</v>
          </cell>
          <cell r="R205">
            <v>77469.217443033514</v>
          </cell>
          <cell r="S205"/>
          <cell r="T205"/>
          <cell r="U205"/>
          <cell r="V205">
            <v>0.39736684067138667</v>
          </cell>
          <cell r="W205">
            <v>8.1590925557291903E-4</v>
          </cell>
          <cell r="X205">
            <v>10</v>
          </cell>
          <cell r="Y205" t="str">
            <v>Potenciar</v>
          </cell>
        </row>
        <row r="206">
          <cell r="A206" t="str">
            <v>7138</v>
          </cell>
          <cell r="B206" t="str">
            <v>7138 - FARMACIA RIO, C.A</v>
          </cell>
          <cell r="C206" t="str">
            <v>INDEPENDIENTE</v>
          </cell>
          <cell r="D206">
            <v>3</v>
          </cell>
          <cell r="E206"/>
          <cell r="F206" t="str">
            <v>CARACAS</v>
          </cell>
          <cell r="G206" t="str">
            <v>JHON TORRES</v>
          </cell>
          <cell r="H206"/>
          <cell r="I206" t="str">
            <v>CF</v>
          </cell>
          <cell r="J206" t="str">
            <v>Inactivo</v>
          </cell>
          <cell r="K206">
            <v>213535.42253954371</v>
          </cell>
          <cell r="L206">
            <v>21353.542253954372</v>
          </cell>
          <cell r="M206">
            <v>21946.858634747419</v>
          </cell>
          <cell r="N206" t="str">
            <v>Si Compra</v>
          </cell>
          <cell r="O206">
            <v>10</v>
          </cell>
          <cell r="P206">
            <v>458222.48141336261</v>
          </cell>
          <cell r="Q206">
            <v>45822.248141336262</v>
          </cell>
          <cell r="R206">
            <v>40053.562394896493</v>
          </cell>
          <cell r="T206"/>
          <cell r="U206"/>
          <cell r="V206">
            <v>0.46600817550659057</v>
          </cell>
          <cell r="W206">
            <v>8.1536077303426583E-4</v>
          </cell>
          <cell r="X206">
            <v>10</v>
          </cell>
          <cell r="Y206" t="str">
            <v>Potenciar</v>
          </cell>
        </row>
        <row r="207">
          <cell r="A207" t="str">
            <v>8426</v>
          </cell>
          <cell r="B207" t="str">
            <v>8426 - INVERSIONES FRAN ROS, C.A(FCIA. POLIMETROPOLITANA)</v>
          </cell>
          <cell r="C207" t="str">
            <v>INDEPENDIENTE</v>
          </cell>
          <cell r="D207">
            <v>3</v>
          </cell>
          <cell r="E207"/>
          <cell r="F207" t="str">
            <v>CARACAS</v>
          </cell>
          <cell r="G207" t="str">
            <v>MAIRUBI QUIJADA</v>
          </cell>
          <cell r="H207"/>
          <cell r="I207" t="str">
            <v>C1</v>
          </cell>
          <cell r="J207" t="str">
            <v>Activo</v>
          </cell>
          <cell r="K207">
            <v>213059.12699364653</v>
          </cell>
          <cell r="L207">
            <v>21305.912699364653</v>
          </cell>
          <cell r="M207">
            <v>20378.277303229072</v>
          </cell>
          <cell r="N207" t="str">
            <v>Si Compra</v>
          </cell>
          <cell r="O207">
            <v>10</v>
          </cell>
          <cell r="P207">
            <v>368322.69719084422</v>
          </cell>
          <cell r="Q207">
            <v>36832.269719084419</v>
          </cell>
          <cell r="R207">
            <v>36507.959536485701</v>
          </cell>
          <cell r="T207"/>
          <cell r="U207"/>
          <cell r="V207">
            <v>0.57845777254191644</v>
          </cell>
          <cell r="W207">
            <v>8.1354209255551024E-4</v>
          </cell>
          <cell r="X207">
            <v>10</v>
          </cell>
          <cell r="Y207" t="str">
            <v>Potenciar</v>
          </cell>
        </row>
        <row r="208">
          <cell r="A208" t="str">
            <v>+148</v>
          </cell>
          <cell r="B208" t="str">
            <v>EUROMERCADO</v>
          </cell>
          <cell r="C208" t="str">
            <v>GRUPO</v>
          </cell>
          <cell r="D208">
            <v>6</v>
          </cell>
          <cell r="E208">
            <v>0</v>
          </cell>
          <cell r="F208" t="str">
            <v>CENTRO ESTE</v>
          </cell>
          <cell r="G208" t="str">
            <v>LAURA FLORES</v>
          </cell>
          <cell r="H208" t="str">
            <v>HECTOR</v>
          </cell>
          <cell r="I208">
            <v>0</v>
          </cell>
          <cell r="J208" t="str">
            <v>Activo</v>
          </cell>
          <cell r="K208">
            <v>210757.3662486375</v>
          </cell>
          <cell r="L208">
            <v>21075.736624863748</v>
          </cell>
          <cell r="M208">
            <v>22567.945311948639</v>
          </cell>
          <cell r="N208" t="str">
            <v>Si Compra</v>
          </cell>
          <cell r="O208">
            <v>10</v>
          </cell>
          <cell r="P208">
            <v>305674.87232820032</v>
          </cell>
          <cell r="Q208">
            <v>30567.487232820033</v>
          </cell>
          <cell r="R208">
            <v>28790.261544868477</v>
          </cell>
          <cell r="S208">
            <v>30000</v>
          </cell>
          <cell r="T208">
            <v>0</v>
          </cell>
          <cell r="U208">
            <v>0</v>
          </cell>
          <cell r="V208">
            <v>0.68948214370185201</v>
          </cell>
          <cell r="W208">
            <v>8.0475308041845852E-4</v>
          </cell>
          <cell r="X208">
            <v>10</v>
          </cell>
          <cell r="Y208" t="str">
            <v>Proteger</v>
          </cell>
        </row>
        <row r="209">
          <cell r="A209" t="str">
            <v>6442</v>
          </cell>
          <cell r="B209" t="str">
            <v>PATRULLEROS</v>
          </cell>
          <cell r="C209" t="str">
            <v>GRUPO</v>
          </cell>
          <cell r="D209">
            <v>2</v>
          </cell>
          <cell r="E209">
            <v>0</v>
          </cell>
          <cell r="F209" t="str">
            <v>MARACAIBO</v>
          </cell>
          <cell r="G209" t="str">
            <v/>
          </cell>
          <cell r="H209" t="str">
            <v>VICTOR</v>
          </cell>
          <cell r="I209">
            <v>0</v>
          </cell>
          <cell r="J209" t="str">
            <v>Activo</v>
          </cell>
          <cell r="K209">
            <v>206608.81130340911</v>
          </cell>
          <cell r="L209">
            <v>25826.101412926138</v>
          </cell>
          <cell r="M209">
            <v>24001.358823464077</v>
          </cell>
          <cell r="N209" t="str">
            <v>Si Compra</v>
          </cell>
          <cell r="O209">
            <v>8</v>
          </cell>
          <cell r="P209">
            <v>470909.84191439627</v>
          </cell>
          <cell r="Q209">
            <v>67272.834559199473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0.38390089524471288</v>
          </cell>
          <cell r="W209">
            <v>9.8614036781673707E-4</v>
          </cell>
          <cell r="X209">
            <v>6</v>
          </cell>
          <cell r="Y209" t="str">
            <v>Potenciar</v>
          </cell>
        </row>
        <row r="210">
          <cell r="A210" t="str">
            <v>1291</v>
          </cell>
          <cell r="B210" t="str">
            <v>GRUPO ABBOUD HUSSEIN</v>
          </cell>
          <cell r="C210" t="str">
            <v>GRUPO</v>
          </cell>
          <cell r="D210">
            <v>6</v>
          </cell>
          <cell r="E210">
            <v>11</v>
          </cell>
          <cell r="F210" t="str">
            <v>ESTE</v>
          </cell>
          <cell r="G210" t="str">
            <v>JOSE RAMIREZ</v>
          </cell>
          <cell r="H210" t="str">
            <v>HECTOR</v>
          </cell>
          <cell r="I210" t="str">
            <v>A2</v>
          </cell>
          <cell r="J210" t="str">
            <v>Activo</v>
          </cell>
          <cell r="K210">
            <v>206168.53820271374</v>
          </cell>
          <cell r="L210">
            <v>20616.853820271375</v>
          </cell>
          <cell r="M210">
            <v>13518.938429064592</v>
          </cell>
          <cell r="N210" t="str">
            <v>Si Compra</v>
          </cell>
          <cell r="O210">
            <v>10</v>
          </cell>
          <cell r="P210">
            <v>444985.15818220744</v>
          </cell>
          <cell r="Q210">
            <v>44498.515818220745</v>
          </cell>
          <cell r="R210">
            <v>35399.904429615832</v>
          </cell>
          <cell r="S210">
            <v>65000</v>
          </cell>
          <cell r="T210">
            <v>0</v>
          </cell>
          <cell r="U210">
            <v>3</v>
          </cell>
          <cell r="V210">
            <v>0.46331553853374635</v>
          </cell>
          <cell r="W210">
            <v>7.8723116139280927E-4</v>
          </cell>
          <cell r="X210">
            <v>10</v>
          </cell>
          <cell r="Y210" t="str">
            <v>Potenciar</v>
          </cell>
        </row>
        <row r="211">
          <cell r="A211" t="str">
            <v>2622</v>
          </cell>
          <cell r="B211" t="str">
            <v>FSI 1 - Carlos Perdomo</v>
          </cell>
          <cell r="C211" t="str">
            <v>CADENA</v>
          </cell>
          <cell r="D211">
            <v>6</v>
          </cell>
          <cell r="E211"/>
          <cell r="F211" t="str">
            <v>CENTRO OESTE</v>
          </cell>
          <cell r="H211"/>
          <cell r="I211"/>
          <cell r="J211" t="str">
            <v>Activo</v>
          </cell>
          <cell r="K211">
            <v>205350.1773836682</v>
          </cell>
          <cell r="L211">
            <v>22816.686375963134</v>
          </cell>
          <cell r="M211">
            <v>33909.046330957521</v>
          </cell>
          <cell r="N211" t="str">
            <v>Si Compra</v>
          </cell>
          <cell r="O211">
            <v>8</v>
          </cell>
          <cell r="P211">
            <v>1391249.7379496736</v>
          </cell>
          <cell r="Q211">
            <v>154583.30421663041</v>
          </cell>
          <cell r="R211">
            <v>114886.88165519218</v>
          </cell>
          <cell r="S211"/>
          <cell r="T211"/>
          <cell r="U211"/>
          <cell r="V211">
            <v>0.14760123346819018</v>
          </cell>
          <cell r="W211">
            <v>8.7122927055067589E-4</v>
          </cell>
          <cell r="X211">
            <v>9</v>
          </cell>
          <cell r="Y211" t="str">
            <v>Conquistar</v>
          </cell>
        </row>
        <row r="212">
          <cell r="A212" t="str">
            <v>0232</v>
          </cell>
          <cell r="B212" t="str">
            <v>GRUPO FARMA UNO (TACHIRA)</v>
          </cell>
          <cell r="C212" t="str">
            <v>CADENA</v>
          </cell>
          <cell r="D212">
            <v>18</v>
          </cell>
          <cell r="E212">
            <v>0</v>
          </cell>
          <cell r="F212" t="str">
            <v>ANDES</v>
          </cell>
          <cell r="G212" t="str">
            <v/>
          </cell>
          <cell r="H212" t="str">
            <v>VICTOR</v>
          </cell>
          <cell r="I212">
            <v>0</v>
          </cell>
          <cell r="J212" t="str">
            <v>Inactivo</v>
          </cell>
          <cell r="K212">
            <v>201983.68478120153</v>
          </cell>
          <cell r="L212">
            <v>20198.368478120152</v>
          </cell>
          <cell r="M212">
            <v>26355.508223344445</v>
          </cell>
          <cell r="N212" t="str">
            <v>Si Compra</v>
          </cell>
          <cell r="O212">
            <v>10</v>
          </cell>
          <cell r="P212">
            <v>1748849.6446688673</v>
          </cell>
          <cell r="Q212">
            <v>174884.96446688674</v>
          </cell>
          <cell r="R212">
            <v>209632.04126246538</v>
          </cell>
          <cell r="S212">
            <v>0</v>
          </cell>
          <cell r="T212">
            <v>0</v>
          </cell>
          <cell r="U212">
            <v>0</v>
          </cell>
          <cell r="V212">
            <v>0.11549516872243511</v>
          </cell>
          <cell r="W212">
            <v>7.7125177361621008E-4</v>
          </cell>
          <cell r="X212">
            <v>10</v>
          </cell>
          <cell r="Y212" t="str">
            <v>Conquistar</v>
          </cell>
        </row>
        <row r="213">
          <cell r="A213" t="str">
            <v>A545</v>
          </cell>
          <cell r="B213" t="str">
            <v>GRUPO FARMAZA</v>
          </cell>
          <cell r="C213" t="str">
            <v>GRUPO</v>
          </cell>
          <cell r="D213">
            <v>12</v>
          </cell>
          <cell r="E213">
            <v>3</v>
          </cell>
          <cell r="F213" t="str">
            <v>ESTE</v>
          </cell>
          <cell r="G213" t="str">
            <v>CARMEN ALCALA</v>
          </cell>
          <cell r="H213" t="str">
            <v>HECTOR</v>
          </cell>
          <cell r="I213" t="str">
            <v>A0</v>
          </cell>
          <cell r="J213" t="str">
            <v>Activo</v>
          </cell>
          <cell r="K213">
            <v>198648.64121099151</v>
          </cell>
          <cell r="L213">
            <v>19864.864121099152</v>
          </cell>
          <cell r="M213">
            <v>19630.941952525325</v>
          </cell>
          <cell r="N213" t="str">
            <v>Si Compra</v>
          </cell>
          <cell r="O213">
            <v>10</v>
          </cell>
          <cell r="P213">
            <v>494017.93740286533</v>
          </cell>
          <cell r="Q213">
            <v>49401.793740286535</v>
          </cell>
          <cell r="R213">
            <v>28485.391140872322</v>
          </cell>
          <cell r="S213">
            <v>70000</v>
          </cell>
          <cell r="T213">
            <v>3</v>
          </cell>
          <cell r="U213">
            <v>6</v>
          </cell>
          <cell r="V213">
            <v>0.40210815472677075</v>
          </cell>
          <cell r="W213">
            <v>7.5851728829677415E-4</v>
          </cell>
          <cell r="X213">
            <v>10</v>
          </cell>
          <cell r="Y213" t="str">
            <v>Potenciar</v>
          </cell>
        </row>
        <row r="214">
          <cell r="A214" t="str">
            <v>C649</v>
          </cell>
          <cell r="B214" t="str">
            <v>C649 - FARMACIA CARIBE MAR 8899, C.A</v>
          </cell>
          <cell r="C214" t="str">
            <v>INDEPENDIENTE</v>
          </cell>
          <cell r="D214">
            <v>3</v>
          </cell>
          <cell r="E214"/>
          <cell r="F214" t="str">
            <v>CARACAS</v>
          </cell>
          <cell r="G214" t="str">
            <v>MAIRUBI QUIJADA</v>
          </cell>
          <cell r="H214"/>
          <cell r="I214" t="str">
            <v>C7</v>
          </cell>
          <cell r="J214" t="str">
            <v>Activo</v>
          </cell>
          <cell r="K214">
            <v>198063.18698096188</v>
          </cell>
          <cell r="L214">
            <v>19806.318698096187</v>
          </cell>
          <cell r="M214">
            <v>20968.124199150207</v>
          </cell>
          <cell r="N214" t="str">
            <v>Si Compra</v>
          </cell>
          <cell r="O214">
            <v>10</v>
          </cell>
          <cell r="P214">
            <v>218348.40521206387</v>
          </cell>
          <cell r="Q214">
            <v>21834.840521206388</v>
          </cell>
          <cell r="R214">
            <v>21147.466816576973</v>
          </cell>
          <cell r="T214"/>
          <cell r="U214"/>
          <cell r="V214">
            <v>0.90709701675448173</v>
          </cell>
          <cell r="W214">
            <v>7.5628179777301923E-4</v>
          </cell>
          <cell r="X214">
            <v>10</v>
          </cell>
          <cell r="Y214" t="str">
            <v>Proteger</v>
          </cell>
        </row>
        <row r="215">
          <cell r="A215" t="str">
            <v>5450</v>
          </cell>
          <cell r="B215" t="str">
            <v>5450 - FARMACIA BOTIMARKET, C.A.</v>
          </cell>
          <cell r="C215" t="e">
            <v>#N/A</v>
          </cell>
          <cell r="D215">
            <v>1</v>
          </cell>
          <cell r="E215"/>
          <cell r="F215" t="str">
            <v>CARACAS</v>
          </cell>
          <cell r="G215" t="str">
            <v>MAIRUBI QUIJADA</v>
          </cell>
          <cell r="H215"/>
          <cell r="I215" t="str">
            <v>C2</v>
          </cell>
          <cell r="J215" t="str">
            <v>Inactivo</v>
          </cell>
          <cell r="K215">
            <v>196646.26722481963</v>
          </cell>
          <cell r="L215">
            <v>28092.323889259947</v>
          </cell>
          <cell r="M215">
            <v>38817.618738889338</v>
          </cell>
          <cell r="N215" t="str">
            <v>Si Compra</v>
          </cell>
          <cell r="O215">
            <v>7</v>
          </cell>
          <cell r="P215">
            <v>251131.78742103628</v>
          </cell>
          <cell r="Q215">
            <v>35875.969631576612</v>
          </cell>
          <cell r="R215">
            <v>41446.924091582878</v>
          </cell>
          <cell r="T215"/>
          <cell r="U215"/>
          <cell r="V215">
            <v>0.78304012902648334</v>
          </cell>
          <cell r="W215">
            <v>1.0726735007365916E-3</v>
          </cell>
          <cell r="X215">
            <v>7</v>
          </cell>
          <cell r="Y215" t="str">
            <v>Proteger</v>
          </cell>
        </row>
        <row r="216">
          <cell r="A216" t="str">
            <v>4988</v>
          </cell>
          <cell r="B216" t="str">
            <v>SALUD GLOBAL</v>
          </cell>
          <cell r="C216" t="str">
            <v>GRUPO</v>
          </cell>
          <cell r="D216">
            <v>6</v>
          </cell>
          <cell r="E216">
            <v>0</v>
          </cell>
          <cell r="F216" t="str">
            <v>ANDES</v>
          </cell>
          <cell r="G216" t="str">
            <v/>
          </cell>
          <cell r="H216" t="str">
            <v>VICTOR</v>
          </cell>
          <cell r="I216">
            <v>0</v>
          </cell>
          <cell r="J216" t="str">
            <v>Activo</v>
          </cell>
          <cell r="K216">
            <v>193248.57839516414</v>
          </cell>
          <cell r="L216">
            <v>19324.857839516415</v>
          </cell>
          <cell r="M216">
            <v>27031.801638643476</v>
          </cell>
          <cell r="N216" t="str">
            <v>Si Compra</v>
          </cell>
          <cell r="O216">
            <v>10</v>
          </cell>
          <cell r="P216">
            <v>515229.83678221941</v>
          </cell>
          <cell r="Q216">
            <v>51522.983678221943</v>
          </cell>
          <cell r="R216">
            <v>47837.003784134693</v>
          </cell>
          <cell r="S216">
            <v>0</v>
          </cell>
          <cell r="T216">
            <v>0</v>
          </cell>
          <cell r="U216">
            <v>0</v>
          </cell>
          <cell r="V216">
            <v>0.37507256878224554</v>
          </cell>
          <cell r="W216">
            <v>7.3789776138371026E-4</v>
          </cell>
          <cell r="X216">
            <v>10</v>
          </cell>
          <cell r="Y216" t="str">
            <v>Potenciar</v>
          </cell>
        </row>
        <row r="217">
          <cell r="A217" t="str">
            <v>2375</v>
          </cell>
          <cell r="B217" t="str">
            <v>BERNA</v>
          </cell>
          <cell r="C217" t="str">
            <v>GRUPO</v>
          </cell>
          <cell r="D217">
            <v>12</v>
          </cell>
          <cell r="E217">
            <v>8</v>
          </cell>
          <cell r="F217" t="str">
            <v>CARACAS</v>
          </cell>
          <cell r="G217" t="str">
            <v>VARIOS</v>
          </cell>
          <cell r="H217" t="str">
            <v>VICTOR</v>
          </cell>
          <cell r="I217" t="str">
            <v>VARIAS</v>
          </cell>
          <cell r="J217" t="str">
            <v>Activo</v>
          </cell>
          <cell r="K217">
            <v>192067.63715380436</v>
          </cell>
          <cell r="L217">
            <v>19206.763715380435</v>
          </cell>
          <cell r="M217">
            <v>21132.795632270409</v>
          </cell>
          <cell r="N217" t="str">
            <v>Si Compra</v>
          </cell>
          <cell r="O217">
            <v>10</v>
          </cell>
          <cell r="P217">
            <v>916562.18618940515</v>
          </cell>
          <cell r="Q217">
            <v>91656.218618940518</v>
          </cell>
          <cell r="R217">
            <v>44599.507912069173</v>
          </cell>
          <cell r="S217">
            <v>25000</v>
          </cell>
          <cell r="T217">
            <v>0</v>
          </cell>
          <cell r="U217">
            <v>8</v>
          </cell>
          <cell r="V217">
            <v>0.20955221593018467</v>
          </cell>
          <cell r="W217">
            <v>7.3338847129960315E-4</v>
          </cell>
          <cell r="X217">
            <v>10</v>
          </cell>
          <cell r="Y217" t="str">
            <v>Conquistar</v>
          </cell>
        </row>
        <row r="218">
          <cell r="A218" t="str">
            <v>D316</v>
          </cell>
          <cell r="B218" t="str">
            <v>MI FARMACIA EXPRESS</v>
          </cell>
          <cell r="C218" t="e">
            <v>#N/A</v>
          </cell>
          <cell r="D218">
            <v>4</v>
          </cell>
          <cell r="E218"/>
          <cell r="F218" t="str">
            <v>CENTRO ESTE</v>
          </cell>
          <cell r="H218"/>
          <cell r="I218"/>
          <cell r="J218" t="str">
            <v>Suspendido</v>
          </cell>
          <cell r="K218">
            <v>191280.48030785244</v>
          </cell>
          <cell r="L218">
            <v>19128.048030785245</v>
          </cell>
          <cell r="M218">
            <v>12363.833573616232</v>
          </cell>
          <cell r="N218" t="str">
            <v>Si Compra</v>
          </cell>
          <cell r="O218">
            <v>10</v>
          </cell>
          <cell r="P218">
            <v>593820.48876524973</v>
          </cell>
          <cell r="Q218">
            <v>59382.048876524976</v>
          </cell>
          <cell r="R218">
            <v>38755.944425735477</v>
          </cell>
          <cell r="S218"/>
          <cell r="T218"/>
          <cell r="U218"/>
          <cell r="V218">
            <v>0.32211835719173004</v>
          </cell>
          <cell r="W218">
            <v>7.3038280223176638E-4</v>
          </cell>
          <cell r="X218">
            <v>10</v>
          </cell>
          <cell r="Y218" t="str">
            <v>Potenciar</v>
          </cell>
        </row>
        <row r="219">
          <cell r="A219" t="str">
            <v>7726</v>
          </cell>
          <cell r="B219" t="str">
            <v>TRANSFARMED</v>
          </cell>
          <cell r="C219" t="str">
            <v>GRUPO</v>
          </cell>
          <cell r="D219">
            <v>12</v>
          </cell>
          <cell r="E219">
            <v>5</v>
          </cell>
          <cell r="F219" t="str">
            <v>CARACAS</v>
          </cell>
          <cell r="G219" t="str">
            <v>RAMON SERRANO</v>
          </cell>
          <cell r="H219" t="str">
            <v>VICTOR</v>
          </cell>
          <cell r="I219" t="str">
            <v>CB</v>
          </cell>
          <cell r="J219" t="str">
            <v>Activo</v>
          </cell>
          <cell r="K219">
            <v>190592.45574556867</v>
          </cell>
          <cell r="L219">
            <v>19059.245574556866</v>
          </cell>
          <cell r="M219">
            <v>13199.076388596115</v>
          </cell>
          <cell r="N219" t="str">
            <v>Si Compra</v>
          </cell>
          <cell r="O219">
            <v>10</v>
          </cell>
          <cell r="P219">
            <v>1911091.448297658</v>
          </cell>
          <cell r="Q219">
            <v>191109.14482976581</v>
          </cell>
          <cell r="R219">
            <v>204894.97826726412</v>
          </cell>
          <cell r="S219">
            <v>50000</v>
          </cell>
          <cell r="T219">
            <v>8</v>
          </cell>
          <cell r="U219">
            <v>8</v>
          </cell>
          <cell r="V219">
            <v>9.9729636651005163E-2</v>
          </cell>
          <cell r="W219">
            <v>7.2775565853683039E-4</v>
          </cell>
          <cell r="X219">
            <v>10</v>
          </cell>
          <cell r="Y219" t="str">
            <v>Conquistar</v>
          </cell>
        </row>
        <row r="220">
          <cell r="A220" t="str">
            <v>A655</v>
          </cell>
          <cell r="B220" t="str">
            <v>GRUPO CENTRAL</v>
          </cell>
          <cell r="C220" t="str">
            <v>CADENA</v>
          </cell>
          <cell r="D220">
            <v>25</v>
          </cell>
          <cell r="E220"/>
          <cell r="F220" t="str">
            <v>CENTRO ESTE</v>
          </cell>
          <cell r="H220"/>
          <cell r="I220"/>
          <cell r="J220" t="str">
            <v>Inactivo</v>
          </cell>
          <cell r="K220">
            <v>187977.88856986773</v>
          </cell>
          <cell r="L220">
            <v>23497.236071233467</v>
          </cell>
          <cell r="M220">
            <v>26269.499633000549</v>
          </cell>
          <cell r="N220" t="str">
            <v>Si Compra</v>
          </cell>
          <cell r="O220">
            <v>7</v>
          </cell>
          <cell r="P220">
            <v>752151.41176239471</v>
          </cell>
          <cell r="Q220">
            <v>94018.926470299339</v>
          </cell>
          <cell r="R220">
            <v>99144.695401657533</v>
          </cell>
          <cell r="S220"/>
          <cell r="T220"/>
          <cell r="U220"/>
          <cell r="V220">
            <v>0.24992027619732782</v>
          </cell>
          <cell r="W220">
            <v>8.9721528818768382E-4</v>
          </cell>
          <cell r="X220">
            <v>8</v>
          </cell>
          <cell r="Y220" t="str">
            <v>Potenciar</v>
          </cell>
        </row>
        <row r="221">
          <cell r="A221" t="str">
            <v>C659</v>
          </cell>
          <cell r="B221" t="str">
            <v>C659 - FARMACIA OJEDA SALUD,C.A</v>
          </cell>
          <cell r="C221" t="str">
            <v>INDEPENDIENTE</v>
          </cell>
          <cell r="D221">
            <v>3</v>
          </cell>
          <cell r="E221"/>
          <cell r="F221" t="str">
            <v>MARACAIBO</v>
          </cell>
          <cell r="G221" t="str">
            <v>JOEL JIMENEZ</v>
          </cell>
          <cell r="H221" t="str">
            <v>VICTOR</v>
          </cell>
          <cell r="I221" t="str">
            <v>S</v>
          </cell>
          <cell r="J221" t="str">
            <v>Activo</v>
          </cell>
          <cell r="K221">
            <v>184869.60877940757</v>
          </cell>
          <cell r="L221">
            <v>18486.960877940757</v>
          </cell>
          <cell r="M221">
            <v>17621.515279581876</v>
          </cell>
          <cell r="N221" t="str">
            <v>Si Compra</v>
          </cell>
          <cell r="O221">
            <v>10</v>
          </cell>
          <cell r="P221">
            <v>504300.17520698562</v>
          </cell>
          <cell r="Q221">
            <v>50430.017520698559</v>
          </cell>
          <cell r="R221">
            <v>46721.683163496993</v>
          </cell>
          <cell r="T221"/>
          <cell r="U221"/>
          <cell r="V221">
            <v>0.36658644566904913</v>
          </cell>
          <cell r="W221">
            <v>7.059036169842313E-4</v>
          </cell>
          <cell r="X221">
            <v>10</v>
          </cell>
          <cell r="Y221" t="str">
            <v>Potenciar</v>
          </cell>
        </row>
        <row r="222">
          <cell r="A222" t="str">
            <v>8972</v>
          </cell>
          <cell r="B222" t="str">
            <v>8972 - FARMAPLUS DUACA,C.A</v>
          </cell>
          <cell r="C222" t="str">
            <v>INDEPENDIENTE</v>
          </cell>
          <cell r="D222">
            <v>3</v>
          </cell>
          <cell r="E222"/>
          <cell r="F222" t="str">
            <v>CENTRO OESTE</v>
          </cell>
          <cell r="G222" t="str">
            <v>JOSE LUIS GARCIA</v>
          </cell>
          <cell r="H222"/>
          <cell r="I222" t="str">
            <v>Y</v>
          </cell>
          <cell r="J222" t="str">
            <v>Activo</v>
          </cell>
          <cell r="K222">
            <v>184655.17957838549</v>
          </cell>
          <cell r="L222">
            <v>18465.517957838551</v>
          </cell>
          <cell r="M222">
            <v>15924.040460956969</v>
          </cell>
          <cell r="N222" t="str">
            <v>Si Compra</v>
          </cell>
          <cell r="O222">
            <v>10</v>
          </cell>
          <cell r="P222">
            <v>236719.5162625284</v>
          </cell>
          <cell r="Q222">
            <v>23671.951626252841</v>
          </cell>
          <cell r="R222">
            <v>18308.600368971849</v>
          </cell>
          <cell r="T222"/>
          <cell r="U222"/>
          <cell r="V222">
            <v>0.78005895962375094</v>
          </cell>
          <cell r="W222">
            <v>7.0508484341951232E-4</v>
          </cell>
          <cell r="X222">
            <v>10</v>
          </cell>
          <cell r="Y222" t="str">
            <v>Proteger</v>
          </cell>
        </row>
        <row r="223">
          <cell r="A223" t="str">
            <v>D403</v>
          </cell>
          <cell r="B223" t="str">
            <v>D403 - FARMACIA JESUS DE LA MISERICORDIA PLUS DE YIMME MONTENEGRO RAMIREZ F.P</v>
          </cell>
          <cell r="C223" t="str">
            <v>INDEPENDIENTE</v>
          </cell>
          <cell r="D223">
            <v>3</v>
          </cell>
          <cell r="E223"/>
          <cell r="F223" t="str">
            <v>ANDES</v>
          </cell>
          <cell r="G223">
            <v>0</v>
          </cell>
          <cell r="H223"/>
          <cell r="I223" t="str">
            <v>5</v>
          </cell>
          <cell r="J223" t="str">
            <v>Activo</v>
          </cell>
          <cell r="K223">
            <v>184391.65737396659</v>
          </cell>
          <cell r="L223">
            <v>18439.165737396659</v>
          </cell>
          <cell r="M223">
            <v>26071.203074672474</v>
          </cell>
          <cell r="N223" t="str">
            <v>Si Compra</v>
          </cell>
          <cell r="O223">
            <v>10</v>
          </cell>
          <cell r="P223">
            <v>0</v>
          </cell>
          <cell r="Q223">
            <v>0</v>
          </cell>
          <cell r="R223">
            <v>0</v>
          </cell>
          <cell r="T223"/>
          <cell r="U223"/>
          <cell r="V223">
            <v>0</v>
          </cell>
          <cell r="W223">
            <v>7.0407861379376063E-4</v>
          </cell>
          <cell r="X223">
            <v>0</v>
          </cell>
          <cell r="Y223" t="str">
            <v>Conquistar</v>
          </cell>
        </row>
        <row r="224">
          <cell r="A224" t="str">
            <v>3014</v>
          </cell>
          <cell r="B224" t="str">
            <v>ZUMAQUE</v>
          </cell>
          <cell r="C224" t="str">
            <v>GRUPO</v>
          </cell>
          <cell r="D224">
            <v>6</v>
          </cell>
          <cell r="E224"/>
          <cell r="F224" t="str">
            <v>MARACAIBO</v>
          </cell>
          <cell r="H224"/>
          <cell r="I224"/>
          <cell r="J224" t="str">
            <v>Activo</v>
          </cell>
          <cell r="K224">
            <v>184175.53583817364</v>
          </cell>
          <cell r="L224">
            <v>18417.553583817364</v>
          </cell>
          <cell r="M224">
            <v>30035.824664157673</v>
          </cell>
          <cell r="N224" t="str">
            <v>Si Compra</v>
          </cell>
          <cell r="O224">
            <v>10</v>
          </cell>
          <cell r="P224">
            <v>441585.1331368208</v>
          </cell>
          <cell r="Q224">
            <v>44158.51331368208</v>
          </cell>
          <cell r="R224">
            <v>49482.092884792277</v>
          </cell>
          <cell r="S224"/>
          <cell r="T224"/>
          <cell r="U224"/>
          <cell r="V224">
            <v>0.41707820761508441</v>
          </cell>
          <cell r="W224">
            <v>7.0325337824081219E-4</v>
          </cell>
          <cell r="X224">
            <v>10</v>
          </cell>
          <cell r="Y224" t="str">
            <v>Potenciar</v>
          </cell>
        </row>
        <row r="225">
          <cell r="A225" t="str">
            <v>7036</v>
          </cell>
          <cell r="B225" t="str">
            <v>7036 - FARMACIA FRANLUIS C.A.</v>
          </cell>
          <cell r="C225" t="str">
            <v>INDEPENDIENTE</v>
          </cell>
          <cell r="D225">
            <v>3</v>
          </cell>
          <cell r="E225"/>
          <cell r="F225" t="str">
            <v>CARACAS</v>
          </cell>
          <cell r="G225" t="str">
            <v>MAIRE ACOSTA FERNANDEZ</v>
          </cell>
          <cell r="H225"/>
          <cell r="I225" t="str">
            <v>C9</v>
          </cell>
          <cell r="J225" t="str">
            <v>Activo</v>
          </cell>
          <cell r="K225">
            <v>183269.27274001727</v>
          </cell>
          <cell r="L225">
            <v>18326.927274001726</v>
          </cell>
          <cell r="M225">
            <v>17803.226940419176</v>
          </cell>
          <cell r="N225" t="str">
            <v>Si Compra</v>
          </cell>
          <cell r="O225">
            <v>10</v>
          </cell>
          <cell r="P225">
            <v>241973.9511761351</v>
          </cell>
          <cell r="Q225">
            <v>24197.395117613509</v>
          </cell>
          <cell r="R225">
            <v>21095.009850427421</v>
          </cell>
          <cell r="T225"/>
          <cell r="U225"/>
          <cell r="V225">
            <v>0.75739256994077786</v>
          </cell>
          <cell r="W225">
            <v>6.9979291546841957E-4</v>
          </cell>
          <cell r="X225">
            <v>10</v>
          </cell>
          <cell r="Y225" t="str">
            <v>Proteger</v>
          </cell>
        </row>
        <row r="226">
          <cell r="A226" t="str">
            <v>8123</v>
          </cell>
          <cell r="B226" t="str">
            <v>8123 - FARMACIA VALERY, C.A.</v>
          </cell>
          <cell r="C226" t="e">
            <v>#N/A</v>
          </cell>
          <cell r="D226">
            <v>3</v>
          </cell>
          <cell r="E226"/>
          <cell r="F226" t="str">
            <v>CARACAS</v>
          </cell>
          <cell r="G226" t="str">
            <v>MAIRUBI QUIJADA</v>
          </cell>
          <cell r="H226"/>
          <cell r="I226" t="str">
            <v>C1</v>
          </cell>
          <cell r="J226" t="str">
            <v>Activo</v>
          </cell>
          <cell r="K226">
            <v>182959.0663269184</v>
          </cell>
          <cell r="L226">
            <v>18295.90663269184</v>
          </cell>
          <cell r="M226">
            <v>22933.557706635329</v>
          </cell>
          <cell r="N226" t="str">
            <v>Si Compra</v>
          </cell>
          <cell r="O226">
            <v>10</v>
          </cell>
          <cell r="P226">
            <v>220167.30767866128</v>
          </cell>
          <cell r="Q226">
            <v>22016.730767866127</v>
          </cell>
          <cell r="R226">
            <v>24559.186481968016</v>
          </cell>
          <cell r="T226"/>
          <cell r="U226"/>
          <cell r="V226">
            <v>0.83100015281992246</v>
          </cell>
          <cell r="W226">
            <v>6.9860842749084467E-4</v>
          </cell>
          <cell r="X226">
            <v>10</v>
          </cell>
          <cell r="Y226" t="str">
            <v>Proteger</v>
          </cell>
        </row>
        <row r="227">
          <cell r="A227" t="str">
            <v>B579</v>
          </cell>
          <cell r="B227" t="str">
            <v>B579 - GO 24 GROUP, C.A.</v>
          </cell>
          <cell r="C227" t="str">
            <v>INDEPENDIENTE</v>
          </cell>
          <cell r="D227">
            <v>3</v>
          </cell>
          <cell r="E227"/>
          <cell r="F227" t="str">
            <v>MARACAIBO</v>
          </cell>
          <cell r="G227" t="str">
            <v>ADRIANA ALBORNOZ</v>
          </cell>
          <cell r="H227"/>
          <cell r="I227" t="str">
            <v>BD</v>
          </cell>
          <cell r="J227" t="str">
            <v>Activo</v>
          </cell>
          <cell r="K227">
            <v>182580.65814054801</v>
          </cell>
          <cell r="L227">
            <v>18258.0658140548</v>
          </cell>
          <cell r="M227">
            <v>21506.055543098813</v>
          </cell>
          <cell r="N227" t="str">
            <v>Si Compra</v>
          </cell>
          <cell r="O227">
            <v>10</v>
          </cell>
          <cell r="P227">
            <v>326878.42831367027</v>
          </cell>
          <cell r="Q227">
            <v>32687.842831367027</v>
          </cell>
          <cell r="R227">
            <v>28606.411454253088</v>
          </cell>
          <cell r="T227"/>
          <cell r="U227"/>
          <cell r="V227">
            <v>0.55855829668070012</v>
          </cell>
          <cell r="W227">
            <v>6.9716351878346464E-4</v>
          </cell>
          <cell r="X227">
            <v>10</v>
          </cell>
          <cell r="Y227" t="str">
            <v>Potenciar</v>
          </cell>
        </row>
        <row r="228">
          <cell r="A228" t="str">
            <v>8485</v>
          </cell>
          <cell r="B228" t="str">
            <v>8485 - FONPRES-CIV</v>
          </cell>
          <cell r="C228" t="str">
            <v>INDEPENDIENTE</v>
          </cell>
          <cell r="D228">
            <v>3</v>
          </cell>
          <cell r="E228"/>
          <cell r="F228" t="str">
            <v>CARACAS</v>
          </cell>
          <cell r="G228" t="str">
            <v>JHON TORRES</v>
          </cell>
          <cell r="H228"/>
          <cell r="I228" t="str">
            <v>C4</v>
          </cell>
          <cell r="J228" t="str">
            <v>Activo</v>
          </cell>
          <cell r="K228">
            <v>181825.6787329081</v>
          </cell>
          <cell r="L228">
            <v>18182.567873290809</v>
          </cell>
          <cell r="M228">
            <v>19480.44931600519</v>
          </cell>
          <cell r="N228" t="str">
            <v>Si Compra</v>
          </cell>
          <cell r="O228">
            <v>10</v>
          </cell>
          <cell r="P228">
            <v>217368.94031089323</v>
          </cell>
          <cell r="Q228">
            <v>21736.894031089323</v>
          </cell>
          <cell r="R228">
            <v>21395.606796961209</v>
          </cell>
          <cell r="T228"/>
          <cell r="U228"/>
          <cell r="V228">
            <v>0.8364841751211135</v>
          </cell>
          <cell r="W228">
            <v>6.9428071561143244E-4</v>
          </cell>
          <cell r="X228">
            <v>10</v>
          </cell>
          <cell r="Y228" t="str">
            <v>Proteger</v>
          </cell>
        </row>
        <row r="229">
          <cell r="A229" t="str">
            <v>A087</v>
          </cell>
          <cell r="B229" t="str">
            <v>FARMACIAS SUR</v>
          </cell>
          <cell r="C229" t="str">
            <v>GRUPO</v>
          </cell>
          <cell r="D229">
            <v>6</v>
          </cell>
          <cell r="E229"/>
          <cell r="F229" t="str">
            <v>ESTE</v>
          </cell>
          <cell r="H229"/>
          <cell r="I229"/>
          <cell r="J229" t="str">
            <v>Inactivo</v>
          </cell>
          <cell r="K229">
            <v>180410.41223667661</v>
          </cell>
          <cell r="L229">
            <v>18041.04122366766</v>
          </cell>
          <cell r="M229">
            <v>21781.445671714533</v>
          </cell>
          <cell r="N229" t="str">
            <v>Si Compra</v>
          </cell>
          <cell r="O229">
            <v>10</v>
          </cell>
          <cell r="P229">
            <v>825344.47302193986</v>
          </cell>
          <cell r="Q229">
            <v>82534.447302193992</v>
          </cell>
          <cell r="R229">
            <v>80424.313558076406</v>
          </cell>
          <cell r="S229"/>
          <cell r="T229"/>
          <cell r="U229"/>
          <cell r="V229">
            <v>0.21858801765051719</v>
          </cell>
          <cell r="W229">
            <v>6.8887668113933867E-4</v>
          </cell>
          <cell r="X229">
            <v>10</v>
          </cell>
          <cell r="Y229" t="str">
            <v>Potenciar</v>
          </cell>
        </row>
        <row r="230">
          <cell r="A230" t="str">
            <v>A858</v>
          </cell>
          <cell r="B230" t="str">
            <v>A858 - FARMACIA LA ESPERANZA, C.A.</v>
          </cell>
          <cell r="C230" t="str">
            <v>INDEPENDIENTE</v>
          </cell>
          <cell r="D230">
            <v>2</v>
          </cell>
          <cell r="E230"/>
          <cell r="F230" t="str">
            <v>CENTRO OESTE</v>
          </cell>
          <cell r="G230" t="str">
            <v>LUIS PLACERES</v>
          </cell>
          <cell r="H230"/>
          <cell r="I230" t="str">
            <v>E</v>
          </cell>
          <cell r="J230" t="str">
            <v>Inactivo</v>
          </cell>
          <cell r="K230">
            <v>180134.71046236216</v>
          </cell>
          <cell r="L230">
            <v>30022.451743727026</v>
          </cell>
          <cell r="M230">
            <v>26739.253454120713</v>
          </cell>
          <cell r="N230" t="str">
            <v>Si Compra</v>
          </cell>
          <cell r="O230">
            <v>5</v>
          </cell>
          <cell r="P230">
            <v>803334.74302712851</v>
          </cell>
          <cell r="Q230">
            <v>133889.12383785474</v>
          </cell>
          <cell r="R230">
            <v>147381.50020904283</v>
          </cell>
          <cell r="T230"/>
          <cell r="U230"/>
          <cell r="V230">
            <v>0.22423368592721135</v>
          </cell>
          <cell r="W230">
            <v>1.1463732420140282E-3</v>
          </cell>
          <cell r="X230">
            <v>6</v>
          </cell>
          <cell r="Y230" t="str">
            <v>Potenciar</v>
          </cell>
        </row>
        <row r="231">
          <cell r="A231" t="str">
            <v>9889</v>
          </cell>
          <cell r="B231" t="str">
            <v>TARIBA</v>
          </cell>
          <cell r="C231" t="str">
            <v>CADENA</v>
          </cell>
          <cell r="D231">
            <v>18</v>
          </cell>
          <cell r="E231"/>
          <cell r="F231" t="str">
            <v>CENTRO OESTE</v>
          </cell>
          <cell r="H231"/>
          <cell r="I231"/>
          <cell r="J231" t="str">
            <v>Inactivo</v>
          </cell>
          <cell r="K231">
            <v>180033.74547382002</v>
          </cell>
          <cell r="L231">
            <v>18003.374547382002</v>
          </cell>
          <cell r="M231">
            <v>27691.557085024735</v>
          </cell>
          <cell r="N231" t="str">
            <v>Si Compra</v>
          </cell>
          <cell r="O231">
            <v>10</v>
          </cell>
          <cell r="P231">
            <v>976372.5143396632</v>
          </cell>
          <cell r="Q231">
            <v>97637.251433966318</v>
          </cell>
          <cell r="R231">
            <v>199154.19097182815</v>
          </cell>
          <cell r="S231"/>
          <cell r="T231"/>
          <cell r="U231"/>
          <cell r="V231">
            <v>0.18439042765924213</v>
          </cell>
          <cell r="W231">
            <v>6.8743842185998094E-4</v>
          </cell>
          <cell r="X231">
            <v>10</v>
          </cell>
          <cell r="Y231" t="str">
            <v>Conquistar</v>
          </cell>
        </row>
        <row r="232">
          <cell r="A232" t="str">
            <v>7079</v>
          </cell>
          <cell r="B232" t="str">
            <v>7079 - FARMACIA ALIANZA, C.A</v>
          </cell>
          <cell r="C232" t="str">
            <v>INDEPENDIENTE</v>
          </cell>
          <cell r="D232">
            <v>3</v>
          </cell>
          <cell r="E232"/>
          <cell r="F232" t="str">
            <v>CARACAS</v>
          </cell>
          <cell r="G232">
            <v>0</v>
          </cell>
          <cell r="H232"/>
          <cell r="I232" t="str">
            <v>C9</v>
          </cell>
          <cell r="J232" t="str">
            <v>Activo</v>
          </cell>
          <cell r="K232">
            <v>179859.57435803316</v>
          </cell>
          <cell r="L232">
            <v>17985.957435803317</v>
          </cell>
          <cell r="M232">
            <v>19653.02931314634</v>
          </cell>
          <cell r="N232" t="str">
            <v>Si Compra</v>
          </cell>
          <cell r="O232">
            <v>10</v>
          </cell>
          <cell r="P232">
            <v>0</v>
          </cell>
          <cell r="Q232">
            <v>0</v>
          </cell>
          <cell r="R232">
            <v>0</v>
          </cell>
          <cell r="T232"/>
          <cell r="U232"/>
          <cell r="V232">
            <v>0</v>
          </cell>
          <cell r="W232">
            <v>6.8677336922412654E-4</v>
          </cell>
          <cell r="X232">
            <v>0</v>
          </cell>
          <cell r="Y232" t="str">
            <v>Conquistar</v>
          </cell>
        </row>
        <row r="233">
          <cell r="A233" t="str">
            <v>0951</v>
          </cell>
          <cell r="B233" t="str">
            <v>0951 - AZA NELSON (FARMACIA SAN RAFAEL DE CUMANA)</v>
          </cell>
          <cell r="C233" t="str">
            <v>INDEPENDIENTE</v>
          </cell>
          <cell r="D233">
            <v>3</v>
          </cell>
          <cell r="E233"/>
          <cell r="F233" t="str">
            <v>ESTE</v>
          </cell>
          <cell r="G233" t="str">
            <v>CARLOS BLONDELL</v>
          </cell>
          <cell r="H233"/>
          <cell r="I233" t="str">
            <v>A3</v>
          </cell>
          <cell r="J233" t="str">
            <v>Activo</v>
          </cell>
          <cell r="K233">
            <v>179152.09345866731</v>
          </cell>
          <cell r="L233">
            <v>17915.20934586673</v>
          </cell>
          <cell r="M233">
            <v>15973.932163754745</v>
          </cell>
          <cell r="N233" t="str">
            <v>Si Compra</v>
          </cell>
          <cell r="O233">
            <v>10</v>
          </cell>
          <cell r="P233">
            <v>336422.88685693435</v>
          </cell>
          <cell r="Q233">
            <v>33642.288685693435</v>
          </cell>
          <cell r="R233">
            <v>28498.326876387324</v>
          </cell>
          <cell r="T233"/>
          <cell r="U233"/>
          <cell r="V233">
            <v>0.53252052835172503</v>
          </cell>
          <cell r="W233">
            <v>6.8407193371448829E-4</v>
          </cell>
          <cell r="X233">
            <v>10</v>
          </cell>
          <cell r="Y233" t="str">
            <v>Potenciar</v>
          </cell>
        </row>
        <row r="234">
          <cell r="A234" t="str">
            <v>711</v>
          </cell>
          <cell r="B234" t="str">
            <v>711 - FARMACIA SOUBLETTE,C.A.</v>
          </cell>
          <cell r="C234" t="str">
            <v>INDEPENDIENTE</v>
          </cell>
          <cell r="D234">
            <v>1</v>
          </cell>
          <cell r="E234"/>
          <cell r="F234" t="str">
            <v>CARACAS</v>
          </cell>
          <cell r="G234" t="str">
            <v>MAIRE ACOSTA FERNANDEZ</v>
          </cell>
          <cell r="H234"/>
          <cell r="I234" t="str">
            <v>C9</v>
          </cell>
          <cell r="J234" t="str">
            <v>Activo</v>
          </cell>
          <cell r="K234">
            <v>178317.71828885429</v>
          </cell>
          <cell r="L234">
            <v>22289.714786106786</v>
          </cell>
          <cell r="M234">
            <v>5149.7309999999998</v>
          </cell>
          <cell r="N234" t="str">
            <v>Si Compra</v>
          </cell>
          <cell r="O234">
            <v>8</v>
          </cell>
          <cell r="P234">
            <v>725757.93101195293</v>
          </cell>
          <cell r="Q234">
            <v>90719.741376494116</v>
          </cell>
          <cell r="R234">
            <v>92836.438099999999</v>
          </cell>
          <cell r="T234"/>
          <cell r="U234"/>
          <cell r="V234">
            <v>0.24569861474364993</v>
          </cell>
          <cell r="W234">
            <v>8.5110745854579414E-4</v>
          </cell>
          <cell r="X234">
            <v>8</v>
          </cell>
          <cell r="Y234" t="str">
            <v>Potenciar</v>
          </cell>
        </row>
        <row r="235">
          <cell r="A235" t="str">
            <v>4266</v>
          </cell>
          <cell r="B235" t="str">
            <v>4266 - FARMACIA FARMAUNDA, C.A</v>
          </cell>
          <cell r="C235" t="str">
            <v>INDEPENDIENTE</v>
          </cell>
          <cell r="D235">
            <v>3</v>
          </cell>
          <cell r="E235"/>
          <cell r="F235" t="str">
            <v>CENTRO OESTE</v>
          </cell>
          <cell r="G235" t="str">
            <v>SORALI SILVA</v>
          </cell>
          <cell r="H235"/>
          <cell r="I235" t="str">
            <v>L</v>
          </cell>
          <cell r="J235" t="str">
            <v>Permiso</v>
          </cell>
          <cell r="K235">
            <v>177893.79202036443</v>
          </cell>
          <cell r="L235">
            <v>17789.379202036442</v>
          </cell>
          <cell r="M235">
            <v>17506.2968</v>
          </cell>
          <cell r="N235" t="str">
            <v>Si Compra</v>
          </cell>
          <cell r="O235">
            <v>10</v>
          </cell>
          <cell r="P235">
            <v>282260.15815310815</v>
          </cell>
          <cell r="Q235">
            <v>28226.015815310813</v>
          </cell>
          <cell r="R235">
            <v>34074.839466666665</v>
          </cell>
          <cell r="T235"/>
          <cell r="U235"/>
          <cell r="V235">
            <v>0.63024761689486608</v>
          </cell>
          <cell r="W235">
            <v>6.7926725249933882E-4</v>
          </cell>
          <cell r="X235">
            <v>10</v>
          </cell>
          <cell r="Y235" t="str">
            <v>Proteger</v>
          </cell>
        </row>
        <row r="236">
          <cell r="A236" t="str">
            <v>65</v>
          </cell>
          <cell r="B236" t="str">
            <v>LAS MALVINAS TACHIRA</v>
          </cell>
          <cell r="C236" t="str">
            <v>GRUPO</v>
          </cell>
          <cell r="D236">
            <v>18</v>
          </cell>
          <cell r="E236">
            <v>0</v>
          </cell>
          <cell r="F236" t="str">
            <v>ANDES</v>
          </cell>
          <cell r="G236" t="str">
            <v/>
          </cell>
          <cell r="H236" t="str">
            <v>VICTOR</v>
          </cell>
          <cell r="I236">
            <v>0</v>
          </cell>
          <cell r="J236" t="str">
            <v>Activo</v>
          </cell>
          <cell r="K236">
            <v>177719.64580125091</v>
          </cell>
          <cell r="L236">
            <v>17771.964580125092</v>
          </cell>
          <cell r="M236">
            <v>17823.685072495478</v>
          </cell>
          <cell r="N236" t="str">
            <v>Si Compra</v>
          </cell>
          <cell r="O236">
            <v>10</v>
          </cell>
          <cell r="P236">
            <v>294964.23220431665</v>
          </cell>
          <cell r="Q236">
            <v>29496.423220431665</v>
          </cell>
          <cell r="R236">
            <v>13225.719433437363</v>
          </cell>
          <cell r="S236">
            <v>0</v>
          </cell>
          <cell r="T236">
            <v>0</v>
          </cell>
          <cell r="U236">
            <v>0</v>
          </cell>
          <cell r="V236">
            <v>0.60251252998752602</v>
          </cell>
          <cell r="W236">
            <v>6.7860229492860556E-4</v>
          </cell>
          <cell r="X236">
            <v>10</v>
          </cell>
          <cell r="Y236" t="str">
            <v>Potenciar</v>
          </cell>
        </row>
        <row r="237">
          <cell r="A237" t="str">
            <v>A640</v>
          </cell>
          <cell r="B237" t="str">
            <v>MONICA</v>
          </cell>
          <cell r="C237" t="str">
            <v>GRUPO</v>
          </cell>
          <cell r="D237">
            <v>6</v>
          </cell>
          <cell r="E237">
            <v>0</v>
          </cell>
          <cell r="F237" t="str">
            <v>MARACAIBO</v>
          </cell>
          <cell r="G237" t="str">
            <v/>
          </cell>
          <cell r="H237" t="str">
            <v>VICTOR</v>
          </cell>
          <cell r="I237">
            <v>0</v>
          </cell>
          <cell r="J237" t="str">
            <v>Activo</v>
          </cell>
          <cell r="K237">
            <v>176038.98871375277</v>
          </cell>
          <cell r="L237">
            <v>17603.898871375277</v>
          </cell>
          <cell r="M237">
            <v>17285.520255739564</v>
          </cell>
          <cell r="N237" t="str">
            <v>Si Compra</v>
          </cell>
          <cell r="O237">
            <v>10</v>
          </cell>
          <cell r="P237">
            <v>419188.39622788475</v>
          </cell>
          <cell r="Q237">
            <v>41918.839622788473</v>
          </cell>
          <cell r="R237">
            <v>31822.132634447556</v>
          </cell>
          <cell r="S237">
            <v>0</v>
          </cell>
          <cell r="T237">
            <v>0</v>
          </cell>
          <cell r="U237">
            <v>0</v>
          </cell>
          <cell r="V237">
            <v>0.41995196025906245</v>
          </cell>
          <cell r="W237">
            <v>6.7218489660765849E-4</v>
          </cell>
          <cell r="X237">
            <v>10</v>
          </cell>
          <cell r="Y237" t="str">
            <v>Potenciar</v>
          </cell>
        </row>
        <row r="238">
          <cell r="A238" t="str">
            <v>-201</v>
          </cell>
          <cell r="B238" t="str">
            <v>GRUPO FARMASTORE</v>
          </cell>
          <cell r="C238" t="str">
            <v>GRUPO</v>
          </cell>
          <cell r="D238">
            <v>9</v>
          </cell>
          <cell r="E238">
            <v>3</v>
          </cell>
          <cell r="F238" t="str">
            <v>CENTRO ESTE</v>
          </cell>
          <cell r="G238" t="str">
            <v>MACOS CRUCES</v>
          </cell>
          <cell r="H238" t="str">
            <v>HECTOR</v>
          </cell>
          <cell r="I238">
            <v>0</v>
          </cell>
          <cell r="J238" t="str">
            <v>Permiso</v>
          </cell>
          <cell r="K238">
            <v>175712.80990903525</v>
          </cell>
          <cell r="L238">
            <v>17571.280990903524</v>
          </cell>
          <cell r="M238">
            <v>12200.060516642632</v>
          </cell>
          <cell r="N238" t="str">
            <v>Si Compra</v>
          </cell>
          <cell r="O238">
            <v>10</v>
          </cell>
          <cell r="P238">
            <v>796801.78929390176</v>
          </cell>
          <cell r="Q238">
            <v>79680.178929390182</v>
          </cell>
          <cell r="R238">
            <v>52142.191305452405</v>
          </cell>
          <cell r="S238">
            <v>100000</v>
          </cell>
          <cell r="T238">
            <v>0</v>
          </cell>
          <cell r="U238">
            <v>3</v>
          </cell>
          <cell r="V238">
            <v>0.22052260959999331</v>
          </cell>
          <cell r="W238">
            <v>6.7093941986567842E-4</v>
          </cell>
          <cell r="X238">
            <v>10</v>
          </cell>
          <cell r="Y238" t="str">
            <v>Potenciar</v>
          </cell>
        </row>
        <row r="239">
          <cell r="A239" t="str">
            <v>C094</v>
          </cell>
          <cell r="B239" t="str">
            <v>C094 - FARMACIA VIDA Y SALUD CARUPANO, C.A</v>
          </cell>
          <cell r="C239" t="str">
            <v>INDEPENDIENTE</v>
          </cell>
          <cell r="D239">
            <v>3</v>
          </cell>
          <cell r="E239"/>
          <cell r="F239" t="str">
            <v>ESTE</v>
          </cell>
          <cell r="G239" t="str">
            <v>CARLOS BLONDELL</v>
          </cell>
          <cell r="H239"/>
          <cell r="I239" t="str">
            <v>A5</v>
          </cell>
          <cell r="J239" t="str">
            <v>Activo</v>
          </cell>
          <cell r="K239">
            <v>175357.01153913443</v>
          </cell>
          <cell r="L239">
            <v>17535.701153913444</v>
          </cell>
          <cell r="M239">
            <v>17919.368233333335</v>
          </cell>
          <cell r="N239" t="str">
            <v>Si Compra</v>
          </cell>
          <cell r="O239">
            <v>10</v>
          </cell>
          <cell r="P239">
            <v>1384422.3315984318</v>
          </cell>
          <cell r="Q239">
            <v>138442.23315984319</v>
          </cell>
          <cell r="R239">
            <v>104944.00166666666</v>
          </cell>
          <cell r="T239"/>
          <cell r="U239"/>
          <cell r="V239">
            <v>0.12666439101474911</v>
          </cell>
          <cell r="W239">
            <v>6.6958084417609732E-4</v>
          </cell>
          <cell r="X239">
            <v>10</v>
          </cell>
          <cell r="Y239" t="str">
            <v>Conquistar</v>
          </cell>
        </row>
        <row r="240">
          <cell r="A240" t="str">
            <v>2992</v>
          </cell>
          <cell r="B240" t="str">
            <v>2992 - FARMACIA LA ENCARNACION, C.A.</v>
          </cell>
          <cell r="C240" t="str">
            <v>INDEPENDIENTE</v>
          </cell>
          <cell r="D240">
            <v>3</v>
          </cell>
          <cell r="E240"/>
          <cell r="F240" t="str">
            <v>CARACAS</v>
          </cell>
          <cell r="G240" t="str">
            <v>MAIRUBI QUIJADA</v>
          </cell>
          <cell r="H240"/>
          <cell r="I240" t="str">
            <v>C7</v>
          </cell>
          <cell r="J240" t="str">
            <v>Activo</v>
          </cell>
          <cell r="K240">
            <v>170639.6974799773</v>
          </cell>
          <cell r="L240">
            <v>17063.969747997729</v>
          </cell>
          <cell r="M240">
            <v>13707.364192080613</v>
          </cell>
          <cell r="N240" t="str">
            <v>Si Compra</v>
          </cell>
          <cell r="O240">
            <v>10</v>
          </cell>
          <cell r="P240">
            <v>269447.75027532602</v>
          </cell>
          <cell r="Q240">
            <v>26944.775027532603</v>
          </cell>
          <cell r="R240">
            <v>23953.769943690695</v>
          </cell>
          <cell r="T240"/>
          <cell r="U240"/>
          <cell r="V240">
            <v>0.63329420010230153</v>
          </cell>
          <cell r="W240">
            <v>6.515683158930791E-4</v>
          </cell>
          <cell r="X240">
            <v>10</v>
          </cell>
          <cell r="Y240" t="str">
            <v>Proteger</v>
          </cell>
        </row>
        <row r="241">
          <cell r="A241" t="str">
            <v>C816</v>
          </cell>
          <cell r="B241" t="str">
            <v>BETHEL</v>
          </cell>
          <cell r="C241" t="str">
            <v>GRUPO</v>
          </cell>
          <cell r="D241">
            <v>6</v>
          </cell>
          <cell r="E241"/>
          <cell r="F241" t="str">
            <v>CENTRO OESTE</v>
          </cell>
          <cell r="H241"/>
          <cell r="I241"/>
          <cell r="J241" t="str">
            <v>Activo</v>
          </cell>
          <cell r="K241">
            <v>169965.11743744006</v>
          </cell>
          <cell r="L241">
            <v>16996.511743744006</v>
          </cell>
          <cell r="M241">
            <v>16360.116202437735</v>
          </cell>
          <cell r="N241" t="str">
            <v>Si Compra</v>
          </cell>
          <cell r="O241">
            <v>10</v>
          </cell>
          <cell r="P241">
            <v>969694.62831071217</v>
          </cell>
          <cell r="Q241">
            <v>96969.462831071214</v>
          </cell>
          <cell r="R241">
            <v>85671.244090803375</v>
          </cell>
          <cell r="S241"/>
          <cell r="T241"/>
          <cell r="U241"/>
          <cell r="V241">
            <v>0.17527695057312351</v>
          </cell>
          <cell r="W241">
            <v>6.4899250857073764E-4</v>
          </cell>
          <cell r="X241">
            <v>10</v>
          </cell>
          <cell r="Y241" t="str">
            <v>Conquistar</v>
          </cell>
        </row>
        <row r="242">
          <cell r="A242" t="str">
            <v>C787</v>
          </cell>
          <cell r="B242" t="str">
            <v>GRUPO FARMABIG</v>
          </cell>
          <cell r="C242" t="str">
            <v>CADENA</v>
          </cell>
          <cell r="D242">
            <v>18</v>
          </cell>
          <cell r="E242">
            <v>0</v>
          </cell>
          <cell r="F242" t="str">
            <v>CENTRO ESTE</v>
          </cell>
          <cell r="G242" t="str">
            <v>KARLA SALAZAR</v>
          </cell>
          <cell r="H242" t="str">
            <v>HECTOR</v>
          </cell>
          <cell r="I242">
            <v>0</v>
          </cell>
          <cell r="J242" t="str">
            <v>Activo</v>
          </cell>
          <cell r="K242">
            <v>168081.29771239724</v>
          </cell>
          <cell r="L242">
            <v>16808.129771239725</v>
          </cell>
          <cell r="M242">
            <v>18907.301021913368</v>
          </cell>
          <cell r="N242" t="str">
            <v>Si Compra</v>
          </cell>
          <cell r="O242">
            <v>10</v>
          </cell>
          <cell r="P242">
            <v>1707635.917238117</v>
          </cell>
          <cell r="Q242">
            <v>170763.5917238117</v>
          </cell>
          <cell r="R242">
            <v>62420.255466459232</v>
          </cell>
          <cell r="S242">
            <v>70000</v>
          </cell>
          <cell r="T242">
            <v>0</v>
          </cell>
          <cell r="U242">
            <v>0</v>
          </cell>
          <cell r="V242">
            <v>9.842923542170938E-2</v>
          </cell>
          <cell r="W242">
            <v>6.4179935677886727E-4</v>
          </cell>
          <cell r="X242">
            <v>10</v>
          </cell>
          <cell r="Y242" t="str">
            <v>Conquistar</v>
          </cell>
        </row>
        <row r="243">
          <cell r="A243" t="str">
            <v>+208</v>
          </cell>
          <cell r="B243" t="str">
            <v>GRUPO SANTA INES</v>
          </cell>
          <cell r="C243" t="str">
            <v>GRUPO</v>
          </cell>
          <cell r="D243">
            <v>6</v>
          </cell>
          <cell r="E243"/>
          <cell r="F243" t="str">
            <v>CENTRO ESTE</v>
          </cell>
          <cell r="H243"/>
          <cell r="I243"/>
          <cell r="J243" t="str">
            <v>Activo</v>
          </cell>
          <cell r="K243">
            <v>165702.51894172304</v>
          </cell>
          <cell r="L243">
            <v>16570.251894172303</v>
          </cell>
          <cell r="M243">
            <v>17864.137835630365</v>
          </cell>
          <cell r="N243" t="str">
            <v>Si Compra</v>
          </cell>
          <cell r="O243">
            <v>10</v>
          </cell>
          <cell r="P243">
            <v>484704.31803436624</v>
          </cell>
          <cell r="Q243">
            <v>48470.431803436622</v>
          </cell>
          <cell r="R243">
            <v>64795.370108643234</v>
          </cell>
          <cell r="S243"/>
          <cell r="T243"/>
          <cell r="U243"/>
          <cell r="V243">
            <v>0.34186309627630446</v>
          </cell>
          <cell r="W243">
            <v>6.3271626005295873E-4</v>
          </cell>
          <cell r="X243">
            <v>10</v>
          </cell>
          <cell r="Y243" t="str">
            <v>Potenciar</v>
          </cell>
        </row>
        <row r="244">
          <cell r="A244" t="str">
            <v>A610</v>
          </cell>
          <cell r="B244" t="str">
            <v>A610 - SATELNET FARMACIA, C. A.</v>
          </cell>
          <cell r="C244" t="str">
            <v>INDEPENDIENTE</v>
          </cell>
          <cell r="D244">
            <v>3</v>
          </cell>
          <cell r="E244"/>
          <cell r="F244" t="str">
            <v>CENTRO OESTE</v>
          </cell>
          <cell r="G244">
            <v>0</v>
          </cell>
          <cell r="H244"/>
          <cell r="I244" t="str">
            <v>Y</v>
          </cell>
          <cell r="J244" t="str">
            <v>Activo</v>
          </cell>
          <cell r="K244">
            <v>165302.46061525727</v>
          </cell>
          <cell r="L244">
            <v>16530.246061525726</v>
          </cell>
          <cell r="M244">
            <v>12300.670647953229</v>
          </cell>
          <cell r="N244" t="str">
            <v>Si Compra</v>
          </cell>
          <cell r="O244">
            <v>10</v>
          </cell>
          <cell r="P244">
            <v>0</v>
          </cell>
          <cell r="Q244">
            <v>0</v>
          </cell>
          <cell r="R244">
            <v>0</v>
          </cell>
          <cell r="T244"/>
          <cell r="U244"/>
          <cell r="V244">
            <v>0</v>
          </cell>
          <cell r="W244">
            <v>6.3118868274308394E-4</v>
          </cell>
          <cell r="X244">
            <v>0</v>
          </cell>
          <cell r="Y244" t="str">
            <v>Conquistar</v>
          </cell>
        </row>
        <row r="245">
          <cell r="A245" t="str">
            <v>-153</v>
          </cell>
          <cell r="B245" t="str">
            <v>-153 - FARMACIA DE GOUVEIA, SOCIEDAD ANONIMA</v>
          </cell>
          <cell r="C245" t="e">
            <v>#N/A</v>
          </cell>
          <cell r="D245">
            <v>3</v>
          </cell>
          <cell r="E245"/>
          <cell r="F245" t="str">
            <v>CENTRO ESTE</v>
          </cell>
          <cell r="G245" t="str">
            <v>MARCOS CRUCES</v>
          </cell>
          <cell r="H245"/>
          <cell r="I245" t="str">
            <v>AV</v>
          </cell>
          <cell r="J245" t="str">
            <v>Activo</v>
          </cell>
          <cell r="K245">
            <v>165197.05229418198</v>
          </cell>
          <cell r="L245">
            <v>16519.705229418199</v>
          </cell>
          <cell r="M245">
            <v>12592.099361872431</v>
          </cell>
          <cell r="N245" t="str">
            <v>Si Compra</v>
          </cell>
          <cell r="O245">
            <v>10</v>
          </cell>
          <cell r="P245">
            <v>687336.88584628457</v>
          </cell>
          <cell r="Q245">
            <v>68733.688584628457</v>
          </cell>
          <cell r="R245">
            <v>63642.219056543916</v>
          </cell>
          <cell r="T245"/>
          <cell r="U245"/>
          <cell r="V245">
            <v>0.24034364471911451</v>
          </cell>
          <cell r="W245">
            <v>6.3078619303372316E-4</v>
          </cell>
          <cell r="X245">
            <v>10</v>
          </cell>
          <cell r="Y245" t="str">
            <v>Potenciar</v>
          </cell>
        </row>
        <row r="246">
          <cell r="A246" t="str">
            <v>8389</v>
          </cell>
          <cell r="B246" t="str">
            <v>PEREIRA</v>
          </cell>
          <cell r="C246" t="str">
            <v>GRUPO</v>
          </cell>
          <cell r="D246">
            <v>9</v>
          </cell>
          <cell r="E246"/>
          <cell r="F246" t="str">
            <v>CARACAS</v>
          </cell>
          <cell r="H246"/>
          <cell r="I246"/>
          <cell r="J246" t="str">
            <v>Activo</v>
          </cell>
          <cell r="K246">
            <v>164730.91439171246</v>
          </cell>
          <cell r="L246">
            <v>16473.091439171247</v>
          </cell>
          <cell r="M246">
            <v>17288.929167589642</v>
          </cell>
          <cell r="N246" t="str">
            <v>Si Compra</v>
          </cell>
          <cell r="O246">
            <v>10</v>
          </cell>
          <cell r="P246">
            <v>989698.81103199173</v>
          </cell>
          <cell r="Q246">
            <v>98969.881103199179</v>
          </cell>
          <cell r="R246">
            <v>55652.791821951083</v>
          </cell>
          <cell r="S246"/>
          <cell r="T246"/>
          <cell r="U246"/>
          <cell r="V246">
            <v>0.1664455009498719</v>
          </cell>
          <cell r="W246">
            <v>6.2900629836342445E-4</v>
          </cell>
          <cell r="X246">
            <v>10</v>
          </cell>
          <cell r="Y246" t="str">
            <v>Conquistar</v>
          </cell>
        </row>
        <row r="247">
          <cell r="A247" t="str">
            <v>B532</v>
          </cell>
          <cell r="B247" t="str">
            <v>B532 - FARMACIA VICTORIA'S 2022, C.A.</v>
          </cell>
          <cell r="C247" t="str">
            <v>INDEPENDIENTE</v>
          </cell>
          <cell r="D247">
            <v>3</v>
          </cell>
          <cell r="E247"/>
          <cell r="F247" t="str">
            <v>CENTRO ESTE</v>
          </cell>
          <cell r="G247" t="str">
            <v>MARCOS CRUCES</v>
          </cell>
          <cell r="H247" t="str">
            <v>HECTOR</v>
          </cell>
          <cell r="I247" t="str">
            <v>$</v>
          </cell>
          <cell r="J247" t="str">
            <v>Activo</v>
          </cell>
          <cell r="K247">
            <v>164502.74756832476</v>
          </cell>
          <cell r="L247">
            <v>16450.274756832478</v>
          </cell>
          <cell r="M247">
            <v>9557.9822406842268</v>
          </cell>
          <cell r="N247" t="str">
            <v>Si Compra</v>
          </cell>
          <cell r="O247">
            <v>10</v>
          </cell>
          <cell r="P247">
            <v>514704.25829914305</v>
          </cell>
          <cell r="Q247">
            <v>51470.425829914304</v>
          </cell>
          <cell r="R247">
            <v>44512.203308189688</v>
          </cell>
          <cell r="T247"/>
          <cell r="U247"/>
          <cell r="V247">
            <v>0.31960634658809595</v>
          </cell>
          <cell r="W247">
            <v>6.2813506924702949E-4</v>
          </cell>
          <cell r="X247">
            <v>10</v>
          </cell>
          <cell r="Y247" t="str">
            <v>Potenciar</v>
          </cell>
        </row>
        <row r="248">
          <cell r="A248" t="str">
            <v>B320</v>
          </cell>
          <cell r="B248" t="str">
            <v>GRAN VICTORIA</v>
          </cell>
          <cell r="C248" t="str">
            <v>GRUPO</v>
          </cell>
          <cell r="D248">
            <v>6</v>
          </cell>
          <cell r="E248"/>
          <cell r="F248" t="str">
            <v>CARACAS</v>
          </cell>
          <cell r="H248"/>
          <cell r="I248"/>
          <cell r="J248" t="str">
            <v>Activo</v>
          </cell>
          <cell r="K248">
            <v>164328.02606677194</v>
          </cell>
          <cell r="L248">
            <v>16432.802606677193</v>
          </cell>
          <cell r="M248">
            <v>12028.893588364946</v>
          </cell>
          <cell r="N248" t="str">
            <v>Si Compra</v>
          </cell>
          <cell r="O248">
            <v>10</v>
          </cell>
          <cell r="P248">
            <v>1265911.7665845861</v>
          </cell>
          <cell r="Q248">
            <v>126591.17665845861</v>
          </cell>
          <cell r="R248">
            <v>163016.73287371438</v>
          </cell>
          <cell r="S248"/>
          <cell r="T248"/>
          <cell r="U248"/>
          <cell r="V248">
            <v>0.12981001551958621</v>
          </cell>
          <cell r="W248">
            <v>6.2746791502560069E-4</v>
          </cell>
          <cell r="X248">
            <v>10</v>
          </cell>
          <cell r="Y248" t="str">
            <v>Conquistar</v>
          </cell>
        </row>
        <row r="249">
          <cell r="A249" t="str">
            <v>C566</v>
          </cell>
          <cell r="B249" t="str">
            <v>C566 - FARMACIA FARMA SALUD INTEGRAL III, C.A.</v>
          </cell>
          <cell r="C249" t="str">
            <v>INDEPENDIENTE</v>
          </cell>
          <cell r="D249">
            <v>3</v>
          </cell>
          <cell r="E249"/>
          <cell r="F249" t="str">
            <v>ESTE</v>
          </cell>
          <cell r="G249" t="str">
            <v>JOSE RAMIREZ</v>
          </cell>
          <cell r="H249" t="str">
            <v>HECTOR</v>
          </cell>
          <cell r="I249" t="str">
            <v>A4</v>
          </cell>
          <cell r="J249" t="str">
            <v>Activo</v>
          </cell>
          <cell r="K249">
            <v>162125.89082062928</v>
          </cell>
          <cell r="L249">
            <v>16212.589082062928</v>
          </cell>
          <cell r="M249">
            <v>18040.292911732238</v>
          </cell>
          <cell r="N249" t="str">
            <v>Si Compra</v>
          </cell>
          <cell r="O249">
            <v>10</v>
          </cell>
          <cell r="P249">
            <v>187025.88778402822</v>
          </cell>
          <cell r="Q249">
            <v>18702.588778402824</v>
          </cell>
          <cell r="R249">
            <v>19257.493930501343</v>
          </cell>
          <cell r="T249"/>
          <cell r="U249"/>
          <cell r="V249">
            <v>0.86686336710694989</v>
          </cell>
          <cell r="W249">
            <v>6.1905931154770054E-4</v>
          </cell>
          <cell r="X249">
            <v>10</v>
          </cell>
          <cell r="Y249" t="str">
            <v>Proteger</v>
          </cell>
        </row>
        <row r="250">
          <cell r="A250" t="str">
            <v>6354</v>
          </cell>
          <cell r="B250" t="str">
            <v>VICTORIA PLAZA</v>
          </cell>
          <cell r="C250" t="e">
            <v>#N/A</v>
          </cell>
          <cell r="D250">
            <v>9</v>
          </cell>
          <cell r="E250">
            <v>8</v>
          </cell>
          <cell r="F250" t="str">
            <v>CENTRO ESTE</v>
          </cell>
          <cell r="G250" t="str">
            <v>MACOS CRUCES</v>
          </cell>
          <cell r="H250" t="str">
            <v>HECTOR</v>
          </cell>
          <cell r="I250">
            <v>0</v>
          </cell>
          <cell r="J250" t="str">
            <v>Activo</v>
          </cell>
          <cell r="K250">
            <v>160956.75540465527</v>
          </cell>
          <cell r="L250">
            <v>16095.675540465527</v>
          </cell>
          <cell r="M250">
            <v>25509.793385960638</v>
          </cell>
          <cell r="N250" t="str">
            <v>Si Compra</v>
          </cell>
          <cell r="O250">
            <v>10</v>
          </cell>
          <cell r="P250">
            <v>1152250.543632867</v>
          </cell>
          <cell r="Q250">
            <v>115225.0543632867</v>
          </cell>
          <cell r="R250">
            <v>78218.353334314175</v>
          </cell>
          <cell r="S250">
            <v>35000</v>
          </cell>
          <cell r="T250">
            <v>0</v>
          </cell>
          <cell r="U250">
            <v>8</v>
          </cell>
          <cell r="V250">
            <v>0.13968902535483613</v>
          </cell>
          <cell r="W250">
            <v>6.145951006677761E-4</v>
          </cell>
          <cell r="X250">
            <v>10</v>
          </cell>
          <cell r="Y250" t="str">
            <v>Conquistar</v>
          </cell>
        </row>
        <row r="251">
          <cell r="A251">
            <v>0</v>
          </cell>
          <cell r="B251" t="str">
            <v>S344 - ONIFARMACIA, C.A.</v>
          </cell>
          <cell r="C251" t="e">
            <v>#N/A</v>
          </cell>
          <cell r="D251">
            <v>0</v>
          </cell>
          <cell r="E251"/>
          <cell r="F251" t="str">
            <v>ANDES</v>
          </cell>
          <cell r="G251" t="str">
            <v>RAYNE ANDREINA NAVA</v>
          </cell>
          <cell r="H251" t="str">
            <v>VICTOR</v>
          </cell>
          <cell r="I251" t="str">
            <v>G1</v>
          </cell>
          <cell r="J251" t="str">
            <v>Activo</v>
          </cell>
          <cell r="K251">
            <v>160673.92873278228</v>
          </cell>
          <cell r="L251">
            <v>16067.392873278228</v>
          </cell>
          <cell r="M251">
            <v>9695.5001464810703</v>
          </cell>
          <cell r="N251" t="str">
            <v>Si Compra</v>
          </cell>
          <cell r="O251">
            <v>10</v>
          </cell>
          <cell r="P251">
            <v>1450662.7284824776</v>
          </cell>
          <cell r="Q251">
            <v>145066.27284824775</v>
          </cell>
          <cell r="R251">
            <v>127697.46607780068</v>
          </cell>
          <cell r="T251"/>
          <cell r="U251"/>
          <cell r="V251">
            <v>0.11075898317237497</v>
          </cell>
          <cell r="W251">
            <v>6.1351515912425828E-4</v>
          </cell>
          <cell r="X251">
            <v>10</v>
          </cell>
          <cell r="Y251" t="str">
            <v>Conquistar</v>
          </cell>
        </row>
        <row r="252">
          <cell r="A252" t="str">
            <v>B229</v>
          </cell>
          <cell r="B252" t="str">
            <v>GRUPO ROBERT</v>
          </cell>
          <cell r="C252" t="str">
            <v>GRUPO</v>
          </cell>
          <cell r="D252">
            <v>6</v>
          </cell>
          <cell r="E252">
            <v>0</v>
          </cell>
          <cell r="F252" t="str">
            <v>ANDES</v>
          </cell>
          <cell r="G252" t="str">
            <v/>
          </cell>
          <cell r="H252" t="str">
            <v>VICTOR</v>
          </cell>
          <cell r="I252">
            <v>0</v>
          </cell>
          <cell r="J252" t="str">
            <v>Activo</v>
          </cell>
          <cell r="K252">
            <v>158227.63103421073</v>
          </cell>
          <cell r="L252">
            <v>15822.763103421074</v>
          </cell>
          <cell r="M252">
            <v>19918.816265421909</v>
          </cell>
          <cell r="N252" t="str">
            <v>Si Compra</v>
          </cell>
          <cell r="O252">
            <v>10</v>
          </cell>
          <cell r="P252">
            <v>294353.04463726335</v>
          </cell>
          <cell r="Q252">
            <v>29435.304463726334</v>
          </cell>
          <cell r="R252">
            <v>21032.927659002315</v>
          </cell>
          <cell r="S252">
            <v>0</v>
          </cell>
          <cell r="T252">
            <v>0</v>
          </cell>
          <cell r="U252">
            <v>0</v>
          </cell>
          <cell r="V252">
            <v>0.53754372144917861</v>
          </cell>
          <cell r="W252">
            <v>6.0417424903609781E-4</v>
          </cell>
          <cell r="X252">
            <v>10</v>
          </cell>
          <cell r="Y252" t="str">
            <v>Potenciar</v>
          </cell>
        </row>
        <row r="253">
          <cell r="A253" t="str">
            <v>B459</v>
          </cell>
          <cell r="B253" t="str">
            <v>B459 - FARMACIA NENA 2008, C.A.</v>
          </cell>
          <cell r="C253" t="str">
            <v>INDEPENDIENTE</v>
          </cell>
          <cell r="D253">
            <v>3</v>
          </cell>
          <cell r="E253"/>
          <cell r="F253" t="str">
            <v>CENTRO OESTE</v>
          </cell>
          <cell r="G253" t="str">
            <v>DIEGO TORI</v>
          </cell>
          <cell r="H253" t="str">
            <v>HECTOR</v>
          </cell>
          <cell r="I253" t="str">
            <v xml:space="preserve">A </v>
          </cell>
          <cell r="J253" t="str">
            <v>Activo</v>
          </cell>
          <cell r="K253">
            <v>156310.3780516659</v>
          </cell>
          <cell r="L253">
            <v>15631.03780516659</v>
          </cell>
          <cell r="M253">
            <v>14987.619574412494</v>
          </cell>
          <cell r="N253" t="str">
            <v>Si Compra</v>
          </cell>
          <cell r="O253">
            <v>10</v>
          </cell>
          <cell r="P253">
            <v>494603.95629692706</v>
          </cell>
          <cell r="Q253">
            <v>49460.395629692706</v>
          </cell>
          <cell r="R253">
            <v>46579.791753849735</v>
          </cell>
          <cell r="T253"/>
          <cell r="U253"/>
          <cell r="V253">
            <v>0.31603139453625323</v>
          </cell>
          <cell r="W253">
            <v>5.9685343614539102E-4</v>
          </cell>
          <cell r="X253">
            <v>10</v>
          </cell>
          <cell r="Y253" t="str">
            <v>Potenciar</v>
          </cell>
        </row>
        <row r="254">
          <cell r="A254" t="str">
            <v>B739</v>
          </cell>
          <cell r="B254" t="str">
            <v>PROSALUD</v>
          </cell>
          <cell r="C254" t="e">
            <v>#N/A</v>
          </cell>
          <cell r="D254">
            <v>6</v>
          </cell>
          <cell r="E254">
            <v>3</v>
          </cell>
          <cell r="F254" t="str">
            <v>CARACAS</v>
          </cell>
          <cell r="G254" t="str">
            <v>PEDRO VIRE</v>
          </cell>
          <cell r="H254" t="str">
            <v>HECTOR</v>
          </cell>
          <cell r="I254" t="str">
            <v>A7</v>
          </cell>
          <cell r="J254" t="str">
            <v>Activo</v>
          </cell>
          <cell r="K254">
            <v>155906.63408829112</v>
          </cell>
          <cell r="L254">
            <v>15590.663408829112</v>
          </cell>
          <cell r="M254">
            <v>16848.736315688977</v>
          </cell>
          <cell r="N254" t="str">
            <v>Si Compra</v>
          </cell>
          <cell r="O254">
            <v>10</v>
          </cell>
          <cell r="P254">
            <v>864139.33937517426</v>
          </cell>
          <cell r="Q254">
            <v>86413.933937517431</v>
          </cell>
          <cell r="R254">
            <v>70491.250290209588</v>
          </cell>
          <cell r="S254">
            <v>30000</v>
          </cell>
          <cell r="T254">
            <v>5</v>
          </cell>
          <cell r="U254">
            <v>8</v>
          </cell>
          <cell r="V254">
            <v>0.1804183966454081</v>
          </cell>
          <cell r="W254">
            <v>5.9531178564932766E-4</v>
          </cell>
          <cell r="X254">
            <v>10</v>
          </cell>
          <cell r="Y254" t="str">
            <v>Conquistar</v>
          </cell>
        </row>
        <row r="255">
          <cell r="A255" t="str">
            <v>C481</v>
          </cell>
          <cell r="B255" t="str">
            <v>LAS TORRES</v>
          </cell>
          <cell r="C255" t="str">
            <v>GRUPO</v>
          </cell>
          <cell r="D255">
            <v>6</v>
          </cell>
          <cell r="E255">
            <v>0</v>
          </cell>
          <cell r="F255" t="str">
            <v>ANDES</v>
          </cell>
          <cell r="G255" t="str">
            <v/>
          </cell>
          <cell r="H255" t="str">
            <v>VICTOR</v>
          </cell>
          <cell r="I255">
            <v>0</v>
          </cell>
          <cell r="J255" t="str">
            <v>Activo</v>
          </cell>
          <cell r="K255">
            <v>153612.23777479958</v>
          </cell>
          <cell r="L255">
            <v>15361.223777479958</v>
          </cell>
          <cell r="M255">
            <v>9326.4808183769055</v>
          </cell>
          <cell r="N255" t="str">
            <v>Si Compra</v>
          </cell>
          <cell r="O255">
            <v>10</v>
          </cell>
          <cell r="P255">
            <v>565574.10936029232</v>
          </cell>
          <cell r="Q255">
            <v>56557.410936029235</v>
          </cell>
          <cell r="R255">
            <v>47941.980988815543</v>
          </cell>
          <cell r="S255">
            <v>0</v>
          </cell>
          <cell r="T255">
            <v>0</v>
          </cell>
          <cell r="U255">
            <v>0</v>
          </cell>
          <cell r="V255">
            <v>0.27160408376639938</v>
          </cell>
          <cell r="W255">
            <v>5.8655089375810531E-4</v>
          </cell>
          <cell r="X255">
            <v>10</v>
          </cell>
          <cell r="Y255" t="str">
            <v>Potenciar</v>
          </cell>
        </row>
        <row r="256">
          <cell r="A256" t="str">
            <v>B648</v>
          </cell>
          <cell r="B256" t="str">
            <v>GRUPO NEPOMUCENO</v>
          </cell>
          <cell r="C256" t="str">
            <v>CADENA</v>
          </cell>
          <cell r="D256">
            <v>12</v>
          </cell>
          <cell r="E256"/>
          <cell r="F256" t="str">
            <v>ANDES</v>
          </cell>
          <cell r="H256"/>
          <cell r="I256"/>
          <cell r="J256" t="str">
            <v>Activo</v>
          </cell>
          <cell r="K256">
            <v>152872.05307172867</v>
          </cell>
          <cell r="L256">
            <v>15287.205307172868</v>
          </cell>
          <cell r="M256">
            <v>21275.019381155693</v>
          </cell>
          <cell r="N256" t="str">
            <v>Si Compra</v>
          </cell>
          <cell r="O256">
            <v>10</v>
          </cell>
          <cell r="P256">
            <v>533735.07761891431</v>
          </cell>
          <cell r="Q256">
            <v>53373.507761891429</v>
          </cell>
          <cell r="R256">
            <v>35864.843429759778</v>
          </cell>
          <cell r="S256"/>
          <cell r="T256"/>
          <cell r="U256"/>
          <cell r="V256">
            <v>0.28641934825366488</v>
          </cell>
          <cell r="W256">
            <v>5.8372458248615576E-4</v>
          </cell>
          <cell r="X256">
            <v>10</v>
          </cell>
          <cell r="Y256" t="str">
            <v>Potenciar</v>
          </cell>
        </row>
        <row r="257">
          <cell r="A257" t="str">
            <v>7633</v>
          </cell>
          <cell r="B257" t="str">
            <v>MALANGA</v>
          </cell>
          <cell r="C257" t="str">
            <v>GRUPO</v>
          </cell>
          <cell r="D257">
            <v>6</v>
          </cell>
          <cell r="E257">
            <v>3</v>
          </cell>
          <cell r="F257" t="str">
            <v>CENTRO ESTE</v>
          </cell>
          <cell r="G257" t="str">
            <v>LAURA FLORES</v>
          </cell>
          <cell r="H257" t="str">
            <v>HECTOR</v>
          </cell>
          <cell r="I257">
            <v>0</v>
          </cell>
          <cell r="J257" t="str">
            <v>Activo</v>
          </cell>
          <cell r="K257">
            <v>152142.80488532761</v>
          </cell>
          <cell r="L257">
            <v>15214.280488532761</v>
          </cell>
          <cell r="M257">
            <v>16420.28529650647</v>
          </cell>
          <cell r="N257" t="str">
            <v>Si Compra</v>
          </cell>
          <cell r="O257">
            <v>10</v>
          </cell>
          <cell r="P257">
            <v>395007.55959659722</v>
          </cell>
          <cell r="Q257">
            <v>39500.75595965972</v>
          </cell>
          <cell r="R257">
            <v>31073.826757875853</v>
          </cell>
          <cell r="S257">
            <v>60000</v>
          </cell>
          <cell r="T257">
            <v>0</v>
          </cell>
          <cell r="U257">
            <v>3</v>
          </cell>
          <cell r="V257">
            <v>0.38516428657898083</v>
          </cell>
          <cell r="W257">
            <v>5.8094003106173007E-4</v>
          </cell>
          <cell r="X257">
            <v>10</v>
          </cell>
          <cell r="Y257" t="str">
            <v>Potenciar</v>
          </cell>
        </row>
        <row r="258">
          <cell r="A258" t="str">
            <v>B737</v>
          </cell>
          <cell r="B258" t="str">
            <v>B737 - FARMACIA FARMA EXPRESS PERIJA, C.A.</v>
          </cell>
          <cell r="C258" t="str">
            <v>INDEPENDIENTE</v>
          </cell>
          <cell r="D258">
            <v>3</v>
          </cell>
          <cell r="E258"/>
          <cell r="F258" t="str">
            <v>MARACAIBO</v>
          </cell>
          <cell r="G258" t="str">
            <v>YENNIFER LUZARDO</v>
          </cell>
          <cell r="H258" t="str">
            <v>VICTOR</v>
          </cell>
          <cell r="I258" t="str">
            <v>BE</v>
          </cell>
          <cell r="J258" t="str">
            <v>Inactivo</v>
          </cell>
          <cell r="K258">
            <v>151176.20340889908</v>
          </cell>
          <cell r="L258">
            <v>15117.620340889907</v>
          </cell>
          <cell r="M258">
            <v>16381.249187367377</v>
          </cell>
          <cell r="N258" t="str">
            <v>Si Compra</v>
          </cell>
          <cell r="O258">
            <v>10</v>
          </cell>
          <cell r="P258">
            <v>222659.02510292869</v>
          </cell>
          <cell r="Q258">
            <v>22265.902510292868</v>
          </cell>
          <cell r="R258">
            <v>20391.402175593536</v>
          </cell>
          <cell r="T258"/>
          <cell r="U258"/>
          <cell r="V258">
            <v>0.67895834601366278</v>
          </cell>
          <cell r="W258">
            <v>5.7724917304078098E-4</v>
          </cell>
          <cell r="X258">
            <v>10</v>
          </cell>
          <cell r="Y258" t="str">
            <v>Proteger</v>
          </cell>
        </row>
        <row r="259">
          <cell r="A259" t="str">
            <v>3694</v>
          </cell>
          <cell r="B259" t="str">
            <v>GRUPO KROMI MARKET</v>
          </cell>
          <cell r="C259" t="str">
            <v>CADENA</v>
          </cell>
          <cell r="D259">
            <v>15</v>
          </cell>
          <cell r="E259">
            <v>8</v>
          </cell>
          <cell r="F259" t="str">
            <v>CENTRO ESTE</v>
          </cell>
          <cell r="G259" t="str">
            <v>KARLA SALAZAR</v>
          </cell>
          <cell r="H259" t="str">
            <v>HECTOR</v>
          </cell>
          <cell r="I259">
            <v>0</v>
          </cell>
          <cell r="J259" t="str">
            <v>Activo</v>
          </cell>
          <cell r="K259">
            <v>150574.96981511696</v>
          </cell>
          <cell r="L259">
            <v>15057.496981511697</v>
          </cell>
          <cell r="M259">
            <v>6028.6614119626729</v>
          </cell>
          <cell r="N259" t="str">
            <v>Si Compra</v>
          </cell>
          <cell r="O259">
            <v>10</v>
          </cell>
          <cell r="P259">
            <v>933257.29272962734</v>
          </cell>
          <cell r="Q259">
            <v>93325.729272962737</v>
          </cell>
          <cell r="R259">
            <v>63162.111830045214</v>
          </cell>
          <cell r="S259">
            <v>100000</v>
          </cell>
          <cell r="T259">
            <v>0</v>
          </cell>
          <cell r="U259">
            <v>8</v>
          </cell>
          <cell r="V259">
            <v>0.16134346978924688</v>
          </cell>
          <cell r="W259">
            <v>5.74953430807618E-4</v>
          </cell>
          <cell r="X259">
            <v>10</v>
          </cell>
          <cell r="Y259" t="str">
            <v>Conquistar</v>
          </cell>
        </row>
        <row r="260">
          <cell r="A260" t="str">
            <v>D072</v>
          </cell>
          <cell r="B260" t="str">
            <v>FARMA EXITO (SORELIS)</v>
          </cell>
          <cell r="C260" t="str">
            <v>GRUPO</v>
          </cell>
          <cell r="D260">
            <v>10</v>
          </cell>
          <cell r="E260"/>
          <cell r="F260" t="str">
            <v>ANDES</v>
          </cell>
          <cell r="H260"/>
          <cell r="I260"/>
          <cell r="J260" t="str">
            <v>Activo</v>
          </cell>
          <cell r="K260">
            <v>149691.08738266694</v>
          </cell>
          <cell r="L260">
            <v>14969.108738266694</v>
          </cell>
          <cell r="M260">
            <v>25487.067489610679</v>
          </cell>
          <cell r="N260" t="str">
            <v>Si Compra</v>
          </cell>
          <cell r="O260">
            <v>10</v>
          </cell>
          <cell r="P260">
            <v>154076.66351027854</v>
          </cell>
          <cell r="Q260">
            <v>15407.666351027854</v>
          </cell>
          <cell r="R260">
            <v>19316.338665428721</v>
          </cell>
          <cell r="S260"/>
          <cell r="T260"/>
          <cell r="U260"/>
          <cell r="V260">
            <v>0.97153640254340634</v>
          </cell>
          <cell r="W260">
            <v>5.7157842606684521E-4</v>
          </cell>
          <cell r="X260">
            <v>10</v>
          </cell>
          <cell r="Y260" t="str">
            <v>Proteger</v>
          </cell>
        </row>
        <row r="261">
          <cell r="A261" t="str">
            <v>B681</v>
          </cell>
          <cell r="B261" t="str">
            <v>B681 - FARMACIA FARMACHICA CENTRO, C.A.</v>
          </cell>
          <cell r="C261" t="str">
            <v>INDEPENDIENTE</v>
          </cell>
          <cell r="D261">
            <v>3</v>
          </cell>
          <cell r="E261"/>
          <cell r="F261" t="str">
            <v>MARACAIBO</v>
          </cell>
          <cell r="G261" t="str">
            <v>JOEL JIMENEZ</v>
          </cell>
          <cell r="H261" t="str">
            <v>VICTOR</v>
          </cell>
          <cell r="I261" t="str">
            <v>D</v>
          </cell>
          <cell r="J261" t="str">
            <v>Activo</v>
          </cell>
          <cell r="K261">
            <v>148337.69152169896</v>
          </cell>
          <cell r="L261">
            <v>14833.769152169896</v>
          </cell>
          <cell r="M261">
            <v>16487.93047929549</v>
          </cell>
          <cell r="N261" t="str">
            <v>Si Compra</v>
          </cell>
          <cell r="O261">
            <v>10</v>
          </cell>
          <cell r="P261">
            <v>317488.91488293972</v>
          </cell>
          <cell r="Q261">
            <v>31748.891488293972</v>
          </cell>
          <cell r="R261">
            <v>31494.237488432966</v>
          </cell>
          <cell r="T261"/>
          <cell r="U261"/>
          <cell r="V261">
            <v>0.4672216400890471</v>
          </cell>
          <cell r="W261">
            <v>5.6641063759270643E-4</v>
          </cell>
          <cell r="X261">
            <v>10</v>
          </cell>
          <cell r="Y261" t="str">
            <v>Potenciar</v>
          </cell>
        </row>
        <row r="262">
          <cell r="A262" t="str">
            <v>B642</v>
          </cell>
          <cell r="B262" t="str">
            <v>ALFREDO GOMEZ</v>
          </cell>
          <cell r="C262" t="str">
            <v>GRUPO</v>
          </cell>
          <cell r="D262">
            <v>7</v>
          </cell>
          <cell r="E262"/>
          <cell r="F262" t="str">
            <v>CENTRO OESTE</v>
          </cell>
          <cell r="H262"/>
          <cell r="I262"/>
          <cell r="J262" t="str">
            <v>Inactivo</v>
          </cell>
          <cell r="K262">
            <v>148026.02713939903</v>
          </cell>
          <cell r="L262">
            <v>14802.602713939903</v>
          </cell>
          <cell r="M262">
            <v>10802.189025415662</v>
          </cell>
          <cell r="N262" t="str">
            <v>Si Compra</v>
          </cell>
          <cell r="O262">
            <v>10</v>
          </cell>
          <cell r="P262">
            <v>414203.04511687666</v>
          </cell>
          <cell r="Q262">
            <v>41420.304511687667</v>
          </cell>
          <cell r="R262">
            <v>31623.828161607351</v>
          </cell>
          <cell r="S262"/>
          <cell r="T262"/>
          <cell r="U262"/>
          <cell r="V262">
            <v>0.35737551639107379</v>
          </cell>
          <cell r="W262">
            <v>5.6522058252522799E-4</v>
          </cell>
          <cell r="X262">
            <v>10</v>
          </cell>
          <cell r="Y262" t="str">
            <v>Potenciar</v>
          </cell>
        </row>
        <row r="263">
          <cell r="A263" t="str">
            <v>B219</v>
          </cell>
          <cell r="B263" t="str">
            <v>DISTUFAR</v>
          </cell>
          <cell r="C263" t="str">
            <v>GRUPO</v>
          </cell>
          <cell r="D263">
            <v>21</v>
          </cell>
          <cell r="E263">
            <v>6</v>
          </cell>
          <cell r="F263" t="str">
            <v>CENTRO ESTE</v>
          </cell>
          <cell r="G263" t="str">
            <v>MACOS CRUCES</v>
          </cell>
          <cell r="H263" t="str">
            <v>HECTOR</v>
          </cell>
          <cell r="I263">
            <v>0</v>
          </cell>
          <cell r="J263" t="str">
            <v>Permiso</v>
          </cell>
          <cell r="K263">
            <v>146679.69902181096</v>
          </cell>
          <cell r="L263">
            <v>14667.969902181096</v>
          </cell>
          <cell r="M263">
            <v>16427.907996136775</v>
          </cell>
          <cell r="N263" t="str">
            <v>Si Compra</v>
          </cell>
          <cell r="O263">
            <v>10</v>
          </cell>
          <cell r="P263">
            <v>977630.15792540938</v>
          </cell>
          <cell r="Q263">
            <v>97763.015792540944</v>
          </cell>
          <cell r="R263">
            <v>80277.127603899789</v>
          </cell>
          <cell r="S263">
            <v>25000</v>
          </cell>
          <cell r="T263">
            <v>0</v>
          </cell>
          <cell r="U263">
            <v>6</v>
          </cell>
          <cell r="V263">
            <v>0.15003598020449183</v>
          </cell>
          <cell r="W263">
            <v>5.6007978142694139E-4</v>
          </cell>
          <cell r="X263">
            <v>10</v>
          </cell>
          <cell r="Y263" t="str">
            <v>Conquistar</v>
          </cell>
        </row>
        <row r="264">
          <cell r="A264" t="str">
            <v>8525</v>
          </cell>
          <cell r="B264" t="str">
            <v>8525 - FARMALIDER 2011 II C.A</v>
          </cell>
          <cell r="C264" t="str">
            <v>INDEPENDIENTE</v>
          </cell>
          <cell r="D264">
            <v>3</v>
          </cell>
          <cell r="E264"/>
          <cell r="F264" t="str">
            <v>ANDES</v>
          </cell>
          <cell r="G264" t="str">
            <v>JESUS CONTRERAS</v>
          </cell>
          <cell r="H264"/>
          <cell r="I264" t="str">
            <v>G2</v>
          </cell>
          <cell r="J264" t="str">
            <v>Inactivo</v>
          </cell>
          <cell r="K264">
            <v>145006.18812220846</v>
          </cell>
          <cell r="L264">
            <v>14500.618812220846</v>
          </cell>
          <cell r="M264">
            <v>14616.535040556779</v>
          </cell>
          <cell r="N264" t="str">
            <v>Si Compra</v>
          </cell>
          <cell r="O264">
            <v>10</v>
          </cell>
          <cell r="P264">
            <v>231312.59437360099</v>
          </cell>
          <cell r="Q264">
            <v>23131.259437360099</v>
          </cell>
          <cell r="R264">
            <v>18751.889657098309</v>
          </cell>
          <cell r="T264"/>
          <cell r="U264"/>
          <cell r="V264">
            <v>0.62688410250590998</v>
          </cell>
          <cell r="W264">
            <v>5.5368967001332586E-4</v>
          </cell>
          <cell r="X264">
            <v>10</v>
          </cell>
          <cell r="Y264" t="str">
            <v>Proteger</v>
          </cell>
        </row>
        <row r="265">
          <cell r="A265" t="str">
            <v>A694</v>
          </cell>
          <cell r="B265" t="str">
            <v>FARMACIAS 2409</v>
          </cell>
          <cell r="C265" t="e">
            <v>#N/A</v>
          </cell>
          <cell r="D265">
            <v>8</v>
          </cell>
          <cell r="E265">
            <v>3</v>
          </cell>
          <cell r="F265" t="str">
            <v>ESTE</v>
          </cell>
          <cell r="G265" t="str">
            <v>ADOLFO GONZALEZ</v>
          </cell>
          <cell r="H265" t="str">
            <v>HECTOR</v>
          </cell>
          <cell r="I265" t="str">
            <v>A8</v>
          </cell>
          <cell r="J265" t="str">
            <v>Activo</v>
          </cell>
          <cell r="K265">
            <v>144208.09823935918</v>
          </cell>
          <cell r="L265">
            <v>14420.809823935919</v>
          </cell>
          <cell r="M265">
            <v>7731.4629977367658</v>
          </cell>
          <cell r="N265" t="str">
            <v>Si Compra</v>
          </cell>
          <cell r="O265">
            <v>10</v>
          </cell>
          <cell r="P265">
            <v>1276521.6320897224</v>
          </cell>
          <cell r="Q265">
            <v>127652.16320897224</v>
          </cell>
          <cell r="R265">
            <v>131019.09799465181</v>
          </cell>
          <cell r="S265">
            <v>20000</v>
          </cell>
          <cell r="T265">
            <v>3</v>
          </cell>
          <cell r="U265">
            <v>6</v>
          </cell>
          <cell r="V265">
            <v>0.11296956872033899</v>
          </cell>
          <cell r="W265">
            <v>5.5064225438508131E-4</v>
          </cell>
          <cell r="X265">
            <v>10</v>
          </cell>
          <cell r="Y265" t="str">
            <v>Conquistar</v>
          </cell>
        </row>
        <row r="266">
          <cell r="A266" t="str">
            <v>3139</v>
          </cell>
          <cell r="B266" t="str">
            <v>DROVENCA</v>
          </cell>
          <cell r="C266" t="str">
            <v>CADENA</v>
          </cell>
          <cell r="D266">
            <v>13</v>
          </cell>
          <cell r="E266"/>
          <cell r="F266" t="str">
            <v>ANDES</v>
          </cell>
          <cell r="H266"/>
          <cell r="I266"/>
          <cell r="J266" t="str">
            <v>Activo</v>
          </cell>
          <cell r="K266">
            <v>143980.35792758258</v>
          </cell>
          <cell r="L266">
            <v>14398.035792758257</v>
          </cell>
          <cell r="M266">
            <v>13101.568955531829</v>
          </cell>
          <cell r="N266" t="str">
            <v>Si Compra</v>
          </cell>
          <cell r="O266">
            <v>10</v>
          </cell>
          <cell r="P266">
            <v>394608.95935633907</v>
          </cell>
          <cell r="Q266">
            <v>39460.895935633904</v>
          </cell>
          <cell r="R266">
            <v>26964.353521322522</v>
          </cell>
          <cell r="S266"/>
          <cell r="T266"/>
          <cell r="U266"/>
          <cell r="V266">
            <v>0.36486844637900301</v>
          </cell>
          <cell r="W266">
            <v>5.4977265385486079E-4</v>
          </cell>
          <cell r="X266">
            <v>10</v>
          </cell>
          <cell r="Y266" t="str">
            <v>Potenciar</v>
          </cell>
        </row>
        <row r="267">
          <cell r="A267" t="str">
            <v>D432</v>
          </cell>
          <cell r="B267" t="str">
            <v>MEDIHOME</v>
          </cell>
          <cell r="C267" t="str">
            <v>GRUPO</v>
          </cell>
          <cell r="D267">
            <v>2</v>
          </cell>
          <cell r="E267"/>
          <cell r="F267" t="str">
            <v>ANDES</v>
          </cell>
          <cell r="H267"/>
          <cell r="I267"/>
          <cell r="J267" t="str">
            <v>Inactivo</v>
          </cell>
          <cell r="K267">
            <v>143833.44471914638</v>
          </cell>
          <cell r="L267">
            <v>20547.634959878054</v>
          </cell>
          <cell r="M267">
            <v>25183.387044314481</v>
          </cell>
          <cell r="N267" t="str">
            <v>Si Compra</v>
          </cell>
          <cell r="O267">
            <v>4</v>
          </cell>
          <cell r="P267">
            <v>142158.73405958762</v>
          </cell>
          <cell r="Q267">
            <v>20308.39057994109</v>
          </cell>
          <cell r="R267">
            <v>24434.741229793817</v>
          </cell>
          <cell r="S267"/>
          <cell r="T267"/>
          <cell r="U267"/>
          <cell r="V267">
            <v>1.0117805681841312</v>
          </cell>
          <cell r="W267">
            <v>7.8458811777748602E-4</v>
          </cell>
          <cell r="X267">
            <v>4</v>
          </cell>
          <cell r="Y267" t="str">
            <v>Proteger</v>
          </cell>
        </row>
        <row r="268">
          <cell r="A268" t="str">
            <v>4164</v>
          </cell>
          <cell r="B268" t="str">
            <v>4164 - FARMACIA IMPROMECEN,C.A.</v>
          </cell>
          <cell r="C268" t="str">
            <v>INDEPENDIENTE</v>
          </cell>
          <cell r="D268">
            <v>3</v>
          </cell>
          <cell r="E268"/>
          <cell r="F268" t="str">
            <v>ANDES</v>
          </cell>
          <cell r="G268" t="str">
            <v>ANYERSSON TORRES</v>
          </cell>
          <cell r="H268"/>
          <cell r="I268" t="str">
            <v>4</v>
          </cell>
          <cell r="J268" t="str">
            <v>Activo</v>
          </cell>
          <cell r="K268">
            <v>142975.321055145</v>
          </cell>
          <cell r="L268">
            <v>14297.5321055145</v>
          </cell>
          <cell r="M268">
            <v>17569.521593899681</v>
          </cell>
          <cell r="N268" t="str">
            <v>Si Compra</v>
          </cell>
          <cell r="O268">
            <v>10</v>
          </cell>
          <cell r="P268">
            <v>385346.95582262793</v>
          </cell>
          <cell r="Q268">
            <v>38534.695582262793</v>
          </cell>
          <cell r="R268">
            <v>33302.072451707907</v>
          </cell>
          <cell r="T268"/>
          <cell r="U268"/>
          <cell r="V268">
            <v>0.37103010389669555</v>
          </cell>
          <cell r="W268">
            <v>5.4593503463696788E-4</v>
          </cell>
          <cell r="X268">
            <v>10</v>
          </cell>
          <cell r="Y268" t="str">
            <v>Potenciar</v>
          </cell>
        </row>
        <row r="269">
          <cell r="A269" t="str">
            <v>A649</v>
          </cell>
          <cell r="B269" t="str">
            <v>A649 - FARMACIA FARMA MEDICAL, C.A</v>
          </cell>
          <cell r="C269" t="str">
            <v>INDEPENDIENTE</v>
          </cell>
          <cell r="D269">
            <v>3</v>
          </cell>
          <cell r="E269"/>
          <cell r="F269" t="str">
            <v>CENTRO ESTE</v>
          </cell>
          <cell r="G269" t="str">
            <v>ELIANA PERAZA</v>
          </cell>
          <cell r="H269" t="str">
            <v>HECTOR</v>
          </cell>
          <cell r="I269" t="str">
            <v>M</v>
          </cell>
          <cell r="J269" t="str">
            <v>Activo</v>
          </cell>
          <cell r="K269">
            <v>142638.48670493183</v>
          </cell>
          <cell r="L269">
            <v>14263.848670493182</v>
          </cell>
          <cell r="M269">
            <v>13723.034420298876</v>
          </cell>
          <cell r="N269" t="str">
            <v>Si Compra</v>
          </cell>
          <cell r="O269">
            <v>10</v>
          </cell>
          <cell r="P269">
            <v>398717.22523847921</v>
          </cell>
          <cell r="Q269">
            <v>39871.722523847922</v>
          </cell>
          <cell r="R269">
            <v>40153.264483338273</v>
          </cell>
          <cell r="T269"/>
          <cell r="U269"/>
          <cell r="V269">
            <v>0.35774347752249086</v>
          </cell>
          <cell r="W269">
            <v>5.4464887090400007E-4</v>
          </cell>
          <cell r="X269">
            <v>10</v>
          </cell>
          <cell r="Y269" t="str">
            <v>Potenciar</v>
          </cell>
        </row>
        <row r="270">
          <cell r="A270" t="str">
            <v>B858</v>
          </cell>
          <cell r="B270" t="str">
            <v>GRUPO BIG FARMA</v>
          </cell>
          <cell r="C270" t="str">
            <v>CADENA</v>
          </cell>
          <cell r="D270">
            <v>1</v>
          </cell>
          <cell r="E270"/>
          <cell r="F270" t="str">
            <v>CARACAS</v>
          </cell>
          <cell r="H270"/>
          <cell r="I270"/>
          <cell r="J270" t="str">
            <v>Activo</v>
          </cell>
          <cell r="K270">
            <v>142367.21306895497</v>
          </cell>
          <cell r="L270">
            <v>17795.901633619371</v>
          </cell>
          <cell r="M270">
            <v>91612.948448020194</v>
          </cell>
          <cell r="N270" t="str">
            <v>Si Compra</v>
          </cell>
          <cell r="O270">
            <v>7</v>
          </cell>
          <cell r="P270">
            <v>167658.20578805392</v>
          </cell>
          <cell r="Q270">
            <v>20957.27572350674</v>
          </cell>
          <cell r="R270">
            <v>92200.629801937088</v>
          </cell>
          <cell r="S270"/>
          <cell r="T270"/>
          <cell r="U270"/>
          <cell r="V270">
            <v>0.84915147695740756</v>
          </cell>
          <cell r="W270">
            <v>6.795163041458653E-4</v>
          </cell>
          <cell r="X270">
            <v>7</v>
          </cell>
          <cell r="Y270" t="str">
            <v>Proteger</v>
          </cell>
        </row>
        <row r="271">
          <cell r="A271" t="str">
            <v>B035</v>
          </cell>
          <cell r="B271" t="str">
            <v>ALKOSTO (MARACAIBO)</v>
          </cell>
          <cell r="C271" t="str">
            <v>GRUPO</v>
          </cell>
          <cell r="D271">
            <v>30</v>
          </cell>
          <cell r="E271">
            <v>0</v>
          </cell>
          <cell r="F271" t="str">
            <v>MARACAIBO</v>
          </cell>
          <cell r="G271" t="str">
            <v/>
          </cell>
          <cell r="H271" t="str">
            <v>VICTOR</v>
          </cell>
          <cell r="I271">
            <v>0</v>
          </cell>
          <cell r="J271" t="str">
            <v>Activo</v>
          </cell>
          <cell r="K271">
            <v>141702.21809044553</v>
          </cell>
          <cell r="L271">
            <v>15744.690898938392</v>
          </cell>
          <cell r="M271">
            <v>41215.643263481848</v>
          </cell>
          <cell r="N271" t="str">
            <v>Si Compra</v>
          </cell>
          <cell r="O271">
            <v>9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6.0119315052595713E-4</v>
          </cell>
          <cell r="X271">
            <v>0</v>
          </cell>
          <cell r="Y271" t="str">
            <v>Conquistar</v>
          </cell>
        </row>
        <row r="272">
          <cell r="A272" t="str">
            <v>4661</v>
          </cell>
          <cell r="B272" t="str">
            <v>4661 - FARMACIA LA LLANERITA DE GUANARITO,C.A</v>
          </cell>
          <cell r="C272" t="str">
            <v>INDEPENDIENTE</v>
          </cell>
          <cell r="D272">
            <v>3</v>
          </cell>
          <cell r="E272"/>
          <cell r="F272" t="str">
            <v>CENTRO OESTE</v>
          </cell>
          <cell r="G272" t="str">
            <v>SORALI SILVA</v>
          </cell>
          <cell r="H272"/>
          <cell r="I272" t="str">
            <v>L</v>
          </cell>
          <cell r="J272" t="str">
            <v>Activo</v>
          </cell>
          <cell r="K272">
            <v>140872.15882861216</v>
          </cell>
          <cell r="L272">
            <v>14087.215882861216</v>
          </cell>
          <cell r="M272">
            <v>16668.983777097248</v>
          </cell>
          <cell r="N272" t="str">
            <v>Si Compra</v>
          </cell>
          <cell r="O272">
            <v>10</v>
          </cell>
          <cell r="P272">
            <v>685541.37841222703</v>
          </cell>
          <cell r="Q272">
            <v>68554.137841222706</v>
          </cell>
          <cell r="R272">
            <v>75309.076106406093</v>
          </cell>
          <cell r="T272"/>
          <cell r="U272"/>
          <cell r="V272">
            <v>0.20549038068990705</v>
          </cell>
          <cell r="W272">
            <v>5.379043484002395E-4</v>
          </cell>
          <cell r="X272">
            <v>10</v>
          </cell>
          <cell r="Y272" t="str">
            <v>Conquistar</v>
          </cell>
        </row>
        <row r="273">
          <cell r="A273" t="str">
            <v>B849</v>
          </cell>
          <cell r="B273" t="str">
            <v>INVERSIONES FARMAX</v>
          </cell>
          <cell r="C273" t="str">
            <v>GRUPO</v>
          </cell>
          <cell r="D273">
            <v>6</v>
          </cell>
          <cell r="E273">
            <v>3</v>
          </cell>
          <cell r="F273" t="str">
            <v>CARACAS</v>
          </cell>
          <cell r="G273" t="str">
            <v>VARIOS</v>
          </cell>
          <cell r="H273" t="str">
            <v>VICTOR</v>
          </cell>
          <cell r="I273" t="str">
            <v>VARIAS</v>
          </cell>
          <cell r="J273" t="str">
            <v>Activo</v>
          </cell>
          <cell r="K273">
            <v>139280.97955041306</v>
          </cell>
          <cell r="L273">
            <v>13928.097955041307</v>
          </cell>
          <cell r="M273">
            <v>13505.50055716528</v>
          </cell>
          <cell r="N273" t="str">
            <v>Si Compra</v>
          </cell>
          <cell r="O273">
            <v>10</v>
          </cell>
          <cell r="P273">
            <v>224448.36970607773</v>
          </cell>
          <cell r="Q273">
            <v>22444.836970607772</v>
          </cell>
          <cell r="R273">
            <v>14025.29765940475</v>
          </cell>
          <cell r="S273">
            <v>40000</v>
          </cell>
          <cell r="T273">
            <v>4</v>
          </cell>
          <cell r="U273">
            <v>7</v>
          </cell>
          <cell r="V273">
            <v>0.62054796714632388</v>
          </cell>
          <cell r="W273">
            <v>5.3182861093767288E-4</v>
          </cell>
          <cell r="X273">
            <v>10</v>
          </cell>
          <cell r="Y273" t="str">
            <v>Proteger</v>
          </cell>
        </row>
        <row r="274">
          <cell r="A274" t="str">
            <v>C415</v>
          </cell>
          <cell r="B274" t="str">
            <v>C415 - FARMACIA EL SAMAN DE PERIJA, C.A</v>
          </cell>
          <cell r="C274" t="str">
            <v>INDEPENDIENTE</v>
          </cell>
          <cell r="D274">
            <v>3</v>
          </cell>
          <cell r="E274"/>
          <cell r="F274" t="str">
            <v>MARACAIBO</v>
          </cell>
          <cell r="G274" t="str">
            <v>YENNIFER LUZARDO</v>
          </cell>
          <cell r="H274" t="str">
            <v>VICTOR</v>
          </cell>
          <cell r="I274" t="str">
            <v>B</v>
          </cell>
          <cell r="J274" t="str">
            <v>Activo</v>
          </cell>
          <cell r="K274">
            <v>138959.65267132851</v>
          </cell>
          <cell r="L274">
            <v>13895.965267132851</v>
          </cell>
          <cell r="M274">
            <v>29181.270119925564</v>
          </cell>
          <cell r="N274" t="str">
            <v>Si Compra</v>
          </cell>
          <cell r="O274">
            <v>10</v>
          </cell>
          <cell r="P274">
            <v>776553.98488251818</v>
          </cell>
          <cell r="Q274">
            <v>77655.398488251813</v>
          </cell>
          <cell r="R274">
            <v>103646.0177377865</v>
          </cell>
          <cell r="T274"/>
          <cell r="U274"/>
          <cell r="V274">
            <v>0.17894396960998299</v>
          </cell>
          <cell r="W274">
            <v>5.3060166072299098E-4</v>
          </cell>
          <cell r="X274">
            <v>10</v>
          </cell>
          <cell r="Y274" t="str">
            <v>Conquistar</v>
          </cell>
        </row>
        <row r="275">
          <cell r="A275">
            <v>0</v>
          </cell>
          <cell r="B275" t="str">
            <v>S365 - FARMA EXTRA, C.A.</v>
          </cell>
          <cell r="C275" t="e">
            <v>#N/A</v>
          </cell>
          <cell r="D275">
            <v>0</v>
          </cell>
          <cell r="E275"/>
          <cell r="F275" t="str">
            <v>ANDES</v>
          </cell>
          <cell r="G275" t="str">
            <v>ZULAY PARRA</v>
          </cell>
          <cell r="H275" t="str">
            <v>VICTOR</v>
          </cell>
          <cell r="I275" t="str">
            <v>5</v>
          </cell>
          <cell r="J275" t="str">
            <v>Activo</v>
          </cell>
          <cell r="K275">
            <v>137651.27004335451</v>
          </cell>
          <cell r="L275">
            <v>13765.127004335451</v>
          </cell>
          <cell r="M275">
            <v>12364.935649878405</v>
          </cell>
          <cell r="N275" t="str">
            <v>Si Compra</v>
          </cell>
          <cell r="O275">
            <v>10</v>
          </cell>
          <cell r="P275">
            <v>1416047.0588623583</v>
          </cell>
          <cell r="Q275">
            <v>141604.70588623584</v>
          </cell>
          <cell r="R275">
            <v>111068.68604589619</v>
          </cell>
          <cell r="T275"/>
          <cell r="U275"/>
          <cell r="V275">
            <v>9.7208118319134465E-2</v>
          </cell>
          <cell r="W275">
            <v>5.2560575016968717E-4</v>
          </cell>
          <cell r="X275">
            <v>10</v>
          </cell>
          <cell r="Y275" t="str">
            <v>Conquistar</v>
          </cell>
        </row>
        <row r="276">
          <cell r="A276" t="str">
            <v>D369</v>
          </cell>
          <cell r="B276" t="str">
            <v>D369 - FARMACIA ESPIGA DORADA, C.A</v>
          </cell>
          <cell r="C276" t="str">
            <v>INDEPENDIENTE</v>
          </cell>
          <cell r="D276">
            <v>3</v>
          </cell>
          <cell r="E276"/>
          <cell r="F276" t="str">
            <v>CENTRO ESTE</v>
          </cell>
          <cell r="G276" t="str">
            <v>KARLA SALAZAR</v>
          </cell>
          <cell r="H276"/>
          <cell r="I276" t="str">
            <v>O</v>
          </cell>
          <cell r="J276" t="str">
            <v>Activo</v>
          </cell>
          <cell r="K276">
            <v>135286.50019498781</v>
          </cell>
          <cell r="L276">
            <v>13528.65001949878</v>
          </cell>
          <cell r="M276">
            <v>11813.40924571375</v>
          </cell>
          <cell r="N276" t="str">
            <v>Si Compra</v>
          </cell>
          <cell r="O276">
            <v>10</v>
          </cell>
          <cell r="P276">
            <v>170292.950947178</v>
          </cell>
          <cell r="Q276">
            <v>17029.2950947178</v>
          </cell>
          <cell r="R276">
            <v>13676.858087093491</v>
          </cell>
          <cell r="T276"/>
          <cell r="U276"/>
          <cell r="V276">
            <v>0.79443394129068434</v>
          </cell>
          <cell r="W276">
            <v>5.1657614492348818E-4</v>
          </cell>
          <cell r="X276">
            <v>10</v>
          </cell>
          <cell r="Y276" t="str">
            <v>Proteger</v>
          </cell>
        </row>
        <row r="277">
          <cell r="A277" t="str">
            <v>E219</v>
          </cell>
          <cell r="B277" t="str">
            <v>E219 - FARMACIA LA UNIVERSAL 25, C.A</v>
          </cell>
          <cell r="C277" t="e">
            <v>#N/A</v>
          </cell>
          <cell r="D277">
            <v>2</v>
          </cell>
          <cell r="F277" t="str">
            <v>MARACAIBO</v>
          </cell>
          <cell r="G277">
            <v>0</v>
          </cell>
          <cell r="H277"/>
          <cell r="I277" t="str">
            <v>S</v>
          </cell>
          <cell r="J277" t="str">
            <v>Activo</v>
          </cell>
          <cell r="K277">
            <v>135123.5024</v>
          </cell>
          <cell r="L277">
            <v>27024.70048</v>
          </cell>
          <cell r="M277">
            <v>10755.95595</v>
          </cell>
          <cell r="N277" t="str">
            <v>Si Compra</v>
          </cell>
          <cell r="O277">
            <v>5</v>
          </cell>
          <cell r="P277">
            <v>0</v>
          </cell>
          <cell r="Q277">
            <v>0</v>
          </cell>
          <cell r="R277">
            <v>0</v>
          </cell>
          <cell r="V277">
            <v>0</v>
          </cell>
          <cell r="W277">
            <v>1.031907512689692E-3</v>
          </cell>
          <cell r="X277">
            <v>0</v>
          </cell>
          <cell r="Y277" t="str">
            <v>Conquistar</v>
          </cell>
        </row>
        <row r="278">
          <cell r="A278" t="str">
            <v>9865</v>
          </cell>
          <cell r="B278" t="str">
            <v>FARMANATURA</v>
          </cell>
          <cell r="C278" t="str">
            <v>CADENA</v>
          </cell>
          <cell r="D278">
            <v>7</v>
          </cell>
          <cell r="E278"/>
          <cell r="F278" t="str">
            <v>CENTRO OESTE</v>
          </cell>
          <cell r="H278"/>
          <cell r="I278"/>
          <cell r="J278" t="str">
            <v>Inactivo</v>
          </cell>
          <cell r="K278">
            <v>134740.7389095205</v>
          </cell>
          <cell r="L278">
            <v>13474.07389095205</v>
          </cell>
          <cell r="M278">
            <v>12997.058966666666</v>
          </cell>
          <cell r="N278" t="str">
            <v>Si Compra</v>
          </cell>
          <cell r="O278">
            <v>10</v>
          </cell>
          <cell r="P278">
            <v>723410.87972623366</v>
          </cell>
          <cell r="Q278">
            <v>72341.087972623369</v>
          </cell>
          <cell r="R278">
            <v>75318.025433333343</v>
          </cell>
          <cell r="S278"/>
          <cell r="T278"/>
          <cell r="U278"/>
          <cell r="V278">
            <v>0.18625755111743902</v>
          </cell>
          <cell r="W278">
            <v>5.1449221740308628E-4</v>
          </cell>
          <cell r="X278">
            <v>10</v>
          </cell>
          <cell r="Y278" t="str">
            <v>Conquistar</v>
          </cell>
        </row>
        <row r="279">
          <cell r="A279" t="str">
            <v>D317</v>
          </cell>
          <cell r="B279" t="str">
            <v>HOSPITALITO</v>
          </cell>
          <cell r="C279" t="e">
            <v>#N/A</v>
          </cell>
          <cell r="D279">
            <v>5</v>
          </cell>
          <cell r="E279"/>
          <cell r="F279" t="str">
            <v>CARACAS</v>
          </cell>
          <cell r="H279"/>
          <cell r="I279"/>
          <cell r="J279" t="str">
            <v>Activo</v>
          </cell>
          <cell r="K279">
            <v>134566.14581076044</v>
          </cell>
          <cell r="L279">
            <v>13456.614581076044</v>
          </cell>
          <cell r="M279">
            <v>16547.595277062039</v>
          </cell>
          <cell r="N279" t="str">
            <v>Si Compra</v>
          </cell>
          <cell r="O279">
            <v>10</v>
          </cell>
          <cell r="P279">
            <v>180629.00217179544</v>
          </cell>
          <cell r="Q279">
            <v>18062.900217179544</v>
          </cell>
          <cell r="R279">
            <v>-64215.846997395332</v>
          </cell>
          <cell r="S279"/>
          <cell r="T279"/>
          <cell r="U279"/>
          <cell r="V279">
            <v>0.74498637645562138</v>
          </cell>
          <cell r="W279">
            <v>5.1382555347314707E-4</v>
          </cell>
          <cell r="X279">
            <v>9</v>
          </cell>
          <cell r="Y279" t="str">
            <v>Proteger</v>
          </cell>
        </row>
        <row r="280">
          <cell r="A280" t="str">
            <v>3796</v>
          </cell>
          <cell r="B280" t="str">
            <v>FARMACIAS EMANUEL</v>
          </cell>
          <cell r="C280" t="str">
            <v>GRUPO</v>
          </cell>
          <cell r="D280">
            <v>10</v>
          </cell>
          <cell r="E280">
            <v>0</v>
          </cell>
          <cell r="F280" t="str">
            <v>MARACAIBO</v>
          </cell>
          <cell r="G280" t="str">
            <v/>
          </cell>
          <cell r="H280" t="str">
            <v>VICTOR</v>
          </cell>
          <cell r="I280">
            <v>0</v>
          </cell>
          <cell r="J280" t="str">
            <v>Activo</v>
          </cell>
          <cell r="K280">
            <v>133425.32874759001</v>
          </cell>
          <cell r="L280">
            <v>13342.532874759001</v>
          </cell>
          <cell r="M280">
            <v>7418.4389952809188</v>
          </cell>
          <cell r="N280" t="str">
            <v>Si Compra</v>
          </cell>
          <cell r="O280">
            <v>10</v>
          </cell>
          <cell r="P280">
            <v>176804.57978311329</v>
          </cell>
          <cell r="Q280">
            <v>17680.457978311329</v>
          </cell>
          <cell r="R280">
            <v>8787.8144999999986</v>
          </cell>
          <cell r="S280">
            <v>0</v>
          </cell>
          <cell r="T280">
            <v>0</v>
          </cell>
          <cell r="U280">
            <v>0</v>
          </cell>
          <cell r="V280">
            <v>0.75464860079565388</v>
          </cell>
          <cell r="W280">
            <v>5.0946947300904949E-4</v>
          </cell>
          <cell r="X280">
            <v>10</v>
          </cell>
          <cell r="Y280" t="str">
            <v>Proteger</v>
          </cell>
        </row>
        <row r="281">
          <cell r="A281" t="str">
            <v>1095</v>
          </cell>
          <cell r="B281" t="str">
            <v>1095 - FARMACIA LAS MERCEDES DE RIO CHICO, C.A.</v>
          </cell>
          <cell r="C281" t="str">
            <v>INDEPENDIENTE</v>
          </cell>
          <cell r="D281">
            <v>3</v>
          </cell>
          <cell r="E281"/>
          <cell r="F281" t="str">
            <v>CARACAS</v>
          </cell>
          <cell r="G281" t="str">
            <v>MAIRUBI QUIJADA</v>
          </cell>
          <cell r="H281"/>
          <cell r="I281" t="str">
            <v>C7</v>
          </cell>
          <cell r="J281" t="str">
            <v>Activo</v>
          </cell>
          <cell r="K281">
            <v>133127.30426514888</v>
          </cell>
          <cell r="L281">
            <v>13312.730426514889</v>
          </cell>
          <cell r="M281">
            <v>13328.443632843404</v>
          </cell>
          <cell r="N281" t="str">
            <v>Si Compra</v>
          </cell>
          <cell r="O281">
            <v>10</v>
          </cell>
          <cell r="P281">
            <v>167078.3779768844</v>
          </cell>
          <cell r="Q281">
            <v>16707.83779768844</v>
          </cell>
          <cell r="R281">
            <v>15768.266197838644</v>
          </cell>
          <cell r="T281"/>
          <cell r="U281"/>
          <cell r="V281">
            <v>0.79679552720799873</v>
          </cell>
          <cell r="W281">
            <v>5.0833150035094709E-4</v>
          </cell>
          <cell r="X281">
            <v>10</v>
          </cell>
          <cell r="Y281" t="str">
            <v>Proteger</v>
          </cell>
        </row>
        <row r="282">
          <cell r="A282" t="str">
            <v>B062</v>
          </cell>
          <cell r="B282" t="str">
            <v>FARMACAPSULA</v>
          </cell>
          <cell r="C282" t="str">
            <v>CADENA</v>
          </cell>
          <cell r="D282">
            <v>12</v>
          </cell>
          <cell r="E282"/>
          <cell r="F282" t="str">
            <v>ESTE</v>
          </cell>
          <cell r="H282"/>
          <cell r="I282"/>
          <cell r="J282" t="str">
            <v>Activo</v>
          </cell>
          <cell r="K282">
            <v>132561.02591293433</v>
          </cell>
          <cell r="L282">
            <v>13256.102591293433</v>
          </cell>
          <cell r="M282">
            <v>8863.6041029168719</v>
          </cell>
          <cell r="N282" t="str">
            <v>Si Compra</v>
          </cell>
          <cell r="O282">
            <v>10</v>
          </cell>
          <cell r="P282">
            <v>538016.41847707774</v>
          </cell>
          <cell r="Q282">
            <v>53801.641847707775</v>
          </cell>
          <cell r="R282">
            <v>65751.078184122263</v>
          </cell>
          <cell r="S282"/>
          <cell r="T282"/>
          <cell r="U282"/>
          <cell r="V282">
            <v>0.24638843975833444</v>
          </cell>
          <cell r="W282">
            <v>5.0616923074001769E-4</v>
          </cell>
          <cell r="X282">
            <v>10</v>
          </cell>
          <cell r="Y282" t="str">
            <v>Potenciar</v>
          </cell>
        </row>
        <row r="283">
          <cell r="A283" t="str">
            <v>2167</v>
          </cell>
          <cell r="B283" t="str">
            <v>2167 - FARMACIA EL COLIBRI, C.A.</v>
          </cell>
          <cell r="C283" t="str">
            <v>INDEPENDIENTE</v>
          </cell>
          <cell r="D283">
            <v>3</v>
          </cell>
          <cell r="E283"/>
          <cell r="F283" t="str">
            <v>CARACAS</v>
          </cell>
          <cell r="G283" t="str">
            <v>WILLIAM ARAQUE</v>
          </cell>
          <cell r="H283"/>
          <cell r="I283" t="str">
            <v>C3</v>
          </cell>
          <cell r="J283" t="str">
            <v>Inactivo</v>
          </cell>
          <cell r="K283">
            <v>132363.90812911032</v>
          </cell>
          <cell r="L283">
            <v>13236.390812911031</v>
          </cell>
          <cell r="M283">
            <v>16685.141809756267</v>
          </cell>
          <cell r="N283" t="str">
            <v>Si Compra</v>
          </cell>
          <cell r="O283">
            <v>10</v>
          </cell>
          <cell r="P283">
            <v>264498.0769377572</v>
          </cell>
          <cell r="Q283">
            <v>26449.807693775721</v>
          </cell>
          <cell r="R283">
            <v>29949.192001631553</v>
          </cell>
          <cell r="T283"/>
          <cell r="U283"/>
          <cell r="V283">
            <v>0.50043429298829545</v>
          </cell>
          <cell r="W283">
            <v>5.0541655885688889E-4</v>
          </cell>
          <cell r="X283">
            <v>10</v>
          </cell>
          <cell r="Y283" t="str">
            <v>Potenciar</v>
          </cell>
        </row>
        <row r="284">
          <cell r="A284" t="str">
            <v>A507</v>
          </cell>
          <cell r="B284" t="str">
            <v>A507 - FARMACIA GENERICA, C.A.</v>
          </cell>
          <cell r="C284" t="str">
            <v>INDEPENDIENTE</v>
          </cell>
          <cell r="D284">
            <v>3</v>
          </cell>
          <cell r="E284"/>
          <cell r="F284" t="str">
            <v>ESTE</v>
          </cell>
          <cell r="G284">
            <v>0</v>
          </cell>
          <cell r="H284"/>
          <cell r="I284" t="str">
            <v>A8</v>
          </cell>
          <cell r="J284" t="str">
            <v>Activo</v>
          </cell>
          <cell r="K284">
            <v>132286.85434576328</v>
          </cell>
          <cell r="L284">
            <v>13228.685434576328</v>
          </cell>
          <cell r="M284">
            <v>13131.40546701144</v>
          </cell>
          <cell r="N284" t="str">
            <v>Si Compra</v>
          </cell>
          <cell r="O284">
            <v>10</v>
          </cell>
          <cell r="P284">
            <v>0</v>
          </cell>
          <cell r="Q284">
            <v>0</v>
          </cell>
          <cell r="R284">
            <v>0</v>
          </cell>
          <cell r="T284"/>
          <cell r="U284"/>
          <cell r="V284">
            <v>0</v>
          </cell>
          <cell r="W284">
            <v>5.0512233773138257E-4</v>
          </cell>
          <cell r="X284">
            <v>0</v>
          </cell>
          <cell r="Y284" t="str">
            <v>Conquistar</v>
          </cell>
        </row>
        <row r="285">
          <cell r="A285" t="str">
            <v>6846</v>
          </cell>
          <cell r="B285" t="str">
            <v>SAN ELIAS</v>
          </cell>
          <cell r="C285" t="e">
            <v>#N/A</v>
          </cell>
          <cell r="D285">
            <v>10</v>
          </cell>
          <cell r="E285">
            <v>8</v>
          </cell>
          <cell r="F285" t="str">
            <v>ESTE</v>
          </cell>
          <cell r="G285" t="str">
            <v>JOSE RAMIREZ</v>
          </cell>
          <cell r="H285" t="str">
            <v>HECTOR</v>
          </cell>
          <cell r="I285" t="str">
            <v>A2</v>
          </cell>
          <cell r="J285" t="str">
            <v>Activo</v>
          </cell>
          <cell r="K285">
            <v>132248.49253385267</v>
          </cell>
          <cell r="L285">
            <v>13224.849253385266</v>
          </cell>
          <cell r="M285">
            <v>12536.438432830517</v>
          </cell>
          <cell r="N285" t="str">
            <v>Si Compra</v>
          </cell>
          <cell r="O285">
            <v>10</v>
          </cell>
          <cell r="P285">
            <v>1163450.9645376967</v>
          </cell>
          <cell r="Q285">
            <v>116345.09645376967</v>
          </cell>
          <cell r="R285">
            <v>113300.23969139547</v>
          </cell>
          <cell r="S285">
            <v>63000</v>
          </cell>
          <cell r="T285">
            <v>0</v>
          </cell>
          <cell r="U285">
            <v>3</v>
          </cell>
          <cell r="V285">
            <v>0.11366915887718765</v>
          </cell>
          <cell r="W285">
            <v>5.0497585750696611E-4</v>
          </cell>
          <cell r="X285">
            <v>10</v>
          </cell>
          <cell r="Y285" t="str">
            <v>Conquistar</v>
          </cell>
        </row>
        <row r="286">
          <cell r="A286" t="str">
            <v>D300</v>
          </cell>
          <cell r="B286" t="str">
            <v>D300 - FARMACIA SAN JOSE, C.A.</v>
          </cell>
          <cell r="C286" t="str">
            <v>INDEPENDIENTE</v>
          </cell>
          <cell r="D286">
            <v>3</v>
          </cell>
          <cell r="E286"/>
          <cell r="F286" t="str">
            <v>ANDES</v>
          </cell>
          <cell r="G286" t="str">
            <v>ANYERSSON TORRES</v>
          </cell>
          <cell r="H286"/>
          <cell r="I286" t="str">
            <v>4</v>
          </cell>
          <cell r="J286" t="str">
            <v>Activo</v>
          </cell>
          <cell r="K286">
            <v>131547.95197826432</v>
          </cell>
          <cell r="L286">
            <v>13154.795197826432</v>
          </cell>
          <cell r="M286">
            <v>23716.119226088118</v>
          </cell>
          <cell r="N286" t="str">
            <v>Si Compra</v>
          </cell>
          <cell r="O286">
            <v>10</v>
          </cell>
          <cell r="P286">
            <v>701964.11917144922</v>
          </cell>
          <cell r="Q286">
            <v>70196.411917144927</v>
          </cell>
          <cell r="R286">
            <v>59177.430623816421</v>
          </cell>
          <cell r="T286"/>
          <cell r="U286"/>
          <cell r="V286">
            <v>0.18739982341766212</v>
          </cell>
          <cell r="W286">
            <v>5.0230092291225932E-4</v>
          </cell>
          <cell r="X286">
            <v>10</v>
          </cell>
          <cell r="Y286" t="str">
            <v>Conquistar</v>
          </cell>
        </row>
        <row r="287">
          <cell r="A287" t="str">
            <v>A40</v>
          </cell>
          <cell r="B287" t="str">
            <v>A40 - FARMACIA URDANETA S.R.L.</v>
          </cell>
          <cell r="C287" t="str">
            <v>INDEPENDIENTE</v>
          </cell>
          <cell r="D287">
            <v>3</v>
          </cell>
          <cell r="E287"/>
          <cell r="F287" t="str">
            <v>CENTRO OESTE</v>
          </cell>
          <cell r="G287">
            <v>0</v>
          </cell>
          <cell r="H287"/>
          <cell r="I287" t="str">
            <v>A</v>
          </cell>
          <cell r="J287" t="str">
            <v>Activo</v>
          </cell>
          <cell r="K287">
            <v>131187.98049584258</v>
          </cell>
          <cell r="L287">
            <v>13118.798049584258</v>
          </cell>
          <cell r="M287">
            <v>10840.506983219493</v>
          </cell>
          <cell r="N287" t="str">
            <v>Si Compra</v>
          </cell>
          <cell r="O287">
            <v>10</v>
          </cell>
          <cell r="P287">
            <v>0</v>
          </cell>
          <cell r="Q287">
            <v>0</v>
          </cell>
          <cell r="R287">
            <v>0</v>
          </cell>
          <cell r="T287"/>
          <cell r="U287"/>
          <cell r="V287">
            <v>0</v>
          </cell>
          <cell r="W287">
            <v>5.0092641266619782E-4</v>
          </cell>
          <cell r="X287">
            <v>0</v>
          </cell>
          <cell r="Y287" t="str">
            <v>Conquistar</v>
          </cell>
        </row>
        <row r="288">
          <cell r="A288" t="str">
            <v>D412</v>
          </cell>
          <cell r="B288" t="str">
            <v>FARMAURORA</v>
          </cell>
          <cell r="C288" t="e">
            <v>#N/A</v>
          </cell>
          <cell r="D288">
            <v>5</v>
          </cell>
          <cell r="E288"/>
          <cell r="F288" t="str">
            <v>ANDES</v>
          </cell>
          <cell r="H288"/>
          <cell r="I288"/>
          <cell r="J288" t="str">
            <v>Activo</v>
          </cell>
          <cell r="K288">
            <v>130991.685315925</v>
          </cell>
          <cell r="L288">
            <v>18713.097902275</v>
          </cell>
          <cell r="M288">
            <v>14372.27659063996</v>
          </cell>
          <cell r="N288" t="str">
            <v>Si Compra</v>
          </cell>
          <cell r="O288">
            <v>7</v>
          </cell>
          <cell r="P288">
            <v>240200.28730494654</v>
          </cell>
          <cell r="Q288">
            <v>34314.326757849507</v>
          </cell>
          <cell r="R288">
            <v>24319.86673284875</v>
          </cell>
          <cell r="S288"/>
          <cell r="T288"/>
          <cell r="U288"/>
          <cell r="V288">
            <v>0.5453435829975688</v>
          </cell>
          <cell r="W288">
            <v>7.1453840257530536E-4</v>
          </cell>
          <cell r="X288">
            <v>7</v>
          </cell>
          <cell r="Y288" t="str">
            <v>Potenciar</v>
          </cell>
        </row>
        <row r="289">
          <cell r="A289" t="str">
            <v>C880</v>
          </cell>
          <cell r="B289" t="str">
            <v>C880 - FARMACIA FARMA EXCELSIOR,C.A</v>
          </cell>
          <cell r="C289" t="str">
            <v>INDEPENDIENTE</v>
          </cell>
          <cell r="D289">
            <v>3</v>
          </cell>
          <cell r="E289"/>
          <cell r="F289" t="str">
            <v>CENTRO OESTE</v>
          </cell>
          <cell r="G289" t="str">
            <v>YAMILEX LAMEDA</v>
          </cell>
          <cell r="H289"/>
          <cell r="I289" t="str">
            <v>Y1</v>
          </cell>
          <cell r="J289" t="str">
            <v>Activo</v>
          </cell>
          <cell r="K289">
            <v>130363.0760904192</v>
          </cell>
          <cell r="L289">
            <v>13036.30760904192</v>
          </cell>
          <cell r="M289">
            <v>15973.6856770494</v>
          </cell>
          <cell r="N289" t="str">
            <v>Si Compra</v>
          </cell>
          <cell r="O289">
            <v>10</v>
          </cell>
          <cell r="P289">
            <v>273748.8119621533</v>
          </cell>
          <cell r="Q289">
            <v>27374.88119621533</v>
          </cell>
          <cell r="R289">
            <v>28120.407916303579</v>
          </cell>
          <cell r="T289"/>
          <cell r="U289"/>
          <cell r="V289">
            <v>0.47621421680705717</v>
          </cell>
          <cell r="W289">
            <v>4.9777660882716112E-4</v>
          </cell>
          <cell r="X289">
            <v>10</v>
          </cell>
          <cell r="Y289" t="str">
            <v>Potenciar</v>
          </cell>
        </row>
        <row r="290">
          <cell r="A290" t="str">
            <v>2931</v>
          </cell>
          <cell r="B290" t="str">
            <v>DRA. LETICIA</v>
          </cell>
          <cell r="C290" t="str">
            <v>GRUPO</v>
          </cell>
          <cell r="D290">
            <v>6</v>
          </cell>
          <cell r="E290"/>
          <cell r="F290" t="str">
            <v>CENTRO ESTE</v>
          </cell>
          <cell r="H290"/>
          <cell r="I290"/>
          <cell r="J290" t="str">
            <v>Activo</v>
          </cell>
          <cell r="K290">
            <v>130194.20766104061</v>
          </cell>
          <cell r="L290">
            <v>13019.42076610406</v>
          </cell>
          <cell r="M290">
            <v>9905.7803980973531</v>
          </cell>
          <cell r="N290" t="str">
            <v>Si Compra</v>
          </cell>
          <cell r="O290">
            <v>10</v>
          </cell>
          <cell r="P290">
            <v>297970.38692524208</v>
          </cell>
          <cell r="Q290">
            <v>29797.038692524209</v>
          </cell>
          <cell r="R290">
            <v>20921.453849395682</v>
          </cell>
          <cell r="S290"/>
          <cell r="T290"/>
          <cell r="U290"/>
          <cell r="V290">
            <v>0.43693673389666426</v>
          </cell>
          <cell r="W290">
            <v>4.9713180389746048E-4</v>
          </cell>
          <cell r="X290">
            <v>10</v>
          </cell>
          <cell r="Y290" t="str">
            <v>Potenciar</v>
          </cell>
        </row>
        <row r="291">
          <cell r="A291" t="str">
            <v>0183</v>
          </cell>
          <cell r="B291" t="str">
            <v>GRUPO AHORRO SALUD</v>
          </cell>
          <cell r="C291" t="str">
            <v>GRUPO</v>
          </cell>
          <cell r="D291">
            <v>21</v>
          </cell>
          <cell r="E291"/>
          <cell r="F291" t="str">
            <v>ESTE</v>
          </cell>
          <cell r="H291"/>
          <cell r="I291"/>
          <cell r="J291" t="str">
            <v>Activo</v>
          </cell>
          <cell r="K291">
            <v>130179.47771280425</v>
          </cell>
          <cell r="L291">
            <v>13017.947771280426</v>
          </cell>
          <cell r="M291">
            <v>11555.364971458703</v>
          </cell>
          <cell r="N291" t="str">
            <v>Si Compra</v>
          </cell>
          <cell r="O291">
            <v>10</v>
          </cell>
          <cell r="P291">
            <v>1281129.5407147082</v>
          </cell>
          <cell r="Q291">
            <v>128112.95407147081</v>
          </cell>
          <cell r="R291">
            <v>106172.39764681701</v>
          </cell>
          <cell r="S291"/>
          <cell r="T291"/>
          <cell r="U291"/>
          <cell r="V291">
            <v>0.10161304815450636</v>
          </cell>
          <cell r="W291">
            <v>4.9707555926208373E-4</v>
          </cell>
          <cell r="X291">
            <v>10</v>
          </cell>
          <cell r="Y291" t="str">
            <v>Conquistar</v>
          </cell>
        </row>
        <row r="292">
          <cell r="A292" t="str">
            <v>D769</v>
          </cell>
          <cell r="B292" t="str">
            <v>D769 - FARMALIDER 2024, C.A</v>
          </cell>
          <cell r="C292" t="str">
            <v>INDEPENDIENTE</v>
          </cell>
          <cell r="D292">
            <v>3</v>
          </cell>
          <cell r="E292"/>
          <cell r="F292" t="str">
            <v>MARACAIBO</v>
          </cell>
          <cell r="G292" t="str">
            <v>YENNIFER LUZARDO</v>
          </cell>
          <cell r="H292" t="str">
            <v>VICTOR</v>
          </cell>
          <cell r="I292" t="str">
            <v>BE</v>
          </cell>
          <cell r="J292" t="str">
            <v>Inactivo</v>
          </cell>
          <cell r="K292">
            <v>130150.64227219333</v>
          </cell>
          <cell r="L292">
            <v>13015.064227219333</v>
          </cell>
          <cell r="M292">
            <v>12631.917148808332</v>
          </cell>
          <cell r="N292" t="str">
            <v>Si Compra</v>
          </cell>
          <cell r="O292">
            <v>9</v>
          </cell>
          <cell r="P292">
            <v>216605.70321177968</v>
          </cell>
          <cell r="Q292">
            <v>21660.570321177969</v>
          </cell>
          <cell r="R292">
            <v>19768.64871089923</v>
          </cell>
          <cell r="T292"/>
          <cell r="U292"/>
          <cell r="V292">
            <v>0.60086433709892884</v>
          </cell>
          <cell r="W292">
            <v>4.9696545440515796E-4</v>
          </cell>
          <cell r="X292">
            <v>10</v>
          </cell>
          <cell r="Y292" t="str">
            <v>Potenciar</v>
          </cell>
        </row>
        <row r="293">
          <cell r="A293" t="str">
            <v>-136</v>
          </cell>
          <cell r="B293" t="str">
            <v>GRUPO FARMACLUB (ARAGUA)</v>
          </cell>
          <cell r="C293" t="str">
            <v>CADENA</v>
          </cell>
          <cell r="D293">
            <v>24</v>
          </cell>
          <cell r="E293">
            <v>0</v>
          </cell>
          <cell r="F293" t="str">
            <v>CENTRO ESTE</v>
          </cell>
          <cell r="G293" t="str">
            <v>MARCOS CRUCES</v>
          </cell>
          <cell r="H293" t="str">
            <v>HECTOR</v>
          </cell>
          <cell r="I293">
            <v>0</v>
          </cell>
          <cell r="J293" t="str">
            <v>Activo</v>
          </cell>
          <cell r="K293">
            <v>129888.85784336744</v>
          </cell>
          <cell r="L293">
            <v>12988.885784336744</v>
          </cell>
          <cell r="M293">
            <v>32372.044652043394</v>
          </cell>
          <cell r="N293" t="str">
            <v>Si Compra</v>
          </cell>
          <cell r="O293">
            <v>10</v>
          </cell>
          <cell r="P293">
            <v>4654459.6531247795</v>
          </cell>
          <cell r="Q293">
            <v>465445.96531247796</v>
          </cell>
          <cell r="R293">
            <v>164136.61011329276</v>
          </cell>
          <cell r="S293">
            <v>80000</v>
          </cell>
          <cell r="T293">
            <v>8</v>
          </cell>
          <cell r="U293">
            <v>8</v>
          </cell>
          <cell r="V293">
            <v>2.7906323724638225E-2</v>
          </cell>
          <cell r="W293">
            <v>4.9596586027825717E-4</v>
          </cell>
          <cell r="X293">
            <v>10</v>
          </cell>
          <cell r="Y293" t="str">
            <v>Conquistar</v>
          </cell>
        </row>
        <row r="294">
          <cell r="A294" t="str">
            <v>I233</v>
          </cell>
          <cell r="B294" t="str">
            <v>GRUPO ANALITICA</v>
          </cell>
          <cell r="C294" t="str">
            <v>GRUPO</v>
          </cell>
          <cell r="D294">
            <v>6</v>
          </cell>
          <cell r="E294"/>
          <cell r="F294" t="str">
            <v>CENTRO ESTE</v>
          </cell>
          <cell r="H294"/>
          <cell r="I294"/>
          <cell r="J294" t="str">
            <v>Activo</v>
          </cell>
          <cell r="K294">
            <v>129504.13848036469</v>
          </cell>
          <cell r="L294">
            <v>12950.413848036469</v>
          </cell>
          <cell r="M294">
            <v>11157.959703773924</v>
          </cell>
          <cell r="N294" t="str">
            <v>Si Compra</v>
          </cell>
          <cell r="O294">
            <v>10</v>
          </cell>
          <cell r="P294">
            <v>216210.07453166271</v>
          </cell>
          <cell r="Q294">
            <v>21621.007453166272</v>
          </cell>
          <cell r="R294">
            <v>15599.873778833547</v>
          </cell>
          <cell r="S294"/>
          <cell r="T294"/>
          <cell r="U294"/>
          <cell r="V294">
            <v>0.59897365449267981</v>
          </cell>
          <cell r="W294">
            <v>4.9449685305927413E-4</v>
          </cell>
          <cell r="X294">
            <v>10</v>
          </cell>
          <cell r="Y294" t="str">
            <v>Potenciar</v>
          </cell>
        </row>
        <row r="295">
          <cell r="A295" t="str">
            <v>3771</v>
          </cell>
          <cell r="B295" t="str">
            <v>GRUPO NEW FARMACIAS (VALENCIA)</v>
          </cell>
          <cell r="C295" t="str">
            <v>CADENA</v>
          </cell>
          <cell r="D295">
            <v>18</v>
          </cell>
          <cell r="E295">
            <v>3</v>
          </cell>
          <cell r="F295" t="str">
            <v>CENTRO ESTE</v>
          </cell>
          <cell r="G295" t="str">
            <v>KARLA SALAZAR</v>
          </cell>
          <cell r="H295" t="str">
            <v>HECTOR</v>
          </cell>
          <cell r="I295">
            <v>0</v>
          </cell>
          <cell r="J295" t="str">
            <v>Activo</v>
          </cell>
          <cell r="K295">
            <v>129501.04995282479</v>
          </cell>
          <cell r="L295">
            <v>12950.10499528248</v>
          </cell>
          <cell r="M295">
            <v>12818.102542326278</v>
          </cell>
          <cell r="N295" t="str">
            <v>Si Compra</v>
          </cell>
          <cell r="O295">
            <v>10</v>
          </cell>
          <cell r="P295">
            <v>846030.9109229258</v>
          </cell>
          <cell r="Q295">
            <v>84603.091092292583</v>
          </cell>
          <cell r="R295">
            <v>67942.867836665231</v>
          </cell>
          <cell r="S295">
            <v>150000</v>
          </cell>
          <cell r="T295">
            <v>0</v>
          </cell>
          <cell r="U295">
            <v>3</v>
          </cell>
          <cell r="V295">
            <v>0.15306893433899893</v>
          </cell>
          <cell r="W295">
            <v>4.9448505986743503E-4</v>
          </cell>
          <cell r="X295">
            <v>10</v>
          </cell>
          <cell r="Y295" t="str">
            <v>Conquistar</v>
          </cell>
        </row>
        <row r="296">
          <cell r="A296" t="str">
            <v>8528</v>
          </cell>
          <cell r="B296" t="str">
            <v>MEDITOTAL</v>
          </cell>
          <cell r="C296" t="str">
            <v>INDEPENDIENTE</v>
          </cell>
          <cell r="D296">
            <v>3</v>
          </cell>
          <cell r="E296"/>
          <cell r="F296" t="str">
            <v>ESTE</v>
          </cell>
          <cell r="H296"/>
          <cell r="I296"/>
          <cell r="J296" t="str">
            <v>Inactivo</v>
          </cell>
          <cell r="K296">
            <v>128230.73539078074</v>
          </cell>
          <cell r="L296">
            <v>12823.073539078074</v>
          </cell>
          <cell r="M296">
            <v>11325.192439211271</v>
          </cell>
          <cell r="N296" t="str">
            <v>Si Compra</v>
          </cell>
          <cell r="O296">
            <v>10</v>
          </cell>
          <cell r="P296">
            <v>0</v>
          </cell>
          <cell r="Q296">
            <v>0</v>
          </cell>
          <cell r="R296">
            <v>0</v>
          </cell>
          <cell r="S296"/>
          <cell r="T296"/>
          <cell r="U296"/>
          <cell r="V296">
            <v>0</v>
          </cell>
          <cell r="W296">
            <v>4.8963450790286286E-4</v>
          </cell>
          <cell r="X296">
            <v>0</v>
          </cell>
          <cell r="Y296" t="str">
            <v>Conquistar</v>
          </cell>
        </row>
        <row r="297">
          <cell r="A297" t="str">
            <v>G148</v>
          </cell>
          <cell r="B297" t="str">
            <v>G148 - LA FARMACIA MIRABEL,C.A.</v>
          </cell>
          <cell r="C297" t="str">
            <v>INDEPENDIENTE</v>
          </cell>
          <cell r="D297">
            <v>3</v>
          </cell>
          <cell r="F297" t="str">
            <v>ANDES</v>
          </cell>
          <cell r="G297" t="str">
            <v>MILAGRO BRICEñO</v>
          </cell>
          <cell r="H297" t="str">
            <v>VICTOR</v>
          </cell>
          <cell r="I297" t="str">
            <v>G</v>
          </cell>
          <cell r="J297" t="str">
            <v>Activo</v>
          </cell>
          <cell r="K297">
            <v>127629.19598363101</v>
          </cell>
          <cell r="L297">
            <v>12762.919598363102</v>
          </cell>
          <cell r="M297">
            <v>10963.113753689207</v>
          </cell>
          <cell r="N297" t="str">
            <v>Si Compra</v>
          </cell>
          <cell r="O297">
            <v>10</v>
          </cell>
          <cell r="P297">
            <v>185316.04071684682</v>
          </cell>
          <cell r="Q297">
            <v>18531.604071684684</v>
          </cell>
          <cell r="R297">
            <v>14530.409940794407</v>
          </cell>
          <cell r="V297">
            <v>0.68871100143263753</v>
          </cell>
          <cell r="W297">
            <v>4.8733759795606776E-4</v>
          </cell>
          <cell r="X297">
            <v>10</v>
          </cell>
          <cell r="Y297" t="str">
            <v>Proteger</v>
          </cell>
        </row>
        <row r="298">
          <cell r="A298" t="str">
            <v>A325</v>
          </cell>
          <cell r="B298" t="str">
            <v>24 HORAS</v>
          </cell>
          <cell r="C298" t="e">
            <v>#N/A</v>
          </cell>
          <cell r="D298">
            <v>6</v>
          </cell>
          <cell r="E298">
            <v>8</v>
          </cell>
          <cell r="F298" t="str">
            <v>ESTE</v>
          </cell>
          <cell r="G298" t="str">
            <v>JOSE RAMIREZ</v>
          </cell>
          <cell r="H298" t="str">
            <v>HECTOR</v>
          </cell>
          <cell r="I298" t="str">
            <v>A2</v>
          </cell>
          <cell r="J298" t="str">
            <v>Activo</v>
          </cell>
          <cell r="K298">
            <v>125447.9852815168</v>
          </cell>
          <cell r="L298">
            <v>12544.798528151679</v>
          </cell>
          <cell r="M298">
            <v>11920.22720089838</v>
          </cell>
          <cell r="N298" t="str">
            <v>Si Compra</v>
          </cell>
          <cell r="O298">
            <v>10</v>
          </cell>
          <cell r="P298">
            <v>1189543.9321321386</v>
          </cell>
          <cell r="Q298">
            <v>118954.39321321386</v>
          </cell>
          <cell r="R298">
            <v>91611.008083091976</v>
          </cell>
          <cell r="S298">
            <v>30000</v>
          </cell>
          <cell r="T298">
            <v>5</v>
          </cell>
          <cell r="U298">
            <v>8</v>
          </cell>
          <cell r="V298">
            <v>0.10545889217951272</v>
          </cell>
          <cell r="W298">
            <v>4.7900889247444152E-4</v>
          </cell>
          <cell r="X298">
            <v>10</v>
          </cell>
          <cell r="Y298" t="str">
            <v>Conquistar</v>
          </cell>
        </row>
        <row r="299">
          <cell r="A299" t="str">
            <v>J30</v>
          </cell>
          <cell r="B299" t="str">
            <v>J30 - FARMACIA DEL PUEBLO S.R.L.</v>
          </cell>
          <cell r="C299" t="str">
            <v>INDEPENDIENTE</v>
          </cell>
          <cell r="D299">
            <v>3</v>
          </cell>
          <cell r="F299" t="str">
            <v>CENTRO OESTE</v>
          </cell>
          <cell r="G299" t="str">
            <v>JOSE LUIS GARCIA</v>
          </cell>
          <cell r="H299"/>
          <cell r="I299" t="str">
            <v>Y</v>
          </cell>
          <cell r="J299" t="str">
            <v>Activo</v>
          </cell>
          <cell r="K299">
            <v>125292.2475202841</v>
          </cell>
          <cell r="L299">
            <v>12529.224752028411</v>
          </cell>
          <cell r="M299">
            <v>11060.758731001786</v>
          </cell>
          <cell r="N299" t="str">
            <v>Si Compra</v>
          </cell>
          <cell r="O299">
            <v>10</v>
          </cell>
          <cell r="P299">
            <v>151840.92914772406</v>
          </cell>
          <cell r="Q299">
            <v>15184.092914772405</v>
          </cell>
          <cell r="R299">
            <v>14064.447189293125</v>
          </cell>
          <cell r="V299">
            <v>0.82515464192391053</v>
          </cell>
          <cell r="W299">
            <v>4.7841422551062296E-4</v>
          </cell>
          <cell r="X299">
            <v>10</v>
          </cell>
          <cell r="Y299" t="str">
            <v>Proteger</v>
          </cell>
        </row>
        <row r="300">
          <cell r="A300" t="str">
            <v>7440</v>
          </cell>
          <cell r="B300" t="str">
            <v>GRUPO AL COSTO</v>
          </cell>
          <cell r="C300" t="str">
            <v>GRUPO</v>
          </cell>
          <cell r="D300">
            <v>5</v>
          </cell>
          <cell r="E300"/>
          <cell r="F300" t="str">
            <v>ANDES</v>
          </cell>
          <cell r="H300"/>
          <cell r="I300"/>
          <cell r="J300" t="str">
            <v>Activo</v>
          </cell>
          <cell r="K300">
            <v>125184.52885415959</v>
          </cell>
          <cell r="L300">
            <v>12518.45288541596</v>
          </cell>
          <cell r="M300">
            <v>12168.294825603598</v>
          </cell>
          <cell r="N300" t="str">
            <v>Si Compra</v>
          </cell>
          <cell r="O300">
            <v>10</v>
          </cell>
          <cell r="P300">
            <v>435961.08308131801</v>
          </cell>
          <cell r="Q300">
            <v>43596.108308131799</v>
          </cell>
          <cell r="R300">
            <v>33331.143987656753</v>
          </cell>
          <cell r="S300"/>
          <cell r="T300"/>
          <cell r="U300"/>
          <cell r="V300">
            <v>0.2871461093943779</v>
          </cell>
          <cell r="W300">
            <v>4.7800291401093377E-4</v>
          </cell>
          <cell r="X300">
            <v>10</v>
          </cell>
          <cell r="Y300" t="str">
            <v>Potenciar</v>
          </cell>
        </row>
        <row r="301">
          <cell r="A301" t="str">
            <v>E041</v>
          </cell>
          <cell r="B301" t="str">
            <v>E041 - FARMACIA FARMA HOGAR MACHIQUES, C.A</v>
          </cell>
          <cell r="C301" t="str">
            <v>INDEPENDIENTE</v>
          </cell>
          <cell r="D301">
            <v>3</v>
          </cell>
          <cell r="F301" t="str">
            <v>MARACAIBO</v>
          </cell>
          <cell r="G301">
            <v>0</v>
          </cell>
          <cell r="H301"/>
          <cell r="I301" t="str">
            <v>BE</v>
          </cell>
          <cell r="J301" t="str">
            <v>Activo</v>
          </cell>
          <cell r="K301">
            <v>125027.523</v>
          </cell>
          <cell r="L301">
            <v>13891.947</v>
          </cell>
          <cell r="M301">
            <v>12801.398633333332</v>
          </cell>
          <cell r="N301" t="str">
            <v>Si Compra</v>
          </cell>
          <cell r="O301">
            <v>9</v>
          </cell>
          <cell r="P301">
            <v>0</v>
          </cell>
          <cell r="Q301">
            <v>0</v>
          </cell>
          <cell r="R301">
            <v>0</v>
          </cell>
          <cell r="V301">
            <v>0</v>
          </cell>
          <cell r="W301">
            <v>5.3044822775356914E-4</v>
          </cell>
          <cell r="X301">
            <v>0</v>
          </cell>
          <cell r="Y301" t="str">
            <v>Conquistar</v>
          </cell>
        </row>
        <row r="302">
          <cell r="A302" t="str">
            <v>A920</v>
          </cell>
          <cell r="B302" t="str">
            <v>A920 - MIGUEL ALEJANDRO GUTIERREZ SANGRONI (GUTIERREZ FARMACIA PRO-SALUD, F.P.)</v>
          </cell>
          <cell r="C302" t="str">
            <v>INDEPENDIENTE</v>
          </cell>
          <cell r="D302">
            <v>3</v>
          </cell>
          <cell r="E302"/>
          <cell r="F302" t="str">
            <v>CENTRO OESTE</v>
          </cell>
          <cell r="G302">
            <v>0</v>
          </cell>
          <cell r="H302"/>
          <cell r="I302" t="str">
            <v>E</v>
          </cell>
          <cell r="J302" t="str">
            <v>Activo</v>
          </cell>
          <cell r="K302">
            <v>124979.41251994134</v>
          </cell>
          <cell r="L302">
            <v>12497.941251994134</v>
          </cell>
          <cell r="M302">
            <v>14154.78846538855</v>
          </cell>
          <cell r="N302" t="str">
            <v>Si Compra</v>
          </cell>
          <cell r="O302">
            <v>10</v>
          </cell>
          <cell r="P302">
            <v>0</v>
          </cell>
          <cell r="Q302">
            <v>0</v>
          </cell>
          <cell r="R302">
            <v>0</v>
          </cell>
          <cell r="T302"/>
          <cell r="U302"/>
          <cell r="V302">
            <v>0</v>
          </cell>
          <cell r="W302">
            <v>4.7721970057102228E-4</v>
          </cell>
          <cell r="X302">
            <v>0</v>
          </cell>
          <cell r="Y302" t="str">
            <v>Conquistar</v>
          </cell>
        </row>
        <row r="303">
          <cell r="A303" t="str">
            <v>1631</v>
          </cell>
          <cell r="B303" t="str">
            <v>1631 - MULTIFARMACIA LOURDES, C.A.</v>
          </cell>
          <cell r="C303" t="str">
            <v>INDEPENDIENTE</v>
          </cell>
          <cell r="D303">
            <v>3</v>
          </cell>
          <cell r="E303"/>
          <cell r="F303" t="str">
            <v>CARACAS</v>
          </cell>
          <cell r="G303" t="str">
            <v>WILLIAM ARAQUE</v>
          </cell>
          <cell r="H303"/>
          <cell r="I303" t="str">
            <v>C3</v>
          </cell>
          <cell r="J303" t="str">
            <v>Activo</v>
          </cell>
          <cell r="K303">
            <v>124930.78455378966</v>
          </cell>
          <cell r="L303">
            <v>12493.078455378967</v>
          </cell>
          <cell r="M303">
            <v>15036.705136831433</v>
          </cell>
          <cell r="N303" t="str">
            <v>Si Compra</v>
          </cell>
          <cell r="O303">
            <v>10</v>
          </cell>
          <cell r="P303">
            <v>212322.32931215144</v>
          </cell>
          <cell r="Q303">
            <v>21232.232931215145</v>
          </cell>
          <cell r="R303">
            <v>23947.634626138461</v>
          </cell>
          <cell r="T303"/>
          <cell r="U303"/>
          <cell r="V303">
            <v>0.58840153533790263</v>
          </cell>
          <cell r="W303">
            <v>4.7703402020192486E-4</v>
          </cell>
          <cell r="X303">
            <v>10</v>
          </cell>
          <cell r="Y303" t="str">
            <v>Potenciar</v>
          </cell>
        </row>
        <row r="304">
          <cell r="A304" t="str">
            <v>0790</v>
          </cell>
          <cell r="B304" t="str">
            <v>0790 - FARMACIA SAN SALVADOR, C.A</v>
          </cell>
          <cell r="C304" t="str">
            <v>INDEPENDIENTE</v>
          </cell>
          <cell r="D304">
            <v>3</v>
          </cell>
          <cell r="E304"/>
          <cell r="F304" t="str">
            <v>ESTE</v>
          </cell>
          <cell r="G304" t="str">
            <v>ALEXMAR CASTILLO</v>
          </cell>
          <cell r="H304"/>
          <cell r="I304" t="str">
            <v>A1</v>
          </cell>
          <cell r="J304" t="str">
            <v>Activo</v>
          </cell>
          <cell r="K304">
            <v>124647.33693803679</v>
          </cell>
          <cell r="L304">
            <v>12464.733693803679</v>
          </cell>
          <cell r="M304">
            <v>12089.58653032765</v>
          </cell>
          <cell r="N304" t="str">
            <v>Si Compra</v>
          </cell>
          <cell r="O304">
            <v>10</v>
          </cell>
          <cell r="P304">
            <v>312505.9153946744</v>
          </cell>
          <cell r="Q304">
            <v>31250.591539467441</v>
          </cell>
          <cell r="R304">
            <v>30728.999472786541</v>
          </cell>
          <cell r="T304"/>
          <cell r="U304"/>
          <cell r="V304">
            <v>0.39886392800154008</v>
          </cell>
          <cell r="W304">
            <v>4.7595170765468372E-4</v>
          </cell>
          <cell r="X304">
            <v>10</v>
          </cell>
          <cell r="Y304" t="str">
            <v>Potenciar</v>
          </cell>
        </row>
        <row r="305">
          <cell r="A305" t="str">
            <v>9531</v>
          </cell>
          <cell r="B305" t="str">
            <v>9531 - FARMA TINA, C.A</v>
          </cell>
          <cell r="C305" t="str">
            <v>INDEPENDIENTE</v>
          </cell>
          <cell r="D305">
            <v>3</v>
          </cell>
          <cell r="E305"/>
          <cell r="F305" t="str">
            <v>ESTE</v>
          </cell>
          <cell r="G305" t="str">
            <v>CARMEN ALCALA</v>
          </cell>
          <cell r="H305"/>
          <cell r="I305" t="str">
            <v>A6</v>
          </cell>
          <cell r="J305" t="str">
            <v>Activo</v>
          </cell>
          <cell r="K305">
            <v>124361.17923883432</v>
          </cell>
          <cell r="L305">
            <v>12436.117923883432</v>
          </cell>
          <cell r="M305">
            <v>13858.561285853764</v>
          </cell>
          <cell r="N305" t="str">
            <v>Si Compra</v>
          </cell>
          <cell r="O305">
            <v>10</v>
          </cell>
          <cell r="P305">
            <v>1102610.1575717945</v>
          </cell>
          <cell r="Q305">
            <v>110261.01575717944</v>
          </cell>
          <cell r="R305">
            <v>93062.08006721297</v>
          </cell>
          <cell r="T305"/>
          <cell r="U305"/>
          <cell r="V305">
            <v>0.11278798620240062</v>
          </cell>
          <cell r="W305">
            <v>4.748590469614059E-4</v>
          </cell>
          <cell r="X305">
            <v>10</v>
          </cell>
          <cell r="Y305" t="str">
            <v>Conquistar</v>
          </cell>
        </row>
        <row r="306">
          <cell r="A306" t="str">
            <v>B463</v>
          </cell>
          <cell r="B306" t="str">
            <v>B463 - FARMACIA MANUEL PERICO GOMEZ, C.A.</v>
          </cell>
          <cell r="C306" t="str">
            <v>INDEPENDIENTE</v>
          </cell>
          <cell r="D306">
            <v>3</v>
          </cell>
          <cell r="E306"/>
          <cell r="F306" t="str">
            <v>ESTE</v>
          </cell>
          <cell r="G306">
            <v>0</v>
          </cell>
          <cell r="H306"/>
          <cell r="I306" t="str">
            <v>AB</v>
          </cell>
          <cell r="J306" t="str">
            <v>Activo</v>
          </cell>
          <cell r="K306">
            <v>122622.58760424161</v>
          </cell>
          <cell r="L306">
            <v>12262.25876042416</v>
          </cell>
          <cell r="M306">
            <v>12308.882735793812</v>
          </cell>
          <cell r="N306" t="str">
            <v>Si Compra</v>
          </cell>
          <cell r="O306">
            <v>10</v>
          </cell>
          <cell r="P306">
            <v>0</v>
          </cell>
          <cell r="Q306">
            <v>0</v>
          </cell>
          <cell r="R306">
            <v>0</v>
          </cell>
          <cell r="T306"/>
          <cell r="U306"/>
          <cell r="V306">
            <v>0</v>
          </cell>
          <cell r="W306">
            <v>4.6822043214840028E-4</v>
          </cell>
          <cell r="X306">
            <v>0</v>
          </cell>
          <cell r="Y306" t="str">
            <v>Conquistar</v>
          </cell>
        </row>
        <row r="307">
          <cell r="A307" t="str">
            <v>B411</v>
          </cell>
          <cell r="B307" t="str">
            <v>B411 - FARMACIA MARIN VIDA Y SALUD, C.A.</v>
          </cell>
          <cell r="C307" t="str">
            <v>INDEPENDIENTE</v>
          </cell>
          <cell r="D307">
            <v>3</v>
          </cell>
          <cell r="E307"/>
          <cell r="F307" t="str">
            <v>CENTRO OESTE</v>
          </cell>
          <cell r="G307" t="str">
            <v>YAMILEX LAMEDA</v>
          </cell>
          <cell r="H307" t="str">
            <v>HECTOR</v>
          </cell>
          <cell r="I307" t="str">
            <v>Y1</v>
          </cell>
          <cell r="J307" t="str">
            <v>Activo</v>
          </cell>
          <cell r="K307">
            <v>122388.27463751689</v>
          </cell>
          <cell r="L307">
            <v>12238.82746375169</v>
          </cell>
          <cell r="M307">
            <v>11786.947164871444</v>
          </cell>
          <cell r="N307" t="str">
            <v>Si Compra</v>
          </cell>
          <cell r="O307">
            <v>10</v>
          </cell>
          <cell r="P307">
            <v>165842.44675712733</v>
          </cell>
          <cell r="Q307">
            <v>16584.244675712733</v>
          </cell>
          <cell r="R307">
            <v>12929.251552386262</v>
          </cell>
          <cell r="T307"/>
          <cell r="U307"/>
          <cell r="V307">
            <v>0.73797919067578566</v>
          </cell>
          <cell r="W307">
            <v>4.6732573468130802E-4</v>
          </cell>
          <cell r="X307">
            <v>10</v>
          </cell>
          <cell r="Y307" t="str">
            <v>Proteger</v>
          </cell>
        </row>
        <row r="308">
          <cell r="A308" t="str">
            <v>I219</v>
          </cell>
          <cell r="B308" t="str">
            <v>I219 - FARMACIA YARACAL,C.A.</v>
          </cell>
          <cell r="C308" t="str">
            <v>INDEPENDIENTE</v>
          </cell>
          <cell r="D308">
            <v>3</v>
          </cell>
          <cell r="F308" t="str">
            <v>CENTRO ESTE</v>
          </cell>
          <cell r="G308">
            <v>0</v>
          </cell>
          <cell r="H308"/>
          <cell r="I308" t="str">
            <v>I</v>
          </cell>
          <cell r="J308" t="str">
            <v>Activo</v>
          </cell>
          <cell r="K308">
            <v>121837.80234979271</v>
          </cell>
          <cell r="L308">
            <v>12183.780234979271</v>
          </cell>
          <cell r="M308">
            <v>12020.12098326424</v>
          </cell>
          <cell r="N308" t="str">
            <v>Si Compra</v>
          </cell>
          <cell r="O308">
            <v>10</v>
          </cell>
          <cell r="P308">
            <v>0</v>
          </cell>
          <cell r="Q308">
            <v>0</v>
          </cell>
          <cell r="R308">
            <v>0</v>
          </cell>
          <cell r="V308">
            <v>0</v>
          </cell>
          <cell r="W308">
            <v>4.652238187335237E-4</v>
          </cell>
          <cell r="X308">
            <v>0</v>
          </cell>
          <cell r="Y308" t="str">
            <v>Conquistar</v>
          </cell>
        </row>
        <row r="309">
          <cell r="A309" t="str">
            <v>0619</v>
          </cell>
          <cell r="B309" t="str">
            <v>0619 - FARMACIA SANTA CRUZ, C. A.</v>
          </cell>
          <cell r="C309" t="str">
            <v>INDEPENDIENTE</v>
          </cell>
          <cell r="D309">
            <v>3</v>
          </cell>
          <cell r="E309"/>
          <cell r="F309" t="str">
            <v>CENTRO OESTE</v>
          </cell>
          <cell r="G309" t="str">
            <v>YAMILEX LAMEDA</v>
          </cell>
          <cell r="H309"/>
          <cell r="I309" t="str">
            <v>Y1</v>
          </cell>
          <cell r="J309" t="str">
            <v>Activo</v>
          </cell>
          <cell r="K309">
            <v>121377.00595996086</v>
          </cell>
          <cell r="L309">
            <v>12137.700595996086</v>
          </cell>
          <cell r="M309">
            <v>10188.129651067395</v>
          </cell>
          <cell r="N309" t="str">
            <v>Si Compra</v>
          </cell>
          <cell r="O309">
            <v>10</v>
          </cell>
          <cell r="P309">
            <v>143399.65684047929</v>
          </cell>
          <cell r="Q309">
            <v>14339.965684047929</v>
          </cell>
          <cell r="R309">
            <v>10602.096460512026</v>
          </cell>
          <cell r="T309"/>
          <cell r="U309"/>
          <cell r="V309">
            <v>0.84642466121786553</v>
          </cell>
          <cell r="W309">
            <v>4.6346432002292864E-4</v>
          </cell>
          <cell r="X309">
            <v>10</v>
          </cell>
          <cell r="Y309" t="str">
            <v>Proteger</v>
          </cell>
        </row>
        <row r="310">
          <cell r="A310" t="str">
            <v>6077</v>
          </cell>
          <cell r="B310" t="str">
            <v>LA IDEAL 27</v>
          </cell>
          <cell r="C310" t="str">
            <v>GRUPO</v>
          </cell>
          <cell r="D310">
            <v>4</v>
          </cell>
          <cell r="E310">
            <v>5</v>
          </cell>
          <cell r="F310" t="str">
            <v>CENTRO OESTE</v>
          </cell>
          <cell r="G310" t="str">
            <v>DIEGO TORI</v>
          </cell>
          <cell r="H310" t="str">
            <v>HECTOR</v>
          </cell>
          <cell r="I310" t="str">
            <v>A</v>
          </cell>
          <cell r="J310" t="str">
            <v>Activo</v>
          </cell>
          <cell r="K310">
            <v>121362.03440015612</v>
          </cell>
          <cell r="L310">
            <v>12136.203440015612</v>
          </cell>
          <cell r="M310">
            <v>9135.1897644705587</v>
          </cell>
          <cell r="N310" t="str">
            <v>Si Compra</v>
          </cell>
          <cell r="O310">
            <v>10</v>
          </cell>
          <cell r="P310">
            <v>1684193.0015975351</v>
          </cell>
          <cell r="Q310">
            <v>168419.3001597535</v>
          </cell>
          <cell r="R310">
            <v>85219.5051740255</v>
          </cell>
          <cell r="S310">
            <v>30000</v>
          </cell>
          <cell r="T310">
            <v>7</v>
          </cell>
          <cell r="U310">
            <v>7</v>
          </cell>
          <cell r="V310">
            <v>7.2059457725473633E-2</v>
          </cell>
          <cell r="W310">
            <v>4.6340715282120284E-4</v>
          </cell>
          <cell r="X310">
            <v>10</v>
          </cell>
          <cell r="Y310" t="str">
            <v>Conquistar</v>
          </cell>
        </row>
        <row r="311">
          <cell r="A311" t="str">
            <v>8682</v>
          </cell>
          <cell r="B311" t="str">
            <v>LA NUEVA REBAJA</v>
          </cell>
          <cell r="C311" t="str">
            <v>CADENA</v>
          </cell>
          <cell r="D311">
            <v>6</v>
          </cell>
          <cell r="E311"/>
          <cell r="F311" t="str">
            <v>CENTRO OESTE</v>
          </cell>
          <cell r="H311"/>
          <cell r="I311"/>
          <cell r="J311" t="str">
            <v>Activo</v>
          </cell>
          <cell r="K311">
            <v>120952.14224894073</v>
          </cell>
          <cell r="L311">
            <v>12095.214224894073</v>
          </cell>
          <cell r="M311">
            <v>13286.385880873093</v>
          </cell>
          <cell r="N311" t="str">
            <v>Si Compra</v>
          </cell>
          <cell r="O311">
            <v>10</v>
          </cell>
          <cell r="P311">
            <v>134727.00010611152</v>
          </cell>
          <cell r="Q311">
            <v>13472.700010611152</v>
          </cell>
          <cell r="R311">
            <v>14122.469060134492</v>
          </cell>
          <cell r="S311"/>
          <cell r="T311"/>
          <cell r="U311"/>
          <cell r="V311">
            <v>0.89775725840906684</v>
          </cell>
          <cell r="W311">
            <v>4.6184202616773732E-4</v>
          </cell>
          <cell r="X311">
            <v>10</v>
          </cell>
          <cell r="Y311" t="str">
            <v>Proteger</v>
          </cell>
        </row>
        <row r="312">
          <cell r="A312" t="str">
            <v>A068</v>
          </cell>
          <cell r="B312" t="str">
            <v>FARMA FE ZARAZA</v>
          </cell>
          <cell r="C312" t="e">
            <v>#N/A</v>
          </cell>
          <cell r="D312">
            <v>5</v>
          </cell>
          <cell r="E312">
            <v>8</v>
          </cell>
          <cell r="F312" t="str">
            <v>ESTE</v>
          </cell>
          <cell r="G312" t="str">
            <v>PEDRO VIRE</v>
          </cell>
          <cell r="H312" t="str">
            <v>HECTOR</v>
          </cell>
          <cell r="I312" t="str">
            <v>A7</v>
          </cell>
          <cell r="J312" t="str">
            <v>Activo</v>
          </cell>
          <cell r="K312">
            <v>119582.59403764288</v>
          </cell>
          <cell r="L312">
            <v>11958.259403764288</v>
          </cell>
          <cell r="M312">
            <v>17797.484328311799</v>
          </cell>
          <cell r="N312" t="str">
            <v>Si Compra</v>
          </cell>
          <cell r="O312">
            <v>10</v>
          </cell>
          <cell r="P312">
            <v>2652707.7937610219</v>
          </cell>
          <cell r="Q312">
            <v>265270.7793761022</v>
          </cell>
          <cell r="R312">
            <v>251009.72281313347</v>
          </cell>
          <cell r="S312">
            <v>36000</v>
          </cell>
          <cell r="T312">
            <v>0</v>
          </cell>
          <cell r="U312">
            <v>0</v>
          </cell>
          <cell r="V312">
            <v>4.5079444603319127E-2</v>
          </cell>
          <cell r="W312">
            <v>4.5661256177728139E-4</v>
          </cell>
          <cell r="X312">
            <v>10</v>
          </cell>
          <cell r="Y312" t="str">
            <v>Conquistar</v>
          </cell>
        </row>
        <row r="313">
          <cell r="A313" t="str">
            <v>8573</v>
          </cell>
          <cell r="B313" t="str">
            <v>ALTO APURE</v>
          </cell>
          <cell r="C313" t="e">
            <v>#N/A</v>
          </cell>
          <cell r="D313">
            <v>3</v>
          </cell>
          <cell r="E313">
            <v>0</v>
          </cell>
          <cell r="F313" t="str">
            <v>ANDES</v>
          </cell>
          <cell r="G313" t="str">
            <v/>
          </cell>
          <cell r="H313" t="str">
            <v>VICTOR</v>
          </cell>
          <cell r="I313">
            <v>0</v>
          </cell>
          <cell r="J313" t="str">
            <v>Activo</v>
          </cell>
          <cell r="K313">
            <v>117955.92178970057</v>
          </cell>
          <cell r="L313">
            <v>11795.592178970057</v>
          </cell>
          <cell r="M313">
            <v>13379.459863039796</v>
          </cell>
          <cell r="N313" t="str">
            <v>Si Compra</v>
          </cell>
          <cell r="O313">
            <v>10</v>
          </cell>
          <cell r="P313">
            <v>1587636.3393087923</v>
          </cell>
          <cell r="Q313">
            <v>158763.63393087924</v>
          </cell>
          <cell r="R313">
            <v>138588.29671494282</v>
          </cell>
          <cell r="S313">
            <v>0</v>
          </cell>
          <cell r="T313">
            <v>0</v>
          </cell>
          <cell r="U313">
            <v>0</v>
          </cell>
          <cell r="V313">
            <v>7.4296562045849196E-2</v>
          </cell>
          <cell r="W313">
            <v>4.5040129843847859E-4</v>
          </cell>
          <cell r="X313">
            <v>10</v>
          </cell>
          <cell r="Y313" t="str">
            <v>Conquistar</v>
          </cell>
        </row>
        <row r="314">
          <cell r="A314" t="str">
            <v>0233</v>
          </cell>
          <cell r="B314" t="str">
            <v>LOS VALLES</v>
          </cell>
          <cell r="C314" t="str">
            <v>GRUPO</v>
          </cell>
          <cell r="D314">
            <v>9</v>
          </cell>
          <cell r="E314"/>
          <cell r="F314" t="str">
            <v>CARACAS</v>
          </cell>
          <cell r="H314"/>
          <cell r="I314"/>
          <cell r="J314" t="str">
            <v>Activo</v>
          </cell>
          <cell r="K314">
            <v>117599.20439733229</v>
          </cell>
          <cell r="L314">
            <v>11759.920439733229</v>
          </cell>
          <cell r="M314">
            <v>13896.402427235089</v>
          </cell>
          <cell r="N314" t="str">
            <v>Si Compra</v>
          </cell>
          <cell r="O314">
            <v>10</v>
          </cell>
          <cell r="P314">
            <v>201557.00427063994</v>
          </cell>
          <cell r="Q314">
            <v>20155.700427063995</v>
          </cell>
          <cell r="R314">
            <v>25178.589588252606</v>
          </cell>
          <cell r="S314"/>
          <cell r="T314"/>
          <cell r="U314"/>
          <cell r="V314">
            <v>0.58345382152746417</v>
          </cell>
          <cell r="W314">
            <v>4.4903921356592166E-4</v>
          </cell>
          <cell r="X314">
            <v>10</v>
          </cell>
          <cell r="Y314" t="str">
            <v>Potenciar</v>
          </cell>
        </row>
        <row r="315">
          <cell r="A315" t="str">
            <v>A699</v>
          </cell>
          <cell r="B315" t="str">
            <v>A699 - FARMACIA KALA GP, C.A.</v>
          </cell>
          <cell r="C315" t="str">
            <v>INDEPENDIENTE</v>
          </cell>
          <cell r="D315">
            <v>3</v>
          </cell>
          <cell r="E315"/>
          <cell r="F315" t="str">
            <v>CENTRO ESTE</v>
          </cell>
          <cell r="G315" t="str">
            <v>MARCOS CRUCES</v>
          </cell>
          <cell r="H315"/>
          <cell r="I315" t="str">
            <v>$</v>
          </cell>
          <cell r="J315" t="str">
            <v>Activo</v>
          </cell>
          <cell r="K315">
            <v>117517.72803960909</v>
          </cell>
          <cell r="L315">
            <v>11751.77280396091</v>
          </cell>
          <cell r="M315">
            <v>10532.754717475509</v>
          </cell>
          <cell r="N315" t="str">
            <v>Si Compra</v>
          </cell>
          <cell r="O315">
            <v>10</v>
          </cell>
          <cell r="P315">
            <v>470063.2857464457</v>
          </cell>
          <cell r="Q315">
            <v>47006.328574644569</v>
          </cell>
          <cell r="R315">
            <v>47500.623123781996</v>
          </cell>
          <cell r="T315"/>
          <cell r="U315"/>
          <cell r="V315">
            <v>0.25000405605597265</v>
          </cell>
          <cell r="W315">
            <v>4.4872810534215662E-4</v>
          </cell>
          <cell r="X315">
            <v>10</v>
          </cell>
          <cell r="Y315" t="str">
            <v>Potenciar</v>
          </cell>
        </row>
        <row r="316">
          <cell r="A316" t="str">
            <v>-110</v>
          </cell>
          <cell r="B316" t="str">
            <v>-110 - FARMACIA LA ALCABALA, S.R.L</v>
          </cell>
          <cell r="C316" t="str">
            <v>INDEPENDIENTE</v>
          </cell>
          <cell r="D316">
            <v>3</v>
          </cell>
          <cell r="E316"/>
          <cell r="F316" t="str">
            <v>CARACAS</v>
          </cell>
          <cell r="G316" t="str">
            <v>RAMON SERRANO</v>
          </cell>
          <cell r="H316"/>
          <cell r="I316" t="str">
            <v>CB</v>
          </cell>
          <cell r="J316" t="str">
            <v>Activo</v>
          </cell>
          <cell r="K316">
            <v>116384.17611899841</v>
          </cell>
          <cell r="L316">
            <v>11638.41761189984</v>
          </cell>
          <cell r="M316">
            <v>3075.7359333333334</v>
          </cell>
          <cell r="N316" t="str">
            <v>Si Compra</v>
          </cell>
          <cell r="O316">
            <v>10</v>
          </cell>
          <cell r="P316">
            <v>169038.98736267129</v>
          </cell>
          <cell r="Q316">
            <v>16903.898736267129</v>
          </cell>
          <cell r="R316">
            <v>11925.383433333334</v>
          </cell>
          <cell r="T316"/>
          <cell r="U316"/>
          <cell r="V316">
            <v>0.68850492974912014</v>
          </cell>
          <cell r="W316">
            <v>4.4439976600027314E-4</v>
          </cell>
          <cell r="X316">
            <v>10</v>
          </cell>
          <cell r="Y316" t="str">
            <v>Proteger</v>
          </cell>
        </row>
        <row r="317">
          <cell r="A317" t="str">
            <v>B733</v>
          </cell>
          <cell r="B317" t="str">
            <v>B733 - FARMACIA STEVEN, C.A.</v>
          </cell>
          <cell r="C317" t="str">
            <v>INDEPENDIENTE</v>
          </cell>
          <cell r="D317">
            <v>3</v>
          </cell>
          <cell r="E317"/>
          <cell r="F317" t="str">
            <v>ANDES</v>
          </cell>
          <cell r="G317" t="str">
            <v>RAYNE ANDREINA NAVA</v>
          </cell>
          <cell r="H317" t="str">
            <v>VICTOR</v>
          </cell>
          <cell r="I317" t="str">
            <v>G1</v>
          </cell>
          <cell r="J317" t="str">
            <v>Permiso</v>
          </cell>
          <cell r="K317">
            <v>115728.05753590347</v>
          </cell>
          <cell r="L317">
            <v>11572.805753590346</v>
          </cell>
          <cell r="M317">
            <v>11368.83405469516</v>
          </cell>
          <cell r="N317" t="str">
            <v>Si Compra</v>
          </cell>
          <cell r="O317">
            <v>10</v>
          </cell>
          <cell r="P317">
            <v>146290.03216323996</v>
          </cell>
          <cell r="Q317">
            <v>14629.003216323996</v>
          </cell>
          <cell r="R317">
            <v>12420.92894696005</v>
          </cell>
          <cell r="T317"/>
          <cell r="U317"/>
          <cell r="V317">
            <v>0.79108641801901136</v>
          </cell>
          <cell r="W317">
            <v>4.4189445166529264E-4</v>
          </cell>
          <cell r="X317">
            <v>10</v>
          </cell>
          <cell r="Y317" t="str">
            <v>Proteger</v>
          </cell>
        </row>
        <row r="318">
          <cell r="A318" t="str">
            <v>7817</v>
          </cell>
          <cell r="B318" t="str">
            <v>7817 - FARMAFER 2008, C.A</v>
          </cell>
          <cell r="C318" t="str">
            <v>INDEPENDIENTE</v>
          </cell>
          <cell r="D318">
            <v>3</v>
          </cell>
          <cell r="E318"/>
          <cell r="F318" t="str">
            <v>CARACAS</v>
          </cell>
          <cell r="G318" t="str">
            <v>MAIRE ACOSTA FERNANDEZ</v>
          </cell>
          <cell r="H318"/>
          <cell r="I318" t="str">
            <v>C9</v>
          </cell>
          <cell r="J318" t="str">
            <v>Activo</v>
          </cell>
          <cell r="K318">
            <v>115644.36991001604</v>
          </cell>
          <cell r="L318">
            <v>11564.436991001605</v>
          </cell>
          <cell r="M318">
            <v>14850.637732655106</v>
          </cell>
          <cell r="N318" t="str">
            <v>Si Compra</v>
          </cell>
          <cell r="O318">
            <v>10</v>
          </cell>
          <cell r="P318">
            <v>140724.8731338451</v>
          </cell>
          <cell r="Q318">
            <v>14072.48731338451</v>
          </cell>
          <cell r="R318">
            <v>18416.891766082354</v>
          </cell>
          <cell r="T318"/>
          <cell r="U318"/>
          <cell r="V318">
            <v>0.82177633089798785</v>
          </cell>
          <cell r="W318">
            <v>4.4157489996503866E-4</v>
          </cell>
          <cell r="X318">
            <v>10</v>
          </cell>
          <cell r="Y318" t="str">
            <v>Proteger</v>
          </cell>
        </row>
        <row r="319">
          <cell r="A319" t="str">
            <v>E365</v>
          </cell>
          <cell r="B319" t="str">
            <v>BRIDAS</v>
          </cell>
          <cell r="C319" t="str">
            <v>GRUPO</v>
          </cell>
          <cell r="D319">
            <v>6</v>
          </cell>
          <cell r="E319">
            <v>5</v>
          </cell>
          <cell r="F319" t="str">
            <v>CENTRO OESTE</v>
          </cell>
          <cell r="G319" t="str">
            <v>DIEGO TORI</v>
          </cell>
          <cell r="H319" t="str">
            <v>HECTOR</v>
          </cell>
          <cell r="I319" t="str">
            <v>A</v>
          </cell>
          <cell r="J319" t="str">
            <v>Activo</v>
          </cell>
          <cell r="K319">
            <v>115615.49617592229</v>
          </cell>
          <cell r="L319">
            <v>11561.549617592229</v>
          </cell>
          <cell r="M319">
            <v>10789.995426979995</v>
          </cell>
          <cell r="N319" t="str">
            <v>Si Compra</v>
          </cell>
          <cell r="O319">
            <v>10</v>
          </cell>
          <cell r="P319">
            <v>705447.4489648093</v>
          </cell>
          <cell r="Q319">
            <v>70544.74489648093</v>
          </cell>
          <cell r="R319">
            <v>46972.938478679745</v>
          </cell>
          <cell r="S319">
            <v>30000.32</v>
          </cell>
          <cell r="T319">
            <v>0</v>
          </cell>
          <cell r="U319">
            <v>0</v>
          </cell>
          <cell r="V319">
            <v>0.16388959425054167</v>
          </cell>
          <cell r="W319">
            <v>4.4146464888879526E-4</v>
          </cell>
          <cell r="X319">
            <v>10</v>
          </cell>
          <cell r="Y319" t="str">
            <v>Conquistar</v>
          </cell>
        </row>
        <row r="320">
          <cell r="A320" t="str">
            <v>8646</v>
          </cell>
          <cell r="B320" t="str">
            <v>RIXON MEDINA</v>
          </cell>
          <cell r="C320" t="str">
            <v>GRUPO</v>
          </cell>
          <cell r="D320">
            <v>6</v>
          </cell>
          <cell r="E320"/>
          <cell r="F320" t="str">
            <v>ANDES</v>
          </cell>
          <cell r="H320"/>
          <cell r="I320"/>
          <cell r="J320" t="str">
            <v>Activo</v>
          </cell>
          <cell r="K320">
            <v>115261.14624245244</v>
          </cell>
          <cell r="L320">
            <v>11526.114624245243</v>
          </cell>
          <cell r="M320">
            <v>13916.462533333333</v>
          </cell>
          <cell r="N320" t="str">
            <v>Si Compra</v>
          </cell>
          <cell r="O320">
            <v>10</v>
          </cell>
          <cell r="P320">
            <v>135292.80486339057</v>
          </cell>
          <cell r="Q320">
            <v>13529.280486339057</v>
          </cell>
          <cell r="R320">
            <v>17871.178666666667</v>
          </cell>
          <cell r="S320"/>
          <cell r="T320"/>
          <cell r="U320"/>
          <cell r="V320">
            <v>0.85193847787275356</v>
          </cell>
          <cell r="W320">
            <v>4.4011160388931689E-4</v>
          </cell>
          <cell r="X320">
            <v>10</v>
          </cell>
          <cell r="Y320" t="str">
            <v>Proteger</v>
          </cell>
        </row>
        <row r="321">
          <cell r="A321" t="str">
            <v>6300</v>
          </cell>
          <cell r="B321" t="str">
            <v>FARMACIA SALPA</v>
          </cell>
          <cell r="C321" t="str">
            <v>GRUPO</v>
          </cell>
          <cell r="D321">
            <v>5</v>
          </cell>
          <cell r="E321"/>
          <cell r="F321" t="str">
            <v>CENTRO OESTE</v>
          </cell>
          <cell r="H321"/>
          <cell r="I321"/>
          <cell r="J321" t="str">
            <v>Activo</v>
          </cell>
          <cell r="K321">
            <v>115015.08608121662</v>
          </cell>
          <cell r="L321">
            <v>11501.508608121661</v>
          </cell>
          <cell r="M321">
            <v>12271.279921442998</v>
          </cell>
          <cell r="N321" t="str">
            <v>Si Compra</v>
          </cell>
          <cell r="O321">
            <v>10</v>
          </cell>
          <cell r="P321">
            <v>506472.99388745998</v>
          </cell>
          <cell r="Q321">
            <v>50647.299388745996</v>
          </cell>
          <cell r="R321">
            <v>27390.601529293141</v>
          </cell>
          <cell r="S321"/>
          <cell r="T321"/>
          <cell r="U321"/>
          <cell r="V321">
            <v>0.22709026437601795</v>
          </cell>
          <cell r="W321">
            <v>4.3917205109338201E-4</v>
          </cell>
          <cell r="X321">
            <v>10</v>
          </cell>
          <cell r="Y321" t="str">
            <v>Potenciar</v>
          </cell>
        </row>
        <row r="322">
          <cell r="A322" t="str">
            <v>E015</v>
          </cell>
          <cell r="B322" t="str">
            <v>E015 - EUREKA HIPERMERCADO, C.A.</v>
          </cell>
          <cell r="C322" t="str">
            <v>INDEPENDIENTE</v>
          </cell>
          <cell r="D322">
            <v>3</v>
          </cell>
          <cell r="F322" t="str">
            <v>MARACAIBO</v>
          </cell>
          <cell r="G322">
            <v>0</v>
          </cell>
          <cell r="H322"/>
          <cell r="I322" t="str">
            <v>BE</v>
          </cell>
          <cell r="J322" t="str">
            <v>Inactivo</v>
          </cell>
          <cell r="K322">
            <v>114810.80594097525</v>
          </cell>
          <cell r="L322">
            <v>11481.080594097524</v>
          </cell>
          <cell r="M322">
            <v>14374.363533333331</v>
          </cell>
          <cell r="N322" t="str">
            <v>Si Compra</v>
          </cell>
          <cell r="O322">
            <v>10</v>
          </cell>
          <cell r="P322">
            <v>0</v>
          </cell>
          <cell r="Q322">
            <v>0</v>
          </cell>
          <cell r="R322">
            <v>0</v>
          </cell>
          <cell r="V322">
            <v>0</v>
          </cell>
          <cell r="W322">
            <v>4.3839203056525672E-4</v>
          </cell>
          <cell r="X322">
            <v>0</v>
          </cell>
          <cell r="Y322" t="str">
            <v>Conquistar</v>
          </cell>
        </row>
        <row r="323">
          <cell r="A323" t="str">
            <v>D404</v>
          </cell>
          <cell r="B323" t="str">
            <v>D404 - FARMACIA VIDA NUEVA,C.A.</v>
          </cell>
          <cell r="C323" t="str">
            <v>INDEPENDIENTE</v>
          </cell>
          <cell r="D323">
            <v>3</v>
          </cell>
          <cell r="E323"/>
          <cell r="F323" t="str">
            <v>ANDES</v>
          </cell>
          <cell r="G323" t="str">
            <v>MARIA GABRIELA FORTUL</v>
          </cell>
          <cell r="H323" t="str">
            <v>VICTOR</v>
          </cell>
          <cell r="I323" t="str">
            <v>3</v>
          </cell>
          <cell r="J323" t="str">
            <v>Inactivo</v>
          </cell>
          <cell r="K323">
            <v>114690.3199</v>
          </cell>
          <cell r="L323">
            <v>11469.031989999999</v>
          </cell>
          <cell r="M323">
            <v>9518.9081000000006</v>
          </cell>
          <cell r="N323" t="str">
            <v>Si Compra</v>
          </cell>
          <cell r="O323">
            <v>10</v>
          </cell>
          <cell r="P323">
            <v>154096.76700000002</v>
          </cell>
          <cell r="Q323">
            <v>15409.676700000002</v>
          </cell>
          <cell r="R323">
            <v>11489.989033333333</v>
          </cell>
          <cell r="T323"/>
          <cell r="U323"/>
          <cell r="V323">
            <v>0.74427466670991205</v>
          </cell>
          <cell r="W323">
            <v>4.3793196829389642E-4</v>
          </cell>
          <cell r="X323">
            <v>10</v>
          </cell>
          <cell r="Y323" t="str">
            <v>Proteger</v>
          </cell>
        </row>
        <row r="324">
          <cell r="A324" t="str">
            <v>D069</v>
          </cell>
          <cell r="B324" t="str">
            <v>D069 - MONTE SACRO 2021 CA</v>
          </cell>
          <cell r="C324" t="str">
            <v>INDEPENDIENTE</v>
          </cell>
          <cell r="D324">
            <v>2</v>
          </cell>
          <cell r="E324"/>
          <cell r="F324" t="str">
            <v>CARACAS</v>
          </cell>
          <cell r="G324" t="str">
            <v>RAMON SERRANO</v>
          </cell>
          <cell r="H324"/>
          <cell r="I324" t="str">
            <v>C6</v>
          </cell>
          <cell r="J324" t="str">
            <v>Suspendido</v>
          </cell>
          <cell r="K324">
            <v>113766.41100911227</v>
          </cell>
          <cell r="L324">
            <v>16252.344429873181</v>
          </cell>
          <cell r="M324">
            <v>22441.631508088205</v>
          </cell>
          <cell r="N324" t="str">
            <v>Si Compra</v>
          </cell>
          <cell r="O324">
            <v>6</v>
          </cell>
          <cell r="P324">
            <v>123707.21211274008</v>
          </cell>
          <cell r="Q324">
            <v>17672.458873248583</v>
          </cell>
          <cell r="R324">
            <v>22789.465425156821</v>
          </cell>
          <cell r="T324"/>
          <cell r="U324"/>
          <cell r="V324">
            <v>0.91964250964957239</v>
          </cell>
          <cell r="W324">
            <v>6.2057732437842004E-4</v>
          </cell>
          <cell r="X324">
            <v>6</v>
          </cell>
          <cell r="Y324" t="str">
            <v>Proteger</v>
          </cell>
        </row>
        <row r="325">
          <cell r="A325" t="str">
            <v>B427</v>
          </cell>
          <cell r="B325" t="str">
            <v>GRUPO LAS AZULES</v>
          </cell>
          <cell r="C325" t="str">
            <v>CADENA</v>
          </cell>
          <cell r="D325">
            <v>25</v>
          </cell>
          <cell r="E325"/>
          <cell r="F325" t="str">
            <v>CARACAS</v>
          </cell>
          <cell r="H325"/>
          <cell r="I325"/>
          <cell r="J325" t="str">
            <v>Inactivo</v>
          </cell>
          <cell r="K325">
            <v>112694.82728036161</v>
          </cell>
          <cell r="L325">
            <v>14086.853410045202</v>
          </cell>
          <cell r="M325">
            <v>18803.847986725206</v>
          </cell>
          <cell r="N325" t="str">
            <v>Si Compra</v>
          </cell>
          <cell r="O325">
            <v>8</v>
          </cell>
          <cell r="P325">
            <v>239330.96154828899</v>
          </cell>
          <cell r="Q325">
            <v>29916.370193536124</v>
          </cell>
          <cell r="R325">
            <v>39918.53359804934</v>
          </cell>
          <cell r="S325"/>
          <cell r="T325"/>
          <cell r="U325"/>
          <cell r="V325">
            <v>0.47087441821698262</v>
          </cell>
          <cell r="W325">
            <v>5.3789050778719485E-4</v>
          </cell>
          <cell r="X325">
            <v>8</v>
          </cell>
          <cell r="Y325" t="str">
            <v>Potenciar</v>
          </cell>
        </row>
        <row r="326">
          <cell r="A326" t="str">
            <v>C710</v>
          </cell>
          <cell r="B326" t="str">
            <v>C710 - FARMACIA PHARMA VIDA Y SALUD 23,C.A</v>
          </cell>
          <cell r="C326" t="str">
            <v>INDEPENDIENTE</v>
          </cell>
          <cell r="D326">
            <v>3</v>
          </cell>
          <cell r="E326"/>
          <cell r="F326" t="str">
            <v>CENTRO OESTE</v>
          </cell>
          <cell r="G326" t="str">
            <v>DIEGO TORI</v>
          </cell>
          <cell r="H326" t="str">
            <v>HECTOR</v>
          </cell>
          <cell r="I326" t="str">
            <v xml:space="preserve">A </v>
          </cell>
          <cell r="J326" t="str">
            <v>Activo</v>
          </cell>
          <cell r="K326">
            <v>112497.94491902829</v>
          </cell>
          <cell r="L326">
            <v>11249.794491902829</v>
          </cell>
          <cell r="M326">
            <v>10880.704046786435</v>
          </cell>
          <cell r="N326" t="str">
            <v>Si Compra</v>
          </cell>
          <cell r="O326">
            <v>10</v>
          </cell>
          <cell r="P326">
            <v>530847.16826015804</v>
          </cell>
          <cell r="Q326">
            <v>53084.716826015807</v>
          </cell>
          <cell r="R326">
            <v>49194.168036135146</v>
          </cell>
          <cell r="T326"/>
          <cell r="U326"/>
          <cell r="V326">
            <v>0.21192153155443638</v>
          </cell>
          <cell r="W326">
            <v>4.2956063328068549E-4</v>
          </cell>
          <cell r="X326">
            <v>10</v>
          </cell>
          <cell r="Y326" t="str">
            <v>Potenciar</v>
          </cell>
        </row>
        <row r="327">
          <cell r="A327" t="str">
            <v>G120</v>
          </cell>
          <cell r="B327" t="str">
            <v>G120 - FARMACIA SAN RAFAEL  C.A.</v>
          </cell>
          <cell r="C327" t="str">
            <v>INDEPENDIENTE</v>
          </cell>
          <cell r="D327">
            <v>3</v>
          </cell>
          <cell r="F327" t="str">
            <v>ANDES</v>
          </cell>
          <cell r="G327" t="str">
            <v>MILAGRO BRICEñO</v>
          </cell>
          <cell r="H327" t="str">
            <v>VICTOR</v>
          </cell>
          <cell r="I327" t="str">
            <v>G</v>
          </cell>
          <cell r="J327" t="str">
            <v>Activo</v>
          </cell>
          <cell r="K327">
            <v>112423.80454531468</v>
          </cell>
          <cell r="L327">
            <v>11242.380454531467</v>
          </cell>
          <cell r="M327">
            <v>9641.4150540586979</v>
          </cell>
          <cell r="N327" t="str">
            <v>Si Compra</v>
          </cell>
          <cell r="O327">
            <v>10</v>
          </cell>
          <cell r="P327">
            <v>145520.8864490097</v>
          </cell>
          <cell r="Q327">
            <v>14552.08864490097</v>
          </cell>
          <cell r="R327">
            <v>10107.401168738526</v>
          </cell>
          <cell r="V327">
            <v>0.77256129541725815</v>
          </cell>
          <cell r="W327">
            <v>4.2927753667916968E-4</v>
          </cell>
          <cell r="X327">
            <v>10</v>
          </cell>
          <cell r="Y327" t="str">
            <v>Proteger</v>
          </cell>
        </row>
        <row r="328">
          <cell r="A328" t="str">
            <v>8576</v>
          </cell>
          <cell r="B328" t="str">
            <v>8576 - FARMACIA NIRGUA, C.A</v>
          </cell>
          <cell r="C328" t="str">
            <v>INDEPENDIENTE</v>
          </cell>
          <cell r="D328">
            <v>3</v>
          </cell>
          <cell r="E328"/>
          <cell r="F328" t="str">
            <v>CENTRO OESTE</v>
          </cell>
          <cell r="G328" t="str">
            <v>YAMILEX LAMEDA</v>
          </cell>
          <cell r="H328"/>
          <cell r="I328" t="str">
            <v>Y1</v>
          </cell>
          <cell r="J328" t="str">
            <v>Activo</v>
          </cell>
          <cell r="K328">
            <v>111691.3490276488</v>
          </cell>
          <cell r="L328">
            <v>11169.134902764879</v>
          </cell>
          <cell r="M328">
            <v>5667.5190000000002</v>
          </cell>
          <cell r="N328" t="str">
            <v>Si Compra</v>
          </cell>
          <cell r="O328">
            <v>10</v>
          </cell>
          <cell r="P328">
            <v>186671.13262677685</v>
          </cell>
          <cell r="Q328">
            <v>18667.113262677685</v>
          </cell>
          <cell r="R328">
            <v>18577.411166666669</v>
          </cell>
          <cell r="T328"/>
          <cell r="U328"/>
          <cell r="V328">
            <v>0.59833219767814994</v>
          </cell>
          <cell r="W328">
            <v>4.2648073842436649E-4</v>
          </cell>
          <cell r="X328">
            <v>10</v>
          </cell>
          <cell r="Y328" t="str">
            <v>Potenciar</v>
          </cell>
        </row>
        <row r="329">
          <cell r="A329" t="str">
            <v>7051</v>
          </cell>
          <cell r="B329" t="str">
            <v>7051 - FARMACIA COCHE C.A.</v>
          </cell>
          <cell r="C329" t="str">
            <v>INDEPENDIENTE</v>
          </cell>
          <cell r="D329">
            <v>3</v>
          </cell>
          <cell r="E329"/>
          <cell r="F329" t="str">
            <v>CARACAS</v>
          </cell>
          <cell r="G329" t="str">
            <v>RAMON SERRANO</v>
          </cell>
          <cell r="H329"/>
          <cell r="I329" t="str">
            <v>CB</v>
          </cell>
          <cell r="J329" t="str">
            <v>Activo</v>
          </cell>
          <cell r="K329">
            <v>110659.1955575419</v>
          </cell>
          <cell r="L329">
            <v>11065.91955575419</v>
          </cell>
          <cell r="M329">
            <v>11312.3884643235</v>
          </cell>
          <cell r="N329" t="str">
            <v>Si Compra</v>
          </cell>
          <cell r="O329">
            <v>10</v>
          </cell>
          <cell r="P329">
            <v>129577.57588875761</v>
          </cell>
          <cell r="Q329">
            <v>12957.75758887576</v>
          </cell>
          <cell r="R329">
            <v>12063.595743075579</v>
          </cell>
          <cell r="T329"/>
          <cell r="U329"/>
          <cell r="V329">
            <v>0.8539995813206358</v>
          </cell>
          <cell r="W329">
            <v>4.2253957755621822E-4</v>
          </cell>
          <cell r="X329">
            <v>10</v>
          </cell>
          <cell r="Y329" t="str">
            <v>Proteger</v>
          </cell>
        </row>
        <row r="330">
          <cell r="A330" t="str">
            <v>B342</v>
          </cell>
          <cell r="B330" t="str">
            <v>B342 - GNO FARMACEUTICA, C.A.</v>
          </cell>
          <cell r="C330" t="str">
            <v>INDEPENDIENTE</v>
          </cell>
          <cell r="D330">
            <v>3</v>
          </cell>
          <cell r="E330"/>
          <cell r="F330" t="str">
            <v>CARACAS</v>
          </cell>
          <cell r="G330" t="str">
            <v>WILLIAM ARAQUE</v>
          </cell>
          <cell r="H330"/>
          <cell r="I330" t="str">
            <v>C8</v>
          </cell>
          <cell r="J330" t="str">
            <v>Activo</v>
          </cell>
          <cell r="K330">
            <v>110650.45639420625</v>
          </cell>
          <cell r="L330">
            <v>11065.045639420625</v>
          </cell>
          <cell r="M330">
            <v>8469.2015460536004</v>
          </cell>
          <cell r="N330" t="str">
            <v>Si Compra</v>
          </cell>
          <cell r="O330">
            <v>10</v>
          </cell>
          <cell r="P330">
            <v>248474.12327340792</v>
          </cell>
          <cell r="Q330">
            <v>24847.412327340793</v>
          </cell>
          <cell r="R330">
            <v>14882.316862744947</v>
          </cell>
          <cell r="T330"/>
          <cell r="U330"/>
          <cell r="V330">
            <v>0.44531983828534238</v>
          </cell>
          <cell r="W330">
            <v>4.2250620805298408E-4</v>
          </cell>
          <cell r="X330">
            <v>10</v>
          </cell>
          <cell r="Y330" t="str">
            <v>Potenciar</v>
          </cell>
        </row>
        <row r="331">
          <cell r="A331" t="str">
            <v>3052</v>
          </cell>
          <cell r="B331" t="str">
            <v>3052 - FARMACIA FARMAMILENIUM, C.A.</v>
          </cell>
          <cell r="C331" t="str">
            <v>INDEPENDIENTE</v>
          </cell>
          <cell r="D331">
            <v>3</v>
          </cell>
          <cell r="E331"/>
          <cell r="F331" t="str">
            <v>ESTE</v>
          </cell>
          <cell r="G331" t="str">
            <v>JOSE RAMIREZ</v>
          </cell>
          <cell r="H331"/>
          <cell r="I331" t="str">
            <v>A4</v>
          </cell>
          <cell r="J331" t="str">
            <v>Activo</v>
          </cell>
          <cell r="K331">
            <v>110630.87474763449</v>
          </cell>
          <cell r="L331">
            <v>11063.087474763448</v>
          </cell>
          <cell r="M331">
            <v>13855.413524343108</v>
          </cell>
          <cell r="N331" t="str">
            <v>Si Compra</v>
          </cell>
          <cell r="O331">
            <v>10</v>
          </cell>
          <cell r="P331">
            <v>120388.16757198714</v>
          </cell>
          <cell r="Q331">
            <v>12038.816757198714</v>
          </cell>
          <cell r="R331">
            <v>14002.007276648632</v>
          </cell>
          <cell r="T331"/>
          <cell r="U331"/>
          <cell r="V331">
            <v>0.91895139679305937</v>
          </cell>
          <cell r="W331">
            <v>4.2243143775821913E-4</v>
          </cell>
          <cell r="X331">
            <v>10</v>
          </cell>
          <cell r="Y331" t="str">
            <v>Proteger</v>
          </cell>
        </row>
        <row r="332">
          <cell r="A332" t="str">
            <v>D277</v>
          </cell>
          <cell r="B332" t="str">
            <v>D277 - FARMACIA J.B. DEL VALLE, C.A.</v>
          </cell>
          <cell r="C332" t="str">
            <v>INDEPENDIENTE</v>
          </cell>
          <cell r="D332">
            <v>3</v>
          </cell>
          <cell r="E332"/>
          <cell r="F332" t="str">
            <v>CENTRO ESTE</v>
          </cell>
          <cell r="G332" t="str">
            <v>KARLA SALAZAR</v>
          </cell>
          <cell r="H332" t="str">
            <v>HECTOR</v>
          </cell>
          <cell r="I332" t="str">
            <v>H</v>
          </cell>
          <cell r="J332" t="str">
            <v>Activo</v>
          </cell>
          <cell r="K332">
            <v>110225.22178360216</v>
          </cell>
          <cell r="L332">
            <v>11022.522178360216</v>
          </cell>
          <cell r="M332">
            <v>6385.6882822655361</v>
          </cell>
          <cell r="N332" t="str">
            <v>Si Compra</v>
          </cell>
          <cell r="O332">
            <v>10</v>
          </cell>
          <cell r="P332">
            <v>157735.96022608178</v>
          </cell>
          <cell r="Q332">
            <v>15773.596022608177</v>
          </cell>
          <cell r="R332">
            <v>11530.020202255553</v>
          </cell>
          <cell r="T332"/>
          <cell r="U332"/>
          <cell r="V332">
            <v>0.69879577000461512</v>
          </cell>
          <cell r="W332">
            <v>4.2088249795983144E-4</v>
          </cell>
          <cell r="X332">
            <v>10</v>
          </cell>
          <cell r="Y332" t="str">
            <v>Proteger</v>
          </cell>
        </row>
        <row r="333">
          <cell r="A333" t="str">
            <v>8952</v>
          </cell>
          <cell r="B333" t="str">
            <v>PASCUA OFERTA</v>
          </cell>
          <cell r="C333" t="str">
            <v>GRUPO</v>
          </cell>
          <cell r="D333">
            <v>9</v>
          </cell>
          <cell r="E333">
            <v>0</v>
          </cell>
          <cell r="F333" t="str">
            <v>CENTRO ESTE</v>
          </cell>
          <cell r="G333" t="str">
            <v>WILLIBETTI GONZALEZ</v>
          </cell>
          <cell r="H333" t="str">
            <v>HECTOR</v>
          </cell>
          <cell r="I333">
            <v>0</v>
          </cell>
          <cell r="J333" t="str">
            <v>Inactivo</v>
          </cell>
          <cell r="K333">
            <v>110161.33927682761</v>
          </cell>
          <cell r="L333">
            <v>11016.13392768276</v>
          </cell>
          <cell r="M333">
            <v>13266.435115971508</v>
          </cell>
          <cell r="N333" t="str">
            <v>Si Compra</v>
          </cell>
          <cell r="O333">
            <v>10</v>
          </cell>
          <cell r="P333">
            <v>525135.33426641673</v>
          </cell>
          <cell r="Q333">
            <v>52513.533426641676</v>
          </cell>
          <cell r="R333">
            <v>46002.773027612537</v>
          </cell>
          <cell r="S333">
            <v>35000</v>
          </cell>
          <cell r="T333">
            <v>0</v>
          </cell>
          <cell r="U333">
            <v>0</v>
          </cell>
          <cell r="V333">
            <v>0.20977704619841764</v>
          </cell>
          <cell r="W333">
            <v>4.2063856985887469E-4</v>
          </cell>
          <cell r="X333">
            <v>10</v>
          </cell>
          <cell r="Y333" t="str">
            <v>Conquistar</v>
          </cell>
        </row>
        <row r="334">
          <cell r="A334">
            <v>0</v>
          </cell>
          <cell r="B334" t="str">
            <v>A528 - FARMACIA DANFRA 2301, C.A.</v>
          </cell>
          <cell r="C334" t="str">
            <v>INDEPENDIENTE</v>
          </cell>
          <cell r="D334">
            <v>0</v>
          </cell>
          <cell r="E334"/>
          <cell r="F334" t="str">
            <v>CARACAS</v>
          </cell>
          <cell r="G334" t="str">
            <v>WILLIAM ARAQUE</v>
          </cell>
          <cell r="H334" t="str">
            <v>VICTOR</v>
          </cell>
          <cell r="I334" t="str">
            <v>C3</v>
          </cell>
          <cell r="J334" t="str">
            <v>Activo</v>
          </cell>
          <cell r="K334">
            <v>109704.55673709583</v>
          </cell>
          <cell r="L334">
            <v>10970.455673709583</v>
          </cell>
          <cell r="M334">
            <v>7017.1133426822444</v>
          </cell>
          <cell r="N334" t="str">
            <v>Si Compra</v>
          </cell>
          <cell r="O334">
            <v>10</v>
          </cell>
          <cell r="P334">
            <v>258613.28706319121</v>
          </cell>
          <cell r="Q334">
            <v>25861.32870631912</v>
          </cell>
          <cell r="R334">
            <v>25504.517523525123</v>
          </cell>
          <cell r="T334"/>
          <cell r="U334"/>
          <cell r="V334">
            <v>0.42420309483282631</v>
          </cell>
          <cell r="W334">
            <v>4.1889439757928352E-4</v>
          </cell>
          <cell r="X334">
            <v>10</v>
          </cell>
          <cell r="Y334" t="str">
            <v>Potenciar</v>
          </cell>
        </row>
        <row r="335">
          <cell r="A335" t="str">
            <v>5971</v>
          </cell>
          <cell r="B335" t="str">
            <v>GRUPO SAN JUAN VIANNEY</v>
          </cell>
          <cell r="C335" t="str">
            <v>GRUPO</v>
          </cell>
          <cell r="D335">
            <v>6</v>
          </cell>
          <cell r="E335"/>
          <cell r="F335" t="str">
            <v>CENTRO ESTE</v>
          </cell>
          <cell r="H335"/>
          <cell r="I335"/>
          <cell r="J335" t="str">
            <v>Activo</v>
          </cell>
          <cell r="K335">
            <v>109497.59567009428</v>
          </cell>
          <cell r="L335">
            <v>10949.759567009427</v>
          </cell>
          <cell r="M335">
            <v>8313.8585091854911</v>
          </cell>
          <cell r="N335" t="str">
            <v>Si Compra</v>
          </cell>
          <cell r="O335">
            <v>10</v>
          </cell>
          <cell r="P335">
            <v>85314.577875583243</v>
          </cell>
          <cell r="Q335">
            <v>8531.4577875583236</v>
          </cell>
          <cell r="R335">
            <v>3315.9011666666665</v>
          </cell>
          <cell r="S335"/>
          <cell r="T335"/>
          <cell r="U335"/>
          <cell r="V335">
            <v>1.2834570409499986</v>
          </cell>
          <cell r="W335">
            <v>4.1810414023663056E-4</v>
          </cell>
          <cell r="X335">
            <v>10</v>
          </cell>
          <cell r="Y335" t="str">
            <v>Proteger</v>
          </cell>
        </row>
        <row r="336">
          <cell r="A336" t="str">
            <v>1387</v>
          </cell>
          <cell r="B336" t="str">
            <v>1387 - FARMACIA LA CLINICA, C.A.</v>
          </cell>
          <cell r="C336" t="str">
            <v>INDEPENDIENTE</v>
          </cell>
          <cell r="D336">
            <v>3</v>
          </cell>
          <cell r="E336"/>
          <cell r="F336" t="str">
            <v>CARACAS</v>
          </cell>
          <cell r="G336" t="str">
            <v>MAIRUBI QUIJADA</v>
          </cell>
          <cell r="H336"/>
          <cell r="I336" t="str">
            <v>C2</v>
          </cell>
          <cell r="J336" t="str">
            <v>Activo</v>
          </cell>
          <cell r="K336">
            <v>108841.57963651777</v>
          </cell>
          <cell r="L336">
            <v>10884.157963651776</v>
          </cell>
          <cell r="M336">
            <v>8795.8783385067927</v>
          </cell>
          <cell r="N336" t="str">
            <v>Si Compra</v>
          </cell>
          <cell r="O336">
            <v>10</v>
          </cell>
          <cell r="P336">
            <v>350402.45487143187</v>
          </cell>
          <cell r="Q336">
            <v>35040.245487143184</v>
          </cell>
          <cell r="R336">
            <v>32491.138020927436</v>
          </cell>
          <cell r="T336"/>
          <cell r="U336"/>
          <cell r="V336">
            <v>0.31061877028359702</v>
          </cell>
          <cell r="W336">
            <v>4.15599217475346E-4</v>
          </cell>
          <cell r="X336">
            <v>10</v>
          </cell>
          <cell r="Y336" t="str">
            <v>Potenciar</v>
          </cell>
        </row>
        <row r="337">
          <cell r="A337" t="str">
            <v>8751</v>
          </cell>
          <cell r="B337" t="str">
            <v>8751 - FARMACIA PHARMASOL &amp; MAR,C.A</v>
          </cell>
          <cell r="C337" t="str">
            <v>INDEPENDIENTE</v>
          </cell>
          <cell r="D337">
            <v>3</v>
          </cell>
          <cell r="E337"/>
          <cell r="F337" t="str">
            <v>CENTRO ESTE</v>
          </cell>
          <cell r="G337" t="str">
            <v>ELIANA PERAZA</v>
          </cell>
          <cell r="H337"/>
          <cell r="I337" t="str">
            <v>I</v>
          </cell>
          <cell r="J337" t="str">
            <v>Activo</v>
          </cell>
          <cell r="K337">
            <v>108731.92052686412</v>
          </cell>
          <cell r="L337">
            <v>10873.192052686412</v>
          </cell>
          <cell r="M337">
            <v>12325.565245413442</v>
          </cell>
          <cell r="N337" t="str">
            <v>Si Compra</v>
          </cell>
          <cell r="O337">
            <v>10</v>
          </cell>
          <cell r="P337">
            <v>227172.89170501154</v>
          </cell>
          <cell r="Q337">
            <v>22717.289170501153</v>
          </cell>
          <cell r="R337">
            <v>15602.89016310103</v>
          </cell>
          <cell r="T337"/>
          <cell r="U337"/>
          <cell r="V337">
            <v>0.4786307015365841</v>
          </cell>
          <cell r="W337">
            <v>4.1518049661229628E-4</v>
          </cell>
          <cell r="X337">
            <v>10</v>
          </cell>
          <cell r="Y337" t="str">
            <v>Potenciar</v>
          </cell>
        </row>
        <row r="338">
          <cell r="A338" t="str">
            <v>B578</v>
          </cell>
          <cell r="B338" t="str">
            <v>B578 - FARMACIA EN LAS MANOS DE DIOS, C.A</v>
          </cell>
          <cell r="C338" t="str">
            <v>INDEPENDIENTE</v>
          </cell>
          <cell r="D338">
            <v>3</v>
          </cell>
          <cell r="E338"/>
          <cell r="F338" t="str">
            <v>CENTRO ESTE</v>
          </cell>
          <cell r="G338" t="str">
            <v>WILLIBETTI GONZALEZ</v>
          </cell>
          <cell r="H338"/>
          <cell r="I338" t="str">
            <v>AF</v>
          </cell>
          <cell r="J338" t="str">
            <v>Suspendido</v>
          </cell>
          <cell r="K338">
            <v>108661.73031438081</v>
          </cell>
          <cell r="L338">
            <v>10866.17303143808</v>
          </cell>
          <cell r="M338">
            <v>5810.5209847818405</v>
          </cell>
          <cell r="N338" t="str">
            <v>Si Compra</v>
          </cell>
          <cell r="O338">
            <v>10</v>
          </cell>
          <cell r="P338">
            <v>1356058.2094475601</v>
          </cell>
          <cell r="Q338">
            <v>135605.82094475601</v>
          </cell>
          <cell r="R338">
            <v>109262.09642038551</v>
          </cell>
          <cell r="T338"/>
          <cell r="U338"/>
          <cell r="V338">
            <v>8.0130579614755726E-2</v>
          </cell>
          <cell r="W338">
            <v>4.1491248325306433E-4</v>
          </cell>
          <cell r="X338">
            <v>10</v>
          </cell>
          <cell r="Y338" t="str">
            <v>Conquistar</v>
          </cell>
        </row>
        <row r="339">
          <cell r="A339" t="str">
            <v>0250</v>
          </cell>
          <cell r="B339" t="str">
            <v>SANA SANA</v>
          </cell>
          <cell r="C339" t="str">
            <v>GRUPO</v>
          </cell>
          <cell r="D339">
            <v>15</v>
          </cell>
          <cell r="E339">
            <v>2</v>
          </cell>
          <cell r="F339" t="str">
            <v>ESTE</v>
          </cell>
          <cell r="G339" t="str">
            <v>PEDRO VIRE</v>
          </cell>
          <cell r="H339" t="str">
            <v>HECTOR</v>
          </cell>
          <cell r="I339" t="str">
            <v>A7</v>
          </cell>
          <cell r="J339" t="str">
            <v>Activo</v>
          </cell>
          <cell r="K339">
            <v>108324.00928958415</v>
          </cell>
          <cell r="L339">
            <v>10832.400928958416</v>
          </cell>
          <cell r="M339">
            <v>7069.794994328925</v>
          </cell>
          <cell r="N339" t="str">
            <v>Si Compra</v>
          </cell>
          <cell r="O339">
            <v>10</v>
          </cell>
          <cell r="P339">
            <v>1132194.1294829401</v>
          </cell>
          <cell r="Q339">
            <v>113219.412948294</v>
          </cell>
          <cell r="R339">
            <v>55964.825271532078</v>
          </cell>
          <cell r="S339">
            <v>125000</v>
          </cell>
          <cell r="T339">
            <v>5</v>
          </cell>
          <cell r="U339">
            <v>7</v>
          </cell>
          <cell r="V339">
            <v>9.5676179966640948E-2</v>
          </cell>
          <cell r="W339">
            <v>4.1362293385384407E-4</v>
          </cell>
          <cell r="X339">
            <v>10</v>
          </cell>
          <cell r="Y339" t="str">
            <v>Conquistar</v>
          </cell>
        </row>
        <row r="340">
          <cell r="A340" t="str">
            <v>B260</v>
          </cell>
          <cell r="B340" t="str">
            <v>B260 - FARMACIA ADAN DE VENEZUELA,C.A</v>
          </cell>
          <cell r="C340" t="str">
            <v>INDEPENDIENTE</v>
          </cell>
          <cell r="D340">
            <v>2</v>
          </cell>
          <cell r="E340"/>
          <cell r="F340" t="str">
            <v>CARACAS</v>
          </cell>
          <cell r="G340" t="str">
            <v>MAIRUBI QUIJADA</v>
          </cell>
          <cell r="H340"/>
          <cell r="I340" t="str">
            <v>C1</v>
          </cell>
          <cell r="J340" t="str">
            <v>Bloqueado</v>
          </cell>
          <cell r="K340">
            <v>108124.9921165597</v>
          </cell>
          <cell r="L340">
            <v>10812.49921165597</v>
          </cell>
          <cell r="M340">
            <v>7341.8661731775064</v>
          </cell>
          <cell r="N340" t="str">
            <v>Si Compra</v>
          </cell>
          <cell r="O340">
            <v>8</v>
          </cell>
          <cell r="P340">
            <v>207216.58654923653</v>
          </cell>
          <cell r="Q340">
            <v>20721.658654923653</v>
          </cell>
          <cell r="R340">
            <v>16127.929124568327</v>
          </cell>
          <cell r="T340"/>
          <cell r="U340"/>
          <cell r="V340">
            <v>0.52179699471532515</v>
          </cell>
          <cell r="W340">
            <v>4.1286300936864878E-4</v>
          </cell>
          <cell r="X340">
            <v>10</v>
          </cell>
          <cell r="Y340" t="str">
            <v>Potenciar</v>
          </cell>
        </row>
        <row r="341">
          <cell r="A341" t="str">
            <v>C396</v>
          </cell>
          <cell r="B341" t="str">
            <v>C396 - FARMA COSMETICOS VIRGINIA I, C.A.</v>
          </cell>
          <cell r="C341" t="str">
            <v>INDEPENDIENTE</v>
          </cell>
          <cell r="D341">
            <v>3</v>
          </cell>
          <cell r="E341"/>
          <cell r="F341" t="str">
            <v>CARACAS</v>
          </cell>
          <cell r="G341" t="str">
            <v>JHON TORRES</v>
          </cell>
          <cell r="H341" t="str">
            <v>VICTOR</v>
          </cell>
          <cell r="I341" t="str">
            <v>C4</v>
          </cell>
          <cell r="J341" t="str">
            <v>Inactivo</v>
          </cell>
          <cell r="K341">
            <v>107841.02500675015</v>
          </cell>
          <cell r="L341">
            <v>10784.102500675015</v>
          </cell>
          <cell r="M341">
            <v>10425.919268051917</v>
          </cell>
          <cell r="N341" t="str">
            <v>Si Compra</v>
          </cell>
          <cell r="O341">
            <v>10</v>
          </cell>
          <cell r="P341">
            <v>147417.07685739952</v>
          </cell>
          <cell r="Q341">
            <v>14741.707685739952</v>
          </cell>
          <cell r="R341">
            <v>12185.168162404785</v>
          </cell>
          <cell r="T341"/>
          <cell r="U341"/>
          <cell r="V341">
            <v>0.73153685655473732</v>
          </cell>
          <cell r="W341">
            <v>4.1177871319231886E-4</v>
          </cell>
          <cell r="X341">
            <v>10</v>
          </cell>
          <cell r="Y341" t="str">
            <v>Proteger</v>
          </cell>
        </row>
        <row r="342">
          <cell r="A342" t="str">
            <v>4233</v>
          </cell>
          <cell r="B342" t="str">
            <v>EMILIANO</v>
          </cell>
          <cell r="C342" t="str">
            <v>GRUPO</v>
          </cell>
          <cell r="D342">
            <v>6</v>
          </cell>
          <cell r="E342"/>
          <cell r="F342" t="str">
            <v>CENTRO ESTE</v>
          </cell>
          <cell r="H342"/>
          <cell r="I342"/>
          <cell r="J342" t="str">
            <v>Permiso</v>
          </cell>
          <cell r="K342">
            <v>107738.86579705532</v>
          </cell>
          <cell r="L342">
            <v>10773.886579705531</v>
          </cell>
          <cell r="M342">
            <v>9137.0641789511483</v>
          </cell>
          <cell r="N342" t="str">
            <v>Si Compra</v>
          </cell>
          <cell r="O342">
            <v>10</v>
          </cell>
          <cell r="P342">
            <v>137451.96282555279</v>
          </cell>
          <cell r="Q342">
            <v>13745.19628255528</v>
          </cell>
          <cell r="R342">
            <v>8680.1403583431074</v>
          </cell>
          <cell r="S342"/>
          <cell r="T342"/>
          <cell r="U342"/>
          <cell r="V342">
            <v>0.7838292271882078</v>
          </cell>
          <cell r="W342">
            <v>4.1138862984596482E-4</v>
          </cell>
          <cell r="X342">
            <v>10</v>
          </cell>
          <cell r="Y342" t="str">
            <v>Proteger</v>
          </cell>
        </row>
        <row r="343">
          <cell r="A343" t="str">
            <v>5720</v>
          </cell>
          <cell r="B343" t="str">
            <v>CENTRO ANDINA</v>
          </cell>
          <cell r="C343" t="str">
            <v>GRUPO</v>
          </cell>
          <cell r="D343">
            <v>9</v>
          </cell>
          <cell r="E343">
            <v>0</v>
          </cell>
          <cell r="F343" t="str">
            <v>ANDES</v>
          </cell>
          <cell r="G343" t="str">
            <v/>
          </cell>
          <cell r="H343" t="str">
            <v>VICTOR</v>
          </cell>
          <cell r="I343">
            <v>0</v>
          </cell>
          <cell r="J343" t="str">
            <v>Activo</v>
          </cell>
          <cell r="K343">
            <v>107522.87482249887</v>
          </cell>
          <cell r="L343">
            <v>10752.287482249887</v>
          </cell>
          <cell r="M343">
            <v>14543.754521038527</v>
          </cell>
          <cell r="N343" t="str">
            <v>Si Compra</v>
          </cell>
          <cell r="O343">
            <v>10</v>
          </cell>
          <cell r="P343">
            <v>580707.2857563193</v>
          </cell>
          <cell r="Q343">
            <v>58070.728575631932</v>
          </cell>
          <cell r="R343">
            <v>25604.303099488327</v>
          </cell>
          <cell r="S343">
            <v>0</v>
          </cell>
          <cell r="T343">
            <v>0</v>
          </cell>
          <cell r="U343">
            <v>0</v>
          </cell>
          <cell r="V343">
            <v>0.18515847391592469</v>
          </cell>
          <cell r="W343">
            <v>4.1056389282627832E-4</v>
          </cell>
          <cell r="X343">
            <v>10</v>
          </cell>
          <cell r="Y343" t="str">
            <v>Conquistar</v>
          </cell>
        </row>
        <row r="344">
          <cell r="A344" t="str">
            <v>D321</v>
          </cell>
          <cell r="B344" t="str">
            <v>D321 - FARMACIA AVIL &amp; ROS C.A</v>
          </cell>
          <cell r="C344" t="str">
            <v>INDEPENDIENTE</v>
          </cell>
          <cell r="D344">
            <v>3</v>
          </cell>
          <cell r="E344"/>
          <cell r="F344" t="str">
            <v>CENTRO OESTE</v>
          </cell>
          <cell r="G344" t="str">
            <v>SORALI SILVA</v>
          </cell>
          <cell r="H344" t="str">
            <v>HECTOR</v>
          </cell>
          <cell r="I344" t="str">
            <v>L</v>
          </cell>
          <cell r="J344" t="str">
            <v>Activo</v>
          </cell>
          <cell r="K344">
            <v>106177.07561331429</v>
          </cell>
          <cell r="L344">
            <v>10617.707561331428</v>
          </cell>
          <cell r="M344">
            <v>10604.849433333335</v>
          </cell>
          <cell r="N344" t="str">
            <v>Si Compra</v>
          </cell>
          <cell r="O344">
            <v>10</v>
          </cell>
          <cell r="P344">
            <v>414304.44382867246</v>
          </cell>
          <cell r="Q344">
            <v>41430.444382867245</v>
          </cell>
          <cell r="R344">
            <v>35706.547500000008</v>
          </cell>
          <cell r="T344"/>
          <cell r="U344"/>
          <cell r="V344">
            <v>0.25627790672991613</v>
          </cell>
          <cell r="W344">
            <v>4.0542511130469517E-4</v>
          </cell>
          <cell r="X344">
            <v>10</v>
          </cell>
          <cell r="Y344" t="str">
            <v>Potenciar</v>
          </cell>
        </row>
        <row r="345">
          <cell r="A345" t="str">
            <v>+184</v>
          </cell>
          <cell r="B345" t="str">
            <v>+184 - FARMACIA MARIA FRANCIA C.A.</v>
          </cell>
          <cell r="C345" t="str">
            <v>INDEPENDIENTE</v>
          </cell>
          <cell r="D345">
            <v>3</v>
          </cell>
          <cell r="E345"/>
          <cell r="F345" t="str">
            <v>CARACAS</v>
          </cell>
          <cell r="G345" t="str">
            <v>RAMON SERRANO</v>
          </cell>
          <cell r="H345"/>
          <cell r="I345" t="str">
            <v>C6</v>
          </cell>
          <cell r="J345" t="str">
            <v>Activo</v>
          </cell>
          <cell r="K345">
            <v>105766.10556062184</v>
          </cell>
          <cell r="L345">
            <v>10576.610556062184</v>
          </cell>
          <cell r="M345">
            <v>9059.1152020187219</v>
          </cell>
          <cell r="N345" t="str">
            <v>Si Compra</v>
          </cell>
          <cell r="O345">
            <v>10</v>
          </cell>
          <cell r="P345">
            <v>124212.92748501097</v>
          </cell>
          <cell r="Q345">
            <v>12421.292748501097</v>
          </cell>
          <cell r="R345">
            <v>8166.7436600064439</v>
          </cell>
          <cell r="T345"/>
          <cell r="U345"/>
          <cell r="V345">
            <v>0.85149032151572834</v>
          </cell>
          <cell r="W345">
            <v>4.0385586880678975E-4</v>
          </cell>
          <cell r="X345">
            <v>10</v>
          </cell>
          <cell r="Y345" t="str">
            <v>Proteger</v>
          </cell>
        </row>
        <row r="346">
          <cell r="A346" t="str">
            <v>6560</v>
          </cell>
          <cell r="B346" t="str">
            <v>6560 - FARMA BARBARA, C.A</v>
          </cell>
          <cell r="C346" t="str">
            <v>INDEPENDIENTE</v>
          </cell>
          <cell r="D346">
            <v>3</v>
          </cell>
          <cell r="E346"/>
          <cell r="F346" t="str">
            <v>ANDES</v>
          </cell>
          <cell r="G346" t="str">
            <v>MARIA GABRIELA FORTUL</v>
          </cell>
          <cell r="H346"/>
          <cell r="I346" t="str">
            <v>3</v>
          </cell>
          <cell r="J346" t="str">
            <v>Activo</v>
          </cell>
          <cell r="K346">
            <v>105402.77454528003</v>
          </cell>
          <cell r="L346">
            <v>10540.277454528003</v>
          </cell>
          <cell r="M346">
            <v>7752.9170702718975</v>
          </cell>
          <cell r="N346" t="str">
            <v>Si Compra</v>
          </cell>
          <cell r="O346">
            <v>10</v>
          </cell>
          <cell r="P346">
            <v>277767.16552976257</v>
          </cell>
          <cell r="Q346">
            <v>27776.716552976257</v>
          </cell>
          <cell r="R346">
            <v>20478.003707029686</v>
          </cell>
          <cell r="T346"/>
          <cell r="U346"/>
          <cell r="V346">
            <v>0.37946448545944567</v>
          </cell>
          <cell r="W346">
            <v>4.0246853056560605E-4</v>
          </cell>
          <cell r="X346">
            <v>10</v>
          </cell>
          <cell r="Y346" t="str">
            <v>Potenciar</v>
          </cell>
        </row>
        <row r="347">
          <cell r="A347" t="str">
            <v>$104</v>
          </cell>
          <cell r="B347" t="str">
            <v>$104 - FARMACIA DIGA CENTER C.A.</v>
          </cell>
          <cell r="C347" t="str">
            <v>INDEPENDIENTE</v>
          </cell>
          <cell r="D347">
            <v>3</v>
          </cell>
          <cell r="E347"/>
          <cell r="F347" t="str">
            <v>CENTRO ESTE</v>
          </cell>
          <cell r="G347" t="str">
            <v>LAURA FLORES</v>
          </cell>
          <cell r="H347" t="str">
            <v>HECTOR</v>
          </cell>
          <cell r="I347" t="str">
            <v>-</v>
          </cell>
          <cell r="J347" t="str">
            <v>Activo</v>
          </cell>
          <cell r="K347">
            <v>105278.17026302493</v>
          </cell>
          <cell r="L347">
            <v>10527.817026302493</v>
          </cell>
          <cell r="M347">
            <v>5695.0089650017662</v>
          </cell>
          <cell r="N347" t="str">
            <v>Si Compra</v>
          </cell>
          <cell r="O347">
            <v>10</v>
          </cell>
          <cell r="P347">
            <v>216175.86284926947</v>
          </cell>
          <cell r="Q347">
            <v>21617.586284926947</v>
          </cell>
          <cell r="R347">
            <v>20496.811403326847</v>
          </cell>
          <cell r="T347"/>
          <cell r="U347"/>
          <cell r="V347">
            <v>0.48700242883467088</v>
          </cell>
          <cell r="W347">
            <v>4.0199274325737117E-4</v>
          </cell>
          <cell r="X347">
            <v>10</v>
          </cell>
          <cell r="Y347" t="str">
            <v>Potenciar</v>
          </cell>
        </row>
        <row r="348">
          <cell r="A348" t="str">
            <v>A592</v>
          </cell>
          <cell r="B348" t="str">
            <v>FARMA VIDA (BARINAS)</v>
          </cell>
          <cell r="C348" t="e">
            <v>#N/A</v>
          </cell>
          <cell r="D348">
            <v>5</v>
          </cell>
          <cell r="E348"/>
          <cell r="F348" t="str">
            <v>CENTRO OESTE</v>
          </cell>
          <cell r="H348"/>
          <cell r="I348"/>
          <cell r="J348" t="str">
            <v>Activo</v>
          </cell>
          <cell r="K348">
            <v>104029.98636246314</v>
          </cell>
          <cell r="L348">
            <v>10402.998636246313</v>
          </cell>
          <cell r="M348">
            <v>12453.237382990903</v>
          </cell>
          <cell r="N348" t="str">
            <v>Si Compra</v>
          </cell>
          <cell r="O348">
            <v>10</v>
          </cell>
          <cell r="P348">
            <v>0</v>
          </cell>
          <cell r="Q348">
            <v>0</v>
          </cell>
          <cell r="R348">
            <v>0</v>
          </cell>
          <cell r="S348"/>
          <cell r="T348"/>
          <cell r="U348"/>
          <cell r="V348">
            <v>0</v>
          </cell>
          <cell r="W348">
            <v>3.9722669471166665E-4</v>
          </cell>
          <cell r="X348">
            <v>0</v>
          </cell>
          <cell r="Y348" t="str">
            <v>Conquistar</v>
          </cell>
        </row>
        <row r="349">
          <cell r="A349" t="str">
            <v>0504</v>
          </cell>
          <cell r="B349" t="str">
            <v>FARMA CENTRO</v>
          </cell>
          <cell r="C349" t="str">
            <v>GRUPO</v>
          </cell>
          <cell r="D349">
            <v>9</v>
          </cell>
          <cell r="E349">
            <v>0</v>
          </cell>
          <cell r="F349" t="str">
            <v>ESTE</v>
          </cell>
          <cell r="G349" t="str">
            <v>JOSE RAMIREZ</v>
          </cell>
          <cell r="H349" t="str">
            <v>HECTOR</v>
          </cell>
          <cell r="I349" t="str">
            <v>A2</v>
          </cell>
          <cell r="J349" t="str">
            <v>Permiso</v>
          </cell>
          <cell r="K349">
            <v>103864.78808902581</v>
          </cell>
          <cell r="L349">
            <v>10386.478808902581</v>
          </cell>
          <cell r="M349">
            <v>14603.778865113156</v>
          </cell>
          <cell r="N349" t="str">
            <v>Si Compra</v>
          </cell>
          <cell r="O349">
            <v>10</v>
          </cell>
          <cell r="P349">
            <v>206476.23258112662</v>
          </cell>
          <cell r="Q349">
            <v>20647.623258112661</v>
          </cell>
          <cell r="R349">
            <v>20046.156662227735</v>
          </cell>
          <cell r="S349">
            <v>17500</v>
          </cell>
          <cell r="T349">
            <v>4</v>
          </cell>
          <cell r="U349">
            <v>4</v>
          </cell>
          <cell r="V349">
            <v>0.50303507958581273</v>
          </cell>
          <cell r="W349">
            <v>3.9659590385583644E-4</v>
          </cell>
          <cell r="X349">
            <v>10</v>
          </cell>
          <cell r="Y349" t="str">
            <v>Potenciar</v>
          </cell>
        </row>
        <row r="350">
          <cell r="A350" t="str">
            <v>6171</v>
          </cell>
          <cell r="B350" t="str">
            <v>LAS TAPIAS</v>
          </cell>
          <cell r="C350" t="str">
            <v>GRUPO</v>
          </cell>
          <cell r="D350">
            <v>6</v>
          </cell>
          <cell r="E350"/>
          <cell r="F350" t="str">
            <v>ANDES</v>
          </cell>
          <cell r="H350"/>
          <cell r="I350"/>
          <cell r="J350" t="str">
            <v>Inactivo</v>
          </cell>
          <cell r="K350">
            <v>103468.05567596522</v>
          </cell>
          <cell r="L350">
            <v>10346.805567596522</v>
          </cell>
          <cell r="M350">
            <v>13079.978652248246</v>
          </cell>
          <cell r="N350" t="str">
            <v>Si Compra</v>
          </cell>
          <cell r="O350">
            <v>10</v>
          </cell>
          <cell r="P350">
            <v>165879.99515711845</v>
          </cell>
          <cell r="Q350">
            <v>16587.999515711846</v>
          </cell>
          <cell r="R350">
            <v>14612.812018691671</v>
          </cell>
          <cell r="S350"/>
          <cell r="T350"/>
          <cell r="U350"/>
          <cell r="V350">
            <v>0.62375246380952809</v>
          </cell>
          <cell r="W350">
            <v>3.9508102616878234E-4</v>
          </cell>
          <cell r="X350">
            <v>10</v>
          </cell>
          <cell r="Y350" t="str">
            <v>Proteger</v>
          </cell>
        </row>
        <row r="351">
          <cell r="A351" t="str">
            <v>B509</v>
          </cell>
          <cell r="B351" t="str">
            <v>B509 - FARMACITY CARONI, C.A.</v>
          </cell>
          <cell r="C351" t="str">
            <v>INDEPENDIENTE</v>
          </cell>
          <cell r="D351">
            <v>3</v>
          </cell>
          <cell r="E351"/>
          <cell r="F351" t="str">
            <v>ESTE</v>
          </cell>
          <cell r="G351" t="str">
            <v>JOSE RAMIREZ</v>
          </cell>
          <cell r="H351" t="str">
            <v>HECTOR</v>
          </cell>
          <cell r="I351" t="str">
            <v>A4</v>
          </cell>
          <cell r="J351" t="str">
            <v>Permiso</v>
          </cell>
          <cell r="K351">
            <v>102922.65789940994</v>
          </cell>
          <cell r="L351">
            <v>11435.850877712215</v>
          </cell>
          <cell r="M351">
            <v>15391.226710900592</v>
          </cell>
          <cell r="N351" t="str">
            <v>Si Compra</v>
          </cell>
          <cell r="O351">
            <v>9</v>
          </cell>
          <cell r="P351">
            <v>901245.12729150488</v>
          </cell>
          <cell r="Q351">
            <v>100138.34747683388</v>
          </cell>
          <cell r="R351">
            <v>276863.1610722745</v>
          </cell>
          <cell r="T351"/>
          <cell r="U351"/>
          <cell r="V351">
            <v>0.11420051524574837</v>
          </cell>
          <cell r="W351">
            <v>4.3666498518433322E-4</v>
          </cell>
          <cell r="X351">
            <v>9</v>
          </cell>
          <cell r="Y351" t="str">
            <v>Conquistar</v>
          </cell>
        </row>
        <row r="352">
          <cell r="A352" t="str">
            <v>D484</v>
          </cell>
          <cell r="B352" t="str">
            <v>D484 - INVERSIONES ABBA 308, C.A</v>
          </cell>
          <cell r="C352" t="str">
            <v>INDEPENDIENTE</v>
          </cell>
          <cell r="D352">
            <v>3</v>
          </cell>
          <cell r="E352"/>
          <cell r="F352" t="str">
            <v>CARACAS</v>
          </cell>
          <cell r="G352">
            <v>0</v>
          </cell>
          <cell r="H352"/>
          <cell r="I352" t="str">
            <v>C4</v>
          </cell>
          <cell r="J352" t="str">
            <v>Activo</v>
          </cell>
          <cell r="K352">
            <v>102543.4377642232</v>
          </cell>
          <cell r="L352">
            <v>10254.34377642232</v>
          </cell>
          <cell r="M352">
            <v>11201.330416804136</v>
          </cell>
          <cell r="N352" t="str">
            <v>Si Compra</v>
          </cell>
          <cell r="O352">
            <v>10</v>
          </cell>
          <cell r="P352">
            <v>0</v>
          </cell>
          <cell r="Q352">
            <v>0</v>
          </cell>
          <cell r="R352">
            <v>0</v>
          </cell>
          <cell r="T352"/>
          <cell r="U352"/>
          <cell r="V352">
            <v>0</v>
          </cell>
          <cell r="W352">
            <v>3.9155047762412721E-4</v>
          </cell>
          <cell r="X352">
            <v>0</v>
          </cell>
          <cell r="Y352" t="str">
            <v>Conquistar</v>
          </cell>
        </row>
        <row r="353">
          <cell r="A353" t="str">
            <v>3213</v>
          </cell>
          <cell r="B353" t="str">
            <v>FARMAMUNDO - LILIAN CHACON</v>
          </cell>
          <cell r="C353" t="str">
            <v>CADENA</v>
          </cell>
          <cell r="D353">
            <v>12</v>
          </cell>
          <cell r="E353">
            <v>0</v>
          </cell>
          <cell r="F353" t="str">
            <v>ANDES</v>
          </cell>
          <cell r="G353" t="str">
            <v/>
          </cell>
          <cell r="H353" t="str">
            <v>VICTOR</v>
          </cell>
          <cell r="I353">
            <v>0</v>
          </cell>
          <cell r="J353" t="str">
            <v>Activo</v>
          </cell>
          <cell r="K353">
            <v>102419.13755520721</v>
          </cell>
          <cell r="L353">
            <v>10241.913755520722</v>
          </cell>
          <cell r="M353">
            <v>10895.819386953961</v>
          </cell>
          <cell r="N353" t="str">
            <v>Si Compra</v>
          </cell>
          <cell r="O353">
            <v>10</v>
          </cell>
          <cell r="P353">
            <v>229465.6624648039</v>
          </cell>
          <cell r="Q353">
            <v>22946.56624648039</v>
          </cell>
          <cell r="R353">
            <v>20562.592463431585</v>
          </cell>
          <cell r="S353">
            <v>0</v>
          </cell>
          <cell r="T353">
            <v>0</v>
          </cell>
          <cell r="U353">
            <v>0</v>
          </cell>
          <cell r="V353">
            <v>0.44633753240058982</v>
          </cell>
          <cell r="W353">
            <v>3.9107585138504114E-4</v>
          </cell>
          <cell r="X353">
            <v>10</v>
          </cell>
          <cell r="Y353" t="str">
            <v>Potenciar</v>
          </cell>
        </row>
        <row r="354">
          <cell r="A354" t="str">
            <v>D413</v>
          </cell>
          <cell r="B354" t="str">
            <v>D413 - FARMACIA SURAFARMA, C.A.</v>
          </cell>
          <cell r="C354" t="str">
            <v>INDEPENDIENTE</v>
          </cell>
          <cell r="D354">
            <v>3</v>
          </cell>
          <cell r="E354"/>
          <cell r="F354" t="str">
            <v>ANDES</v>
          </cell>
          <cell r="G354" t="str">
            <v>LUCIA DUGARTE</v>
          </cell>
          <cell r="H354"/>
          <cell r="I354" t="str">
            <v>6</v>
          </cell>
          <cell r="J354" t="str">
            <v>Activo</v>
          </cell>
          <cell r="K354">
            <v>102245.21108702438</v>
          </cell>
          <cell r="L354">
            <v>10224.521108702438</v>
          </cell>
          <cell r="M354">
            <v>15599.113269456444</v>
          </cell>
          <cell r="N354" t="str">
            <v>Si Compra</v>
          </cell>
          <cell r="O354">
            <v>10</v>
          </cell>
          <cell r="P354">
            <v>170113.29508663056</v>
          </cell>
          <cell r="Q354">
            <v>17011.329508663057</v>
          </cell>
          <cell r="R354">
            <v>18805.774948619979</v>
          </cell>
          <cell r="T354"/>
          <cell r="U354"/>
          <cell r="V354">
            <v>0.60104185880918826</v>
          </cell>
          <cell r="W354">
            <v>3.9041173290829326E-4</v>
          </cell>
          <cell r="X354">
            <v>10</v>
          </cell>
          <cell r="Y354" t="str">
            <v>Potenciar</v>
          </cell>
        </row>
        <row r="355">
          <cell r="A355" t="str">
            <v>2828</v>
          </cell>
          <cell r="B355" t="str">
            <v>2828 - FARMA OFERTAS LA REDOMA, C.A</v>
          </cell>
          <cell r="C355" t="str">
            <v>INDEPENDIENTE</v>
          </cell>
          <cell r="D355">
            <v>3</v>
          </cell>
          <cell r="E355"/>
          <cell r="F355" t="str">
            <v>CENTRO ESTE</v>
          </cell>
          <cell r="G355" t="str">
            <v>ELIANA PERAZA</v>
          </cell>
          <cell r="H355"/>
          <cell r="I355" t="str">
            <v>I</v>
          </cell>
          <cell r="J355" t="str">
            <v>Activo</v>
          </cell>
          <cell r="K355">
            <v>101293.40500499656</v>
          </cell>
          <cell r="L355">
            <v>10129.340500499657</v>
          </cell>
          <cell r="M355">
            <v>9242.9107156483897</v>
          </cell>
          <cell r="N355" t="str">
            <v>Si Compra</v>
          </cell>
          <cell r="O355">
            <v>10</v>
          </cell>
          <cell r="P355">
            <v>193074.89372046487</v>
          </cell>
          <cell r="Q355">
            <v>19307.489372046486</v>
          </cell>
          <cell r="R355">
            <v>16412.719790381165</v>
          </cell>
          <cell r="T355"/>
          <cell r="U355"/>
          <cell r="V355">
            <v>0.52463271144745438</v>
          </cell>
          <cell r="W355">
            <v>3.8677736942147083E-4</v>
          </cell>
          <cell r="X355">
            <v>10</v>
          </cell>
          <cell r="Y355" t="str">
            <v>Potenciar</v>
          </cell>
        </row>
        <row r="356">
          <cell r="A356" t="str">
            <v>D014</v>
          </cell>
          <cell r="B356" t="str">
            <v>D014 - FARMACIA SIERRA PARIMA C.A.</v>
          </cell>
          <cell r="C356" t="str">
            <v>INDEPENDIENTE</v>
          </cell>
          <cell r="D356">
            <v>3</v>
          </cell>
          <cell r="E356"/>
          <cell r="F356" t="str">
            <v>ESTE</v>
          </cell>
          <cell r="G356" t="str">
            <v>JOSE RAMIREZ</v>
          </cell>
          <cell r="H356"/>
          <cell r="I356" t="str">
            <v>A2</v>
          </cell>
          <cell r="J356" t="str">
            <v>Activo</v>
          </cell>
          <cell r="K356">
            <v>100970.92217352215</v>
          </cell>
          <cell r="L356">
            <v>10097.092217352216</v>
          </cell>
          <cell r="M356">
            <v>12813.44638780196</v>
          </cell>
          <cell r="N356" t="str">
            <v>Si Compra</v>
          </cell>
          <cell r="O356">
            <v>10</v>
          </cell>
          <cell r="P356">
            <v>221846.58303818674</v>
          </cell>
          <cell r="Q356">
            <v>22184.658303818673</v>
          </cell>
          <cell r="R356">
            <v>23351.259957357248</v>
          </cell>
          <cell r="T356"/>
          <cell r="U356"/>
          <cell r="V356">
            <v>0.45513850513596554</v>
          </cell>
          <cell r="W356">
            <v>3.8554600533379792E-4</v>
          </cell>
          <cell r="X356">
            <v>10</v>
          </cell>
          <cell r="Y356" t="str">
            <v>Potenciar</v>
          </cell>
        </row>
        <row r="357">
          <cell r="A357" t="str">
            <v>1507</v>
          </cell>
          <cell r="B357" t="str">
            <v>GRUPO FARMAVERO</v>
          </cell>
          <cell r="C357" t="str">
            <v>GRUPO</v>
          </cell>
          <cell r="D357">
            <v>6</v>
          </cell>
          <cell r="E357"/>
          <cell r="F357" t="str">
            <v>CENTRO ESTE</v>
          </cell>
          <cell r="H357"/>
          <cell r="I357"/>
          <cell r="J357" t="str">
            <v>Activo</v>
          </cell>
          <cell r="K357">
            <v>100500.99840116176</v>
          </cell>
          <cell r="L357">
            <v>10050.099840116176</v>
          </cell>
          <cell r="M357">
            <v>6394.954480368523</v>
          </cell>
          <cell r="N357" t="str">
            <v>Si Compra</v>
          </cell>
          <cell r="O357">
            <v>10</v>
          </cell>
          <cell r="P357">
            <v>914042.3512073569</v>
          </cell>
          <cell r="Q357">
            <v>91404.235120735684</v>
          </cell>
          <cell r="R357">
            <v>58343.301598997678</v>
          </cell>
          <cell r="S357"/>
          <cell r="T357"/>
          <cell r="U357"/>
          <cell r="V357">
            <v>0.10995223390733501</v>
          </cell>
          <cell r="W357">
            <v>3.8375165474904664E-4</v>
          </cell>
          <cell r="X357">
            <v>10</v>
          </cell>
          <cell r="Y357" t="str">
            <v>Conquistar</v>
          </cell>
        </row>
        <row r="358">
          <cell r="A358" t="str">
            <v>D330</v>
          </cell>
          <cell r="B358" t="str">
            <v>D330 - SERVIFARMA LA BOTIQUERIA 2.0, C.A.</v>
          </cell>
          <cell r="C358" t="str">
            <v>INDEPENDIENTE</v>
          </cell>
          <cell r="D358">
            <v>3</v>
          </cell>
          <cell r="E358"/>
          <cell r="F358" t="str">
            <v>ANDES</v>
          </cell>
          <cell r="G358">
            <v>0</v>
          </cell>
          <cell r="H358"/>
          <cell r="I358" t="str">
            <v>3</v>
          </cell>
          <cell r="J358" t="str">
            <v>Inactivo</v>
          </cell>
          <cell r="K358">
            <v>100224.94435276263</v>
          </cell>
          <cell r="L358">
            <v>10022.494435276263</v>
          </cell>
          <cell r="M358">
            <v>7888.5173853555598</v>
          </cell>
          <cell r="N358" t="str">
            <v>Si Compra</v>
          </cell>
          <cell r="O358">
            <v>10</v>
          </cell>
          <cell r="P358">
            <v>0</v>
          </cell>
          <cell r="Q358">
            <v>0</v>
          </cell>
          <cell r="R358">
            <v>0</v>
          </cell>
          <cell r="T358"/>
          <cell r="U358"/>
          <cell r="V358">
            <v>0</v>
          </cell>
          <cell r="W358">
            <v>3.8269757369951832E-4</v>
          </cell>
          <cell r="X358">
            <v>0</v>
          </cell>
          <cell r="Y358" t="str">
            <v>Conquistar</v>
          </cell>
        </row>
        <row r="359">
          <cell r="A359" t="str">
            <v>4245</v>
          </cell>
          <cell r="B359" t="str">
            <v>4245 - LA NUEVA FARMACIA SAN JOSE, C.A.</v>
          </cell>
          <cell r="C359" t="str">
            <v>INDEPENDIENTE</v>
          </cell>
          <cell r="D359">
            <v>3</v>
          </cell>
          <cell r="E359"/>
          <cell r="F359" t="str">
            <v>CENTRO OESTE</v>
          </cell>
          <cell r="G359" t="str">
            <v>YAMILEX LAMEDA</v>
          </cell>
          <cell r="H359"/>
          <cell r="I359" t="str">
            <v>Y1</v>
          </cell>
          <cell r="J359" t="str">
            <v>Activo</v>
          </cell>
          <cell r="K359">
            <v>100168.54483121262</v>
          </cell>
          <cell r="L359">
            <v>10016.854483121262</v>
          </cell>
          <cell r="M359">
            <v>8211.6771840827496</v>
          </cell>
          <cell r="N359" t="str">
            <v>Si Compra</v>
          </cell>
          <cell r="O359">
            <v>10</v>
          </cell>
          <cell r="P359">
            <v>116541.88576590196</v>
          </cell>
          <cell r="Q359">
            <v>11654.188576590195</v>
          </cell>
          <cell r="R359">
            <v>8572.0984699005658</v>
          </cell>
          <cell r="T359"/>
          <cell r="U359"/>
          <cell r="V359">
            <v>0.85950681313344701</v>
          </cell>
          <cell r="W359">
            <v>3.824822185282644E-4</v>
          </cell>
          <cell r="X359">
            <v>10</v>
          </cell>
          <cell r="Y359" t="str">
            <v>Proteger</v>
          </cell>
        </row>
        <row r="360">
          <cell r="A360" t="str">
            <v>D248</v>
          </cell>
          <cell r="B360" t="str">
            <v>D248 - FARMACIA SAN JUAN LEONARDI C.A.</v>
          </cell>
          <cell r="C360" t="str">
            <v>INDEPENDIENTE</v>
          </cell>
          <cell r="D360">
            <v>3</v>
          </cell>
          <cell r="E360"/>
          <cell r="F360" t="str">
            <v>ESTE</v>
          </cell>
          <cell r="G360" t="str">
            <v>JOSE RAMIREZ</v>
          </cell>
          <cell r="H360" t="str">
            <v>HECTOR</v>
          </cell>
          <cell r="I360" t="str">
            <v>A4</v>
          </cell>
          <cell r="J360" t="str">
            <v>Activo</v>
          </cell>
          <cell r="K360">
            <v>100082.19886093168</v>
          </cell>
          <cell r="L360">
            <v>10008.219886093168</v>
          </cell>
          <cell r="M360">
            <v>10870.747182537098</v>
          </cell>
          <cell r="N360" t="str">
            <v>Si Compra</v>
          </cell>
          <cell r="O360">
            <v>10</v>
          </cell>
          <cell r="P360">
            <v>118211.89474014027</v>
          </cell>
          <cell r="Q360">
            <v>11821.189474014027</v>
          </cell>
          <cell r="R360">
            <v>11587.041639082936</v>
          </cell>
          <cell r="T360"/>
          <cell r="U360"/>
          <cell r="V360">
            <v>0.84663391176444414</v>
          </cell>
          <cell r="W360">
            <v>3.8215251624168652E-4</v>
          </cell>
          <cell r="X360">
            <v>10</v>
          </cell>
          <cell r="Y360" t="str">
            <v>Proteger</v>
          </cell>
        </row>
        <row r="361">
          <cell r="A361" t="str">
            <v>L107</v>
          </cell>
          <cell r="B361" t="str">
            <v>L107 - GUTIERREZ, CLAUDIO (FARMACIA DEL CENTRO)</v>
          </cell>
          <cell r="C361" t="str">
            <v>INDEPENDIENTE</v>
          </cell>
          <cell r="D361">
            <v>3</v>
          </cell>
          <cell r="F361" t="str">
            <v>CENTRO OESTE</v>
          </cell>
          <cell r="G361" t="str">
            <v>LUIS PLACERES</v>
          </cell>
          <cell r="H361" t="str">
            <v>HECTOR</v>
          </cell>
          <cell r="I361" t="str">
            <v>E</v>
          </cell>
          <cell r="J361" t="str">
            <v>Activo</v>
          </cell>
          <cell r="K361">
            <v>100057.40415869467</v>
          </cell>
          <cell r="L361">
            <v>10005.740415869466</v>
          </cell>
          <cell r="M361">
            <v>10040.4033</v>
          </cell>
          <cell r="N361" t="str">
            <v>Si Compra</v>
          </cell>
          <cell r="O361">
            <v>10</v>
          </cell>
          <cell r="P361">
            <v>131587.32373836773</v>
          </cell>
          <cell r="Q361">
            <v>13158.732373836774</v>
          </cell>
          <cell r="R361">
            <v>10840.510333333334</v>
          </cell>
          <cell r="V361">
            <v>0.7603878650016217</v>
          </cell>
          <cell r="W361">
            <v>3.8205784048558623E-4</v>
          </cell>
          <cell r="X361">
            <v>10</v>
          </cell>
          <cell r="Y361" t="str">
            <v>Proteger</v>
          </cell>
        </row>
        <row r="362">
          <cell r="A362" t="str">
            <v>9537</v>
          </cell>
          <cell r="B362" t="str">
            <v>FARMACIAS KANAAN</v>
          </cell>
          <cell r="C362" t="str">
            <v>GRUPO</v>
          </cell>
          <cell r="D362">
            <v>11</v>
          </cell>
          <cell r="E362"/>
          <cell r="F362" t="str">
            <v>ESTE</v>
          </cell>
          <cell r="H362"/>
          <cell r="I362"/>
          <cell r="J362" t="str">
            <v>Permiso</v>
          </cell>
          <cell r="K362">
            <v>99717.176912188792</v>
          </cell>
          <cell r="L362">
            <v>9971.7176912188788</v>
          </cell>
          <cell r="M362">
            <v>3898.9045824707478</v>
          </cell>
          <cell r="N362" t="str">
            <v>Si Compra</v>
          </cell>
          <cell r="O362">
            <v>10</v>
          </cell>
          <cell r="P362">
            <v>453699.2139287435</v>
          </cell>
          <cell r="Q362">
            <v>50411.023769860389</v>
          </cell>
          <cell r="R362">
            <v>63289.64358378519</v>
          </cell>
          <cell r="S362"/>
          <cell r="T362"/>
          <cell r="U362"/>
          <cell r="V362">
            <v>0.19780827576012736</v>
          </cell>
          <cell r="W362">
            <v>3.8075872136324494E-4</v>
          </cell>
          <cell r="X362">
            <v>9</v>
          </cell>
          <cell r="Y362" t="str">
            <v>Conquistar</v>
          </cell>
        </row>
        <row r="363">
          <cell r="A363" t="str">
            <v>S144</v>
          </cell>
          <cell r="B363" t="str">
            <v>S144 - FARMACIA LAS CUATRO Y Nº 2, COMPAÑIA ANONIMA.</v>
          </cell>
          <cell r="C363" t="e">
            <v>#N/A</v>
          </cell>
          <cell r="D363">
            <v>3</v>
          </cell>
          <cell r="F363" t="str">
            <v>MARACAIBO</v>
          </cell>
          <cell r="G363" t="str">
            <v>JOEL JIMENEZ</v>
          </cell>
          <cell r="H363"/>
          <cell r="I363" t="str">
            <v>S</v>
          </cell>
          <cell r="J363" t="str">
            <v>Activo</v>
          </cell>
          <cell r="K363">
            <v>99688.570552567398</v>
          </cell>
          <cell r="L363">
            <v>9968.8570552567398</v>
          </cell>
          <cell r="M363">
            <v>8858.5168118651727</v>
          </cell>
          <cell r="N363" t="str">
            <v>Si Compra</v>
          </cell>
          <cell r="O363">
            <v>10</v>
          </cell>
          <cell r="P363">
            <v>106876.95264734795</v>
          </cell>
          <cell r="Q363">
            <v>10687.695264734795</v>
          </cell>
          <cell r="R363">
            <v>8376.8578519889397</v>
          </cell>
          <cell r="V363">
            <v>0.93274151333169653</v>
          </cell>
          <cell r="W363">
            <v>3.8064949122607516E-4</v>
          </cell>
          <cell r="X363">
            <v>10</v>
          </cell>
          <cell r="Y363" t="str">
            <v>Proteger</v>
          </cell>
        </row>
        <row r="364">
          <cell r="A364" t="str">
            <v>A964</v>
          </cell>
          <cell r="B364" t="str">
            <v>MUNDO FARMA</v>
          </cell>
          <cell r="C364" t="str">
            <v>GRUPO</v>
          </cell>
          <cell r="D364">
            <v>6</v>
          </cell>
          <cell r="E364">
            <v>0</v>
          </cell>
          <cell r="F364" t="str">
            <v>ESTE</v>
          </cell>
          <cell r="G364" t="str">
            <v>CARLOS BLONDELL</v>
          </cell>
          <cell r="H364" t="str">
            <v>HECTOR</v>
          </cell>
          <cell r="I364" t="str">
            <v>A3</v>
          </cell>
          <cell r="J364" t="str">
            <v>Activo</v>
          </cell>
          <cell r="K364">
            <v>99032.204926873281</v>
          </cell>
          <cell r="L364">
            <v>11003.578325208142</v>
          </cell>
          <cell r="M364">
            <v>9335.4935929546373</v>
          </cell>
          <cell r="N364" t="str">
            <v>Si Compra</v>
          </cell>
          <cell r="O364">
            <v>9</v>
          </cell>
          <cell r="P364">
            <v>150775.68462950725</v>
          </cell>
          <cell r="Q364">
            <v>16752.853847723029</v>
          </cell>
          <cell r="R364">
            <v>13641.514282493474</v>
          </cell>
          <cell r="S364">
            <v>21000</v>
          </cell>
          <cell r="T364">
            <v>4</v>
          </cell>
          <cell r="U364">
            <v>4</v>
          </cell>
          <cell r="V364">
            <v>0.65681814126873062</v>
          </cell>
          <cell r="W364">
            <v>4.2015914842996773E-4</v>
          </cell>
          <cell r="X364">
            <v>9</v>
          </cell>
          <cell r="Y364" t="str">
            <v>Proteger</v>
          </cell>
        </row>
        <row r="365">
          <cell r="A365" t="str">
            <v>4292</v>
          </cell>
          <cell r="B365" t="str">
            <v>4292 - FARMACIA FARMAHOSPITAL,C.A</v>
          </cell>
          <cell r="C365" t="str">
            <v>INDEPENDIENTE</v>
          </cell>
          <cell r="D365">
            <v>3</v>
          </cell>
          <cell r="E365"/>
          <cell r="F365" t="str">
            <v>CENTRO OESTE</v>
          </cell>
          <cell r="G365" t="str">
            <v>JOSE LUIS GARCIA</v>
          </cell>
          <cell r="H365"/>
          <cell r="I365" t="str">
            <v>Y</v>
          </cell>
          <cell r="J365" t="str">
            <v>Activo</v>
          </cell>
          <cell r="K365">
            <v>98654.889320927527</v>
          </cell>
          <cell r="L365">
            <v>9865.4889320927523</v>
          </cell>
          <cell r="M365">
            <v>9668.2460371711568</v>
          </cell>
          <cell r="N365" t="str">
            <v>Si Compra</v>
          </cell>
          <cell r="O365">
            <v>10</v>
          </cell>
          <cell r="P365">
            <v>113632.21728540288</v>
          </cell>
          <cell r="Q365">
            <v>11363.221728540288</v>
          </cell>
          <cell r="R365">
            <v>9930.0081375004575</v>
          </cell>
          <cell r="T365"/>
          <cell r="U365"/>
          <cell r="V365">
            <v>0.86819470461570114</v>
          </cell>
          <cell r="W365">
            <v>3.7670249677392606E-4</v>
          </cell>
          <cell r="X365">
            <v>10</v>
          </cell>
          <cell r="Y365" t="str">
            <v>Proteger</v>
          </cell>
        </row>
        <row r="366">
          <cell r="A366" t="str">
            <v>6948</v>
          </cell>
          <cell r="B366" t="str">
            <v>6948 - FARMASERVICIOS DE VENEZUELA, C.A</v>
          </cell>
          <cell r="C366" t="str">
            <v>INDEPENDIENTE</v>
          </cell>
          <cell r="D366">
            <v>3</v>
          </cell>
          <cell r="E366"/>
          <cell r="F366" t="str">
            <v>ANDES</v>
          </cell>
          <cell r="G366" t="str">
            <v>MARIA GABRIELA FORTUL</v>
          </cell>
          <cell r="H366"/>
          <cell r="I366" t="str">
            <v>3</v>
          </cell>
          <cell r="J366" t="str">
            <v>Activo</v>
          </cell>
          <cell r="K366">
            <v>98485.74972415001</v>
          </cell>
          <cell r="L366">
            <v>9848.574972415001</v>
          </cell>
          <cell r="M366">
            <v>10264.098677376322</v>
          </cell>
          <cell r="N366" t="str">
            <v>Si Compra</v>
          </cell>
          <cell r="O366">
            <v>10</v>
          </cell>
          <cell r="P366">
            <v>216674.41560856995</v>
          </cell>
          <cell r="Q366">
            <v>21667.441560856994</v>
          </cell>
          <cell r="R366">
            <v>13594.402455498821</v>
          </cell>
          <cell r="T366"/>
          <cell r="U366"/>
          <cell r="V366">
            <v>0.45453335802261041</v>
          </cell>
          <cell r="W366">
            <v>3.7605665642229222E-4</v>
          </cell>
          <cell r="X366">
            <v>10</v>
          </cell>
          <cell r="Y366" t="str">
            <v>Potenciar</v>
          </cell>
        </row>
        <row r="367">
          <cell r="A367" t="str">
            <v>L105</v>
          </cell>
          <cell r="B367" t="str">
            <v>L105 - ABOU ASSALI DE HASSOUN, LUCIA TERESA (FARMATOTAL)</v>
          </cell>
          <cell r="C367" t="str">
            <v>INDEPENDIENTE</v>
          </cell>
          <cell r="D367">
            <v>3</v>
          </cell>
          <cell r="F367" t="str">
            <v>CENTRO OESTE</v>
          </cell>
          <cell r="G367" t="str">
            <v>LUIS PLACERES</v>
          </cell>
          <cell r="H367"/>
          <cell r="I367" t="str">
            <v>E</v>
          </cell>
          <cell r="J367" t="str">
            <v>Activo</v>
          </cell>
          <cell r="K367">
            <v>98464.882971634885</v>
          </cell>
          <cell r="L367">
            <v>9846.4882971634888</v>
          </cell>
          <cell r="M367">
            <v>8224.0054067415695</v>
          </cell>
          <cell r="N367" t="str">
            <v>Si Compra</v>
          </cell>
          <cell r="O367">
            <v>10</v>
          </cell>
          <cell r="P367">
            <v>115399.01714949221</v>
          </cell>
          <cell r="Q367">
            <v>11539.901714949221</v>
          </cell>
          <cell r="R367">
            <v>8601.3585959119409</v>
          </cell>
          <cell r="V367">
            <v>0.85325581971014353</v>
          </cell>
          <cell r="W367">
            <v>3.759769790963521E-4</v>
          </cell>
          <cell r="X367">
            <v>10</v>
          </cell>
          <cell r="Y367" t="str">
            <v>Proteger</v>
          </cell>
        </row>
        <row r="368">
          <cell r="A368" t="str">
            <v>4011</v>
          </cell>
          <cell r="B368" t="str">
            <v>LACOR</v>
          </cell>
          <cell r="C368" t="e">
            <v>#N/A</v>
          </cell>
          <cell r="D368">
            <v>6</v>
          </cell>
          <cell r="E368"/>
          <cell r="F368" t="str">
            <v>ANDES</v>
          </cell>
          <cell r="H368"/>
          <cell r="I368"/>
          <cell r="J368" t="str">
            <v>Inactivo</v>
          </cell>
          <cell r="K368">
            <v>98190.689846327965</v>
          </cell>
          <cell r="L368">
            <v>9819.0689846327969</v>
          </cell>
          <cell r="M368">
            <v>18245.338860185915</v>
          </cell>
          <cell r="N368" t="str">
            <v>Si Compra</v>
          </cell>
          <cell r="O368">
            <v>10</v>
          </cell>
          <cell r="P368">
            <v>375931.32380142383</v>
          </cell>
          <cell r="Q368">
            <v>37593.132380142386</v>
          </cell>
          <cell r="R368">
            <v>37451.360914124627</v>
          </cell>
          <cell r="S368"/>
          <cell r="T368"/>
          <cell r="U368"/>
          <cell r="V368">
            <v>0.26119315850943747</v>
          </cell>
          <cell r="W368">
            <v>3.7493000377042212E-4</v>
          </cell>
          <cell r="X368">
            <v>10</v>
          </cell>
          <cell r="Y368" t="str">
            <v>Potenciar</v>
          </cell>
        </row>
        <row r="369">
          <cell r="A369" t="str">
            <v>0455</v>
          </cell>
          <cell r="B369" t="str">
            <v>SAGRARIO</v>
          </cell>
          <cell r="C369" t="str">
            <v>CADENA</v>
          </cell>
          <cell r="D369">
            <v>12</v>
          </cell>
          <cell r="E369">
            <v>0</v>
          </cell>
          <cell r="F369" t="str">
            <v>ANDES</v>
          </cell>
          <cell r="G369" t="str">
            <v/>
          </cell>
          <cell r="H369" t="str">
            <v>VICTOR</v>
          </cell>
          <cell r="I369">
            <v>0</v>
          </cell>
          <cell r="J369" t="str">
            <v>Activo</v>
          </cell>
          <cell r="K369">
            <v>98064.302940294147</v>
          </cell>
          <cell r="L369">
            <v>9806.4302940294147</v>
          </cell>
          <cell r="M369">
            <v>6987.7063104964882</v>
          </cell>
          <cell r="N369" t="str">
            <v>Si Compra</v>
          </cell>
          <cell r="O369">
            <v>10</v>
          </cell>
          <cell r="P369">
            <v>346236.82611226401</v>
          </cell>
          <cell r="Q369">
            <v>34623.682611226403</v>
          </cell>
          <cell r="R369">
            <v>27508.53154436297</v>
          </cell>
          <cell r="S369">
            <v>0</v>
          </cell>
          <cell r="T369">
            <v>0</v>
          </cell>
          <cell r="U369">
            <v>0</v>
          </cell>
          <cell r="V369">
            <v>0.2832289795438967</v>
          </cell>
          <cell r="W369">
            <v>3.7444740971562983E-4</v>
          </cell>
          <cell r="X369">
            <v>10</v>
          </cell>
          <cell r="Y369" t="str">
            <v>Potenciar</v>
          </cell>
        </row>
        <row r="370">
          <cell r="A370" t="str">
            <v>D226</v>
          </cell>
          <cell r="B370" t="str">
            <v>PODER DEL CIELO</v>
          </cell>
          <cell r="C370" t="str">
            <v>GRUPO</v>
          </cell>
          <cell r="D370">
            <v>6</v>
          </cell>
          <cell r="E370"/>
          <cell r="F370" t="str">
            <v>CARACAS</v>
          </cell>
          <cell r="H370"/>
          <cell r="I370"/>
          <cell r="J370" t="str">
            <v>Activo</v>
          </cell>
          <cell r="K370">
            <v>98003.957624124305</v>
          </cell>
          <cell r="L370">
            <v>9800.3957624124305</v>
          </cell>
          <cell r="M370">
            <v>5526.3242320333475</v>
          </cell>
          <cell r="N370" t="str">
            <v>Si Compra</v>
          </cell>
          <cell r="O370">
            <v>10</v>
          </cell>
          <cell r="P370">
            <v>300687.75858629693</v>
          </cell>
          <cell r="Q370">
            <v>30068.775858629691</v>
          </cell>
          <cell r="R370">
            <v>24981.672433333337</v>
          </cell>
          <cell r="S370"/>
          <cell r="T370"/>
          <cell r="U370"/>
          <cell r="V370">
            <v>0.32593264882114353</v>
          </cell>
          <cell r="W370">
            <v>3.7421698797549853E-4</v>
          </cell>
          <cell r="X370">
            <v>10</v>
          </cell>
          <cell r="Y370" t="str">
            <v>Potenciar</v>
          </cell>
        </row>
        <row r="371">
          <cell r="A371" t="str">
            <v>C913</v>
          </cell>
          <cell r="B371" t="str">
            <v>C913 - FARMACIA IBS 1 C.A.</v>
          </cell>
          <cell r="C371" t="str">
            <v>INDEPENDIENTE</v>
          </cell>
          <cell r="D371">
            <v>3</v>
          </cell>
          <cell r="E371"/>
          <cell r="F371" t="str">
            <v>ESTE</v>
          </cell>
          <cell r="G371" t="str">
            <v>IRAIDA RODRIGUEZ</v>
          </cell>
          <cell r="H371"/>
          <cell r="I371" t="str">
            <v>AB</v>
          </cell>
          <cell r="J371" t="str">
            <v>Inactivo</v>
          </cell>
          <cell r="K371">
            <v>97938.992318125252</v>
          </cell>
          <cell r="L371">
            <v>9793.8992318125256</v>
          </cell>
          <cell r="M371">
            <v>10983.111968315477</v>
          </cell>
          <cell r="N371" t="str">
            <v>Si Compra</v>
          </cell>
          <cell r="O371">
            <v>10</v>
          </cell>
          <cell r="P371">
            <v>107752.19930450886</v>
          </cell>
          <cell r="Q371">
            <v>10775.219930450887</v>
          </cell>
          <cell r="R371">
            <v>10871.027972114445</v>
          </cell>
          <cell r="T371"/>
          <cell r="U371"/>
          <cell r="V371">
            <v>0.90892801214524277</v>
          </cell>
          <cell r="W371">
            <v>3.7396892532860917E-4</v>
          </cell>
          <cell r="X371">
            <v>10</v>
          </cell>
          <cell r="Y371" t="str">
            <v>Proteger</v>
          </cell>
        </row>
        <row r="372">
          <cell r="A372" t="str">
            <v>A865</v>
          </cell>
          <cell r="B372" t="str">
            <v>NILDIAS</v>
          </cell>
          <cell r="C372" t="str">
            <v>GRUPO</v>
          </cell>
          <cell r="D372">
            <v>6</v>
          </cell>
          <cell r="E372">
            <v>4</v>
          </cell>
          <cell r="F372" t="str">
            <v>CENTRO OESTE</v>
          </cell>
          <cell r="G372" t="str">
            <v>LUIS PLACERES</v>
          </cell>
          <cell r="H372" t="str">
            <v>HECTOR</v>
          </cell>
          <cell r="I372" t="str">
            <v>E</v>
          </cell>
          <cell r="J372" t="str">
            <v>Activo</v>
          </cell>
          <cell r="K372">
            <v>97919.548670942764</v>
          </cell>
          <cell r="L372">
            <v>9791.9548670942768</v>
          </cell>
          <cell r="M372">
            <v>14457.547589303538</v>
          </cell>
          <cell r="N372" t="str">
            <v>Si Compra</v>
          </cell>
          <cell r="O372">
            <v>10</v>
          </cell>
          <cell r="P372">
            <v>0</v>
          </cell>
          <cell r="Q372">
            <v>0</v>
          </cell>
          <cell r="R372">
            <v>0</v>
          </cell>
          <cell r="S372">
            <v>45000</v>
          </cell>
          <cell r="T372">
            <v>6</v>
          </cell>
          <cell r="U372">
            <v>6</v>
          </cell>
          <cell r="V372">
            <v>0</v>
          </cell>
          <cell r="W372">
            <v>3.738946819688482E-4</v>
          </cell>
          <cell r="X372">
            <v>0</v>
          </cell>
          <cell r="Y372" t="str">
            <v>Conquistar</v>
          </cell>
        </row>
        <row r="373">
          <cell r="A373" t="str">
            <v>A750</v>
          </cell>
          <cell r="B373" t="str">
            <v>FARMA FULL (BQTO)</v>
          </cell>
          <cell r="C373" t="str">
            <v>GRUPO</v>
          </cell>
          <cell r="D373">
            <v>6</v>
          </cell>
          <cell r="E373">
            <v>9</v>
          </cell>
          <cell r="F373" t="str">
            <v>CENTRO OESTE</v>
          </cell>
          <cell r="G373" t="str">
            <v>DIEGO TORI</v>
          </cell>
          <cell r="H373" t="str">
            <v>HECTOR</v>
          </cell>
          <cell r="I373" t="str">
            <v>A</v>
          </cell>
          <cell r="J373" t="str">
            <v>Activo</v>
          </cell>
          <cell r="K373">
            <v>97480.799842383945</v>
          </cell>
          <cell r="L373">
            <v>9748.0799842383949</v>
          </cell>
          <cell r="M373">
            <v>9080.4826528761041</v>
          </cell>
          <cell r="N373" t="str">
            <v>Si Compra</v>
          </cell>
          <cell r="O373">
            <v>10</v>
          </cell>
          <cell r="P373">
            <v>344115.60469936708</v>
          </cell>
          <cell r="Q373">
            <v>34411.56046993671</v>
          </cell>
          <cell r="R373">
            <v>27611.254833122348</v>
          </cell>
          <cell r="S373">
            <v>14000</v>
          </cell>
          <cell r="T373">
            <v>4</v>
          </cell>
          <cell r="U373">
            <v>9</v>
          </cell>
          <cell r="V373">
            <v>0.2832792192831447</v>
          </cell>
          <cell r="W373">
            <v>3.7221936936840432E-4</v>
          </cell>
          <cell r="X373">
            <v>10</v>
          </cell>
          <cell r="Y373" t="str">
            <v>Potenciar</v>
          </cell>
        </row>
        <row r="374">
          <cell r="A374" t="str">
            <v>6243</v>
          </cell>
          <cell r="B374" t="str">
            <v>GRUPO CAJA DE AGUA</v>
          </cell>
          <cell r="C374" t="str">
            <v>CADENA</v>
          </cell>
          <cell r="D374">
            <v>6</v>
          </cell>
          <cell r="E374">
            <v>8</v>
          </cell>
          <cell r="F374" t="str">
            <v>CENTRO OESTE</v>
          </cell>
          <cell r="G374" t="str">
            <v>JOSE GARCIA</v>
          </cell>
          <cell r="H374" t="str">
            <v>HECTOR</v>
          </cell>
          <cell r="I374" t="str">
            <v xml:space="preserve">Y </v>
          </cell>
          <cell r="J374" t="str">
            <v>Inactivo</v>
          </cell>
          <cell r="K374">
            <v>97294.415632147633</v>
          </cell>
          <cell r="L374">
            <v>9729.4415632147629</v>
          </cell>
          <cell r="M374">
            <v>4899.0682052551392</v>
          </cell>
          <cell r="N374" t="str">
            <v>Si Compra</v>
          </cell>
          <cell r="O374">
            <v>10</v>
          </cell>
          <cell r="P374">
            <v>411881.9876725027</v>
          </cell>
          <cell r="Q374">
            <v>41188.198767250273</v>
          </cell>
          <cell r="R374">
            <v>12342.884218512721</v>
          </cell>
          <cell r="S374">
            <v>70000</v>
          </cell>
          <cell r="T374">
            <v>0</v>
          </cell>
          <cell r="U374">
            <v>8</v>
          </cell>
          <cell r="V374">
            <v>0.23621915632180729</v>
          </cell>
          <cell r="W374">
            <v>3.7150768241767595E-4</v>
          </cell>
          <cell r="X374">
            <v>10</v>
          </cell>
          <cell r="Y374" t="str">
            <v>Potenciar</v>
          </cell>
        </row>
        <row r="375">
          <cell r="A375" t="str">
            <v>2913</v>
          </cell>
          <cell r="B375" t="str">
            <v>2913 - FARMACIA EL EJERCITO 1970, C.A</v>
          </cell>
          <cell r="C375" t="str">
            <v>INDEPENDIENTE</v>
          </cell>
          <cell r="D375">
            <v>3</v>
          </cell>
          <cell r="E375"/>
          <cell r="F375" t="str">
            <v>CARACAS</v>
          </cell>
          <cell r="G375" t="str">
            <v>MAIRE ACOSTA FERNANDEZ</v>
          </cell>
          <cell r="H375"/>
          <cell r="I375" t="str">
            <v>C9</v>
          </cell>
          <cell r="J375" t="str">
            <v>Activo</v>
          </cell>
          <cell r="K375">
            <v>97262.893465059431</v>
          </cell>
          <cell r="L375">
            <v>9726.2893465059424</v>
          </cell>
          <cell r="M375">
            <v>8564.3300619624024</v>
          </cell>
          <cell r="N375" t="str">
            <v>Si Compra</v>
          </cell>
          <cell r="O375">
            <v>10</v>
          </cell>
          <cell r="P375">
            <v>197940.50390528369</v>
          </cell>
          <cell r="Q375">
            <v>19794.050390528369</v>
          </cell>
          <cell r="R375">
            <v>17923.637901121107</v>
          </cell>
          <cell r="T375"/>
          <cell r="U375"/>
          <cell r="V375">
            <v>0.49137438546483941</v>
          </cell>
          <cell r="W375">
            <v>3.7138731860066103E-4</v>
          </cell>
          <cell r="X375">
            <v>10</v>
          </cell>
          <cell r="Y375" t="str">
            <v>Potenciar</v>
          </cell>
        </row>
        <row r="376">
          <cell r="A376" t="str">
            <v>E091</v>
          </cell>
          <cell r="B376" t="str">
            <v>E091 - FARMACIA FARMA MIA CENTRO, C.A.</v>
          </cell>
          <cell r="C376" t="str">
            <v>INDEPENDIENTE</v>
          </cell>
          <cell r="D376">
            <v>3</v>
          </cell>
          <cell r="F376" t="str">
            <v>MARACAIBO</v>
          </cell>
          <cell r="G376">
            <v>0</v>
          </cell>
          <cell r="H376"/>
          <cell r="I376" t="str">
            <v>Z</v>
          </cell>
          <cell r="J376" t="str">
            <v>Activo</v>
          </cell>
          <cell r="K376">
            <v>96955.439467871445</v>
          </cell>
          <cell r="L376">
            <v>10772.826607541272</v>
          </cell>
          <cell r="M376">
            <v>5264.9327795177887</v>
          </cell>
          <cell r="N376" t="str">
            <v>Si Compra</v>
          </cell>
          <cell r="O376">
            <v>9</v>
          </cell>
          <cell r="P376">
            <v>0</v>
          </cell>
          <cell r="Q376">
            <v>0</v>
          </cell>
          <cell r="R376">
            <v>0</v>
          </cell>
          <cell r="V376">
            <v>0</v>
          </cell>
          <cell r="W376">
            <v>4.1134815601202352E-4</v>
          </cell>
          <cell r="X376">
            <v>0</v>
          </cell>
          <cell r="Y376" t="str">
            <v>Conquistar</v>
          </cell>
        </row>
        <row r="377">
          <cell r="A377" t="str">
            <v>N130</v>
          </cell>
          <cell r="B377" t="str">
            <v>N130 - FARMACIA MUNICIPAL LA REDOMA,C.A.</v>
          </cell>
          <cell r="C377" t="str">
            <v>INDEPENDIENTE</v>
          </cell>
          <cell r="D377">
            <v>3</v>
          </cell>
          <cell r="F377" t="str">
            <v>CENTRO OESTE</v>
          </cell>
          <cell r="G377" t="str">
            <v>YAMILEX LAMEDA</v>
          </cell>
          <cell r="H377" t="str">
            <v>HECTOR</v>
          </cell>
          <cell r="I377" t="str">
            <v>Y1</v>
          </cell>
          <cell r="J377" t="str">
            <v>Activo</v>
          </cell>
          <cell r="K377">
            <v>95516.760817241433</v>
          </cell>
          <cell r="L377">
            <v>9551.6760817241429</v>
          </cell>
          <cell r="M377">
            <v>8833.9956081234213</v>
          </cell>
          <cell r="N377" t="str">
            <v>Si Compra</v>
          </cell>
          <cell r="O377">
            <v>10</v>
          </cell>
          <cell r="P377">
            <v>137255.40672341344</v>
          </cell>
          <cell r="Q377">
            <v>13725.540672341343</v>
          </cell>
          <cell r="R377">
            <v>11671.167450387447</v>
          </cell>
          <cell r="V377">
            <v>0.69590526958052357</v>
          </cell>
          <cell r="W377">
            <v>3.6471990928461841E-4</v>
          </cell>
          <cell r="X377">
            <v>10</v>
          </cell>
          <cell r="Y377" t="str">
            <v>Proteger</v>
          </cell>
        </row>
        <row r="378">
          <cell r="A378" t="str">
            <v>5309</v>
          </cell>
          <cell r="B378" t="str">
            <v>5309 - FARMACIA TORRE CRISTAL,C.A</v>
          </cell>
          <cell r="C378" t="str">
            <v>INDEPENDIENTE</v>
          </cell>
          <cell r="D378">
            <v>3</v>
          </cell>
          <cell r="E378"/>
          <cell r="F378" t="str">
            <v>CENTRO OESTE</v>
          </cell>
          <cell r="G378" t="str">
            <v>JOSE LUIS GARCIA</v>
          </cell>
          <cell r="H378"/>
          <cell r="I378" t="str">
            <v>Y</v>
          </cell>
          <cell r="J378" t="str">
            <v>Activo</v>
          </cell>
          <cell r="K378">
            <v>94289.340073546176</v>
          </cell>
          <cell r="L378">
            <v>9428.9340073546173</v>
          </cell>
          <cell r="M378">
            <v>9006.6803569541862</v>
          </cell>
          <cell r="N378" t="str">
            <v>Si Compra</v>
          </cell>
          <cell r="O378">
            <v>10</v>
          </cell>
          <cell r="P378">
            <v>104115.54516976651</v>
          </cell>
          <cell r="Q378">
            <v>10411.554516976652</v>
          </cell>
          <cell r="R378">
            <v>9024.8624731331074</v>
          </cell>
          <cell r="T378"/>
          <cell r="U378"/>
          <cell r="V378">
            <v>0.90562211358353706</v>
          </cell>
          <cell r="W378">
            <v>3.6003314249662881E-4</v>
          </cell>
          <cell r="X378">
            <v>10</v>
          </cell>
          <cell r="Y378" t="str">
            <v>Proteger</v>
          </cell>
        </row>
        <row r="379">
          <cell r="A379" t="str">
            <v>7031</v>
          </cell>
          <cell r="B379" t="str">
            <v>7031 - FARMACIA MORALES RAMIREZ C.A.</v>
          </cell>
          <cell r="C379" t="str">
            <v>INDEPENDIENTE</v>
          </cell>
          <cell r="D379">
            <v>3</v>
          </cell>
          <cell r="E379"/>
          <cell r="F379" t="str">
            <v>CARACAS</v>
          </cell>
          <cell r="G379" t="str">
            <v>MAIRE ACOSTA FERNANDEZ</v>
          </cell>
          <cell r="H379"/>
          <cell r="I379" t="str">
            <v>C9</v>
          </cell>
          <cell r="J379" t="str">
            <v>Activo</v>
          </cell>
          <cell r="K379">
            <v>93351.901547516594</v>
          </cell>
          <cell r="L379">
            <v>9335.1901547516591</v>
          </cell>
          <cell r="M379">
            <v>8030.9559089502991</v>
          </cell>
          <cell r="N379" t="str">
            <v>Si Compra</v>
          </cell>
          <cell r="O379">
            <v>10</v>
          </cell>
          <cell r="P379">
            <v>134385.79145283572</v>
          </cell>
          <cell r="Q379">
            <v>13438.579145283573</v>
          </cell>
          <cell r="R379">
            <v>12231.792823318325</v>
          </cell>
          <cell r="T379"/>
          <cell r="U379"/>
          <cell r="V379">
            <v>0.69465603869498016</v>
          </cell>
          <cell r="W379">
            <v>3.5645363989155615E-4</v>
          </cell>
          <cell r="X379">
            <v>10</v>
          </cell>
          <cell r="Y379" t="str">
            <v>Proteger</v>
          </cell>
        </row>
        <row r="380">
          <cell r="A380" t="str">
            <v>A517</v>
          </cell>
          <cell r="B380" t="str">
            <v>A517 - FARMACIA TU ESPERANZA, C.A.</v>
          </cell>
          <cell r="C380" t="str">
            <v>INDEPENDIENTE</v>
          </cell>
          <cell r="D380">
            <v>2</v>
          </cell>
          <cell r="E380"/>
          <cell r="F380" t="str">
            <v>MARACAIBO</v>
          </cell>
          <cell r="G380" t="str">
            <v>MARIA FUSELLA</v>
          </cell>
          <cell r="H380" t="str">
            <v>VICTOR</v>
          </cell>
          <cell r="I380" t="str">
            <v>Z</v>
          </cell>
          <cell r="J380" t="str">
            <v>Activo</v>
          </cell>
          <cell r="K380">
            <v>93316.583428264435</v>
          </cell>
          <cell r="L380">
            <v>10368.50926980716</v>
          </cell>
          <cell r="M380">
            <v>17352.700370090584</v>
          </cell>
          <cell r="N380" t="str">
            <v>Si Compra</v>
          </cell>
          <cell r="O380">
            <v>9</v>
          </cell>
          <cell r="P380">
            <v>115581.75601135215</v>
          </cell>
          <cell r="Q380">
            <v>12842.417334594684</v>
          </cell>
          <cell r="R380">
            <v>19229.392123575162</v>
          </cell>
          <cell r="T380"/>
          <cell r="U380"/>
          <cell r="V380">
            <v>0.80736429907760809</v>
          </cell>
          <cell r="W380">
            <v>3.9590975740230375E-4</v>
          </cell>
          <cell r="X380">
            <v>9</v>
          </cell>
          <cell r="Y380" t="str">
            <v>Proteger</v>
          </cell>
        </row>
        <row r="381">
          <cell r="A381" t="str">
            <v>+274</v>
          </cell>
          <cell r="B381" t="str">
            <v>+274 - FARMACIA LA ECONOMICA CA</v>
          </cell>
          <cell r="C381" t="str">
            <v>INDEPENDIENTE</v>
          </cell>
          <cell r="D381">
            <v>3</v>
          </cell>
          <cell r="E381"/>
          <cell r="F381" t="str">
            <v>CENTRO ESTE</v>
          </cell>
          <cell r="G381" t="str">
            <v>MARCOS CRUCES</v>
          </cell>
          <cell r="H381"/>
          <cell r="I381" t="str">
            <v>AV</v>
          </cell>
          <cell r="J381" t="str">
            <v>Activo</v>
          </cell>
          <cell r="K381">
            <v>93224.707025997006</v>
          </cell>
          <cell r="L381">
            <v>9322.4707025997013</v>
          </cell>
          <cell r="M381">
            <v>3532.0390642370744</v>
          </cell>
          <cell r="N381" t="str">
            <v>Si Compra</v>
          </cell>
          <cell r="O381">
            <v>10</v>
          </cell>
          <cell r="P381">
            <v>396550.90456224832</v>
          </cell>
          <cell r="Q381">
            <v>39655.090456224832</v>
          </cell>
          <cell r="R381">
            <v>37579.589857099847</v>
          </cell>
          <cell r="T381"/>
          <cell r="U381"/>
          <cell r="V381">
            <v>0.23508887750213953</v>
          </cell>
          <cell r="W381">
            <v>3.5596796204870215E-4</v>
          </cell>
          <cell r="X381">
            <v>9</v>
          </cell>
          <cell r="Y381" t="str">
            <v>Potenciar</v>
          </cell>
        </row>
        <row r="382">
          <cell r="A382" t="str">
            <v>B380</v>
          </cell>
          <cell r="B382" t="str">
            <v>B380 - FARMACIA CIMA, C.A.</v>
          </cell>
          <cell r="C382" t="str">
            <v>INDEPENDIENTE</v>
          </cell>
          <cell r="D382">
            <v>3</v>
          </cell>
          <cell r="E382"/>
          <cell r="F382" t="str">
            <v>CENTRO OESTE</v>
          </cell>
          <cell r="G382" t="str">
            <v>LUIS PLACERES</v>
          </cell>
          <cell r="H382"/>
          <cell r="I382" t="str">
            <v>E</v>
          </cell>
          <cell r="J382" t="str">
            <v>Activo</v>
          </cell>
          <cell r="K382">
            <v>92399.878822233004</v>
          </cell>
          <cell r="L382">
            <v>9239.9878822233004</v>
          </cell>
          <cell r="M382">
            <v>9826.0894270988993</v>
          </cell>
          <cell r="N382" t="str">
            <v>Si Compra</v>
          </cell>
          <cell r="O382">
            <v>10</v>
          </cell>
          <cell r="P382">
            <v>69861.752700791767</v>
          </cell>
          <cell r="Q382">
            <v>6986.1752700791767</v>
          </cell>
          <cell r="R382">
            <v>6324.5225146988196</v>
          </cell>
          <cell r="T382"/>
          <cell r="U382"/>
          <cell r="V382">
            <v>1.3226103733464707</v>
          </cell>
          <cell r="W382">
            <v>3.5281844917705229E-4</v>
          </cell>
          <cell r="X382">
            <v>10</v>
          </cell>
          <cell r="Y382" t="str">
            <v>Proteger</v>
          </cell>
        </row>
        <row r="383">
          <cell r="A383" t="str">
            <v>B730</v>
          </cell>
          <cell r="B383" t="str">
            <v>MESVOL</v>
          </cell>
          <cell r="C383" t="e">
            <v>#N/A</v>
          </cell>
          <cell r="D383">
            <v>9</v>
          </cell>
          <cell r="E383">
            <v>0</v>
          </cell>
          <cell r="F383" t="str">
            <v>CARACAS</v>
          </cell>
          <cell r="G383" t="str">
            <v>VARIOS</v>
          </cell>
          <cell r="H383" t="str">
            <v>VICTOR</v>
          </cell>
          <cell r="I383" t="str">
            <v>VARIAS</v>
          </cell>
          <cell r="J383" t="str">
            <v>Activo</v>
          </cell>
          <cell r="K383">
            <v>91878.336689633725</v>
          </cell>
          <cell r="L383">
            <v>9187.8336689633725</v>
          </cell>
          <cell r="M383">
            <v>10045.629362471942</v>
          </cell>
          <cell r="N383" t="str">
            <v>Si Compra</v>
          </cell>
          <cell r="O383">
            <v>10</v>
          </cell>
          <cell r="P383">
            <v>0</v>
          </cell>
          <cell r="Q383">
            <v>0</v>
          </cell>
          <cell r="R383">
            <v>0</v>
          </cell>
          <cell r="S383">
            <v>24000</v>
          </cell>
          <cell r="T383">
            <v>8</v>
          </cell>
          <cell r="U383">
            <v>8</v>
          </cell>
          <cell r="V383">
            <v>0</v>
          </cell>
          <cell r="W383">
            <v>3.5082699974281457E-4</v>
          </cell>
          <cell r="X383">
            <v>0</v>
          </cell>
          <cell r="Y383" t="str">
            <v>Conquistar</v>
          </cell>
        </row>
        <row r="384">
          <cell r="A384" t="str">
            <v>4943</v>
          </cell>
          <cell r="B384" t="str">
            <v>FARMALUZ EL TIGRE</v>
          </cell>
          <cell r="C384" t="str">
            <v>GRUPO</v>
          </cell>
          <cell r="D384">
            <v>11</v>
          </cell>
          <cell r="E384">
            <v>8</v>
          </cell>
          <cell r="F384" t="str">
            <v>ESTE</v>
          </cell>
          <cell r="G384" t="str">
            <v>IRAIDA RODRIGUEZ</v>
          </cell>
          <cell r="H384" t="str">
            <v>HECTOR</v>
          </cell>
          <cell r="I384" t="str">
            <v>AB</v>
          </cell>
          <cell r="J384" t="str">
            <v>Inactivo</v>
          </cell>
          <cell r="K384">
            <v>91411.555056685291</v>
          </cell>
          <cell r="L384">
            <v>9141.1555056685283</v>
          </cell>
          <cell r="M384">
            <v>11226.608107088483</v>
          </cell>
          <cell r="N384" t="str">
            <v>Si Compra</v>
          </cell>
          <cell r="O384">
            <v>10</v>
          </cell>
          <cell r="P384">
            <v>1439370.5914505569</v>
          </cell>
          <cell r="Q384">
            <v>143937.05914505568</v>
          </cell>
          <cell r="R384">
            <v>137552.35069809738</v>
          </cell>
          <cell r="S384">
            <v>65000</v>
          </cell>
          <cell r="T384">
            <v>0</v>
          </cell>
          <cell r="U384">
            <v>0</v>
          </cell>
          <cell r="V384">
            <v>6.3508005234818171E-2</v>
          </cell>
          <cell r="W384">
            <v>3.4904464706075048E-4</v>
          </cell>
          <cell r="X384">
            <v>10</v>
          </cell>
          <cell r="Y384" t="str">
            <v>Conquistar</v>
          </cell>
        </row>
        <row r="385">
          <cell r="A385" t="str">
            <v>4412</v>
          </cell>
          <cell r="B385" t="str">
            <v>FARMAMIA</v>
          </cell>
          <cell r="C385" t="str">
            <v>GRUPO</v>
          </cell>
          <cell r="D385">
            <v>6</v>
          </cell>
          <cell r="E385">
            <v>0</v>
          </cell>
          <cell r="F385" t="str">
            <v>ESTE</v>
          </cell>
          <cell r="G385" t="str">
            <v>JOSE RAMIREZ</v>
          </cell>
          <cell r="H385" t="str">
            <v>HECTOR</v>
          </cell>
          <cell r="I385" t="str">
            <v>A2</v>
          </cell>
          <cell r="J385" t="str">
            <v>Activo</v>
          </cell>
          <cell r="K385">
            <v>91272.285662831011</v>
          </cell>
          <cell r="L385">
            <v>9127.2285662831018</v>
          </cell>
          <cell r="M385">
            <v>12049.278066666666</v>
          </cell>
          <cell r="N385" t="str">
            <v>Si Compra</v>
          </cell>
          <cell r="O385">
            <v>10</v>
          </cell>
          <cell r="P385">
            <v>454923.44538051746</v>
          </cell>
          <cell r="Q385">
            <v>45492.344538051744</v>
          </cell>
          <cell r="R385">
            <v>45408.741399999999</v>
          </cell>
          <cell r="S385">
            <v>40000</v>
          </cell>
          <cell r="T385">
            <v>4</v>
          </cell>
          <cell r="U385">
            <v>4</v>
          </cell>
          <cell r="V385">
            <v>0.20063218677702349</v>
          </cell>
          <cell r="W385">
            <v>3.4851286268847853E-4</v>
          </cell>
          <cell r="X385">
            <v>10</v>
          </cell>
          <cell r="Y385" t="str">
            <v>Conquistar</v>
          </cell>
        </row>
        <row r="386">
          <cell r="A386" t="str">
            <v>A994</v>
          </cell>
          <cell r="B386" t="str">
            <v>PADILLA</v>
          </cell>
          <cell r="C386" t="e">
            <v>#N/A</v>
          </cell>
          <cell r="D386">
            <v>3</v>
          </cell>
          <cell r="E386">
            <v>8</v>
          </cell>
          <cell r="F386" t="str">
            <v>ESTE</v>
          </cell>
          <cell r="G386" t="str">
            <v>CARLOS BLONDELL</v>
          </cell>
          <cell r="H386" t="str">
            <v>HECTOR</v>
          </cell>
          <cell r="I386" t="str">
            <v>A5</v>
          </cell>
          <cell r="J386" t="str">
            <v>Inactivo</v>
          </cell>
          <cell r="K386">
            <v>91170.60864469262</v>
          </cell>
          <cell r="L386">
            <v>11396.326080586578</v>
          </cell>
          <cell r="M386">
            <v>27375.043750144407</v>
          </cell>
          <cell r="N386" t="str">
            <v>Si Compra</v>
          </cell>
          <cell r="O386">
            <v>8</v>
          </cell>
          <cell r="P386">
            <v>375014.71984602808</v>
          </cell>
          <cell r="Q386">
            <v>46876.83998075351</v>
          </cell>
          <cell r="R386">
            <v>64481.128369980739</v>
          </cell>
          <cell r="S386">
            <v>40000</v>
          </cell>
          <cell r="T386">
            <v>0</v>
          </cell>
          <cell r="U386">
            <v>3</v>
          </cell>
          <cell r="V386">
            <v>0.2431120801928123</v>
          </cell>
          <cell r="W386">
            <v>4.3515577566981278E-4</v>
          </cell>
          <cell r="X386">
            <v>8</v>
          </cell>
          <cell r="Y386" t="str">
            <v>Potenciar</v>
          </cell>
        </row>
        <row r="387">
          <cell r="A387" t="str">
            <v>8714</v>
          </cell>
          <cell r="B387" t="str">
            <v>8714 - FARMACIA ECONOMICA GENESIS,C.A</v>
          </cell>
          <cell r="C387" t="str">
            <v>INDEPENDIENTE</v>
          </cell>
          <cell r="D387">
            <v>3</v>
          </cell>
          <cell r="E387"/>
          <cell r="F387" t="str">
            <v>CENTRO OESTE</v>
          </cell>
          <cell r="G387" t="str">
            <v>LUIS PLACERES</v>
          </cell>
          <cell r="H387"/>
          <cell r="I387" t="str">
            <v>E</v>
          </cell>
          <cell r="J387" t="str">
            <v>Inactivo</v>
          </cell>
          <cell r="K387">
            <v>91114.426751904204</v>
          </cell>
          <cell r="L387">
            <v>9111.4426751904211</v>
          </cell>
          <cell r="M387">
            <v>7657.4939243016679</v>
          </cell>
          <cell r="N387" t="str">
            <v>Si Compra</v>
          </cell>
          <cell r="O387">
            <v>10</v>
          </cell>
          <cell r="P387">
            <v>102794.42922144914</v>
          </cell>
          <cell r="Q387">
            <v>10279.442922144914</v>
          </cell>
          <cell r="R387">
            <v>8082.6453576460199</v>
          </cell>
          <cell r="T387"/>
          <cell r="U387"/>
          <cell r="V387">
            <v>0.88637514155185593</v>
          </cell>
          <cell r="W387">
            <v>3.4791009635531993E-4</v>
          </cell>
          <cell r="X387">
            <v>10</v>
          </cell>
          <cell r="Y387" t="str">
            <v>Proteger</v>
          </cell>
        </row>
        <row r="388">
          <cell r="A388" t="str">
            <v>7109</v>
          </cell>
          <cell r="B388" t="str">
            <v>7109 - FARMACIAS LUPI, C.A (FARMACIA MANA)</v>
          </cell>
          <cell r="C388" t="str">
            <v>INDEPENDIENTE</v>
          </cell>
          <cell r="D388">
            <v>3</v>
          </cell>
          <cell r="E388"/>
          <cell r="F388" t="str">
            <v>CARACAS</v>
          </cell>
          <cell r="G388" t="str">
            <v>JHON TORRES</v>
          </cell>
          <cell r="H388"/>
          <cell r="I388" t="str">
            <v>C4</v>
          </cell>
          <cell r="J388" t="str">
            <v>Activo</v>
          </cell>
          <cell r="K388">
            <v>90804.473143976895</v>
          </cell>
          <cell r="L388">
            <v>9080.4473143976902</v>
          </cell>
          <cell r="M388">
            <v>11478.951090501467</v>
          </cell>
          <cell r="N388" t="str">
            <v>Si Compra</v>
          </cell>
          <cell r="O388">
            <v>10</v>
          </cell>
          <cell r="P388">
            <v>12868.464536806958</v>
          </cell>
          <cell r="Q388">
            <v>1429.8293929785509</v>
          </cell>
          <cell r="R388">
            <v>662.76806771820259</v>
          </cell>
          <cell r="T388"/>
          <cell r="U388"/>
          <cell r="V388">
            <v>6.3507208335406684</v>
          </cell>
          <cell r="W388">
            <v>3.4672657368559718E-4</v>
          </cell>
          <cell r="X388">
            <v>8</v>
          </cell>
          <cell r="Y388" t="str">
            <v>Proteger</v>
          </cell>
        </row>
        <row r="389">
          <cell r="A389" t="str">
            <v>B798</v>
          </cell>
          <cell r="B389" t="str">
            <v>B798 - FARMACIA FARMALOLA, C.A.</v>
          </cell>
          <cell r="C389" t="str">
            <v>INDEPENDIENTE</v>
          </cell>
          <cell r="D389">
            <v>3</v>
          </cell>
          <cell r="E389"/>
          <cell r="F389" t="str">
            <v>CENTRO OESTE</v>
          </cell>
          <cell r="G389" t="str">
            <v>SORALI SILVA</v>
          </cell>
          <cell r="H389" t="str">
            <v>HECTOR</v>
          </cell>
          <cell r="I389" t="str">
            <v>L</v>
          </cell>
          <cell r="J389" t="str">
            <v>Activo</v>
          </cell>
          <cell r="K389">
            <v>90401.343049678166</v>
          </cell>
          <cell r="L389">
            <v>9040.1343049678162</v>
          </cell>
          <cell r="M389">
            <v>8594.3904333333339</v>
          </cell>
          <cell r="N389" t="str">
            <v>Si Compra</v>
          </cell>
          <cell r="O389">
            <v>10</v>
          </cell>
          <cell r="P389">
            <v>213926.44260000344</v>
          </cell>
          <cell r="Q389">
            <v>21392.644260000343</v>
          </cell>
          <cell r="R389">
            <v>20119.644666666667</v>
          </cell>
          <cell r="T389"/>
          <cell r="U389"/>
          <cell r="V389">
            <v>0.42258143477246191</v>
          </cell>
          <cell r="W389">
            <v>3.4518726717892184E-4</v>
          </cell>
          <cell r="X389">
            <v>10</v>
          </cell>
          <cell r="Y389" t="str">
            <v>Potenciar</v>
          </cell>
        </row>
        <row r="390">
          <cell r="A390" t="str">
            <v>D380</v>
          </cell>
          <cell r="B390" t="str">
            <v>D380 - EXPENDIO DE MEDICINAS LIAM &amp; AARON 2024 C.A</v>
          </cell>
          <cell r="C390" t="str">
            <v>INDEPENDIENTE</v>
          </cell>
          <cell r="D390">
            <v>3</v>
          </cell>
          <cell r="E390"/>
          <cell r="F390" t="str">
            <v>CENTRO OESTE</v>
          </cell>
          <cell r="G390">
            <v>0</v>
          </cell>
          <cell r="H390"/>
          <cell r="I390" t="str">
            <v>C</v>
          </cell>
          <cell r="J390" t="str">
            <v>Activo</v>
          </cell>
          <cell r="K390">
            <v>90391.633553900945</v>
          </cell>
          <cell r="L390">
            <v>9039.1633553900938</v>
          </cell>
          <cell r="M390">
            <v>9418.8054761670664</v>
          </cell>
          <cell r="N390" t="str">
            <v>Si Compra</v>
          </cell>
          <cell r="O390">
            <v>10</v>
          </cell>
          <cell r="P390">
            <v>0</v>
          </cell>
          <cell r="Q390">
            <v>0</v>
          </cell>
          <cell r="R390">
            <v>0</v>
          </cell>
          <cell r="T390"/>
          <cell r="U390"/>
          <cell r="V390">
            <v>0</v>
          </cell>
          <cell r="W390">
            <v>3.4515019257139987E-4</v>
          </cell>
          <cell r="X390">
            <v>0</v>
          </cell>
          <cell r="Y390" t="str">
            <v>Conquistar</v>
          </cell>
        </row>
        <row r="391">
          <cell r="A391" t="str">
            <v>0348</v>
          </cell>
          <cell r="B391" t="str">
            <v>0348 - FARMATOTAL EL TERMINAL,C.A</v>
          </cell>
          <cell r="C391" t="e">
            <v>#N/A</v>
          </cell>
          <cell r="D391">
            <v>0</v>
          </cell>
          <cell r="E391"/>
          <cell r="F391" t="str">
            <v>ESTE</v>
          </cell>
          <cell r="G391" t="str">
            <v>ALEXMAR CASTILLO</v>
          </cell>
          <cell r="H391"/>
          <cell r="I391" t="str">
            <v>A1</v>
          </cell>
          <cell r="J391" t="str">
            <v>Bloqueado</v>
          </cell>
          <cell r="K391">
            <v>90353.652365958027</v>
          </cell>
          <cell r="L391">
            <v>30117.884121986008</v>
          </cell>
          <cell r="M391">
            <v>0</v>
          </cell>
          <cell r="N391" t="str">
            <v>No Compra</v>
          </cell>
          <cell r="O391">
            <v>3</v>
          </cell>
          <cell r="P391">
            <v>104723.35132224417</v>
          </cell>
          <cell r="Q391">
            <v>34907.783774081392</v>
          </cell>
          <cell r="R391">
            <v>0</v>
          </cell>
          <cell r="T391"/>
          <cell r="U391"/>
          <cell r="V391">
            <v>0.86278419497797432</v>
          </cell>
          <cell r="W391">
            <v>1.150017219054668E-3</v>
          </cell>
          <cell r="X391">
            <v>3</v>
          </cell>
          <cell r="Y391" t="str">
            <v>Proteger</v>
          </cell>
        </row>
        <row r="392">
          <cell r="A392" t="str">
            <v>9683</v>
          </cell>
          <cell r="B392" t="str">
            <v>9683 - FARMACIA ECO VILLAS, C.A</v>
          </cell>
          <cell r="C392" t="str">
            <v>INDEPENDIENTE</v>
          </cell>
          <cell r="D392">
            <v>3</v>
          </cell>
          <cell r="E392"/>
          <cell r="F392" t="str">
            <v>CENTRO OESTE</v>
          </cell>
          <cell r="G392" t="str">
            <v>SORALI SILVA</v>
          </cell>
          <cell r="H392"/>
          <cell r="I392" t="str">
            <v>C</v>
          </cell>
          <cell r="J392" t="str">
            <v>Activo</v>
          </cell>
          <cell r="K392">
            <v>90204.03525036978</v>
          </cell>
          <cell r="L392">
            <v>9020.403525036978</v>
          </cell>
          <cell r="M392">
            <v>9032.3761934597187</v>
          </cell>
          <cell r="N392" t="str">
            <v>Si Compra</v>
          </cell>
          <cell r="O392">
            <v>10</v>
          </cell>
          <cell r="P392">
            <v>97554.033281967408</v>
          </cell>
          <cell r="Q392">
            <v>9755.4033281967404</v>
          </cell>
          <cell r="R392">
            <v>8352.5090026204925</v>
          </cell>
          <cell r="T392"/>
          <cell r="U392"/>
          <cell r="V392">
            <v>0.92465715886545252</v>
          </cell>
          <cell r="W392">
            <v>3.4443386974323414E-4</v>
          </cell>
          <cell r="X392">
            <v>10</v>
          </cell>
          <cell r="Y392" t="str">
            <v>Proteger</v>
          </cell>
        </row>
        <row r="393">
          <cell r="A393" t="str">
            <v>C907</v>
          </cell>
          <cell r="B393" t="str">
            <v>JIRETH</v>
          </cell>
          <cell r="C393" t="str">
            <v>GRUPO</v>
          </cell>
          <cell r="D393">
            <v>6</v>
          </cell>
          <cell r="E393">
            <v>0</v>
          </cell>
          <cell r="F393" t="str">
            <v>ANDES</v>
          </cell>
          <cell r="G393" t="str">
            <v/>
          </cell>
          <cell r="H393" t="str">
            <v>VICTOR</v>
          </cell>
          <cell r="I393">
            <v>0</v>
          </cell>
          <cell r="J393" t="str">
            <v>Inactivo</v>
          </cell>
          <cell r="K393">
            <v>90154.639836298738</v>
          </cell>
          <cell r="L393">
            <v>10017.182204033194</v>
          </cell>
          <cell r="M393">
            <v>9057.4905792798872</v>
          </cell>
          <cell r="N393" t="str">
            <v>Si Compra</v>
          </cell>
          <cell r="O393">
            <v>9</v>
          </cell>
          <cell r="P393">
            <v>285885.25013817486</v>
          </cell>
          <cell r="Q393">
            <v>31765.027793130539</v>
          </cell>
          <cell r="R393">
            <v>33905.772858921999</v>
          </cell>
          <cell r="S393">
            <v>0</v>
          </cell>
          <cell r="T393">
            <v>0</v>
          </cell>
          <cell r="U393">
            <v>0</v>
          </cell>
          <cell r="V393">
            <v>0.31535254019829617</v>
          </cell>
          <cell r="W393">
            <v>3.8249473217929776E-4</v>
          </cell>
          <cell r="X393">
            <v>9</v>
          </cell>
          <cell r="Y393" t="str">
            <v>Potenciar</v>
          </cell>
        </row>
        <row r="394">
          <cell r="A394" t="str">
            <v>0135</v>
          </cell>
          <cell r="B394" t="str">
            <v>GRUPO ESPERANZA TORRES</v>
          </cell>
          <cell r="C394" t="str">
            <v>GRUPO</v>
          </cell>
          <cell r="D394">
            <v>10</v>
          </cell>
          <cell r="E394"/>
          <cell r="F394" t="str">
            <v>CENTRO ESTE</v>
          </cell>
          <cell r="H394"/>
          <cell r="I394"/>
          <cell r="J394" t="str">
            <v>Suspendido</v>
          </cell>
          <cell r="K394">
            <v>90035.184353235367</v>
          </cell>
          <cell r="L394">
            <v>10003.909372581707</v>
          </cell>
          <cell r="M394">
            <v>2903.1655821208283</v>
          </cell>
          <cell r="N394" t="str">
            <v>Si Compra</v>
          </cell>
          <cell r="O394">
            <v>9</v>
          </cell>
          <cell r="P394">
            <v>205946.24156472419</v>
          </cell>
          <cell r="Q394">
            <v>22882.915729413799</v>
          </cell>
          <cell r="R394">
            <v>14163.974686584806</v>
          </cell>
          <cell r="S394"/>
          <cell r="T394"/>
          <cell r="U394"/>
          <cell r="V394">
            <v>0.43717808914196365</v>
          </cell>
          <cell r="W394">
            <v>3.8198792417601981E-4</v>
          </cell>
          <cell r="X394">
            <v>9</v>
          </cell>
          <cell r="Y394" t="str">
            <v>Potenciar</v>
          </cell>
        </row>
        <row r="395">
          <cell r="A395" t="str">
            <v>D304</v>
          </cell>
          <cell r="B395" t="str">
            <v>D304 - FARMACIA FARMA SHOP, SF,C.A</v>
          </cell>
          <cell r="C395" t="str">
            <v>INDEPENDIENTE</v>
          </cell>
          <cell r="D395">
            <v>3</v>
          </cell>
          <cell r="E395"/>
          <cell r="F395" t="str">
            <v>CENTRO OESTE</v>
          </cell>
          <cell r="G395" t="str">
            <v>YAMILEX LAMEDA</v>
          </cell>
          <cell r="H395" t="str">
            <v>HECTOR</v>
          </cell>
          <cell r="I395" t="str">
            <v>Y1</v>
          </cell>
          <cell r="J395" t="str">
            <v>Activo</v>
          </cell>
          <cell r="K395">
            <v>89704.499148015428</v>
          </cell>
          <cell r="L395">
            <v>8970.449914801542</v>
          </cell>
          <cell r="M395">
            <v>8321.2724593000821</v>
          </cell>
          <cell r="N395" t="str">
            <v>Si Compra</v>
          </cell>
          <cell r="O395">
            <v>10</v>
          </cell>
          <cell r="P395">
            <v>146886.31695363589</v>
          </cell>
          <cell r="Q395">
            <v>14688.631695363589</v>
          </cell>
          <cell r="R395">
            <v>14136.428128930398</v>
          </cell>
          <cell r="T395"/>
          <cell r="U395"/>
          <cell r="V395">
            <v>0.61070698080291785</v>
          </cell>
          <cell r="W395">
            <v>3.4252644783763092E-4</v>
          </cell>
          <cell r="X395">
            <v>10</v>
          </cell>
          <cell r="Y395" t="str">
            <v>Proteger</v>
          </cell>
        </row>
        <row r="396">
          <cell r="A396" t="str">
            <v>D347</v>
          </cell>
          <cell r="B396" t="str">
            <v>ROJAS</v>
          </cell>
          <cell r="C396" t="str">
            <v>GRUPO</v>
          </cell>
          <cell r="D396">
            <v>8</v>
          </cell>
          <cell r="E396">
            <v>10</v>
          </cell>
          <cell r="F396" t="str">
            <v>CENTRO ESTE</v>
          </cell>
          <cell r="G396" t="str">
            <v>KARLA SALAZAR</v>
          </cell>
          <cell r="H396" t="str">
            <v>HECTOR</v>
          </cell>
          <cell r="I396">
            <v>0</v>
          </cell>
          <cell r="J396" t="str">
            <v>Activo</v>
          </cell>
          <cell r="K396">
            <v>89314.163064652879</v>
          </cell>
          <cell r="L396">
            <v>8931.4163064652876</v>
          </cell>
          <cell r="M396">
            <v>5133.2239018137607</v>
          </cell>
          <cell r="N396" t="str">
            <v>Si Compra</v>
          </cell>
          <cell r="O396">
            <v>10</v>
          </cell>
          <cell r="P396">
            <v>2156405.0886745863</v>
          </cell>
          <cell r="Q396">
            <v>215640.50886745861</v>
          </cell>
          <cell r="R396">
            <v>231066.87177763946</v>
          </cell>
          <cell r="S396">
            <v>60000</v>
          </cell>
          <cell r="T396">
            <v>0</v>
          </cell>
          <cell r="U396">
            <v>10</v>
          </cell>
          <cell r="V396">
            <v>4.1418082128320786E-2</v>
          </cell>
          <cell r="W396">
            <v>3.4103599380949553E-4</v>
          </cell>
          <cell r="X396">
            <v>10</v>
          </cell>
          <cell r="Y396" t="str">
            <v>Conquistar</v>
          </cell>
        </row>
        <row r="397">
          <cell r="A397" t="str">
            <v>E456</v>
          </cell>
          <cell r="B397" t="str">
            <v>IPAFARMA NORTE</v>
          </cell>
          <cell r="C397" t="str">
            <v>GRUPO</v>
          </cell>
          <cell r="D397">
            <v>6</v>
          </cell>
          <cell r="E397">
            <v>0</v>
          </cell>
          <cell r="F397" t="str">
            <v>CENTRO ESTE</v>
          </cell>
          <cell r="G397" t="str">
            <v>KARLA SALAZAR</v>
          </cell>
          <cell r="H397" t="str">
            <v>HECTOR</v>
          </cell>
          <cell r="I397">
            <v>0</v>
          </cell>
          <cell r="J397" t="str">
            <v>Activo</v>
          </cell>
          <cell r="K397">
            <v>88990.621084706407</v>
          </cell>
          <cell r="L397">
            <v>8899.0621084706399</v>
          </cell>
          <cell r="M397">
            <v>10659.481065963113</v>
          </cell>
          <cell r="N397" t="str">
            <v>Si Compra</v>
          </cell>
          <cell r="O397">
            <v>10</v>
          </cell>
          <cell r="P397">
            <v>301333.55875918362</v>
          </cell>
          <cell r="Q397">
            <v>30133.355875918362</v>
          </cell>
          <cell r="R397">
            <v>30949.410065178341</v>
          </cell>
          <cell r="S397">
            <v>40000</v>
          </cell>
          <cell r="T397">
            <v>0</v>
          </cell>
          <cell r="U397">
            <v>0</v>
          </cell>
          <cell r="V397">
            <v>0.29532263665270991</v>
          </cell>
          <cell r="W397">
            <v>3.3980058548360362E-4</v>
          </cell>
          <cell r="X397">
            <v>10</v>
          </cell>
          <cell r="Y397" t="str">
            <v>Potenciar</v>
          </cell>
        </row>
        <row r="398">
          <cell r="A398" t="str">
            <v>6721</v>
          </cell>
          <cell r="B398" t="str">
            <v>6721 - FARMACIA PURA VIDA, C.A</v>
          </cell>
          <cell r="C398" t="str">
            <v>INDEPENDIENTE</v>
          </cell>
          <cell r="D398">
            <v>3</v>
          </cell>
          <cell r="E398"/>
          <cell r="F398" t="str">
            <v>MARACAIBO</v>
          </cell>
          <cell r="G398" t="str">
            <v>JOEL JIMENEZ</v>
          </cell>
          <cell r="H398"/>
          <cell r="I398" t="str">
            <v>S</v>
          </cell>
          <cell r="J398" t="str">
            <v>Activo</v>
          </cell>
          <cell r="K398">
            <v>88675.506731191432</v>
          </cell>
          <cell r="L398">
            <v>8867.5506731191435</v>
          </cell>
          <cell r="M398">
            <v>6552.9962424853447</v>
          </cell>
          <cell r="N398" t="str">
            <v>Si Compra</v>
          </cell>
          <cell r="O398">
            <v>10</v>
          </cell>
          <cell r="P398">
            <v>104698.07020088049</v>
          </cell>
          <cell r="Q398">
            <v>10469.80702008805</v>
          </cell>
          <cell r="R398">
            <v>6893.0190775425535</v>
          </cell>
          <cell r="T398"/>
          <cell r="U398"/>
          <cell r="V398">
            <v>0.84696409934827699</v>
          </cell>
          <cell r="W398">
            <v>3.3859735709263926E-4</v>
          </cell>
          <cell r="X398">
            <v>10</v>
          </cell>
          <cell r="Y398" t="str">
            <v>Proteger</v>
          </cell>
        </row>
        <row r="399">
          <cell r="A399" t="str">
            <v>B534</v>
          </cell>
          <cell r="B399" t="str">
            <v>FARMACHUCHO</v>
          </cell>
          <cell r="C399" t="str">
            <v>GRUPO</v>
          </cell>
          <cell r="D399">
            <v>6</v>
          </cell>
          <cell r="E399">
            <v>4</v>
          </cell>
          <cell r="F399" t="str">
            <v>ESTE</v>
          </cell>
          <cell r="G399" t="str">
            <v>ALEXMAR CASTILLO</v>
          </cell>
          <cell r="H399" t="str">
            <v>HECTOR</v>
          </cell>
          <cell r="I399" t="str">
            <v>A1</v>
          </cell>
          <cell r="J399" t="str">
            <v>Activo</v>
          </cell>
          <cell r="K399">
            <v>88051.680954576907</v>
          </cell>
          <cell r="L399">
            <v>8805.1680954576914</v>
          </cell>
          <cell r="M399">
            <v>13288.141323831327</v>
          </cell>
          <cell r="N399" t="str">
            <v>Si Compra</v>
          </cell>
          <cell r="O399">
            <v>10</v>
          </cell>
          <cell r="P399">
            <v>919999.52230892808</v>
          </cell>
          <cell r="Q399">
            <v>91999.952230892814</v>
          </cell>
          <cell r="R399">
            <v>70821.873681005309</v>
          </cell>
          <cell r="S399">
            <v>40000</v>
          </cell>
          <cell r="T399">
            <v>0</v>
          </cell>
          <cell r="U399">
            <v>4</v>
          </cell>
          <cell r="V399">
            <v>9.5708398558287403E-2</v>
          </cell>
          <cell r="W399">
            <v>3.3621534917371924E-4</v>
          </cell>
          <cell r="X399">
            <v>10</v>
          </cell>
          <cell r="Y399" t="str">
            <v>Conquistar</v>
          </cell>
        </row>
        <row r="400">
          <cell r="A400" t="str">
            <v>2149</v>
          </cell>
          <cell r="B400" t="str">
            <v>SUPERFARMA YARACUY</v>
          </cell>
          <cell r="C400" t="str">
            <v>GRUPO</v>
          </cell>
          <cell r="D400">
            <v>5</v>
          </cell>
          <cell r="E400"/>
          <cell r="F400" t="str">
            <v>CENTRO OESTE</v>
          </cell>
          <cell r="H400"/>
          <cell r="I400"/>
          <cell r="J400" t="str">
            <v>Inactivo</v>
          </cell>
          <cell r="K400">
            <v>87880.566679545387</v>
          </cell>
          <cell r="L400">
            <v>8788.0566679545391</v>
          </cell>
          <cell r="M400">
            <v>1652.9921046635309</v>
          </cell>
          <cell r="N400" t="str">
            <v>Si Compra</v>
          </cell>
          <cell r="O400">
            <v>10</v>
          </cell>
          <cell r="P400">
            <v>160807.01353804217</v>
          </cell>
          <cell r="Q400">
            <v>16080.701353804217</v>
          </cell>
          <cell r="R400">
            <v>1801.9773251798372</v>
          </cell>
          <cell r="S400"/>
          <cell r="T400"/>
          <cell r="U400"/>
          <cell r="V400">
            <v>0.54649710075459768</v>
          </cell>
          <cell r="W400">
            <v>3.3556196873731384E-4</v>
          </cell>
          <cell r="X400">
            <v>10</v>
          </cell>
          <cell r="Y400" t="str">
            <v>Potenciar</v>
          </cell>
        </row>
        <row r="401">
          <cell r="A401" t="str">
            <v>A962</v>
          </cell>
          <cell r="B401" t="str">
            <v>MULTI-FARMACIA SAMIR</v>
          </cell>
          <cell r="C401" t="str">
            <v>GRUPO</v>
          </cell>
          <cell r="D401">
            <v>6</v>
          </cell>
          <cell r="E401">
            <v>0</v>
          </cell>
          <cell r="F401" t="str">
            <v>ESTE</v>
          </cell>
          <cell r="G401" t="str">
            <v>ALEXMAR CASTILLO</v>
          </cell>
          <cell r="H401" t="str">
            <v>HECTOR</v>
          </cell>
          <cell r="I401" t="str">
            <v>A1</v>
          </cell>
          <cell r="J401" t="str">
            <v>Activo</v>
          </cell>
          <cell r="K401">
            <v>87665.968206239573</v>
          </cell>
          <cell r="L401">
            <v>8766.5968206239577</v>
          </cell>
          <cell r="M401">
            <v>4655.5675049694437</v>
          </cell>
          <cell r="N401" t="str">
            <v>Si Compra</v>
          </cell>
          <cell r="O401">
            <v>10</v>
          </cell>
          <cell r="P401">
            <v>1211722.347019407</v>
          </cell>
          <cell r="Q401">
            <v>121172.2347019407</v>
          </cell>
          <cell r="R401">
            <v>97416.621722657233</v>
          </cell>
          <cell r="S401">
            <v>35000</v>
          </cell>
          <cell r="T401">
            <v>8</v>
          </cell>
          <cell r="U401">
            <v>8</v>
          </cell>
          <cell r="V401">
            <v>7.2348230947361994E-2</v>
          </cell>
          <cell r="W401">
            <v>3.3474254882559311E-4</v>
          </cell>
          <cell r="X401">
            <v>10</v>
          </cell>
          <cell r="Y401" t="str">
            <v>Conquistar</v>
          </cell>
        </row>
        <row r="402">
          <cell r="A402" t="str">
            <v>A718</v>
          </cell>
          <cell r="B402" t="str">
            <v>A718 - FARMACIA CBL, C.A</v>
          </cell>
          <cell r="C402" t="str">
            <v>INDEPENDIENTE</v>
          </cell>
          <cell r="D402">
            <v>3</v>
          </cell>
          <cell r="E402"/>
          <cell r="F402" t="str">
            <v>ESTE</v>
          </cell>
          <cell r="G402" t="str">
            <v>IRAIDA RODRIGUEZ</v>
          </cell>
          <cell r="H402" t="str">
            <v>HECTOR</v>
          </cell>
          <cell r="I402" t="str">
            <v>AB</v>
          </cell>
          <cell r="J402" t="str">
            <v>Activo</v>
          </cell>
          <cell r="K402">
            <v>87226.235927217655</v>
          </cell>
          <cell r="L402">
            <v>8722.6235927217658</v>
          </cell>
          <cell r="M402">
            <v>3258.201016021439</v>
          </cell>
          <cell r="N402" t="str">
            <v>Si Compra</v>
          </cell>
          <cell r="O402">
            <v>10</v>
          </cell>
          <cell r="P402">
            <v>880675.84035418113</v>
          </cell>
          <cell r="Q402">
            <v>88067.584035418113</v>
          </cell>
          <cell r="R402">
            <v>124239.42643592371</v>
          </cell>
          <cell r="T402"/>
          <cell r="U402"/>
          <cell r="V402">
            <v>9.9044656308657122E-2</v>
          </cell>
          <cell r="W402">
            <v>3.3306348103118524E-4</v>
          </cell>
          <cell r="X402">
            <v>10</v>
          </cell>
          <cell r="Y402" t="str">
            <v>Conquistar</v>
          </cell>
        </row>
        <row r="403">
          <cell r="A403" t="str">
            <v>C069</v>
          </cell>
          <cell r="B403" t="str">
            <v>C069 - FARMACIA D´LIFE, C.A.</v>
          </cell>
          <cell r="C403" t="str">
            <v>INDEPENDIENTE</v>
          </cell>
          <cell r="D403">
            <v>3</v>
          </cell>
          <cell r="E403"/>
          <cell r="F403" t="str">
            <v>ESTE</v>
          </cell>
          <cell r="G403">
            <v>0</v>
          </cell>
          <cell r="H403"/>
          <cell r="I403" t="str">
            <v>A4</v>
          </cell>
          <cell r="J403" t="str">
            <v>Activo</v>
          </cell>
          <cell r="K403">
            <v>87198.211950705372</v>
          </cell>
          <cell r="L403">
            <v>8719.8211950705372</v>
          </cell>
          <cell r="M403">
            <v>5852.4448381084103</v>
          </cell>
          <cell r="N403" t="str">
            <v>Si Compra</v>
          </cell>
          <cell r="O403">
            <v>10</v>
          </cell>
          <cell r="P403">
            <v>0</v>
          </cell>
          <cell r="Q403">
            <v>0</v>
          </cell>
          <cell r="R403">
            <v>0</v>
          </cell>
          <cell r="T403"/>
          <cell r="U403"/>
          <cell r="V403">
            <v>0</v>
          </cell>
          <cell r="W403">
            <v>3.329564746578126E-4</v>
          </cell>
          <cell r="X403">
            <v>0</v>
          </cell>
          <cell r="Y403" t="str">
            <v>Conquistar</v>
          </cell>
        </row>
        <row r="404">
          <cell r="A404" t="str">
            <v>N77</v>
          </cell>
          <cell r="B404" t="str">
            <v>N77 - FARMACIA AMISTAD C.A.</v>
          </cell>
          <cell r="C404" t="str">
            <v>INDEPENDIENTE</v>
          </cell>
          <cell r="D404">
            <v>3</v>
          </cell>
          <cell r="F404" t="str">
            <v>CENTRO OESTE</v>
          </cell>
          <cell r="G404" t="str">
            <v>DIEGO TORI</v>
          </cell>
          <cell r="H404" t="str">
            <v>HECTOR</v>
          </cell>
          <cell r="I404" t="str">
            <v xml:space="preserve">A </v>
          </cell>
          <cell r="J404" t="str">
            <v>Activo</v>
          </cell>
          <cell r="K404">
            <v>86589.245838527189</v>
          </cell>
          <cell r="L404">
            <v>8658.9245838527186</v>
          </cell>
          <cell r="M404">
            <v>8565.324533456258</v>
          </cell>
          <cell r="N404" t="str">
            <v>Si Compra</v>
          </cell>
          <cell r="O404">
            <v>10</v>
          </cell>
          <cell r="P404">
            <v>241281.4152137218</v>
          </cell>
          <cell r="Q404">
            <v>24128.141521372181</v>
          </cell>
          <cell r="R404">
            <v>16498.996067698681</v>
          </cell>
          <cell r="V404">
            <v>0.35887242190546803</v>
          </cell>
          <cell r="W404">
            <v>3.3063120668085511E-4</v>
          </cell>
          <cell r="X404">
            <v>10</v>
          </cell>
          <cell r="Y404" t="str">
            <v>Potenciar</v>
          </cell>
        </row>
        <row r="405">
          <cell r="A405" t="str">
            <v>7086</v>
          </cell>
          <cell r="B405" t="str">
            <v>7086 - FARMACIA BOLIVAR,C.A</v>
          </cell>
          <cell r="C405" t="str">
            <v>INDEPENDIENTE</v>
          </cell>
          <cell r="D405">
            <v>3</v>
          </cell>
          <cell r="E405"/>
          <cell r="F405" t="str">
            <v>CENTRO ESTE</v>
          </cell>
          <cell r="G405" t="str">
            <v>KARLA SALAZAR</v>
          </cell>
          <cell r="H405"/>
          <cell r="I405" t="str">
            <v>H</v>
          </cell>
          <cell r="J405" t="str">
            <v>Activo</v>
          </cell>
          <cell r="K405">
            <v>86442.211959945518</v>
          </cell>
          <cell r="L405">
            <v>8644.2211959945525</v>
          </cell>
          <cell r="M405">
            <v>5339.8972501173312</v>
          </cell>
          <cell r="N405" t="str">
            <v>Si Compra</v>
          </cell>
          <cell r="O405">
            <v>10</v>
          </cell>
          <cell r="P405">
            <v>110541.88847476449</v>
          </cell>
          <cell r="Q405">
            <v>11054.188847476449</v>
          </cell>
          <cell r="R405">
            <v>8138.2701947105988</v>
          </cell>
          <cell r="T405"/>
          <cell r="U405"/>
          <cell r="V405">
            <v>0.78198602495993486</v>
          </cell>
          <cell r="W405">
            <v>3.3006977450498104E-4</v>
          </cell>
          <cell r="X405">
            <v>10</v>
          </cell>
          <cell r="Y405" t="str">
            <v>Proteger</v>
          </cell>
        </row>
        <row r="406">
          <cell r="A406" t="str">
            <v>B005</v>
          </cell>
          <cell r="B406" t="str">
            <v>SERVIFARMED 3</v>
          </cell>
          <cell r="C406" t="str">
            <v>CADENA</v>
          </cell>
          <cell r="D406">
            <v>9</v>
          </cell>
          <cell r="E406"/>
          <cell r="F406" t="str">
            <v>ANDES</v>
          </cell>
          <cell r="H406"/>
          <cell r="I406"/>
          <cell r="J406" t="str">
            <v>Activo</v>
          </cell>
          <cell r="K406">
            <v>86253.934800245232</v>
          </cell>
          <cell r="L406">
            <v>8625.3934800245224</v>
          </cell>
          <cell r="M406">
            <v>9528.4787937459478</v>
          </cell>
          <cell r="N406" t="str">
            <v>Si Compra</v>
          </cell>
          <cell r="O406">
            <v>10</v>
          </cell>
          <cell r="P406">
            <v>423710.32722420973</v>
          </cell>
          <cell r="Q406">
            <v>42371.032722420976</v>
          </cell>
          <cell r="R406">
            <v>24132.836853133922</v>
          </cell>
          <cell r="S406"/>
          <cell r="T406"/>
          <cell r="U406"/>
          <cell r="V406">
            <v>0.20356816734986791</v>
          </cell>
          <cell r="W406">
            <v>3.2935085954158896E-4</v>
          </cell>
          <cell r="X406">
            <v>10</v>
          </cell>
          <cell r="Y406" t="str">
            <v>Conquistar</v>
          </cell>
        </row>
        <row r="407">
          <cell r="A407" t="str">
            <v>A982</v>
          </cell>
          <cell r="B407" t="str">
            <v>FARMA ACTUAL NIÑO JESUS</v>
          </cell>
          <cell r="C407" t="str">
            <v>CADENA</v>
          </cell>
          <cell r="D407">
            <v>6</v>
          </cell>
          <cell r="E407"/>
          <cell r="F407" t="str">
            <v>ANDES</v>
          </cell>
          <cell r="H407"/>
          <cell r="I407"/>
          <cell r="J407" t="str">
            <v>Activo</v>
          </cell>
          <cell r="K407">
            <v>86124.697145642625</v>
          </cell>
          <cell r="L407">
            <v>8612.4697145642622</v>
          </cell>
          <cell r="M407">
            <v>4252.8466617541271</v>
          </cell>
          <cell r="N407" t="str">
            <v>Si Compra</v>
          </cell>
          <cell r="O407">
            <v>10</v>
          </cell>
          <cell r="P407">
            <v>202344.43991709084</v>
          </cell>
          <cell r="Q407">
            <v>20234.443991709086</v>
          </cell>
          <cell r="R407">
            <v>10204.248684290951</v>
          </cell>
          <cell r="S407"/>
          <cell r="T407"/>
          <cell r="U407"/>
          <cell r="V407">
            <v>0.4256341176507325</v>
          </cell>
          <cell r="W407">
            <v>3.2885738022696889E-4</v>
          </cell>
          <cell r="X407">
            <v>10</v>
          </cell>
          <cell r="Y407" t="str">
            <v>Potenciar</v>
          </cell>
        </row>
        <row r="408">
          <cell r="A408" t="str">
            <v>6459</v>
          </cell>
          <cell r="B408" t="str">
            <v>6459 - FARMACIA ARAGUANEY F.Y 2014,C.A</v>
          </cell>
          <cell r="C408" t="str">
            <v>INDEPENDIENTE</v>
          </cell>
          <cell r="D408">
            <v>3</v>
          </cell>
          <cell r="E408"/>
          <cell r="F408" t="str">
            <v>CENTRO ESTE</v>
          </cell>
          <cell r="G408">
            <v>0</v>
          </cell>
          <cell r="H408"/>
          <cell r="I408" t="str">
            <v>O</v>
          </cell>
          <cell r="J408" t="str">
            <v>Activo</v>
          </cell>
          <cell r="K408">
            <v>85703.710552755743</v>
          </cell>
          <cell r="L408">
            <v>8570.3710552755747</v>
          </cell>
          <cell r="M408">
            <v>7424.0473695028195</v>
          </cell>
          <cell r="N408" t="str">
            <v>Si Compra</v>
          </cell>
          <cell r="O408">
            <v>10</v>
          </cell>
          <cell r="P408">
            <v>0</v>
          </cell>
          <cell r="Q408">
            <v>0</v>
          </cell>
          <cell r="R408">
            <v>0</v>
          </cell>
          <cell r="T408"/>
          <cell r="U408"/>
          <cell r="V408">
            <v>0</v>
          </cell>
          <cell r="W408">
            <v>3.2724989070728635E-4</v>
          </cell>
          <cell r="X408">
            <v>0</v>
          </cell>
          <cell r="Y408" t="str">
            <v>Conquistar</v>
          </cell>
        </row>
        <row r="409">
          <cell r="A409" t="str">
            <v>D183</v>
          </cell>
          <cell r="B409" t="str">
            <v>D183 - FARMACIA  CLARET DE INVERSIONES  HOSPITALARIA,C.A.</v>
          </cell>
          <cell r="C409" t="str">
            <v>INDEPENDIENTE</v>
          </cell>
          <cell r="D409">
            <v>3</v>
          </cell>
          <cell r="E409"/>
          <cell r="F409" t="str">
            <v>MARACAIBO</v>
          </cell>
          <cell r="G409" t="str">
            <v>ADRIANA ALBORNOZ</v>
          </cell>
          <cell r="H409" t="str">
            <v>VICTOR</v>
          </cell>
          <cell r="I409" t="str">
            <v>BD</v>
          </cell>
          <cell r="J409" t="str">
            <v>Inactivo</v>
          </cell>
          <cell r="K409">
            <v>85353.131646852184</v>
          </cell>
          <cell r="L409">
            <v>9483.6812940946875</v>
          </cell>
          <cell r="M409">
            <v>6571.2486857638105</v>
          </cell>
          <cell r="N409" t="str">
            <v>Si Compra</v>
          </cell>
          <cell r="O409">
            <v>9</v>
          </cell>
          <cell r="P409">
            <v>4009.4009430639499</v>
          </cell>
          <cell r="Q409">
            <v>501.17511788299373</v>
          </cell>
          <cell r="R409">
            <v>223.25173333333331</v>
          </cell>
          <cell r="T409"/>
          <cell r="U409"/>
          <cell r="V409">
            <v>18.922889336874032</v>
          </cell>
          <cell r="W409">
            <v>3.6212360549836548E-4</v>
          </cell>
          <cell r="X409">
            <v>5</v>
          </cell>
          <cell r="Y409" t="str">
            <v>Proteger</v>
          </cell>
        </row>
        <row r="410">
          <cell r="A410" t="str">
            <v>A935</v>
          </cell>
          <cell r="B410" t="str">
            <v>A935 - VILLAFARMA, C.A.</v>
          </cell>
          <cell r="C410" t="str">
            <v>INDEPENDIENTE</v>
          </cell>
          <cell r="D410">
            <v>3</v>
          </cell>
          <cell r="E410"/>
          <cell r="F410" t="str">
            <v>ESTE</v>
          </cell>
          <cell r="G410" t="str">
            <v>ADOLFO GONZALEZ</v>
          </cell>
          <cell r="H410" t="str">
            <v>HECTOR</v>
          </cell>
          <cell r="I410" t="str">
            <v>A8</v>
          </cell>
          <cell r="J410" t="str">
            <v>Activo</v>
          </cell>
          <cell r="K410">
            <v>85202.35731895396</v>
          </cell>
          <cell r="L410">
            <v>9466.9285909948849</v>
          </cell>
          <cell r="M410">
            <v>4063.0570473215325</v>
          </cell>
          <cell r="N410" t="str">
            <v>Si Compra</v>
          </cell>
          <cell r="O410">
            <v>9</v>
          </cell>
          <cell r="P410">
            <v>493372.70760660304</v>
          </cell>
          <cell r="Q410">
            <v>54819.189734067004</v>
          </cell>
          <cell r="R410">
            <v>60056.903238774219</v>
          </cell>
          <cell r="T410"/>
          <cell r="U410"/>
          <cell r="V410">
            <v>0.17269369789885325</v>
          </cell>
          <cell r="W410">
            <v>3.6148392254612186E-4</v>
          </cell>
          <cell r="X410">
            <v>9</v>
          </cell>
          <cell r="Y410" t="str">
            <v>Conquistar</v>
          </cell>
        </row>
        <row r="411">
          <cell r="A411" t="str">
            <v>C042</v>
          </cell>
          <cell r="B411" t="str">
            <v>C042 - FARMAKL 2022 C.A</v>
          </cell>
          <cell r="C411" t="str">
            <v>INDEPENDIENTE</v>
          </cell>
          <cell r="D411">
            <v>3</v>
          </cell>
          <cell r="E411"/>
          <cell r="F411" t="str">
            <v>CARACAS</v>
          </cell>
          <cell r="G411" t="str">
            <v>JHON TORRES</v>
          </cell>
          <cell r="H411" t="str">
            <v>VICTOR</v>
          </cell>
          <cell r="I411" t="str">
            <v>CF</v>
          </cell>
          <cell r="J411" t="str">
            <v>Inactivo</v>
          </cell>
          <cell r="K411">
            <v>85183.158155612167</v>
          </cell>
          <cell r="L411">
            <v>8518.3158155612164</v>
          </cell>
          <cell r="M411">
            <v>5581.8878505553585</v>
          </cell>
          <cell r="N411" t="str">
            <v>Si Compra</v>
          </cell>
          <cell r="O411">
            <v>10</v>
          </cell>
          <cell r="P411">
            <v>110798.34291452335</v>
          </cell>
          <cell r="Q411">
            <v>11079.834291452335</v>
          </cell>
          <cell r="R411">
            <v>5584.8634583357225</v>
          </cell>
          <cell r="T411"/>
          <cell r="U411"/>
          <cell r="V411">
            <v>0.76881256447425106</v>
          </cell>
          <cell r="W411">
            <v>3.2526222046554354E-4</v>
          </cell>
          <cell r="X411">
            <v>10</v>
          </cell>
          <cell r="Y411" t="str">
            <v>Proteger</v>
          </cell>
        </row>
        <row r="412">
          <cell r="A412" t="str">
            <v>A424</v>
          </cell>
          <cell r="B412" t="str">
            <v>A424 - FARMACIA FARMAYESSI,C.A.</v>
          </cell>
          <cell r="C412" t="str">
            <v>INDEPENDIENTE</v>
          </cell>
          <cell r="D412">
            <v>3</v>
          </cell>
          <cell r="E412"/>
          <cell r="F412" t="str">
            <v>ESTE</v>
          </cell>
          <cell r="G412" t="str">
            <v>IRAIDA RODRIGUEZ</v>
          </cell>
          <cell r="H412" t="str">
            <v>HECTOR</v>
          </cell>
          <cell r="I412" t="str">
            <v>AB</v>
          </cell>
          <cell r="J412" t="str">
            <v>Activo</v>
          </cell>
          <cell r="K412">
            <v>84965.312926204715</v>
          </cell>
          <cell r="L412">
            <v>8496.5312926204715</v>
          </cell>
          <cell r="M412">
            <v>7186.4508510167261</v>
          </cell>
          <cell r="N412" t="str">
            <v>Si Compra</v>
          </cell>
          <cell r="O412">
            <v>10</v>
          </cell>
          <cell r="P412">
            <v>190326.52419648151</v>
          </cell>
          <cell r="Q412">
            <v>19032.652419648151</v>
          </cell>
          <cell r="R412">
            <v>15941.042459970151</v>
          </cell>
          <cell r="T412"/>
          <cell r="U412"/>
          <cell r="V412">
            <v>0.44641866542201813</v>
          </cell>
          <cell r="W412">
            <v>3.2443040318418082E-4</v>
          </cell>
          <cell r="X412">
            <v>10</v>
          </cell>
          <cell r="Y412" t="str">
            <v>Potenciar</v>
          </cell>
        </row>
        <row r="413">
          <cell r="A413" t="str">
            <v>C016</v>
          </cell>
          <cell r="B413" t="str">
            <v>C016 - FARMACIA LAS PALMAS BAILADORES, C.A.</v>
          </cell>
          <cell r="C413" t="str">
            <v>INDEPENDIENTE</v>
          </cell>
          <cell r="D413">
            <v>3</v>
          </cell>
          <cell r="E413"/>
          <cell r="F413" t="str">
            <v>ANDES</v>
          </cell>
          <cell r="G413" t="str">
            <v>ZULAY PARRA</v>
          </cell>
          <cell r="H413" t="str">
            <v>VICTOR</v>
          </cell>
          <cell r="I413" t="str">
            <v xml:space="preserve">5 </v>
          </cell>
          <cell r="J413" t="str">
            <v>Activo</v>
          </cell>
          <cell r="K413">
            <v>84758.26772804193</v>
          </cell>
          <cell r="L413">
            <v>8475.8267728041938</v>
          </cell>
          <cell r="M413">
            <v>10716.263566666667</v>
          </cell>
          <cell r="N413" t="str">
            <v>Si Compra</v>
          </cell>
          <cell r="O413">
            <v>10</v>
          </cell>
          <cell r="P413">
            <v>372984.05825269083</v>
          </cell>
          <cell r="Q413">
            <v>37298.405825269081</v>
          </cell>
          <cell r="R413">
            <v>25202.239933333331</v>
          </cell>
          <cell r="T413"/>
          <cell r="U413"/>
          <cell r="V413">
            <v>0.22724367396587108</v>
          </cell>
          <cell r="W413">
            <v>3.2363982459623821E-4</v>
          </cell>
          <cell r="X413">
            <v>10</v>
          </cell>
          <cell r="Y413" t="str">
            <v>Potenciar</v>
          </cell>
        </row>
        <row r="414">
          <cell r="A414" t="str">
            <v>A368</v>
          </cell>
          <cell r="B414" t="str">
            <v>A368 - FARMACIA FARMAPLAZA BOLIVAR,C.A.</v>
          </cell>
          <cell r="C414" t="str">
            <v>INDEPENDIENTE</v>
          </cell>
          <cell r="D414">
            <v>2</v>
          </cell>
          <cell r="E414"/>
          <cell r="F414" t="str">
            <v>ESTE</v>
          </cell>
          <cell r="G414" t="str">
            <v>ALEXMAR CASTILLO</v>
          </cell>
          <cell r="H414" t="str">
            <v>HECTOR</v>
          </cell>
          <cell r="I414" t="str">
            <v>A1</v>
          </cell>
          <cell r="J414" t="str">
            <v>Activo</v>
          </cell>
          <cell r="K414">
            <v>84218.533354145053</v>
          </cell>
          <cell r="L414">
            <v>9357.6148171272289</v>
          </cell>
          <cell r="M414">
            <v>8662.1870493121914</v>
          </cell>
          <cell r="N414" t="str">
            <v>Si Compra</v>
          </cell>
          <cell r="O414">
            <v>9</v>
          </cell>
          <cell r="P414">
            <v>104824.3502329734</v>
          </cell>
          <cell r="Q414">
            <v>11647.150025885934</v>
          </cell>
          <cell r="R414">
            <v>9769.6605692225694</v>
          </cell>
          <cell r="T414"/>
          <cell r="U414"/>
          <cell r="V414">
            <v>0.80342528398190238</v>
          </cell>
          <cell r="W414">
            <v>3.573099001706296E-4</v>
          </cell>
          <cell r="X414">
            <v>9</v>
          </cell>
          <cell r="Y414" t="str">
            <v>Proteger</v>
          </cell>
        </row>
        <row r="415">
          <cell r="A415" t="str">
            <v>B934</v>
          </cell>
          <cell r="B415" t="str">
            <v>B934 - PHARMA MILLENIUM + HABITAT, CA</v>
          </cell>
          <cell r="C415" t="str">
            <v>INDEPENDIENTE</v>
          </cell>
          <cell r="D415">
            <v>3</v>
          </cell>
          <cell r="E415"/>
          <cell r="F415" t="str">
            <v>CENTRO OESTE</v>
          </cell>
          <cell r="G415" t="str">
            <v>LUIS PLACERES</v>
          </cell>
          <cell r="H415"/>
          <cell r="I415" t="str">
            <v>E</v>
          </cell>
          <cell r="J415" t="str">
            <v>Activo</v>
          </cell>
          <cell r="K415">
            <v>83583.000302876215</v>
          </cell>
          <cell r="L415">
            <v>8358.3000302876208</v>
          </cell>
          <cell r="M415">
            <v>6201.009703966939</v>
          </cell>
          <cell r="N415" t="str">
            <v>Si Compra</v>
          </cell>
          <cell r="O415">
            <v>10</v>
          </cell>
          <cell r="P415">
            <v>155833.95988078171</v>
          </cell>
          <cell r="Q415">
            <v>15583.395988078171</v>
          </cell>
          <cell r="R415">
            <v>10986.544016237604</v>
          </cell>
          <cell r="T415"/>
          <cell r="U415"/>
          <cell r="V415">
            <v>0.53635934276983044</v>
          </cell>
          <cell r="W415">
            <v>3.1915219933524591E-4</v>
          </cell>
          <cell r="X415">
            <v>10</v>
          </cell>
          <cell r="Y415" t="str">
            <v>Potenciar</v>
          </cell>
        </row>
        <row r="416">
          <cell r="A416" t="str">
            <v>D530</v>
          </cell>
          <cell r="B416" t="str">
            <v>D530 - FARMACIA FARMAGOOD, C.A</v>
          </cell>
          <cell r="C416" t="str">
            <v>INDEPENDIENTE</v>
          </cell>
          <cell r="D416">
            <v>3</v>
          </cell>
          <cell r="E416"/>
          <cell r="F416" t="str">
            <v>CARACAS</v>
          </cell>
          <cell r="G416">
            <v>0</v>
          </cell>
          <cell r="H416"/>
          <cell r="I416" t="str">
            <v>C8</v>
          </cell>
          <cell r="J416" t="str">
            <v>Activo</v>
          </cell>
          <cell r="K416">
            <v>82863.246049791487</v>
          </cell>
          <cell r="L416">
            <v>8286.3246049791487</v>
          </cell>
          <cell r="M416">
            <v>14792.360540045514</v>
          </cell>
          <cell r="N416" t="str">
            <v>Si Compra</v>
          </cell>
          <cell r="O416">
            <v>10</v>
          </cell>
          <cell r="P416">
            <v>0</v>
          </cell>
          <cell r="Q416">
            <v>0</v>
          </cell>
          <cell r="R416">
            <v>0</v>
          </cell>
          <cell r="T416"/>
          <cell r="U416"/>
          <cell r="V416">
            <v>0</v>
          </cell>
          <cell r="W416">
            <v>3.1640389941755344E-4</v>
          </cell>
          <cell r="X416">
            <v>0</v>
          </cell>
          <cell r="Y416" t="str">
            <v>Conquistar</v>
          </cell>
        </row>
        <row r="417">
          <cell r="A417" t="str">
            <v>A794</v>
          </cell>
          <cell r="B417" t="str">
            <v>A794 - FARMACIA FARMA SALUD 24, C.A.</v>
          </cell>
          <cell r="C417" t="str">
            <v>INDEPENDIENTE</v>
          </cell>
          <cell r="D417">
            <v>3</v>
          </cell>
          <cell r="E417"/>
          <cell r="F417" t="str">
            <v>MARACAIBO</v>
          </cell>
          <cell r="G417" t="str">
            <v>YENNIFER LUZARDO</v>
          </cell>
          <cell r="H417"/>
          <cell r="I417" t="str">
            <v>BE</v>
          </cell>
          <cell r="J417" t="str">
            <v>Inactivo</v>
          </cell>
          <cell r="K417">
            <v>82841.308576020921</v>
          </cell>
          <cell r="L417">
            <v>8284.1308576020929</v>
          </cell>
          <cell r="M417">
            <v>7744.1644799849673</v>
          </cell>
          <cell r="N417" t="str">
            <v>Si Compra</v>
          </cell>
          <cell r="O417">
            <v>10</v>
          </cell>
          <cell r="P417">
            <v>174595.58195020485</v>
          </cell>
          <cell r="Q417">
            <v>17459.558195020487</v>
          </cell>
          <cell r="R417">
            <v>17181.799530924083</v>
          </cell>
          <cell r="T417"/>
          <cell r="U417"/>
          <cell r="V417">
            <v>0.47447539995397758</v>
          </cell>
          <cell r="W417">
            <v>3.1632013366403463E-4</v>
          </cell>
          <cell r="X417">
            <v>9</v>
          </cell>
          <cell r="Y417" t="str">
            <v>Potenciar</v>
          </cell>
        </row>
        <row r="418">
          <cell r="A418" t="str">
            <v>7582</v>
          </cell>
          <cell r="B418" t="str">
            <v>7582 - FARMACIA LA NUEVA CENTRAL, C.A.</v>
          </cell>
          <cell r="C418" t="str">
            <v>INDEPENDIENTE</v>
          </cell>
          <cell r="D418">
            <v>3</v>
          </cell>
          <cell r="E418"/>
          <cell r="F418" t="str">
            <v>ANDES</v>
          </cell>
          <cell r="G418" t="str">
            <v>MILAGRO BRICEñO</v>
          </cell>
          <cell r="H418"/>
          <cell r="I418" t="str">
            <v>G</v>
          </cell>
          <cell r="J418" t="str">
            <v>Activo</v>
          </cell>
          <cell r="K418">
            <v>82822.426876577214</v>
          </cell>
          <cell r="L418">
            <v>8282.242687657721</v>
          </cell>
          <cell r="M418">
            <v>9044.5132983384301</v>
          </cell>
          <cell r="N418" t="str">
            <v>Si Compra</v>
          </cell>
          <cell r="O418">
            <v>10</v>
          </cell>
          <cell r="P418">
            <v>186672.01503762443</v>
          </cell>
          <cell r="Q418">
            <v>18667.201503762444</v>
          </cell>
          <cell r="R418">
            <v>26976.706963499495</v>
          </cell>
          <cell r="T418"/>
          <cell r="U418"/>
          <cell r="V418">
            <v>0.44367886027203401</v>
          </cell>
          <cell r="W418">
            <v>3.162480360379287E-4</v>
          </cell>
          <cell r="X418">
            <v>10</v>
          </cell>
          <cell r="Y418" t="str">
            <v>Potenciar</v>
          </cell>
        </row>
        <row r="419">
          <cell r="A419" t="str">
            <v>8522</v>
          </cell>
          <cell r="B419" t="str">
            <v>8522 - FARMA-CENTRO 181, C.A.</v>
          </cell>
          <cell r="C419" t="str">
            <v>INDEPENDIENTE</v>
          </cell>
          <cell r="D419">
            <v>3</v>
          </cell>
          <cell r="E419"/>
          <cell r="F419" t="str">
            <v>CARACAS</v>
          </cell>
          <cell r="G419" t="str">
            <v>RAMON SERRANO</v>
          </cell>
          <cell r="H419"/>
          <cell r="I419" t="str">
            <v>C6</v>
          </cell>
          <cell r="J419" t="str">
            <v>Inactivo</v>
          </cell>
          <cell r="K419">
            <v>82778.543065768303</v>
          </cell>
          <cell r="L419">
            <v>8277.8543065768299</v>
          </cell>
          <cell r="M419">
            <v>4666.9685082163987</v>
          </cell>
          <cell r="N419" t="str">
            <v>Si Compra</v>
          </cell>
          <cell r="O419">
            <v>10</v>
          </cell>
          <cell r="P419">
            <v>210903.66648549156</v>
          </cell>
          <cell r="Q419">
            <v>21090.366648549156</v>
          </cell>
          <cell r="R419">
            <v>31489.634541486546</v>
          </cell>
          <cell r="T419"/>
          <cell r="U419"/>
          <cell r="V419">
            <v>0.39249456609832234</v>
          </cell>
          <cell r="W419">
            <v>3.1608047068750904E-4</v>
          </cell>
          <cell r="X419">
            <v>10</v>
          </cell>
          <cell r="Y419" t="str">
            <v>Potenciar</v>
          </cell>
        </row>
        <row r="420">
          <cell r="A420" t="str">
            <v>2400</v>
          </cell>
          <cell r="B420" t="str">
            <v>2400 - CORPORACION PRO-PATRIA, C.A.</v>
          </cell>
          <cell r="C420" t="str">
            <v>INDEPENDIENTE</v>
          </cell>
          <cell r="D420">
            <v>2</v>
          </cell>
          <cell r="E420"/>
          <cell r="F420" t="str">
            <v>CARACAS</v>
          </cell>
          <cell r="G420">
            <v>0</v>
          </cell>
          <cell r="H420"/>
          <cell r="I420" t="str">
            <v>C3</v>
          </cell>
          <cell r="J420" t="str">
            <v>Inactivo</v>
          </cell>
          <cell r="K420">
            <v>82755.708024242267</v>
          </cell>
          <cell r="L420">
            <v>9195.0786693602513</v>
          </cell>
          <cell r="M420">
            <v>4089.5147999999999</v>
          </cell>
          <cell r="N420" t="str">
            <v>Si Compra</v>
          </cell>
          <cell r="O420">
            <v>9</v>
          </cell>
          <cell r="P420">
            <v>0</v>
          </cell>
          <cell r="Q420">
            <v>0</v>
          </cell>
          <cell r="R420">
            <v>0</v>
          </cell>
          <cell r="T420"/>
          <cell r="U420"/>
          <cell r="V420">
            <v>0</v>
          </cell>
          <cell r="W420">
            <v>3.5110364185932986E-4</v>
          </cell>
          <cell r="X420">
            <v>0</v>
          </cell>
          <cell r="Y420" t="str">
            <v>Conquistar</v>
          </cell>
        </row>
        <row r="421">
          <cell r="A421" t="str">
            <v>C289</v>
          </cell>
          <cell r="B421" t="str">
            <v>C289 - FARMACIA EL ATLANTICO,C.A.</v>
          </cell>
          <cell r="C421" t="str">
            <v>INDEPENDIENTE</v>
          </cell>
          <cell r="D421">
            <v>3</v>
          </cell>
          <cell r="E421"/>
          <cell r="F421" t="str">
            <v>CARACAS</v>
          </cell>
          <cell r="G421" t="str">
            <v>WILLIAM ARAQUE</v>
          </cell>
          <cell r="H421"/>
          <cell r="I421" t="str">
            <v>C3</v>
          </cell>
          <cell r="J421" t="str">
            <v>Activo</v>
          </cell>
          <cell r="K421">
            <v>82563.685719715679</v>
          </cell>
          <cell r="L421">
            <v>8256.3685719715686</v>
          </cell>
          <cell r="M421">
            <v>6627.8588301236332</v>
          </cell>
          <cell r="N421" t="str">
            <v>Si Compra</v>
          </cell>
          <cell r="O421">
            <v>10</v>
          </cell>
          <cell r="P421">
            <v>97198.832358315543</v>
          </cell>
          <cell r="Q421">
            <v>9719.883235831554</v>
          </cell>
          <cell r="R421">
            <v>9270.7141312147633</v>
          </cell>
          <cell r="T421"/>
          <cell r="U421"/>
          <cell r="V421">
            <v>0.84943083899764782</v>
          </cell>
          <cell r="W421">
            <v>3.1526006229958871E-4</v>
          </cell>
          <cell r="X421">
            <v>10</v>
          </cell>
          <cell r="Y421" t="str">
            <v>Proteger</v>
          </cell>
        </row>
        <row r="422">
          <cell r="A422" t="str">
            <v>9056</v>
          </cell>
          <cell r="B422" t="str">
            <v>9056 - LESBIA MIRELIS MALDONADO (EXPENDIO DE MEDICINAS EL TOCUYANITO)</v>
          </cell>
          <cell r="C422" t="str">
            <v>INDEPENDIENTE</v>
          </cell>
          <cell r="D422">
            <v>3</v>
          </cell>
          <cell r="E422"/>
          <cell r="F422" t="str">
            <v>MARACAIBO</v>
          </cell>
          <cell r="G422">
            <v>0</v>
          </cell>
          <cell r="H422"/>
          <cell r="I422" t="str">
            <v>BZ</v>
          </cell>
          <cell r="J422" t="str">
            <v>Inactivo</v>
          </cell>
          <cell r="K422">
            <v>82537.016000000003</v>
          </cell>
          <cell r="L422">
            <v>9170.7795555555567</v>
          </cell>
          <cell r="M422">
            <v>7669.7602333333334</v>
          </cell>
          <cell r="N422" t="str">
            <v>Si Compra</v>
          </cell>
          <cell r="O422">
            <v>9</v>
          </cell>
          <cell r="P422">
            <v>0</v>
          </cell>
          <cell r="Q422">
            <v>0</v>
          </cell>
          <cell r="R422">
            <v>0</v>
          </cell>
          <cell r="T422"/>
          <cell r="U422"/>
          <cell r="V422">
            <v>0</v>
          </cell>
          <cell r="W422">
            <v>3.5017580778008364E-4</v>
          </cell>
          <cell r="X422">
            <v>0</v>
          </cell>
          <cell r="Y422" t="str">
            <v>Conquistar</v>
          </cell>
        </row>
        <row r="423">
          <cell r="A423" t="str">
            <v>D26</v>
          </cell>
          <cell r="B423" t="str">
            <v>D26 - FARMACIA KUNANA C.A.</v>
          </cell>
          <cell r="C423" t="str">
            <v>INDEPENDIENTE</v>
          </cell>
          <cell r="D423">
            <v>3</v>
          </cell>
          <cell r="E423"/>
          <cell r="F423" t="str">
            <v>MARACAIBO</v>
          </cell>
          <cell r="G423" t="str">
            <v>YENNIFER LUZARDO</v>
          </cell>
          <cell r="H423" t="str">
            <v>VICTOR</v>
          </cell>
          <cell r="I423" t="str">
            <v>BE</v>
          </cell>
          <cell r="J423" t="str">
            <v>Activo</v>
          </cell>
          <cell r="K423">
            <v>82206.975034486124</v>
          </cell>
          <cell r="L423">
            <v>8220.6975034486131</v>
          </cell>
          <cell r="M423">
            <v>10233.857688406128</v>
          </cell>
          <cell r="N423" t="str">
            <v>Si Compra</v>
          </cell>
          <cell r="O423">
            <v>10</v>
          </cell>
          <cell r="P423">
            <v>305826.00766357011</v>
          </cell>
          <cell r="Q423">
            <v>30582.600766357013</v>
          </cell>
          <cell r="R423">
            <v>35295.240229122603</v>
          </cell>
          <cell r="T423"/>
          <cell r="U423"/>
          <cell r="V423">
            <v>0.26880308729308439</v>
          </cell>
          <cell r="W423">
            <v>3.1389800303747967E-4</v>
          </cell>
          <cell r="X423">
            <v>10</v>
          </cell>
          <cell r="Y423" t="str">
            <v>Potenciar</v>
          </cell>
        </row>
        <row r="424">
          <cell r="A424" t="str">
            <v>1010</v>
          </cell>
          <cell r="B424" t="str">
            <v>1010 - MULTIFARMACIA MIRANDA,C.A.</v>
          </cell>
          <cell r="C424" t="str">
            <v>INDEPENDIENTE</v>
          </cell>
          <cell r="D424">
            <v>3</v>
          </cell>
          <cell r="E424"/>
          <cell r="F424" t="str">
            <v>ESTE</v>
          </cell>
          <cell r="G424" t="str">
            <v>CARLOS BLONDELL</v>
          </cell>
          <cell r="H424"/>
          <cell r="I424" t="str">
            <v>A5</v>
          </cell>
          <cell r="J424" t="str">
            <v>Activo</v>
          </cell>
          <cell r="K424">
            <v>82169.762178266654</v>
          </cell>
          <cell r="L424">
            <v>8216.9762178266647</v>
          </cell>
          <cell r="M424">
            <v>8725.3404348307504</v>
          </cell>
          <cell r="N424" t="str">
            <v>Si Compra</v>
          </cell>
          <cell r="O424">
            <v>10</v>
          </cell>
          <cell r="P424">
            <v>127553.05399928866</v>
          </cell>
          <cell r="Q424">
            <v>12755.305399928866</v>
          </cell>
          <cell r="R424">
            <v>12129.826736713452</v>
          </cell>
          <cell r="T424"/>
          <cell r="U424"/>
          <cell r="V424">
            <v>0.64420066475809268</v>
          </cell>
          <cell r="W424">
            <v>3.1375590996995451E-4</v>
          </cell>
          <cell r="X424">
            <v>10</v>
          </cell>
          <cell r="Y424" t="str">
            <v>Proteger</v>
          </cell>
        </row>
        <row r="425">
          <cell r="A425" t="str">
            <v>C586</v>
          </cell>
          <cell r="B425" t="str">
            <v>C586 - FARMAVENT,C.A.</v>
          </cell>
          <cell r="C425" t="str">
            <v>INDEPENDIENTE</v>
          </cell>
          <cell r="D425">
            <v>3</v>
          </cell>
          <cell r="E425"/>
          <cell r="F425" t="str">
            <v>CARACAS</v>
          </cell>
          <cell r="G425" t="str">
            <v>MAIRE ACOSTA FERNANDEZ</v>
          </cell>
          <cell r="H425"/>
          <cell r="I425" t="str">
            <v>C9</v>
          </cell>
          <cell r="J425" t="str">
            <v>Activo</v>
          </cell>
          <cell r="K425">
            <v>82028.30829352705</v>
          </cell>
          <cell r="L425">
            <v>8202.8308293527043</v>
          </cell>
          <cell r="M425">
            <v>8315.0604834629212</v>
          </cell>
          <cell r="N425" t="str">
            <v>Si Compra</v>
          </cell>
          <cell r="O425">
            <v>10</v>
          </cell>
          <cell r="P425">
            <v>96605.065809317108</v>
          </cell>
          <cell r="Q425">
            <v>9660.5065809317111</v>
          </cell>
          <cell r="R425">
            <v>8341.7093986301716</v>
          </cell>
          <cell r="T425"/>
          <cell r="U425"/>
          <cell r="V425">
            <v>0.84910980191699004</v>
          </cell>
          <cell r="W425">
            <v>3.1321578436719358E-4</v>
          </cell>
          <cell r="X425">
            <v>10</v>
          </cell>
          <cell r="Y425" t="str">
            <v>Proteger</v>
          </cell>
        </row>
        <row r="426">
          <cell r="A426" t="str">
            <v>P60</v>
          </cell>
          <cell r="B426" t="str">
            <v>P60 - FARMA ECONOMICA CARORA, C.A</v>
          </cell>
          <cell r="C426" t="str">
            <v>INDEPENDIENTE</v>
          </cell>
          <cell r="D426">
            <v>3</v>
          </cell>
          <cell r="F426" t="str">
            <v>CENTRO OESTE</v>
          </cell>
          <cell r="G426" t="str">
            <v>DIEGO TORI</v>
          </cell>
          <cell r="H426" t="str">
            <v>HECTOR</v>
          </cell>
          <cell r="I426" t="str">
            <v>A</v>
          </cell>
          <cell r="J426" t="str">
            <v>Activo</v>
          </cell>
          <cell r="K426">
            <v>81621.060281815197</v>
          </cell>
          <cell r="L426">
            <v>8162.1060281815198</v>
          </cell>
          <cell r="M426">
            <v>8704.2838196292414</v>
          </cell>
          <cell r="N426" t="str">
            <v>Si Compra</v>
          </cell>
          <cell r="O426">
            <v>10</v>
          </cell>
          <cell r="P426">
            <v>188785.49569664442</v>
          </cell>
          <cell r="Q426">
            <v>18878.549569664443</v>
          </cell>
          <cell r="R426">
            <v>19357.153401334886</v>
          </cell>
          <cell r="V426">
            <v>0.43234815249244796</v>
          </cell>
          <cell r="W426">
            <v>3.1166075406029192E-4</v>
          </cell>
          <cell r="X426">
            <v>10</v>
          </cell>
          <cell r="Y426" t="str">
            <v>Potenciar</v>
          </cell>
        </row>
        <row r="427">
          <cell r="A427" t="str">
            <v>3580</v>
          </cell>
          <cell r="B427" t="str">
            <v>3580 - RICHARD ANTONIO SARMIENTO  (FARMACIA DABAJURO)</v>
          </cell>
          <cell r="C427" t="str">
            <v>INDEPENDIENTE</v>
          </cell>
          <cell r="D427">
            <v>3</v>
          </cell>
          <cell r="E427"/>
          <cell r="F427" t="str">
            <v>MARACAIBO</v>
          </cell>
          <cell r="G427">
            <v>0</v>
          </cell>
          <cell r="H427"/>
          <cell r="I427" t="str">
            <v>BZ</v>
          </cell>
          <cell r="J427" t="str">
            <v>Activo</v>
          </cell>
          <cell r="K427">
            <v>81492.601503580547</v>
          </cell>
          <cell r="L427">
            <v>8149.2601503580545</v>
          </cell>
          <cell r="M427">
            <v>10469.700259030353</v>
          </cell>
          <cell r="N427" t="str">
            <v>Si Compra</v>
          </cell>
          <cell r="O427">
            <v>10</v>
          </cell>
          <cell r="P427">
            <v>0</v>
          </cell>
          <cell r="Q427">
            <v>0</v>
          </cell>
          <cell r="R427">
            <v>0</v>
          </cell>
          <cell r="T427"/>
          <cell r="U427"/>
          <cell r="V427">
            <v>0</v>
          </cell>
          <cell r="W427">
            <v>3.1117024879667439E-4</v>
          </cell>
          <cell r="X427">
            <v>0</v>
          </cell>
          <cell r="Y427" t="str">
            <v>Conquistar</v>
          </cell>
        </row>
        <row r="428">
          <cell r="A428" t="str">
            <v>D741</v>
          </cell>
          <cell r="B428" t="str">
            <v>D741 - FARMACIA KARLYS HUMOCARO, C.A</v>
          </cell>
          <cell r="C428" t="str">
            <v>INDEPENDIENTE</v>
          </cell>
          <cell r="D428">
            <v>3</v>
          </cell>
          <cell r="E428"/>
          <cell r="F428" t="str">
            <v>CENTRO OESTE</v>
          </cell>
          <cell r="G428">
            <v>0</v>
          </cell>
          <cell r="H428"/>
          <cell r="I428" t="str">
            <v xml:space="preserve">A </v>
          </cell>
          <cell r="J428" t="str">
            <v>Activo</v>
          </cell>
          <cell r="K428">
            <v>81456.966621826243</v>
          </cell>
          <cell r="L428">
            <v>8145.6966621826241</v>
          </cell>
          <cell r="M428">
            <v>8821.2574999999997</v>
          </cell>
          <cell r="N428" t="str">
            <v>Si Compra</v>
          </cell>
          <cell r="O428">
            <v>10</v>
          </cell>
          <cell r="P428">
            <v>0</v>
          </cell>
          <cell r="Q428">
            <v>0</v>
          </cell>
          <cell r="R428">
            <v>0</v>
          </cell>
          <cell r="T428"/>
          <cell r="U428"/>
          <cell r="V428">
            <v>0</v>
          </cell>
          <cell r="W428">
            <v>3.110341810455321E-4</v>
          </cell>
          <cell r="X428">
            <v>0</v>
          </cell>
          <cell r="Y428" t="str">
            <v>Conquistar</v>
          </cell>
        </row>
        <row r="429">
          <cell r="A429" t="str">
            <v>0604</v>
          </cell>
          <cell r="B429" t="str">
            <v>0604 - FARMAPIRITU, C.A</v>
          </cell>
          <cell r="C429" t="str">
            <v>INDEPENDIENTE</v>
          </cell>
          <cell r="D429">
            <v>1</v>
          </cell>
          <cell r="E429"/>
          <cell r="F429" t="str">
            <v>ESTE</v>
          </cell>
          <cell r="G429" t="str">
            <v>PEDRO VIRE</v>
          </cell>
          <cell r="H429"/>
          <cell r="I429" t="str">
            <v>A7</v>
          </cell>
          <cell r="J429" t="str">
            <v>Inactivo</v>
          </cell>
          <cell r="K429">
            <v>80961.520858197546</v>
          </cell>
          <cell r="L429">
            <v>11565.931551171077</v>
          </cell>
          <cell r="M429">
            <v>14076.373046043516</v>
          </cell>
          <cell r="N429" t="str">
            <v>Si Compra</v>
          </cell>
          <cell r="O429">
            <v>6</v>
          </cell>
          <cell r="P429">
            <v>210943.989281091</v>
          </cell>
          <cell r="Q429">
            <v>30134.855611584429</v>
          </cell>
          <cell r="R429">
            <v>28942.816065740401</v>
          </cell>
          <cell r="T429"/>
          <cell r="U429"/>
          <cell r="V429">
            <v>0.38380577296427815</v>
          </cell>
          <cell r="W429">
            <v>4.4163196804866781E-4</v>
          </cell>
          <cell r="X429">
            <v>7</v>
          </cell>
          <cell r="Y429" t="str">
            <v>Potenciar</v>
          </cell>
        </row>
        <row r="430">
          <cell r="A430" t="str">
            <v>C982</v>
          </cell>
          <cell r="B430" t="str">
            <v>MIPHARMA</v>
          </cell>
          <cell r="C430" t="e">
            <v>#N/A</v>
          </cell>
          <cell r="D430">
            <v>6</v>
          </cell>
          <cell r="E430"/>
          <cell r="F430" t="str">
            <v>CARACAS</v>
          </cell>
          <cell r="H430"/>
          <cell r="I430"/>
          <cell r="J430" t="str">
            <v>Activo</v>
          </cell>
          <cell r="K430">
            <v>80342.706235613092</v>
          </cell>
          <cell r="L430">
            <v>8034.2706235613095</v>
          </cell>
          <cell r="M430">
            <v>7627.6138411075117</v>
          </cell>
          <cell r="N430" t="str">
            <v>Si Compra</v>
          </cell>
          <cell r="O430">
            <v>10</v>
          </cell>
          <cell r="P430">
            <v>300155.0849006591</v>
          </cell>
          <cell r="Q430">
            <v>30015.508490065909</v>
          </cell>
          <cell r="R430">
            <v>17492.891242415346</v>
          </cell>
          <cell r="S430"/>
          <cell r="T430"/>
          <cell r="U430"/>
          <cell r="V430">
            <v>0.2676706485322537</v>
          </cell>
          <cell r="W430">
            <v>3.067795042380063E-4</v>
          </cell>
          <cell r="X430">
            <v>10</v>
          </cell>
          <cell r="Y430" t="str">
            <v>Potenciar</v>
          </cell>
        </row>
        <row r="431">
          <cell r="A431" t="str">
            <v>$251</v>
          </cell>
          <cell r="B431" t="str">
            <v>$251 - FARMACIA LA BOTICA, S.R.L.</v>
          </cell>
          <cell r="C431" t="str">
            <v>INDEPENDIENTE</v>
          </cell>
          <cell r="D431">
            <v>3</v>
          </cell>
          <cell r="E431"/>
          <cell r="F431" t="str">
            <v>CENTRO ESTE</v>
          </cell>
          <cell r="G431" t="str">
            <v>LAURA FLORES</v>
          </cell>
          <cell r="H431" t="str">
            <v>HECTOR</v>
          </cell>
          <cell r="I431" t="str">
            <v>+</v>
          </cell>
          <cell r="J431" t="str">
            <v>Activo</v>
          </cell>
          <cell r="K431">
            <v>79996.027292662693</v>
          </cell>
          <cell r="L431">
            <v>7999.6027292662693</v>
          </cell>
          <cell r="M431">
            <v>6731.0520555000621</v>
          </cell>
          <cell r="N431" t="str">
            <v>Si Compra</v>
          </cell>
          <cell r="O431">
            <v>10</v>
          </cell>
          <cell r="P431">
            <v>179336.60537919679</v>
          </cell>
          <cell r="Q431">
            <v>17933.660537919677</v>
          </cell>
          <cell r="R431">
            <v>16441.503120253634</v>
          </cell>
          <cell r="T431"/>
          <cell r="U431"/>
          <cell r="V431">
            <v>0.44606636287954582</v>
          </cell>
          <cell r="W431">
            <v>3.054557500451094E-4</v>
          </cell>
          <cell r="X431">
            <v>10</v>
          </cell>
          <cell r="Y431" t="str">
            <v>Potenciar</v>
          </cell>
        </row>
        <row r="432">
          <cell r="A432" t="str">
            <v>+269</v>
          </cell>
          <cell r="B432" t="str">
            <v>+269 - FARMACIA LA PROVIDENCIA SPACIAL,C.A</v>
          </cell>
          <cell r="C432" t="str">
            <v>INDEPENDIENTE</v>
          </cell>
          <cell r="D432">
            <v>3</v>
          </cell>
          <cell r="E432"/>
          <cell r="F432" t="str">
            <v>CENTRO ESTE</v>
          </cell>
          <cell r="G432" t="str">
            <v>MARCOS CRUCES</v>
          </cell>
          <cell r="H432"/>
          <cell r="I432" t="str">
            <v>AV</v>
          </cell>
          <cell r="J432" t="str">
            <v>Activo</v>
          </cell>
          <cell r="K432">
            <v>79250.63288129885</v>
          </cell>
          <cell r="L432">
            <v>7925.0632881298852</v>
          </cell>
          <cell r="M432">
            <v>6190.8234787989941</v>
          </cell>
          <cell r="N432" t="str">
            <v>Si Compra</v>
          </cell>
          <cell r="O432">
            <v>10</v>
          </cell>
          <cell r="P432">
            <v>121479.01590350369</v>
          </cell>
          <cell r="Q432">
            <v>12147.90159035037</v>
          </cell>
          <cell r="R432">
            <v>11181.688480394056</v>
          </cell>
          <cell r="T432"/>
          <cell r="U432"/>
          <cell r="V432">
            <v>0.65238125524700685</v>
          </cell>
          <cell r="W432">
            <v>3.0260954609338564E-4</v>
          </cell>
          <cell r="X432">
            <v>10</v>
          </cell>
          <cell r="Y432" t="str">
            <v>Proteger</v>
          </cell>
        </row>
        <row r="433">
          <cell r="A433" t="str">
            <v>B957</v>
          </cell>
          <cell r="B433" t="str">
            <v>B957 - FARMACIA PILLS, C.A.</v>
          </cell>
          <cell r="C433" t="str">
            <v>INDEPENDIENTE</v>
          </cell>
          <cell r="D433">
            <v>3</v>
          </cell>
          <cell r="E433"/>
          <cell r="F433" t="str">
            <v>MARACAIBO</v>
          </cell>
          <cell r="G433" t="str">
            <v>YENNIFER LUZARDO</v>
          </cell>
          <cell r="H433" t="str">
            <v>VICTOR</v>
          </cell>
          <cell r="I433" t="str">
            <v>B</v>
          </cell>
          <cell r="J433" t="str">
            <v>Activo</v>
          </cell>
          <cell r="K433">
            <v>79122.815287564386</v>
          </cell>
          <cell r="L433">
            <v>8791.423920840487</v>
          </cell>
          <cell r="M433">
            <v>9290.4092837131811</v>
          </cell>
          <cell r="N433" t="str">
            <v>Si Compra</v>
          </cell>
          <cell r="O433">
            <v>9</v>
          </cell>
          <cell r="P433">
            <v>137401.62522865768</v>
          </cell>
          <cell r="Q433">
            <v>15266.847247628632</v>
          </cell>
          <cell r="R433">
            <v>15600.537759829138</v>
          </cell>
          <cell r="T433"/>
          <cell r="U433"/>
          <cell r="V433">
            <v>0.57585065064471919</v>
          </cell>
          <cell r="W433">
            <v>3.356905434666696E-4</v>
          </cell>
          <cell r="X433">
            <v>9</v>
          </cell>
          <cell r="Y433" t="str">
            <v>Potenciar</v>
          </cell>
        </row>
        <row r="434">
          <cell r="A434" t="str">
            <v>0920</v>
          </cell>
          <cell r="B434" t="str">
            <v>0920 - FARMACIA CARACAS, C.A.</v>
          </cell>
          <cell r="C434" t="str">
            <v>INDEPENDIENTE</v>
          </cell>
          <cell r="D434">
            <v>3</v>
          </cell>
          <cell r="E434"/>
          <cell r="F434" t="str">
            <v>ESTE</v>
          </cell>
          <cell r="G434" t="str">
            <v>IRAIDA RODRIGUEZ</v>
          </cell>
          <cell r="H434"/>
          <cell r="I434" t="str">
            <v>AB</v>
          </cell>
          <cell r="J434" t="str">
            <v>Activo</v>
          </cell>
          <cell r="K434">
            <v>78934.646271315636</v>
          </cell>
          <cell r="L434">
            <v>7893.4646271315632</v>
          </cell>
          <cell r="M434">
            <v>9204.8797678539995</v>
          </cell>
          <cell r="N434" t="str">
            <v>Si Compra</v>
          </cell>
          <cell r="O434">
            <v>10</v>
          </cell>
          <cell r="P434">
            <v>147607.0194069118</v>
          </cell>
          <cell r="Q434">
            <v>14760.70194069118</v>
          </cell>
          <cell r="R434">
            <v>14367.677579821271</v>
          </cell>
          <cell r="T434"/>
          <cell r="U434"/>
          <cell r="V434">
            <v>0.53476214470339378</v>
          </cell>
          <cell r="W434">
            <v>3.0140298709010517E-4</v>
          </cell>
          <cell r="X434">
            <v>10</v>
          </cell>
          <cell r="Y434" t="str">
            <v>Potenciar</v>
          </cell>
        </row>
        <row r="435">
          <cell r="A435" t="str">
            <v>$132</v>
          </cell>
          <cell r="B435" t="str">
            <v>EL SOL</v>
          </cell>
          <cell r="C435" t="str">
            <v>GRUPO</v>
          </cell>
          <cell r="D435">
            <v>6</v>
          </cell>
          <cell r="E435">
            <v>0</v>
          </cell>
          <cell r="F435" t="str">
            <v>CENTRO ESTE</v>
          </cell>
          <cell r="G435" t="str">
            <v>LAURA FLORES</v>
          </cell>
          <cell r="H435" t="str">
            <v>HECTOR</v>
          </cell>
          <cell r="I435">
            <v>0</v>
          </cell>
          <cell r="J435" t="str">
            <v>Activo</v>
          </cell>
          <cell r="K435">
            <v>78714.994808883144</v>
          </cell>
          <cell r="L435">
            <v>7871.4994808883148</v>
          </cell>
          <cell r="M435">
            <v>7101.59034867632</v>
          </cell>
          <cell r="N435" t="str">
            <v>Si Compra</v>
          </cell>
          <cell r="O435">
            <v>10</v>
          </cell>
          <cell r="P435">
            <v>505578.59107742168</v>
          </cell>
          <cell r="Q435">
            <v>50557.859107742166</v>
          </cell>
          <cell r="R435">
            <v>66370.115949874002</v>
          </cell>
          <cell r="S435">
            <v>20000</v>
          </cell>
          <cell r="T435">
            <v>0</v>
          </cell>
          <cell r="U435">
            <v>0</v>
          </cell>
          <cell r="V435">
            <v>0.15569289562110661</v>
          </cell>
          <cell r="W435">
            <v>3.0056427291295782E-4</v>
          </cell>
          <cell r="X435">
            <v>10</v>
          </cell>
          <cell r="Y435" t="str">
            <v>Conquistar</v>
          </cell>
        </row>
        <row r="436">
          <cell r="A436" t="str">
            <v>C632</v>
          </cell>
          <cell r="B436" t="str">
            <v>C632 - FARMA FRANK, C.A</v>
          </cell>
          <cell r="C436" t="str">
            <v>INDEPENDIENTE</v>
          </cell>
          <cell r="D436">
            <v>3</v>
          </cell>
          <cell r="E436"/>
          <cell r="F436" t="str">
            <v>CENTRO OESTE</v>
          </cell>
          <cell r="G436" t="str">
            <v>DIEGO TORI</v>
          </cell>
          <cell r="H436"/>
          <cell r="I436" t="str">
            <v xml:space="preserve">A </v>
          </cell>
          <cell r="J436" t="str">
            <v>Activo</v>
          </cell>
          <cell r="K436">
            <v>78515.279600000009</v>
          </cell>
          <cell r="L436">
            <v>7851.5279600000013</v>
          </cell>
          <cell r="M436">
            <v>8143.121666666666</v>
          </cell>
          <cell r="N436" t="str">
            <v>Si Compra</v>
          </cell>
          <cell r="O436">
            <v>10</v>
          </cell>
          <cell r="P436">
            <v>206884.05310000002</v>
          </cell>
          <cell r="Q436">
            <v>20688.405310000002</v>
          </cell>
          <cell r="R436">
            <v>25165.208833333338</v>
          </cell>
          <cell r="T436"/>
          <cell r="U436"/>
          <cell r="V436">
            <v>0.37951344448017299</v>
          </cell>
          <cell r="W436">
            <v>2.9980168305706874E-4</v>
          </cell>
          <cell r="X436">
            <v>10</v>
          </cell>
          <cell r="Y436" t="str">
            <v>Potenciar</v>
          </cell>
        </row>
        <row r="437">
          <cell r="A437" t="str">
            <v>A836</v>
          </cell>
          <cell r="B437" t="str">
            <v>FARMAMED</v>
          </cell>
          <cell r="C437" t="e">
            <v>#N/A</v>
          </cell>
          <cell r="D437">
            <v>5</v>
          </cell>
          <cell r="E437"/>
          <cell r="F437" t="str">
            <v>MARACAIBO</v>
          </cell>
          <cell r="H437"/>
          <cell r="I437"/>
          <cell r="J437" t="str">
            <v>Suspendido</v>
          </cell>
          <cell r="K437">
            <v>78464.840277749478</v>
          </cell>
          <cell r="L437">
            <v>15692.968055549896</v>
          </cell>
          <cell r="M437">
            <v>15641.630659418173</v>
          </cell>
          <cell r="N437" t="str">
            <v>Si Compra</v>
          </cell>
          <cell r="O437">
            <v>5</v>
          </cell>
          <cell r="P437">
            <v>38568.564855599208</v>
          </cell>
          <cell r="Q437">
            <v>12856.188285199736</v>
          </cell>
          <cell r="R437">
            <v>10176.533827799603</v>
          </cell>
          <cell r="S437"/>
          <cell r="T437"/>
          <cell r="U437"/>
          <cell r="V437">
            <v>1.220654808985328</v>
          </cell>
          <cell r="W437">
            <v>5.9921817246062173E-4</v>
          </cell>
          <cell r="X437">
            <v>3</v>
          </cell>
          <cell r="Y437" t="str">
            <v>Proteger</v>
          </cell>
        </row>
        <row r="438">
          <cell r="A438" t="str">
            <v>9791</v>
          </cell>
          <cell r="B438" t="str">
            <v>9791 - FARMACIA DON DANIEL PALMA,C.A</v>
          </cell>
          <cell r="C438" t="str">
            <v>INDEPENDIENTE</v>
          </cell>
          <cell r="D438">
            <v>3</v>
          </cell>
          <cell r="E438"/>
          <cell r="F438" t="str">
            <v>CENTRO OESTE</v>
          </cell>
          <cell r="G438" t="str">
            <v>DIEGO TORI</v>
          </cell>
          <cell r="H438"/>
          <cell r="I438" t="str">
            <v xml:space="preserve">A </v>
          </cell>
          <cell r="J438" t="str">
            <v>Activo</v>
          </cell>
          <cell r="K438">
            <v>78104.807821781214</v>
          </cell>
          <cell r="L438">
            <v>7810.4807821781214</v>
          </cell>
          <cell r="M438">
            <v>6904.4806552430746</v>
          </cell>
          <cell r="N438" t="str">
            <v>Si Compra</v>
          </cell>
          <cell r="O438">
            <v>10</v>
          </cell>
          <cell r="P438">
            <v>83179.49959174807</v>
          </cell>
          <cell r="Q438">
            <v>9242.1666213053413</v>
          </cell>
          <cell r="R438">
            <v>13021.101674319849</v>
          </cell>
          <cell r="T438"/>
          <cell r="U438"/>
          <cell r="V438">
            <v>0.84509196838900835</v>
          </cell>
          <cell r="W438">
            <v>2.9823434316368289E-4</v>
          </cell>
          <cell r="X438">
            <v>9</v>
          </cell>
          <cell r="Y438" t="str">
            <v>Proteger</v>
          </cell>
        </row>
        <row r="439">
          <cell r="A439" t="str">
            <v>8390</v>
          </cell>
          <cell r="B439" t="str">
            <v>8390 - FARMACIA Y SERVICIOS SANTO REMEDIO C.A.</v>
          </cell>
          <cell r="C439" t="str">
            <v>INDEPENDIENTE</v>
          </cell>
          <cell r="D439">
            <v>2</v>
          </cell>
          <cell r="E439"/>
          <cell r="F439" t="str">
            <v>CENTRO OESTE</v>
          </cell>
          <cell r="G439" t="str">
            <v>LUIS PLACERES</v>
          </cell>
          <cell r="H439"/>
          <cell r="I439" t="str">
            <v>E</v>
          </cell>
          <cell r="J439" t="str">
            <v>Inactivo</v>
          </cell>
          <cell r="K439">
            <v>78053.799227024385</v>
          </cell>
          <cell r="L439">
            <v>8672.6443585582656</v>
          </cell>
          <cell r="M439">
            <v>13574.599453192424</v>
          </cell>
          <cell r="N439" t="str">
            <v>Si Compra</v>
          </cell>
          <cell r="O439">
            <v>8</v>
          </cell>
          <cell r="P439">
            <v>126495.74717200414</v>
          </cell>
          <cell r="Q439">
            <v>14055.083019111571</v>
          </cell>
          <cell r="R439">
            <v>16595.561696400808</v>
          </cell>
          <cell r="T439"/>
          <cell r="U439"/>
          <cell r="V439">
            <v>0.6170468254627548</v>
          </cell>
          <cell r="W439">
            <v>3.3115508070497398E-4</v>
          </cell>
          <cell r="X439">
            <v>9</v>
          </cell>
          <cell r="Y439" t="str">
            <v>Proteger</v>
          </cell>
        </row>
        <row r="440">
          <cell r="A440" t="str">
            <v>7869</v>
          </cell>
          <cell r="B440" t="str">
            <v>7869 - FARMACIA LA PAZ 1 C.A</v>
          </cell>
          <cell r="C440" t="str">
            <v>INDEPENDIENTE</v>
          </cell>
          <cell r="D440">
            <v>3</v>
          </cell>
          <cell r="E440"/>
          <cell r="F440" t="str">
            <v>CENTRO OESTE</v>
          </cell>
          <cell r="G440" t="str">
            <v>DIEGO TORI</v>
          </cell>
          <cell r="H440"/>
          <cell r="I440" t="str">
            <v xml:space="preserve">A </v>
          </cell>
          <cell r="J440" t="str">
            <v>Activo</v>
          </cell>
          <cell r="K440">
            <v>78024.38712890356</v>
          </cell>
          <cell r="L440">
            <v>7802.4387128903563</v>
          </cell>
          <cell r="M440">
            <v>5582.0203191984647</v>
          </cell>
          <cell r="N440" t="str">
            <v>Si Compra</v>
          </cell>
          <cell r="O440">
            <v>10</v>
          </cell>
          <cell r="P440">
            <v>180452.1283799732</v>
          </cell>
          <cell r="Q440">
            <v>18045.212837997322</v>
          </cell>
          <cell r="R440">
            <v>14858.990687538162</v>
          </cell>
          <cell r="T440"/>
          <cell r="U440"/>
          <cell r="V440">
            <v>0.43238274787543485</v>
          </cell>
          <cell r="W440">
            <v>2.9792726587630434E-4</v>
          </cell>
          <cell r="X440">
            <v>10</v>
          </cell>
          <cell r="Y440" t="str">
            <v>Potenciar</v>
          </cell>
        </row>
        <row r="441">
          <cell r="A441" t="str">
            <v>8962</v>
          </cell>
          <cell r="B441" t="str">
            <v>GRUPO BICENTENARIO</v>
          </cell>
          <cell r="C441" t="str">
            <v>GRUPO</v>
          </cell>
          <cell r="D441">
            <v>5</v>
          </cell>
          <cell r="E441">
            <v>0</v>
          </cell>
          <cell r="F441" t="str">
            <v>MARACAIBO</v>
          </cell>
          <cell r="G441" t="str">
            <v/>
          </cell>
          <cell r="H441" t="str">
            <v>VICTOR</v>
          </cell>
          <cell r="I441">
            <v>0</v>
          </cell>
          <cell r="J441" t="str">
            <v>Activo</v>
          </cell>
          <cell r="K441">
            <v>77971.635123618456</v>
          </cell>
          <cell r="L441">
            <v>7797.1635123618453</v>
          </cell>
          <cell r="M441">
            <v>6924.9060766909743</v>
          </cell>
          <cell r="N441" t="str">
            <v>Si Compra</v>
          </cell>
          <cell r="O441">
            <v>10</v>
          </cell>
          <cell r="P441">
            <v>259722.50494108102</v>
          </cell>
          <cell r="Q441">
            <v>25972.250494108102</v>
          </cell>
          <cell r="R441">
            <v>16841.720656214497</v>
          </cell>
          <cell r="S441">
            <v>0</v>
          </cell>
          <cell r="T441">
            <v>0</v>
          </cell>
          <cell r="U441">
            <v>0</v>
          </cell>
          <cell r="V441">
            <v>0.30021131646372579</v>
          </cell>
          <cell r="W441">
            <v>2.9772583833188643E-4</v>
          </cell>
          <cell r="X441">
            <v>10</v>
          </cell>
          <cell r="Y441" t="str">
            <v>Potenciar</v>
          </cell>
        </row>
        <row r="442">
          <cell r="A442" t="str">
            <v>A099</v>
          </cell>
          <cell r="B442" t="str">
            <v>A099 - FARMACIA EL GRAN THOMAS, C.A.</v>
          </cell>
          <cell r="C442" t="str">
            <v>INDEPENDIENTE</v>
          </cell>
          <cell r="D442">
            <v>3</v>
          </cell>
          <cell r="E442"/>
          <cell r="F442" t="str">
            <v>MARACAIBO</v>
          </cell>
          <cell r="G442" t="str">
            <v>YENNIFER LUZARDO</v>
          </cell>
          <cell r="H442" t="str">
            <v>VICTOR</v>
          </cell>
          <cell r="I442" t="str">
            <v>BE</v>
          </cell>
          <cell r="J442" t="str">
            <v>Activo</v>
          </cell>
          <cell r="K442">
            <v>77932.254564972071</v>
          </cell>
          <cell r="L442">
            <v>7793.2254564972072</v>
          </cell>
          <cell r="M442">
            <v>7703.3581040486488</v>
          </cell>
          <cell r="N442" t="str">
            <v>Si Compra</v>
          </cell>
          <cell r="O442">
            <v>10</v>
          </cell>
          <cell r="P442">
            <v>285814.26406154141</v>
          </cell>
          <cell r="Q442">
            <v>28581.42640615414</v>
          </cell>
          <cell r="R442">
            <v>24830.128114319774</v>
          </cell>
          <cell r="T442"/>
          <cell r="U442"/>
          <cell r="V442">
            <v>0.27266747802409097</v>
          </cell>
          <cell r="W442">
            <v>2.9757546813869524E-4</v>
          </cell>
          <cell r="X442">
            <v>10</v>
          </cell>
          <cell r="Y442" t="str">
            <v>Potenciar</v>
          </cell>
        </row>
        <row r="443">
          <cell r="A443" t="str">
            <v>1124</v>
          </cell>
          <cell r="B443" t="str">
            <v>1124 - ROMAGO, C.A</v>
          </cell>
          <cell r="C443" t="str">
            <v>INDEPENDIENTE</v>
          </cell>
          <cell r="D443">
            <v>3</v>
          </cell>
          <cell r="E443"/>
          <cell r="F443" t="str">
            <v>CARACAS</v>
          </cell>
          <cell r="G443" t="str">
            <v>MAIRUBI QUIJADA</v>
          </cell>
          <cell r="H443"/>
          <cell r="I443" t="str">
            <v>C7</v>
          </cell>
          <cell r="J443" t="str">
            <v>Activo</v>
          </cell>
          <cell r="K443">
            <v>77323.575545547283</v>
          </cell>
          <cell r="L443">
            <v>7732.3575545547283</v>
          </cell>
          <cell r="M443">
            <v>9432.9711237537103</v>
          </cell>
          <cell r="N443" t="str">
            <v>Si Compra</v>
          </cell>
          <cell r="O443">
            <v>10</v>
          </cell>
          <cell r="P443">
            <v>3312.6571374556893</v>
          </cell>
          <cell r="Q443">
            <v>368.07301527285438</v>
          </cell>
          <cell r="R443">
            <v>162.70881794355293</v>
          </cell>
          <cell r="T443"/>
          <cell r="U443"/>
          <cell r="V443">
            <v>21.007673026023635</v>
          </cell>
          <cell r="W443">
            <v>2.952512963928294E-4</v>
          </cell>
          <cell r="X443">
            <v>6</v>
          </cell>
          <cell r="Y443" t="str">
            <v>Proteger</v>
          </cell>
        </row>
        <row r="444">
          <cell r="A444" t="str">
            <v>E474</v>
          </cell>
          <cell r="B444" t="str">
            <v>E474 - FARMACIA CENTRO CASA BLANCA, C.A.</v>
          </cell>
          <cell r="C444" t="e">
            <v>#N/A</v>
          </cell>
          <cell r="D444">
            <v>3</v>
          </cell>
          <cell r="F444" t="str">
            <v>CENTRO ESTE</v>
          </cell>
          <cell r="G444">
            <v>0</v>
          </cell>
          <cell r="H444"/>
          <cell r="I444" t="str">
            <v>AV</v>
          </cell>
          <cell r="J444" t="str">
            <v>Inactivo</v>
          </cell>
          <cell r="K444">
            <v>77235.71676017603</v>
          </cell>
          <cell r="L444">
            <v>19308.929190044008</v>
          </cell>
          <cell r="M444">
            <v>25250.207953392008</v>
          </cell>
          <cell r="N444" t="str">
            <v>Si Compra</v>
          </cell>
          <cell r="O444">
            <v>4</v>
          </cell>
          <cell r="P444">
            <v>0</v>
          </cell>
          <cell r="Q444">
            <v>0</v>
          </cell>
          <cell r="R444">
            <v>0</v>
          </cell>
          <cell r="V444">
            <v>0</v>
          </cell>
          <cell r="W444">
            <v>7.3728954398386362E-4</v>
          </cell>
          <cell r="X444">
            <v>0</v>
          </cell>
          <cell r="Y444" t="str">
            <v>Conquistar</v>
          </cell>
        </row>
        <row r="445">
          <cell r="A445" t="str">
            <v>B16</v>
          </cell>
          <cell r="B445" t="str">
            <v>B16 - FARMACIA MAMA CIRA, C.A</v>
          </cell>
          <cell r="C445" t="str">
            <v>INDEPENDIENTE</v>
          </cell>
          <cell r="D445">
            <v>3</v>
          </cell>
          <cell r="E445"/>
          <cell r="F445" t="str">
            <v>MARACAIBO</v>
          </cell>
          <cell r="G445" t="str">
            <v>YENNIFER LUZARDO</v>
          </cell>
          <cell r="H445"/>
          <cell r="I445" t="str">
            <v>B</v>
          </cell>
          <cell r="J445" t="str">
            <v>Activo</v>
          </cell>
          <cell r="K445">
            <v>77093.229085535248</v>
          </cell>
          <cell r="L445">
            <v>7709.3229085535249</v>
          </cell>
          <cell r="M445">
            <v>7223.0086000000001</v>
          </cell>
          <cell r="N445" t="str">
            <v>Si Compra</v>
          </cell>
          <cell r="O445">
            <v>10</v>
          </cell>
          <cell r="P445">
            <v>146993.45092420696</v>
          </cell>
          <cell r="Q445">
            <v>14699.345092420695</v>
          </cell>
          <cell r="R445">
            <v>12765.809133333334</v>
          </cell>
          <cell r="T445"/>
          <cell r="U445"/>
          <cell r="V445">
            <v>0.52446710109068884</v>
          </cell>
          <cell r="W445">
            <v>2.9437174458139007E-4</v>
          </cell>
          <cell r="X445">
            <v>10</v>
          </cell>
          <cell r="Y445" t="str">
            <v>Potenciar</v>
          </cell>
        </row>
        <row r="446">
          <cell r="A446">
            <v>0</v>
          </cell>
          <cell r="B446" t="str">
            <v>C944 - AUTOMERCADO LOS MOLINOS</v>
          </cell>
          <cell r="C446" t="str">
            <v>INDEPENDIENTE</v>
          </cell>
          <cell r="D446">
            <v>0</v>
          </cell>
          <cell r="E446"/>
          <cell r="F446" t="str">
            <v>CENTRO OESTE</v>
          </cell>
          <cell r="G446">
            <v>0</v>
          </cell>
          <cell r="H446"/>
          <cell r="I446" t="str">
            <v>C</v>
          </cell>
          <cell r="J446" t="str">
            <v>Activo</v>
          </cell>
          <cell r="K446">
            <v>77052.351794320595</v>
          </cell>
          <cell r="L446">
            <v>7705.2351794320593</v>
          </cell>
          <cell r="M446">
            <v>7530.2430379058997</v>
          </cell>
          <cell r="N446" t="str">
            <v>Si Compra</v>
          </cell>
          <cell r="O446">
            <v>10</v>
          </cell>
          <cell r="P446">
            <v>0</v>
          </cell>
          <cell r="Q446">
            <v>0</v>
          </cell>
          <cell r="R446">
            <v>0</v>
          </cell>
          <cell r="T446"/>
          <cell r="U446"/>
          <cell r="V446">
            <v>0</v>
          </cell>
          <cell r="W446">
            <v>2.9421565928477772E-4</v>
          </cell>
          <cell r="X446">
            <v>0</v>
          </cell>
          <cell r="Y446" t="str">
            <v>Conquistar</v>
          </cell>
        </row>
        <row r="447">
          <cell r="A447" t="str">
            <v>A332</v>
          </cell>
          <cell r="B447" t="str">
            <v>EL VALLE</v>
          </cell>
          <cell r="C447" t="str">
            <v>GRUPO</v>
          </cell>
          <cell r="D447">
            <v>6</v>
          </cell>
          <cell r="E447">
            <v>0</v>
          </cell>
          <cell r="F447" t="str">
            <v>CENTRO ESTE</v>
          </cell>
          <cell r="G447" t="str">
            <v>WILLIBETTI GONZALEZ</v>
          </cell>
          <cell r="H447" t="str">
            <v>HECTOR</v>
          </cell>
          <cell r="I447">
            <v>0</v>
          </cell>
          <cell r="J447" t="str">
            <v>Activo</v>
          </cell>
          <cell r="K447">
            <v>77008.644889795352</v>
          </cell>
          <cell r="L447">
            <v>7700.8644889795351</v>
          </cell>
          <cell r="M447">
            <v>7166.5216971216314</v>
          </cell>
          <cell r="N447" t="str">
            <v>Si Compra</v>
          </cell>
          <cell r="O447">
            <v>10</v>
          </cell>
          <cell r="P447">
            <v>2167692.3584818202</v>
          </cell>
          <cell r="Q447">
            <v>216769.23584818203</v>
          </cell>
          <cell r="R447">
            <v>155024.77536474328</v>
          </cell>
          <cell r="S447">
            <v>30000</v>
          </cell>
          <cell r="T447">
            <v>0</v>
          </cell>
          <cell r="U447">
            <v>0</v>
          </cell>
          <cell r="V447">
            <v>3.5525633786765591E-2</v>
          </cell>
          <cell r="W447">
            <v>2.9404876943092201E-4</v>
          </cell>
          <cell r="X447">
            <v>10</v>
          </cell>
          <cell r="Y447" t="str">
            <v>Conquistar</v>
          </cell>
        </row>
        <row r="448">
          <cell r="A448" t="str">
            <v>A717</v>
          </cell>
          <cell r="B448" t="str">
            <v>A717 - EXPENDIO DE MEDICINAS LA BOMBITA, C.A</v>
          </cell>
          <cell r="C448" t="str">
            <v>INDEPENDIENTE</v>
          </cell>
          <cell r="D448">
            <v>3</v>
          </cell>
          <cell r="E448"/>
          <cell r="F448" t="str">
            <v>MARACAIBO</v>
          </cell>
          <cell r="G448">
            <v>0</v>
          </cell>
          <cell r="H448"/>
          <cell r="I448" t="str">
            <v>S</v>
          </cell>
          <cell r="J448" t="str">
            <v>Activo</v>
          </cell>
          <cell r="K448">
            <v>76753.502707423933</v>
          </cell>
          <cell r="L448">
            <v>7675.3502707423931</v>
          </cell>
          <cell r="M448">
            <v>7406.7401989473037</v>
          </cell>
          <cell r="N448" t="str">
            <v>Si Compra</v>
          </cell>
          <cell r="O448">
            <v>10</v>
          </cell>
          <cell r="P448">
            <v>0</v>
          </cell>
          <cell r="Q448">
            <v>0</v>
          </cell>
          <cell r="R448">
            <v>0</v>
          </cell>
          <cell r="T448"/>
          <cell r="U448"/>
          <cell r="V448">
            <v>0</v>
          </cell>
          <cell r="W448">
            <v>2.9307453796816095E-4</v>
          </cell>
          <cell r="X448">
            <v>0</v>
          </cell>
          <cell r="Y448" t="str">
            <v>Conquistar</v>
          </cell>
        </row>
        <row r="449">
          <cell r="A449" t="str">
            <v>B425</v>
          </cell>
          <cell r="B449" t="str">
            <v>FARMACEUTICAL ANDES</v>
          </cell>
          <cell r="C449" t="str">
            <v>GRUPO</v>
          </cell>
          <cell r="D449">
            <v>6</v>
          </cell>
          <cell r="E449">
            <v>0</v>
          </cell>
          <cell r="F449" t="str">
            <v>ANDES</v>
          </cell>
          <cell r="G449" t="str">
            <v/>
          </cell>
          <cell r="H449" t="str">
            <v>VICTOR</v>
          </cell>
          <cell r="I449">
            <v>0</v>
          </cell>
          <cell r="J449" t="str">
            <v>Inactivo</v>
          </cell>
          <cell r="K449">
            <v>76748.744136334572</v>
          </cell>
          <cell r="L449">
            <v>7674.8744136334572</v>
          </cell>
          <cell r="M449">
            <v>9695.814858008318</v>
          </cell>
          <cell r="N449" t="str">
            <v>Si Compra</v>
          </cell>
          <cell r="O449">
            <v>10</v>
          </cell>
          <cell r="P449">
            <v>158309.018445514</v>
          </cell>
          <cell r="Q449">
            <v>15830.901844551399</v>
          </cell>
          <cell r="R449">
            <v>15817.584839300025</v>
          </cell>
          <cell r="S449">
            <v>0</v>
          </cell>
          <cell r="T449">
            <v>0</v>
          </cell>
          <cell r="U449">
            <v>0</v>
          </cell>
          <cell r="V449">
            <v>0.4848033604778465</v>
          </cell>
          <cell r="W449">
            <v>2.9305636790459105E-4</v>
          </cell>
          <cell r="X449">
            <v>10</v>
          </cell>
          <cell r="Y449" t="str">
            <v>Potenciar</v>
          </cell>
        </row>
        <row r="450">
          <cell r="A450" t="str">
            <v>$199</v>
          </cell>
          <cell r="B450" t="str">
            <v>GRUPO FARMASALUD (DECAGUA)</v>
          </cell>
          <cell r="C450" t="str">
            <v>CADENA</v>
          </cell>
          <cell r="D450">
            <v>6</v>
          </cell>
          <cell r="E450"/>
          <cell r="F450" t="str">
            <v>CENTRO ESTE</v>
          </cell>
          <cell r="H450"/>
          <cell r="I450"/>
          <cell r="J450" t="str">
            <v>Permiso</v>
          </cell>
          <cell r="K450">
            <v>76607.668877107877</v>
          </cell>
          <cell r="L450">
            <v>8511.9632085675421</v>
          </cell>
          <cell r="M450">
            <v>8476.494084785154</v>
          </cell>
          <cell r="N450" t="str">
            <v>Si Compra</v>
          </cell>
          <cell r="O450">
            <v>9</v>
          </cell>
          <cell r="P450">
            <v>128137.78022352495</v>
          </cell>
          <cell r="Q450">
            <v>14237.531135947218</v>
          </cell>
          <cell r="R450">
            <v>13068.292986194136</v>
          </cell>
          <cell r="S450"/>
          <cell r="T450"/>
          <cell r="U450"/>
          <cell r="V450">
            <v>0.59785387840707571</v>
          </cell>
          <cell r="W450">
            <v>3.2501965337819358E-4</v>
          </cell>
          <cell r="X450">
            <v>9</v>
          </cell>
          <cell r="Y450" t="str">
            <v>Potenciar</v>
          </cell>
        </row>
        <row r="451">
          <cell r="A451" t="str">
            <v>0904</v>
          </cell>
          <cell r="B451" t="str">
            <v>0904 - FARMA-ROMAR, C.A</v>
          </cell>
          <cell r="C451" t="str">
            <v>INDEPENDIENTE</v>
          </cell>
          <cell r="D451">
            <v>3</v>
          </cell>
          <cell r="E451"/>
          <cell r="F451" t="str">
            <v>ESTE</v>
          </cell>
          <cell r="G451" t="str">
            <v>IRAIDA RODRIGUEZ</v>
          </cell>
          <cell r="H451"/>
          <cell r="I451" t="str">
            <v>AB</v>
          </cell>
          <cell r="J451" t="str">
            <v>Activo</v>
          </cell>
          <cell r="K451">
            <v>76310.36004499819</v>
          </cell>
          <cell r="L451">
            <v>7631.0360044998188</v>
          </cell>
          <cell r="M451">
            <v>8423.8994818256015</v>
          </cell>
          <cell r="N451" t="str">
            <v>Si Compra</v>
          </cell>
          <cell r="O451">
            <v>10</v>
          </cell>
          <cell r="P451">
            <v>130858.34343904362</v>
          </cell>
          <cell r="Q451">
            <v>13085.834343904362</v>
          </cell>
          <cell r="R451">
            <v>12651.636433877451</v>
          </cell>
          <cell r="T451"/>
          <cell r="U451"/>
          <cell r="V451">
            <v>0.58315242299047632</v>
          </cell>
          <cell r="W451">
            <v>2.9138244801183057E-4</v>
          </cell>
          <cell r="X451">
            <v>10</v>
          </cell>
          <cell r="Y451" t="str">
            <v>Potenciar</v>
          </cell>
        </row>
        <row r="452">
          <cell r="A452" t="str">
            <v>B743</v>
          </cell>
          <cell r="B452" t="str">
            <v>B743 - FARMACIA EL SOL DEL VALLE, C.A.</v>
          </cell>
          <cell r="C452" t="str">
            <v>INDEPENDIENTE</v>
          </cell>
          <cell r="D452">
            <v>3</v>
          </cell>
          <cell r="E452"/>
          <cell r="F452" t="str">
            <v>CENTRO OESTE</v>
          </cell>
          <cell r="G452" t="str">
            <v>YAMILEX LAMEDA</v>
          </cell>
          <cell r="H452"/>
          <cell r="I452" t="str">
            <v>Y1</v>
          </cell>
          <cell r="J452" t="str">
            <v>Activo</v>
          </cell>
          <cell r="K452">
            <v>75977.804782543113</v>
          </cell>
          <cell r="L452">
            <v>7597.7804782543117</v>
          </cell>
          <cell r="M452">
            <v>8556.861177843035</v>
          </cell>
          <cell r="N452" t="str">
            <v>Si Compra</v>
          </cell>
          <cell r="O452">
            <v>10</v>
          </cell>
          <cell r="P452">
            <v>83598.859224223212</v>
          </cell>
          <cell r="Q452">
            <v>8359.8859224223215</v>
          </cell>
          <cell r="R452">
            <v>8573.5750479389662</v>
          </cell>
          <cell r="T452"/>
          <cell r="U452"/>
          <cell r="V452">
            <v>0.90883781773577288</v>
          </cell>
          <cell r="W452">
            <v>2.9011262348975736E-4</v>
          </cell>
          <cell r="X452">
            <v>10</v>
          </cell>
          <cell r="Y452" t="str">
            <v>Proteger</v>
          </cell>
        </row>
        <row r="453">
          <cell r="A453" t="str">
            <v>37</v>
          </cell>
          <cell r="B453" t="str">
            <v>37 - FARMACIA POLICLINICA C.A.</v>
          </cell>
          <cell r="C453" t="str">
            <v>INDEPENDIENTE</v>
          </cell>
          <cell r="D453">
            <v>3</v>
          </cell>
          <cell r="E453"/>
          <cell r="F453" t="str">
            <v>ANDES</v>
          </cell>
          <cell r="G453" t="str">
            <v>ANYERSSON TORRES</v>
          </cell>
          <cell r="H453"/>
          <cell r="I453" t="str">
            <v>4</v>
          </cell>
          <cell r="J453" t="str">
            <v>Activo</v>
          </cell>
          <cell r="K453">
            <v>75873.097817355636</v>
          </cell>
          <cell r="L453">
            <v>7587.3097817355638</v>
          </cell>
          <cell r="M453">
            <v>9123.7015709699499</v>
          </cell>
          <cell r="N453" t="str">
            <v>Si Compra</v>
          </cell>
          <cell r="O453">
            <v>10</v>
          </cell>
          <cell r="P453">
            <v>295771.84971295501</v>
          </cell>
          <cell r="Q453">
            <v>29577.184971295501</v>
          </cell>
          <cell r="R453">
            <v>18414.498161769687</v>
          </cell>
          <cell r="T453"/>
          <cell r="U453"/>
          <cell r="V453">
            <v>0.25652575757628748</v>
          </cell>
          <cell r="W453">
            <v>2.8971281182824473E-4</v>
          </cell>
          <cell r="X453">
            <v>9</v>
          </cell>
          <cell r="Y453" t="str">
            <v>Potenciar</v>
          </cell>
        </row>
        <row r="454">
          <cell r="A454" t="str">
            <v>2185</v>
          </cell>
          <cell r="B454" t="str">
            <v>2185 - FARMACIA GADSA 44, CA</v>
          </cell>
          <cell r="C454" t="str">
            <v>INDEPENDIENTE</v>
          </cell>
          <cell r="D454">
            <v>3</v>
          </cell>
          <cell r="E454"/>
          <cell r="F454" t="str">
            <v>CARACAS</v>
          </cell>
          <cell r="G454" t="str">
            <v>WILLIAM ARAQUE</v>
          </cell>
          <cell r="H454"/>
          <cell r="I454" t="str">
            <v>C8</v>
          </cell>
          <cell r="J454" t="str">
            <v>Activo</v>
          </cell>
          <cell r="K454">
            <v>75835.111645261495</v>
          </cell>
          <cell r="L454">
            <v>8426.1235161401655</v>
          </cell>
          <cell r="M454">
            <v>9894.260237860175</v>
          </cell>
          <cell r="N454" t="str">
            <v>Si Compra</v>
          </cell>
          <cell r="O454">
            <v>9</v>
          </cell>
          <cell r="P454">
            <v>77839.875503744101</v>
          </cell>
          <cell r="Q454">
            <v>8648.8750559715663</v>
          </cell>
          <cell r="R454">
            <v>9005.7189661073953</v>
          </cell>
          <cell r="T454"/>
          <cell r="U454"/>
          <cell r="V454">
            <v>0.97424502742959584</v>
          </cell>
          <cell r="W454">
            <v>3.2174196215758837E-4</v>
          </cell>
          <cell r="X454">
            <v>9</v>
          </cell>
          <cell r="Y454" t="str">
            <v>Proteger</v>
          </cell>
        </row>
        <row r="455">
          <cell r="A455" t="str">
            <v>1570</v>
          </cell>
          <cell r="B455" t="str">
            <v>VALDIVIESO</v>
          </cell>
          <cell r="C455" t="e">
            <v>#N/A</v>
          </cell>
          <cell r="D455">
            <v>4</v>
          </cell>
          <cell r="E455">
            <v>0</v>
          </cell>
          <cell r="F455" t="str">
            <v>ESTE</v>
          </cell>
          <cell r="G455" t="str">
            <v>CARLOS BLONDELL</v>
          </cell>
          <cell r="H455" t="str">
            <v>HECTOR</v>
          </cell>
          <cell r="I455" t="str">
            <v>A5</v>
          </cell>
          <cell r="J455" t="str">
            <v>Activo</v>
          </cell>
          <cell r="K455">
            <v>75795.403527833798</v>
          </cell>
          <cell r="L455">
            <v>8421.7115030926434</v>
          </cell>
          <cell r="M455">
            <v>9633.9725397038274</v>
          </cell>
          <cell r="N455" t="str">
            <v>Si Compra</v>
          </cell>
          <cell r="O455">
            <v>9</v>
          </cell>
          <cell r="P455">
            <v>135603.38906636753</v>
          </cell>
          <cell r="Q455">
            <v>15067.043229596391</v>
          </cell>
          <cell r="R455">
            <v>11135.511399999999</v>
          </cell>
          <cell r="S455">
            <v>12000</v>
          </cell>
          <cell r="T455">
            <v>0</v>
          </cell>
          <cell r="U455">
            <v>0</v>
          </cell>
          <cell r="V455">
            <v>0.55894918297903096</v>
          </cell>
          <cell r="W455">
            <v>3.2157349444734702E-4</v>
          </cell>
          <cell r="X455">
            <v>9</v>
          </cell>
          <cell r="Y455" t="str">
            <v>Potenciar</v>
          </cell>
        </row>
        <row r="456">
          <cell r="A456" t="str">
            <v>B821</v>
          </cell>
          <cell r="B456" t="str">
            <v>MAS POR MENOS CENTRO ESTE</v>
          </cell>
          <cell r="C456" t="str">
            <v>CADENA</v>
          </cell>
          <cell r="D456">
            <v>12</v>
          </cell>
          <cell r="E456">
            <v>10</v>
          </cell>
          <cell r="F456" t="str">
            <v>CENTRO ESTE</v>
          </cell>
          <cell r="G456" t="str">
            <v>WILLIBETTI GONZALEZ</v>
          </cell>
          <cell r="H456" t="str">
            <v>HECTOR</v>
          </cell>
          <cell r="I456">
            <v>0</v>
          </cell>
          <cell r="J456" t="str">
            <v>Activo</v>
          </cell>
          <cell r="K456">
            <v>75740.131552006176</v>
          </cell>
          <cell r="L456">
            <v>7574.0131552006178</v>
          </cell>
          <cell r="M456">
            <v>7759.0767914409707</v>
          </cell>
          <cell r="N456" t="str">
            <v>Si Compra</v>
          </cell>
          <cell r="O456">
            <v>10</v>
          </cell>
          <cell r="P456">
            <v>225973.42467606458</v>
          </cell>
          <cell r="Q456">
            <v>22597.342467606457</v>
          </cell>
          <cell r="R456">
            <v>22992.740384484216</v>
          </cell>
          <cell r="S456">
            <v>80000</v>
          </cell>
          <cell r="T456">
            <v>0</v>
          </cell>
          <cell r="U456">
            <v>10</v>
          </cell>
          <cell r="V456">
            <v>0.33517273838983724</v>
          </cell>
          <cell r="W456">
            <v>2.8920509523671419E-4</v>
          </cell>
          <cell r="X456">
            <v>10</v>
          </cell>
          <cell r="Y456" t="str">
            <v>Potenciar</v>
          </cell>
        </row>
        <row r="457">
          <cell r="A457" t="str">
            <v>B047</v>
          </cell>
          <cell r="B457" t="str">
            <v>B047 - FARMACIA GRUPO GL, C.A.</v>
          </cell>
          <cell r="C457" t="str">
            <v>INDEPENDIENTE</v>
          </cell>
          <cell r="D457">
            <v>3</v>
          </cell>
          <cell r="E457"/>
          <cell r="F457" t="str">
            <v>CARACAS</v>
          </cell>
          <cell r="G457" t="str">
            <v>RAMON SERRANO</v>
          </cell>
          <cell r="H457"/>
          <cell r="I457" t="str">
            <v>CB</v>
          </cell>
          <cell r="J457" t="str">
            <v>Permiso</v>
          </cell>
          <cell r="K457">
            <v>75720.707467456261</v>
          </cell>
          <cell r="L457">
            <v>7572.0707467456259</v>
          </cell>
          <cell r="M457">
            <v>5252.5077728808174</v>
          </cell>
          <cell r="N457" t="str">
            <v>Si Compra</v>
          </cell>
          <cell r="O457">
            <v>10</v>
          </cell>
          <cell r="P457">
            <v>132045.41456740227</v>
          </cell>
          <cell r="Q457">
            <v>13204.541456740228</v>
          </cell>
          <cell r="R457">
            <v>11371.444555338656</v>
          </cell>
          <cell r="T457"/>
          <cell r="U457"/>
          <cell r="V457">
            <v>0.57344442982383759</v>
          </cell>
          <cell r="W457">
            <v>2.8913092657464515E-4</v>
          </cell>
          <cell r="X457">
            <v>10</v>
          </cell>
          <cell r="Y457" t="str">
            <v>Potenciar</v>
          </cell>
        </row>
        <row r="458">
          <cell r="A458" t="str">
            <v>9321</v>
          </cell>
          <cell r="B458" t="str">
            <v>9321 - FARMACIA SANTA INES 2012 C.A</v>
          </cell>
          <cell r="C458" t="str">
            <v>INDEPENDIENTE</v>
          </cell>
          <cell r="D458">
            <v>3</v>
          </cell>
          <cell r="E458"/>
          <cell r="F458" t="str">
            <v>CENTRO OESTE</v>
          </cell>
          <cell r="G458" t="str">
            <v>SORALI SILVA</v>
          </cell>
          <cell r="H458"/>
          <cell r="I458" t="str">
            <v>C</v>
          </cell>
          <cell r="J458" t="str">
            <v>Inactivo</v>
          </cell>
          <cell r="K458">
            <v>75557.170985708362</v>
          </cell>
          <cell r="L458">
            <v>7555.7170985708362</v>
          </cell>
          <cell r="M458">
            <v>7172.8185308355778</v>
          </cell>
          <cell r="N458" t="str">
            <v>Si Compra</v>
          </cell>
          <cell r="O458">
            <v>10</v>
          </cell>
          <cell r="P458">
            <v>89884.695755340654</v>
          </cell>
          <cell r="Q458">
            <v>8988.4695755340654</v>
          </cell>
          <cell r="R458">
            <v>7463.0895859710699</v>
          </cell>
          <cell r="T458"/>
          <cell r="U458"/>
          <cell r="V458">
            <v>0.84060106507307175</v>
          </cell>
          <cell r="W458">
            <v>2.8850648108175473E-4</v>
          </cell>
          <cell r="X458">
            <v>10</v>
          </cell>
          <cell r="Y458" t="str">
            <v>Proteger</v>
          </cell>
        </row>
        <row r="459">
          <cell r="A459" t="str">
            <v>0437</v>
          </cell>
          <cell r="B459" t="str">
            <v>INSUMOS EXPRESS</v>
          </cell>
          <cell r="C459" t="str">
            <v>CADENA</v>
          </cell>
          <cell r="D459">
            <v>41</v>
          </cell>
          <cell r="E459"/>
          <cell r="F459" t="str">
            <v>ESTE</v>
          </cell>
          <cell r="H459"/>
          <cell r="I459"/>
          <cell r="J459" t="str">
            <v>Activo</v>
          </cell>
          <cell r="K459">
            <v>75538.892660158512</v>
          </cell>
          <cell r="L459">
            <v>7553.8892660158508</v>
          </cell>
          <cell r="M459">
            <v>14037.889503083707</v>
          </cell>
          <cell r="N459" t="str">
            <v>Si Compra</v>
          </cell>
          <cell r="O459">
            <v>10</v>
          </cell>
          <cell r="P459">
            <v>2031055.9626618924</v>
          </cell>
          <cell r="Q459">
            <v>203105.59626618924</v>
          </cell>
          <cell r="R459">
            <v>133390.48537950031</v>
          </cell>
          <cell r="S459"/>
          <cell r="T459"/>
          <cell r="U459"/>
          <cell r="V459">
            <v>3.7191930724133071E-2</v>
          </cell>
          <cell r="W459">
            <v>2.8843668737037485E-4</v>
          </cell>
          <cell r="X459">
            <v>10</v>
          </cell>
          <cell r="Y459" t="str">
            <v>Conquistar</v>
          </cell>
        </row>
        <row r="460">
          <cell r="A460" t="str">
            <v>B927</v>
          </cell>
          <cell r="B460" t="str">
            <v>B927 - FARMACIA SU BOTICA, C.A.</v>
          </cell>
          <cell r="C460" t="str">
            <v>INDEPENDIENTE</v>
          </cell>
          <cell r="D460">
            <v>3</v>
          </cell>
          <cell r="E460"/>
          <cell r="F460" t="str">
            <v>ANDES</v>
          </cell>
          <cell r="G460" t="str">
            <v>RAYNE ANDREINA NAVA</v>
          </cell>
          <cell r="H460" t="str">
            <v>VICTOR</v>
          </cell>
          <cell r="I460" t="str">
            <v>G1</v>
          </cell>
          <cell r="J460" t="str">
            <v>Activo</v>
          </cell>
          <cell r="K460">
            <v>75465.114465821069</v>
          </cell>
          <cell r="L460">
            <v>7546.5114465821071</v>
          </cell>
          <cell r="M460">
            <v>4851.6118442626839</v>
          </cell>
          <cell r="N460" t="str">
            <v>Si Compra</v>
          </cell>
          <cell r="O460">
            <v>10</v>
          </cell>
          <cell r="P460">
            <v>123021.030333206</v>
          </cell>
          <cell r="Q460">
            <v>12302.1030333206</v>
          </cell>
          <cell r="R460">
            <v>8117.2928193428897</v>
          </cell>
          <cell r="T460"/>
          <cell r="U460"/>
          <cell r="V460">
            <v>0.61343263230214895</v>
          </cell>
          <cell r="W460">
            <v>2.8815497370969685E-4</v>
          </cell>
          <cell r="X460">
            <v>10</v>
          </cell>
          <cell r="Y460" t="str">
            <v>Proteger</v>
          </cell>
        </row>
        <row r="461">
          <cell r="A461" t="str">
            <v>H274</v>
          </cell>
          <cell r="B461" t="str">
            <v>H274 - FARMACIA PLAZA, C,A,</v>
          </cell>
          <cell r="C461" t="str">
            <v>INDEPENDIENTE</v>
          </cell>
          <cell r="D461">
            <v>3</v>
          </cell>
          <cell r="F461" t="str">
            <v>CENTRO ESTE</v>
          </cell>
          <cell r="G461" t="str">
            <v>KARLA SALAZAR</v>
          </cell>
          <cell r="H461"/>
          <cell r="I461" t="str">
            <v>H</v>
          </cell>
          <cell r="J461" t="str">
            <v>Activo</v>
          </cell>
          <cell r="K461">
            <v>74943.445594060133</v>
          </cell>
          <cell r="L461">
            <v>7494.3445594060131</v>
          </cell>
          <cell r="M461">
            <v>6584.8721032495887</v>
          </cell>
          <cell r="N461" t="str">
            <v>Si Compra</v>
          </cell>
          <cell r="O461">
            <v>10</v>
          </cell>
          <cell r="P461">
            <v>0</v>
          </cell>
          <cell r="Q461">
            <v>0</v>
          </cell>
          <cell r="R461">
            <v>0</v>
          </cell>
          <cell r="V461">
            <v>0</v>
          </cell>
          <cell r="W461">
            <v>2.8616304033635619E-4</v>
          </cell>
          <cell r="X461">
            <v>0</v>
          </cell>
          <cell r="Y461" t="str">
            <v>Conquistar</v>
          </cell>
        </row>
        <row r="462">
          <cell r="A462" t="str">
            <v>1</v>
          </cell>
          <cell r="B462" t="str">
            <v>GRUPO FARMALIANZA</v>
          </cell>
          <cell r="C462" t="str">
            <v>CADENA</v>
          </cell>
          <cell r="D462">
            <v>10</v>
          </cell>
          <cell r="E462"/>
          <cell r="F462" t="str">
            <v>CENTRO OESTE</v>
          </cell>
          <cell r="H462"/>
          <cell r="I462"/>
          <cell r="J462" t="str">
            <v>Inactivo</v>
          </cell>
          <cell r="K462">
            <v>74876.577690051898</v>
          </cell>
          <cell r="L462">
            <v>14975.31553801038</v>
          </cell>
          <cell r="M462">
            <v>15356.162954919171</v>
          </cell>
          <cell r="N462" t="str">
            <v>Si Compra</v>
          </cell>
          <cell r="O462">
            <v>4</v>
          </cell>
          <cell r="P462">
            <v>144983.37963739142</v>
          </cell>
          <cell r="Q462">
            <v>28996.675927478285</v>
          </cell>
          <cell r="R462">
            <v>33683.941070950714</v>
          </cell>
          <cell r="S462"/>
          <cell r="T462"/>
          <cell r="U462"/>
          <cell r="V462">
            <v>0.5164493880424148</v>
          </cell>
          <cell r="W462">
            <v>5.7181542566985693E-4</v>
          </cell>
          <cell r="X462">
            <v>4</v>
          </cell>
          <cell r="Y462" t="str">
            <v>Potenciar</v>
          </cell>
        </row>
        <row r="463">
          <cell r="A463" t="str">
            <v>7130</v>
          </cell>
          <cell r="B463" t="str">
            <v>GRUPO MEDEX</v>
          </cell>
          <cell r="C463" t="str">
            <v>GRUPO</v>
          </cell>
          <cell r="D463">
            <v>6</v>
          </cell>
          <cell r="E463"/>
          <cell r="F463" t="str">
            <v>CENTRO ESTE</v>
          </cell>
          <cell r="H463"/>
          <cell r="I463"/>
          <cell r="J463" t="str">
            <v>Activo</v>
          </cell>
          <cell r="K463">
            <v>74776.3378956167</v>
          </cell>
          <cell r="L463">
            <v>7477.6337895616698</v>
          </cell>
          <cell r="M463">
            <v>5850.2985642914464</v>
          </cell>
          <cell r="N463" t="str">
            <v>Si Compra</v>
          </cell>
          <cell r="O463">
            <v>10</v>
          </cell>
          <cell r="P463">
            <v>464512.75834780559</v>
          </cell>
          <cell r="Q463">
            <v>46451.275834780557</v>
          </cell>
          <cell r="R463">
            <v>50325.437264354317</v>
          </cell>
          <cell r="S463"/>
          <cell r="T463"/>
          <cell r="U463"/>
          <cell r="V463">
            <v>0.16097800663556297</v>
          </cell>
          <cell r="W463">
            <v>2.8552495855787478E-4</v>
          </cell>
          <cell r="X463">
            <v>10</v>
          </cell>
          <cell r="Y463" t="str">
            <v>Conquistar</v>
          </cell>
        </row>
        <row r="464">
          <cell r="A464" t="str">
            <v>6113</v>
          </cell>
          <cell r="B464" t="str">
            <v>6113 - RAQUEL GRACIELA MORALES BURGUERA(FARMACIA SABANETA)</v>
          </cell>
          <cell r="C464" t="str">
            <v>INDEPENDIENTE</v>
          </cell>
          <cell r="D464">
            <v>3</v>
          </cell>
          <cell r="E464"/>
          <cell r="F464" t="str">
            <v>ANDES</v>
          </cell>
          <cell r="G464" t="str">
            <v>ZULAY PARRA</v>
          </cell>
          <cell r="H464"/>
          <cell r="I464" t="str">
            <v>5</v>
          </cell>
          <cell r="J464" t="str">
            <v>Inactivo</v>
          </cell>
          <cell r="K464">
            <v>74751.339505020456</v>
          </cell>
          <cell r="L464">
            <v>7475.133950502046</v>
          </cell>
          <cell r="M464">
            <v>7574.9988866567801</v>
          </cell>
          <cell r="N464" t="str">
            <v>Si Compra</v>
          </cell>
          <cell r="O464">
            <v>10</v>
          </cell>
          <cell r="P464">
            <v>242969.50302149914</v>
          </cell>
          <cell r="Q464">
            <v>24296.950302149915</v>
          </cell>
          <cell r="R464">
            <v>18250.231999316216</v>
          </cell>
          <cell r="T464"/>
          <cell r="U464"/>
          <cell r="V464">
            <v>0.30765729268667141</v>
          </cell>
          <cell r="W464">
            <v>2.8542950504089498E-4</v>
          </cell>
          <cell r="X464">
            <v>10</v>
          </cell>
          <cell r="Y464" t="str">
            <v>Potenciar</v>
          </cell>
        </row>
        <row r="465">
          <cell r="A465" t="str">
            <v>8620</v>
          </cell>
          <cell r="B465" t="str">
            <v>8620 - FARMACIA GOLDEN LOS PUERTOS C.A</v>
          </cell>
          <cell r="C465" t="str">
            <v>INDEPENDIENTE</v>
          </cell>
          <cell r="D465">
            <v>3</v>
          </cell>
          <cell r="E465"/>
          <cell r="F465" t="str">
            <v>MARACAIBO</v>
          </cell>
          <cell r="G465" t="str">
            <v>JOEL JIMENEZ</v>
          </cell>
          <cell r="H465"/>
          <cell r="I465" t="str">
            <v>S1</v>
          </cell>
          <cell r="J465" t="str">
            <v>Activo</v>
          </cell>
          <cell r="K465">
            <v>74699.636527719995</v>
          </cell>
          <cell r="L465">
            <v>8299.9596141911097</v>
          </cell>
          <cell r="M465">
            <v>7002.7880667005675</v>
          </cell>
          <cell r="N465" t="str">
            <v>Si Compra</v>
          </cell>
          <cell r="O465">
            <v>9</v>
          </cell>
          <cell r="P465">
            <v>922272.30049814424</v>
          </cell>
          <cell r="Q465">
            <v>102474.70005534936</v>
          </cell>
          <cell r="R465">
            <v>74041.929473002805</v>
          </cell>
          <cell r="T465"/>
          <cell r="U465"/>
          <cell r="V465">
            <v>8.0995207692318952E-2</v>
          </cell>
          <cell r="W465">
            <v>3.169245367675151E-4</v>
          </cell>
          <cell r="X465">
            <v>9</v>
          </cell>
          <cell r="Y465" t="str">
            <v>Conquistar</v>
          </cell>
        </row>
        <row r="466">
          <cell r="A466" t="str">
            <v>9609</v>
          </cell>
          <cell r="B466" t="str">
            <v>FARMAENERGIA</v>
          </cell>
          <cell r="C466" t="str">
            <v>GRUPO</v>
          </cell>
          <cell r="D466">
            <v>6</v>
          </cell>
          <cell r="E466">
            <v>0</v>
          </cell>
          <cell r="F466" t="str">
            <v>CENTRO OESTE</v>
          </cell>
          <cell r="G466" t="str">
            <v/>
          </cell>
          <cell r="H466" t="str">
            <v>HECTOR</v>
          </cell>
          <cell r="I466">
            <v>0</v>
          </cell>
          <cell r="J466" t="str">
            <v>Activo</v>
          </cell>
          <cell r="K466">
            <v>74512.795116800771</v>
          </cell>
          <cell r="L466">
            <v>7451.2795116800771</v>
          </cell>
          <cell r="M466">
            <v>3923.8793266922944</v>
          </cell>
          <cell r="N466" t="str">
            <v>Si Compra</v>
          </cell>
          <cell r="O466">
            <v>10</v>
          </cell>
          <cell r="P466">
            <v>240593.91790505851</v>
          </cell>
          <cell r="Q466">
            <v>24059.391790505852</v>
          </cell>
          <cell r="R466">
            <v>13739.019959209936</v>
          </cell>
          <cell r="S466">
            <v>15000</v>
          </cell>
          <cell r="T466">
            <v>5</v>
          </cell>
          <cell r="U466">
            <v>5</v>
          </cell>
          <cell r="V466">
            <v>0.30970356925732634</v>
          </cell>
          <cell r="W466">
            <v>2.8451865037112343E-4</v>
          </cell>
          <cell r="X466">
            <v>10</v>
          </cell>
          <cell r="Y466" t="str">
            <v>Potenciar</v>
          </cell>
        </row>
        <row r="467">
          <cell r="A467" t="str">
            <v>B762</v>
          </cell>
          <cell r="B467" t="str">
            <v>B762 - MONFARMACIA INVERSIONES, C.A.</v>
          </cell>
          <cell r="C467" t="str">
            <v>INDEPENDIENTE</v>
          </cell>
          <cell r="D467">
            <v>3</v>
          </cell>
          <cell r="E467"/>
          <cell r="F467" t="str">
            <v>CARACAS</v>
          </cell>
          <cell r="G467" t="str">
            <v>WILLIAM ARAQUE</v>
          </cell>
          <cell r="H467" t="str">
            <v>VICTOR</v>
          </cell>
          <cell r="I467" t="str">
            <v>C8</v>
          </cell>
          <cell r="J467" t="str">
            <v>Inactivo</v>
          </cell>
          <cell r="K467">
            <v>74189.532118751973</v>
          </cell>
          <cell r="L467">
            <v>7418.9532118751977</v>
          </cell>
          <cell r="M467">
            <v>5976.9787666666671</v>
          </cell>
          <cell r="N467" t="str">
            <v>Si Compra</v>
          </cell>
          <cell r="O467">
            <v>10</v>
          </cell>
          <cell r="P467">
            <v>156582.10259672848</v>
          </cell>
          <cell r="Q467">
            <v>15658.210259672847</v>
          </cell>
          <cell r="R467">
            <v>18363.2379</v>
          </cell>
          <cell r="T467"/>
          <cell r="U467"/>
          <cell r="V467">
            <v>0.47380595156410965</v>
          </cell>
          <cell r="W467">
            <v>2.8328430730594119E-4</v>
          </cell>
          <cell r="X467">
            <v>10</v>
          </cell>
          <cell r="Y467" t="str">
            <v>Potenciar</v>
          </cell>
        </row>
        <row r="468">
          <cell r="A468" t="str">
            <v>D334</v>
          </cell>
          <cell r="B468" t="str">
            <v>D334 - FARMACENTER´S NIÑO F.P.</v>
          </cell>
          <cell r="C468" t="str">
            <v>INDEPENDIENTE</v>
          </cell>
          <cell r="D468">
            <v>3</v>
          </cell>
          <cell r="E468"/>
          <cell r="F468" t="str">
            <v>ANDES</v>
          </cell>
          <cell r="G468" t="str">
            <v>ANYERSSON TORRES</v>
          </cell>
          <cell r="H468" t="str">
            <v>VICTOR</v>
          </cell>
          <cell r="I468" t="str">
            <v>4</v>
          </cell>
          <cell r="J468" t="str">
            <v>Activo</v>
          </cell>
          <cell r="K468">
            <v>73773.239826371006</v>
          </cell>
          <cell r="L468">
            <v>7377.3239826371009</v>
          </cell>
          <cell r="M468">
            <v>7872.1037333333334</v>
          </cell>
          <cell r="N468" t="str">
            <v>Si Compra</v>
          </cell>
          <cell r="O468">
            <v>10</v>
          </cell>
          <cell r="P468">
            <v>229645.19739274718</v>
          </cell>
          <cell r="Q468">
            <v>22964.519739274718</v>
          </cell>
          <cell r="R468">
            <v>18721.515333333333</v>
          </cell>
          <cell r="T468"/>
          <cell r="U468"/>
          <cell r="V468">
            <v>0.32124878144175362</v>
          </cell>
          <cell r="W468">
            <v>2.8169474243990077E-4</v>
          </cell>
          <cell r="X468">
            <v>10</v>
          </cell>
          <cell r="Y468" t="str">
            <v>Potenciar</v>
          </cell>
        </row>
        <row r="469">
          <cell r="A469" t="str">
            <v>+221</v>
          </cell>
          <cell r="B469" t="str">
            <v>CHARALLAVE</v>
          </cell>
          <cell r="C469" t="e">
            <v>#N/A</v>
          </cell>
          <cell r="D469">
            <v>4</v>
          </cell>
          <cell r="E469">
            <v>0</v>
          </cell>
          <cell r="F469" t="str">
            <v>CARACAS</v>
          </cell>
          <cell r="G469" t="str">
            <v>RAMON SERRANO</v>
          </cell>
          <cell r="H469" t="str">
            <v>VICTOR</v>
          </cell>
          <cell r="I469" t="str">
            <v>C9</v>
          </cell>
          <cell r="J469" t="str">
            <v>Activo</v>
          </cell>
          <cell r="K469">
            <v>73614.68450322446</v>
          </cell>
          <cell r="L469">
            <v>7361.4684503224462</v>
          </cell>
          <cell r="M469">
            <v>9042.723389524137</v>
          </cell>
          <cell r="N469" t="str">
            <v>Si Compra</v>
          </cell>
          <cell r="O469">
            <v>10</v>
          </cell>
          <cell r="P469">
            <v>495373.11739120347</v>
          </cell>
          <cell r="Q469">
            <v>49537.311739120349</v>
          </cell>
          <cell r="R469">
            <v>39861.337529335397</v>
          </cell>
          <cell r="S469">
            <v>25000</v>
          </cell>
          <cell r="T469">
            <v>5</v>
          </cell>
          <cell r="U469">
            <v>5</v>
          </cell>
          <cell r="V469">
            <v>0.14860452034802255</v>
          </cell>
          <cell r="W469">
            <v>2.8108931693572933E-4</v>
          </cell>
          <cell r="X469">
            <v>10</v>
          </cell>
          <cell r="Y469" t="str">
            <v>Conquistar</v>
          </cell>
        </row>
        <row r="470">
          <cell r="A470" t="str">
            <v>6936</v>
          </cell>
          <cell r="B470" t="str">
            <v>6936 - FARMACIA GLOBAL, C.A</v>
          </cell>
          <cell r="C470" t="str">
            <v>INDEPENDIENTE</v>
          </cell>
          <cell r="D470">
            <v>3</v>
          </cell>
          <cell r="E470"/>
          <cell r="F470" t="str">
            <v>ESTE</v>
          </cell>
          <cell r="G470" t="str">
            <v>ADOLFO GONZALEZ</v>
          </cell>
          <cell r="H470"/>
          <cell r="I470" t="str">
            <v>A8</v>
          </cell>
          <cell r="J470" t="str">
            <v>Activo</v>
          </cell>
          <cell r="K470">
            <v>73605.843380796621</v>
          </cell>
          <cell r="L470">
            <v>7360.5843380796623</v>
          </cell>
          <cell r="M470">
            <v>6443.3170576497105</v>
          </cell>
          <cell r="N470" t="str">
            <v>Si Compra</v>
          </cell>
          <cell r="O470">
            <v>10</v>
          </cell>
          <cell r="P470">
            <v>293761.77514330437</v>
          </cell>
          <cell r="Q470">
            <v>29376.177514330437</v>
          </cell>
          <cell r="R470">
            <v>30076.210815733397</v>
          </cell>
          <cell r="T470"/>
          <cell r="U470"/>
          <cell r="V470">
            <v>0.25056303988117529</v>
          </cell>
          <cell r="W470">
            <v>2.8105555811327489E-4</v>
          </cell>
          <cell r="X470">
            <v>10</v>
          </cell>
          <cell r="Y470" t="str">
            <v>Potenciar</v>
          </cell>
        </row>
        <row r="471">
          <cell r="A471" t="str">
            <v>2101</v>
          </cell>
          <cell r="B471" t="str">
            <v>2101 - FARMACIA FARMARATO,C.A.</v>
          </cell>
          <cell r="C471" t="str">
            <v>INDEPENDIENTE</v>
          </cell>
          <cell r="D471">
            <v>2</v>
          </cell>
          <cell r="E471"/>
          <cell r="F471" t="str">
            <v>CARACAS</v>
          </cell>
          <cell r="G471" t="str">
            <v>JHON TORRES</v>
          </cell>
          <cell r="H471"/>
          <cell r="I471" t="str">
            <v>CF</v>
          </cell>
          <cell r="J471" t="str">
            <v>Activo</v>
          </cell>
          <cell r="K471">
            <v>73403.008576183071</v>
          </cell>
          <cell r="L471">
            <v>8155.8898417981191</v>
          </cell>
          <cell r="M471">
            <v>1169.3989000000001</v>
          </cell>
          <cell r="N471" t="str">
            <v>Si Compra</v>
          </cell>
          <cell r="O471">
            <v>9</v>
          </cell>
          <cell r="P471">
            <v>113052.75125877942</v>
          </cell>
          <cell r="Q471">
            <v>12561.416806531046</v>
          </cell>
          <cell r="R471">
            <v>8084.0948000000008</v>
          </cell>
          <cell r="T471"/>
          <cell r="U471"/>
          <cell r="V471">
            <v>0.64928104587355417</v>
          </cell>
          <cell r="W471">
            <v>3.1142339603909726E-4</v>
          </cell>
          <cell r="X471">
            <v>9</v>
          </cell>
          <cell r="Y471" t="str">
            <v>Proteger</v>
          </cell>
        </row>
        <row r="472">
          <cell r="A472" t="str">
            <v>C985</v>
          </cell>
          <cell r="B472" t="str">
            <v>C985 - FARMACIA WUISTON 45, C.A.</v>
          </cell>
          <cell r="C472" t="str">
            <v>INDEPENDIENTE</v>
          </cell>
          <cell r="D472">
            <v>3</v>
          </cell>
          <cell r="E472"/>
          <cell r="F472" t="str">
            <v>CARACAS</v>
          </cell>
          <cell r="G472" t="str">
            <v>JHON TORRES</v>
          </cell>
          <cell r="H472" t="str">
            <v>VICTOR</v>
          </cell>
          <cell r="I472" t="str">
            <v>C4</v>
          </cell>
          <cell r="J472" t="str">
            <v>Activo</v>
          </cell>
          <cell r="K472">
            <v>73249.560937517686</v>
          </cell>
          <cell r="L472">
            <v>7324.956093751769</v>
          </cell>
          <cell r="M472">
            <v>7711.0360169182468</v>
          </cell>
          <cell r="N472" t="str">
            <v>Si Compra</v>
          </cell>
          <cell r="O472">
            <v>10</v>
          </cell>
          <cell r="P472">
            <v>285376.67599940131</v>
          </cell>
          <cell r="Q472">
            <v>28537.66759994013</v>
          </cell>
          <cell r="R472">
            <v>31144.32996655954</v>
          </cell>
          <cell r="T472"/>
          <cell r="U472"/>
          <cell r="V472">
            <v>0.25667676126997624</v>
          </cell>
          <cell r="W472">
            <v>2.7969513404444546E-4</v>
          </cell>
          <cell r="X472">
            <v>10</v>
          </cell>
          <cell r="Y472" t="str">
            <v>Potenciar</v>
          </cell>
        </row>
        <row r="473">
          <cell r="A473" t="str">
            <v>B100</v>
          </cell>
          <cell r="B473" t="str">
            <v>GRUPO FARMA VALOR</v>
          </cell>
          <cell r="C473" t="str">
            <v>GRUPO</v>
          </cell>
          <cell r="D473">
            <v>6</v>
          </cell>
          <cell r="E473"/>
          <cell r="F473" t="str">
            <v>CARACAS</v>
          </cell>
          <cell r="H473"/>
          <cell r="I473"/>
          <cell r="J473" t="str">
            <v>Activo</v>
          </cell>
          <cell r="K473">
            <v>73166.230985856077</v>
          </cell>
          <cell r="L473">
            <v>18291.557746464019</v>
          </cell>
          <cell r="M473">
            <v>17526.754990584741</v>
          </cell>
          <cell r="N473" t="str">
            <v>Si Compra</v>
          </cell>
          <cell r="O473">
            <v>4</v>
          </cell>
          <cell r="P473">
            <v>420231.65788265626</v>
          </cell>
          <cell r="Q473">
            <v>105057.91447066407</v>
          </cell>
          <cell r="R473">
            <v>31925.420217390598</v>
          </cell>
          <cell r="S473"/>
          <cell r="T473"/>
          <cell r="U473"/>
          <cell r="V473">
            <v>0.17410927904505163</v>
          </cell>
          <cell r="W473">
            <v>6.9844237020655982E-4</v>
          </cell>
          <cell r="X473">
            <v>4</v>
          </cell>
          <cell r="Y473" t="str">
            <v>Conquistar</v>
          </cell>
        </row>
        <row r="474">
          <cell r="A474" t="str">
            <v>A082</v>
          </cell>
          <cell r="B474" t="str">
            <v>FARMACIAS JGH</v>
          </cell>
          <cell r="C474" t="str">
            <v>GRUPO</v>
          </cell>
          <cell r="D474">
            <v>12</v>
          </cell>
          <cell r="E474">
            <v>0</v>
          </cell>
          <cell r="F474" t="str">
            <v>ESTE</v>
          </cell>
          <cell r="G474" t="str">
            <v>ALEXMAR CASTILLO</v>
          </cell>
          <cell r="H474" t="str">
            <v>HECTOR</v>
          </cell>
          <cell r="I474" t="str">
            <v>A1</v>
          </cell>
          <cell r="J474" t="str">
            <v>Activo</v>
          </cell>
          <cell r="K474">
            <v>73026.601194708914</v>
          </cell>
          <cell r="L474">
            <v>7302.660119470891</v>
          </cell>
          <cell r="M474">
            <v>9489.8871441766078</v>
          </cell>
          <cell r="N474" t="str">
            <v>Si Compra</v>
          </cell>
          <cell r="O474">
            <v>10</v>
          </cell>
          <cell r="P474">
            <v>1618148.746149966</v>
          </cell>
          <cell r="Q474">
            <v>161814.8746149966</v>
          </cell>
          <cell r="R474">
            <v>106599.05927660763</v>
          </cell>
          <cell r="S474">
            <v>30000</v>
          </cell>
          <cell r="T474">
            <v>8</v>
          </cell>
          <cell r="U474">
            <v>8</v>
          </cell>
          <cell r="V474">
            <v>4.5129720842079488E-2</v>
          </cell>
          <cell r="W474">
            <v>2.7884378757419686E-4</v>
          </cell>
          <cell r="X474">
            <v>10</v>
          </cell>
          <cell r="Y474" t="str">
            <v>Conquistar</v>
          </cell>
        </row>
        <row r="475">
          <cell r="A475" t="str">
            <v>A900</v>
          </cell>
          <cell r="B475" t="str">
            <v>A900 - FARMACIA LA VELA DE CORO, C.A.</v>
          </cell>
          <cell r="C475" t="str">
            <v>INDEPENDIENTE</v>
          </cell>
          <cell r="D475">
            <v>3</v>
          </cell>
          <cell r="E475"/>
          <cell r="F475" t="str">
            <v>MARACAIBO</v>
          </cell>
          <cell r="G475" t="str">
            <v>MARIA FUSELLA</v>
          </cell>
          <cell r="H475" t="str">
            <v>VICTOR</v>
          </cell>
          <cell r="I475" t="str">
            <v>BZ</v>
          </cell>
          <cell r="J475" t="str">
            <v>Activo</v>
          </cell>
          <cell r="K475">
            <v>72513.818017266181</v>
          </cell>
          <cell r="L475">
            <v>7251.3818017266185</v>
          </cell>
          <cell r="M475">
            <v>6998.9897121707518</v>
          </cell>
          <cell r="N475" t="str">
            <v>Si Compra</v>
          </cell>
          <cell r="O475">
            <v>10</v>
          </cell>
          <cell r="P475">
            <v>86642.215506135602</v>
          </cell>
          <cell r="Q475">
            <v>8664.2215506135599</v>
          </cell>
          <cell r="R475">
            <v>7393.2290760622564</v>
          </cell>
          <cell r="T475"/>
          <cell r="U475"/>
          <cell r="V475">
            <v>0.83693402337029454</v>
          </cell>
          <cell r="W475">
            <v>2.7688578321601482E-4</v>
          </cell>
          <cell r="X475">
            <v>10</v>
          </cell>
          <cell r="Y475" t="str">
            <v>Proteger</v>
          </cell>
        </row>
        <row r="476">
          <cell r="A476" t="str">
            <v>C550</v>
          </cell>
          <cell r="B476" t="str">
            <v>C550 - MIL REMEDIOS SAN JOSECITO  FARMACIA , C.A.</v>
          </cell>
          <cell r="C476" t="str">
            <v>INDEPENDIENTE</v>
          </cell>
          <cell r="D476">
            <v>3</v>
          </cell>
          <cell r="E476"/>
          <cell r="F476" t="str">
            <v>ANDES</v>
          </cell>
          <cell r="G476" t="str">
            <v>ANYERSSON TORRES</v>
          </cell>
          <cell r="H476" t="str">
            <v>VICTOR</v>
          </cell>
          <cell r="I476" t="str">
            <v xml:space="preserve">4 </v>
          </cell>
          <cell r="J476" t="str">
            <v>Inactivo</v>
          </cell>
          <cell r="K476">
            <v>72454.374783352003</v>
          </cell>
          <cell r="L476">
            <v>8050.4860870391112</v>
          </cell>
          <cell r="M476">
            <v>6756.7359261672063</v>
          </cell>
          <cell r="N476" t="str">
            <v>Si Compra</v>
          </cell>
          <cell r="O476">
            <v>9</v>
          </cell>
          <cell r="P476">
            <v>199452.21355136402</v>
          </cell>
          <cell r="Q476">
            <v>22161.357061262668</v>
          </cell>
          <cell r="R476">
            <v>15376.81508158519</v>
          </cell>
          <cell r="T476"/>
          <cell r="U476"/>
          <cell r="V476">
            <v>0.36326683716996283</v>
          </cell>
          <cell r="W476">
            <v>3.0739867330509263E-4</v>
          </cell>
          <cell r="X476">
            <v>9</v>
          </cell>
          <cell r="Y476" t="str">
            <v>Potenciar</v>
          </cell>
        </row>
        <row r="477">
          <cell r="A477" t="str">
            <v>A37</v>
          </cell>
          <cell r="B477" t="str">
            <v>SAN RAFAEL ARCANGEL 2014</v>
          </cell>
          <cell r="C477" t="str">
            <v>GRUPO</v>
          </cell>
          <cell r="D477">
            <v>6</v>
          </cell>
          <cell r="E477"/>
          <cell r="F477" t="str">
            <v>ESTE</v>
          </cell>
          <cell r="H477"/>
          <cell r="I477"/>
          <cell r="J477" t="str">
            <v>Activo</v>
          </cell>
          <cell r="K477">
            <v>72210.178216838409</v>
          </cell>
          <cell r="L477">
            <v>7221.0178216838412</v>
          </cell>
          <cell r="M477">
            <v>6762.028033333333</v>
          </cell>
          <cell r="N477" t="str">
            <v>Si Compra</v>
          </cell>
          <cell r="O477">
            <v>10</v>
          </cell>
          <cell r="P477">
            <v>224010.9716433154</v>
          </cell>
          <cell r="Q477">
            <v>22401.097164331539</v>
          </cell>
          <cell r="R477">
            <v>16675.894466666665</v>
          </cell>
          <cell r="S477"/>
          <cell r="T477"/>
          <cell r="U477"/>
          <cell r="V477">
            <v>0.3223510781061924</v>
          </cell>
          <cell r="W477">
            <v>2.7572636910356277E-4</v>
          </cell>
          <cell r="X477">
            <v>10</v>
          </cell>
          <cell r="Y477" t="str">
            <v>Potenciar</v>
          </cell>
        </row>
        <row r="478">
          <cell r="A478">
            <v>0</v>
          </cell>
          <cell r="B478" t="str">
            <v>C752 - PHARMA STORE 21</v>
          </cell>
          <cell r="C478" t="str">
            <v>INDEPENDIENTE</v>
          </cell>
          <cell r="D478">
            <v>0</v>
          </cell>
          <cell r="E478"/>
          <cell r="F478" t="str">
            <v>CARACAS</v>
          </cell>
          <cell r="G478" t="str">
            <v>MAIRE ACOSTA FERNANDEZ</v>
          </cell>
          <cell r="H478" t="str">
            <v>VICTOR</v>
          </cell>
          <cell r="I478" t="str">
            <v>C9</v>
          </cell>
          <cell r="J478" t="str">
            <v>Inactivo</v>
          </cell>
          <cell r="K478">
            <v>71979.566333504685</v>
          </cell>
          <cell r="L478">
            <v>7197.9566333504681</v>
          </cell>
          <cell r="M478">
            <v>8299.6726965499056</v>
          </cell>
          <cell r="N478" t="str">
            <v>Si Compra</v>
          </cell>
          <cell r="O478">
            <v>10</v>
          </cell>
          <cell r="P478">
            <v>216165.67157126</v>
          </cell>
          <cell r="Q478">
            <v>21616.567157125999</v>
          </cell>
          <cell r="R478">
            <v>32705.656231603763</v>
          </cell>
          <cell r="T478"/>
          <cell r="U478"/>
          <cell r="V478">
            <v>0.3329833354681217</v>
          </cell>
          <cell r="W478">
            <v>2.7484580380329716E-4</v>
          </cell>
          <cell r="X478">
            <v>10</v>
          </cell>
          <cell r="Y478" t="str">
            <v>Potenciar</v>
          </cell>
        </row>
        <row r="479">
          <cell r="A479" t="str">
            <v>C479</v>
          </cell>
          <cell r="B479" t="str">
            <v>FARMA FAMILY PLUS</v>
          </cell>
          <cell r="C479" t="str">
            <v>GRUPO</v>
          </cell>
          <cell r="D479">
            <v>6</v>
          </cell>
          <cell r="E479"/>
          <cell r="F479" t="str">
            <v>ANDES</v>
          </cell>
          <cell r="H479"/>
          <cell r="I479"/>
          <cell r="J479" t="str">
            <v>Activo</v>
          </cell>
          <cell r="K479">
            <v>71698.421600204485</v>
          </cell>
          <cell r="L479">
            <v>7169.8421600204483</v>
          </cell>
          <cell r="M479">
            <v>5733.0004354248595</v>
          </cell>
          <cell r="N479" t="str">
            <v>Si Compra</v>
          </cell>
          <cell r="O479">
            <v>10</v>
          </cell>
          <cell r="P479">
            <v>441745.2240506332</v>
          </cell>
          <cell r="Q479">
            <v>44174.522405063319</v>
          </cell>
          <cell r="R479">
            <v>9785.7961726334634</v>
          </cell>
          <cell r="S479"/>
          <cell r="T479"/>
          <cell r="U479"/>
          <cell r="V479">
            <v>0.16230718001375913</v>
          </cell>
          <cell r="W479">
            <v>2.7377228455130649E-4</v>
          </cell>
          <cell r="X479">
            <v>10</v>
          </cell>
          <cell r="Y479" t="str">
            <v>Conquistar</v>
          </cell>
        </row>
        <row r="480">
          <cell r="A480" t="str">
            <v>8950</v>
          </cell>
          <cell r="B480" t="str">
            <v>8950 - FARMACIA SUPER TODO II, C.A.</v>
          </cell>
          <cell r="C480" t="str">
            <v>INDEPENDIENTE</v>
          </cell>
          <cell r="D480">
            <v>3</v>
          </cell>
          <cell r="E480"/>
          <cell r="F480" t="str">
            <v>ESTE</v>
          </cell>
          <cell r="G480" t="str">
            <v>PEDRO VIRE</v>
          </cell>
          <cell r="H480"/>
          <cell r="I480" t="str">
            <v>A7</v>
          </cell>
          <cell r="J480" t="str">
            <v>Activo</v>
          </cell>
          <cell r="K480">
            <v>71663.894866795483</v>
          </cell>
          <cell r="L480">
            <v>7166.3894866795481</v>
          </cell>
          <cell r="M480">
            <v>6157.9416510713017</v>
          </cell>
          <cell r="N480" t="str">
            <v>Si Compra</v>
          </cell>
          <cell r="O480">
            <v>10</v>
          </cell>
          <cell r="P480">
            <v>230767.66296791684</v>
          </cell>
          <cell r="Q480">
            <v>23076.766296791684</v>
          </cell>
          <cell r="R480">
            <v>23133.305003593592</v>
          </cell>
          <cell r="T480"/>
          <cell r="U480"/>
          <cell r="V480">
            <v>0.31054565420961416</v>
          </cell>
          <cell r="W480">
            <v>2.7364044813883731E-4</v>
          </cell>
          <cell r="X480">
            <v>10</v>
          </cell>
          <cell r="Y480" t="str">
            <v>Potenciar</v>
          </cell>
        </row>
        <row r="481">
          <cell r="A481" t="str">
            <v>E395</v>
          </cell>
          <cell r="B481" t="str">
            <v>E395 - CFD FARMACIA, C.A</v>
          </cell>
          <cell r="C481" t="e">
            <v>#N/A</v>
          </cell>
          <cell r="D481">
            <v>3</v>
          </cell>
          <cell r="F481" t="str">
            <v>ANDES</v>
          </cell>
          <cell r="G481">
            <v>0</v>
          </cell>
          <cell r="H481"/>
          <cell r="I481" t="str">
            <v>4</v>
          </cell>
          <cell r="J481" t="str">
            <v>Inactivo</v>
          </cell>
          <cell r="K481">
            <v>71564.580212486297</v>
          </cell>
          <cell r="L481">
            <v>11927.430035414383</v>
          </cell>
          <cell r="M481">
            <v>12529.988404361065</v>
          </cell>
          <cell r="N481" t="str">
            <v>Si Compra</v>
          </cell>
          <cell r="O481">
            <v>6</v>
          </cell>
          <cell r="P481">
            <v>0</v>
          </cell>
          <cell r="Q481">
            <v>0</v>
          </cell>
          <cell r="R481">
            <v>0</v>
          </cell>
          <cell r="V481">
            <v>0</v>
          </cell>
          <cell r="W481">
            <v>4.5543537734057363E-4</v>
          </cell>
          <cell r="X481">
            <v>0</v>
          </cell>
          <cell r="Y481" t="str">
            <v>Conquistar</v>
          </cell>
        </row>
        <row r="482">
          <cell r="A482" t="str">
            <v>6760</v>
          </cell>
          <cell r="B482" t="str">
            <v>6760 - FARMACIA VITALFARMA, C.A</v>
          </cell>
          <cell r="C482" t="str">
            <v>INDEPENDIENTE</v>
          </cell>
          <cell r="D482">
            <v>3</v>
          </cell>
          <cell r="E482"/>
          <cell r="F482" t="str">
            <v>ESTE</v>
          </cell>
          <cell r="G482" t="str">
            <v>CARLOS BLONDELL</v>
          </cell>
          <cell r="H482"/>
          <cell r="I482" t="str">
            <v>A3</v>
          </cell>
          <cell r="J482" t="str">
            <v>Activo</v>
          </cell>
          <cell r="K482">
            <v>71449.969156761916</v>
          </cell>
          <cell r="L482">
            <v>7144.9969156761917</v>
          </cell>
          <cell r="M482">
            <v>5045.043873062189</v>
          </cell>
          <cell r="N482" t="str">
            <v>Si Compra</v>
          </cell>
          <cell r="O482">
            <v>10</v>
          </cell>
          <cell r="P482">
            <v>315332.76603858045</v>
          </cell>
          <cell r="Q482">
            <v>31533.276603858045</v>
          </cell>
          <cell r="R482">
            <v>38709.188333870581</v>
          </cell>
          <cell r="T482"/>
          <cell r="U482"/>
          <cell r="V482">
            <v>0.2265859335024516</v>
          </cell>
          <cell r="W482">
            <v>2.728235970973078E-4</v>
          </cell>
          <cell r="X482">
            <v>10</v>
          </cell>
          <cell r="Y482" t="str">
            <v>Potenciar</v>
          </cell>
        </row>
        <row r="483">
          <cell r="A483" t="str">
            <v>D519</v>
          </cell>
          <cell r="B483" t="str">
            <v>D519 - FARMACLARK, C.A.</v>
          </cell>
          <cell r="C483" t="str">
            <v>INDEPENDIENTE</v>
          </cell>
          <cell r="D483">
            <v>2</v>
          </cell>
          <cell r="E483"/>
          <cell r="F483" t="str">
            <v>ESTE</v>
          </cell>
          <cell r="G483" t="str">
            <v>JOSE RAMIREZ</v>
          </cell>
          <cell r="H483" t="str">
            <v>HECTOR</v>
          </cell>
          <cell r="I483" t="str">
            <v>A4</v>
          </cell>
          <cell r="J483" t="str">
            <v>Inactivo</v>
          </cell>
          <cell r="K483">
            <v>71381.62763984967</v>
          </cell>
          <cell r="L483">
            <v>8922.7034549812088</v>
          </cell>
          <cell r="M483">
            <v>14020.592801189128</v>
          </cell>
          <cell r="N483" t="str">
            <v>Si Compra</v>
          </cell>
          <cell r="O483">
            <v>8</v>
          </cell>
          <cell r="P483">
            <v>428846.06500868365</v>
          </cell>
          <cell r="Q483">
            <v>53605.758126085457</v>
          </cell>
          <cell r="R483">
            <v>77889.695010328083</v>
          </cell>
          <cell r="T483"/>
          <cell r="U483"/>
          <cell r="V483">
            <v>0.16645046664565821</v>
          </cell>
          <cell r="W483">
            <v>3.4070330346534078E-4</v>
          </cell>
          <cell r="X483">
            <v>8</v>
          </cell>
          <cell r="Y483" t="str">
            <v>Conquistar</v>
          </cell>
        </row>
        <row r="484">
          <cell r="A484" t="str">
            <v>A843</v>
          </cell>
          <cell r="B484" t="str">
            <v>FARMA TAJ</v>
          </cell>
          <cell r="C484" t="str">
            <v>GRUPO</v>
          </cell>
          <cell r="D484">
            <v>14</v>
          </cell>
          <cell r="E484"/>
          <cell r="F484" t="str">
            <v>CARACAS</v>
          </cell>
          <cell r="H484"/>
          <cell r="I484"/>
          <cell r="J484" t="str">
            <v>Activo</v>
          </cell>
          <cell r="K484">
            <v>71290.479011221338</v>
          </cell>
          <cell r="L484">
            <v>7129.0479011221341</v>
          </cell>
          <cell r="M484">
            <v>8224.5605582261542</v>
          </cell>
          <cell r="N484" t="str">
            <v>Si Compra</v>
          </cell>
          <cell r="O484">
            <v>10</v>
          </cell>
          <cell r="P484">
            <v>113509.03510047779</v>
          </cell>
          <cell r="Q484">
            <v>11350.903510047779</v>
          </cell>
          <cell r="R484">
            <v>11793.122742594836</v>
          </cell>
          <cell r="S484"/>
          <cell r="T484"/>
          <cell r="U484"/>
          <cell r="V484">
            <v>0.62805995089391131</v>
          </cell>
          <cell r="W484">
            <v>2.7221460207993436E-4</v>
          </cell>
          <cell r="X484">
            <v>10</v>
          </cell>
          <cell r="Y484" t="str">
            <v>Proteger</v>
          </cell>
        </row>
        <row r="485">
          <cell r="A485" t="str">
            <v>Q111</v>
          </cell>
          <cell r="B485" t="str">
            <v>Q111 - FARMACIA GEMINIS C.A</v>
          </cell>
          <cell r="C485" t="str">
            <v>INDEPENDIENTE</v>
          </cell>
          <cell r="D485">
            <v>3</v>
          </cell>
          <cell r="F485" t="str">
            <v>MARACAIBO</v>
          </cell>
          <cell r="G485" t="str">
            <v>YENNIFER LUZARDO</v>
          </cell>
          <cell r="H485"/>
          <cell r="I485" t="str">
            <v>BE</v>
          </cell>
          <cell r="J485" t="str">
            <v>Activo</v>
          </cell>
          <cell r="K485">
            <v>71275.026806531445</v>
          </cell>
          <cell r="L485">
            <v>7127.5026806531441</v>
          </cell>
          <cell r="M485">
            <v>6529.4846260875647</v>
          </cell>
          <cell r="N485" t="str">
            <v>Si Compra</v>
          </cell>
          <cell r="O485">
            <v>10</v>
          </cell>
          <cell r="P485">
            <v>185962.04156258825</v>
          </cell>
          <cell r="Q485">
            <v>18596.204156258824</v>
          </cell>
          <cell r="R485">
            <v>20143.838312851836</v>
          </cell>
          <cell r="V485">
            <v>0.38327728716907417</v>
          </cell>
          <cell r="W485">
            <v>2.7215559959027147E-4</v>
          </cell>
          <cell r="X485">
            <v>10</v>
          </cell>
          <cell r="Y485" t="str">
            <v>Potenciar</v>
          </cell>
        </row>
        <row r="486">
          <cell r="A486" t="str">
            <v>9324</v>
          </cell>
          <cell r="B486" t="str">
            <v>9324 - FARMACIA FARMA LIVI, C.A.</v>
          </cell>
          <cell r="C486" t="str">
            <v>INDEPENDIENTE</v>
          </cell>
          <cell r="D486">
            <v>3</v>
          </cell>
          <cell r="E486"/>
          <cell r="F486" t="str">
            <v>ANDES</v>
          </cell>
          <cell r="G486" t="str">
            <v>MILAGRO BRICEñO</v>
          </cell>
          <cell r="H486"/>
          <cell r="I486" t="str">
            <v>G</v>
          </cell>
          <cell r="J486" t="str">
            <v>Permiso</v>
          </cell>
          <cell r="K486">
            <v>70955.103185353873</v>
          </cell>
          <cell r="L486">
            <v>7095.5103185353873</v>
          </cell>
          <cell r="M486">
            <v>5748.9102909992407</v>
          </cell>
          <cell r="N486" t="str">
            <v>Si Compra</v>
          </cell>
          <cell r="O486">
            <v>10</v>
          </cell>
          <cell r="P486">
            <v>9242.2053354134769</v>
          </cell>
          <cell r="Q486">
            <v>924.22053354134766</v>
          </cell>
          <cell r="R486">
            <v>1072.7419451378253</v>
          </cell>
          <cell r="T486"/>
          <cell r="U486"/>
          <cell r="V486">
            <v>7.6772913617785896</v>
          </cell>
          <cell r="W486">
            <v>2.7093400755662678E-4</v>
          </cell>
          <cell r="X486">
            <v>3</v>
          </cell>
          <cell r="Y486" t="str">
            <v>Proteger</v>
          </cell>
        </row>
        <row r="487">
          <cell r="A487" t="str">
            <v>E682</v>
          </cell>
          <cell r="B487" t="str">
            <v>SAN RAFAEL</v>
          </cell>
          <cell r="C487" t="e">
            <v>#N/A</v>
          </cell>
          <cell r="D487">
            <v>5</v>
          </cell>
          <cell r="E487">
            <v>10</v>
          </cell>
          <cell r="F487" t="str">
            <v>CENTRO OESTE</v>
          </cell>
          <cell r="G487" t="str">
            <v/>
          </cell>
          <cell r="H487" t="str">
            <v>HECTOR</v>
          </cell>
          <cell r="I487">
            <v>0</v>
          </cell>
          <cell r="J487" t="str">
            <v>Activo</v>
          </cell>
          <cell r="K487">
            <v>70299.44318762442</v>
          </cell>
          <cell r="L487">
            <v>7029.944318762442</v>
          </cell>
          <cell r="M487">
            <v>8129.5057000000006</v>
          </cell>
          <cell r="N487" t="str">
            <v>Si Compra</v>
          </cell>
          <cell r="O487">
            <v>10</v>
          </cell>
          <cell r="P487">
            <v>582194.82945371827</v>
          </cell>
          <cell r="Q487">
            <v>58219.482945371827</v>
          </cell>
          <cell r="R487">
            <v>58627.512199999997</v>
          </cell>
          <cell r="S487">
            <v>100000</v>
          </cell>
          <cell r="T487">
            <v>0</v>
          </cell>
          <cell r="U487">
            <v>3</v>
          </cell>
          <cell r="V487">
            <v>0.12074899952922528</v>
          </cell>
          <cell r="W487">
            <v>2.6843044427781137E-4</v>
          </cell>
          <cell r="X487">
            <v>10</v>
          </cell>
          <cell r="Y487" t="str">
            <v>Conquistar</v>
          </cell>
        </row>
        <row r="488">
          <cell r="A488" t="str">
            <v>C999</v>
          </cell>
          <cell r="B488" t="str">
            <v>C999 - FARMACIA FARMAMUNDO PLUS, C.A.</v>
          </cell>
          <cell r="C488" t="str">
            <v>INDEPENDIENTE</v>
          </cell>
          <cell r="D488">
            <v>3</v>
          </cell>
          <cell r="E488"/>
          <cell r="F488" t="str">
            <v>ANDES</v>
          </cell>
          <cell r="G488" t="str">
            <v>RAYNE ANDREINA NAVA</v>
          </cell>
          <cell r="H488" t="str">
            <v>VICTOR</v>
          </cell>
          <cell r="I488" t="str">
            <v>G1</v>
          </cell>
          <cell r="J488" t="str">
            <v>Activo</v>
          </cell>
          <cell r="K488">
            <v>70252.622126608985</v>
          </cell>
          <cell r="L488">
            <v>7025.2622126608985</v>
          </cell>
          <cell r="M488">
            <v>8901.926475608685</v>
          </cell>
          <cell r="N488" t="str">
            <v>Si Compra</v>
          </cell>
          <cell r="O488">
            <v>10</v>
          </cell>
          <cell r="P488">
            <v>83681.87458416383</v>
          </cell>
          <cell r="Q488">
            <v>8368.1874584163834</v>
          </cell>
          <cell r="R488">
            <v>10161.756238708631</v>
          </cell>
          <cell r="T488"/>
          <cell r="U488"/>
          <cell r="V488">
            <v>0.83952017657003786</v>
          </cell>
          <cell r="W488">
            <v>2.682516633708789E-4</v>
          </cell>
          <cell r="X488">
            <v>10</v>
          </cell>
          <cell r="Y488" t="str">
            <v>Proteger</v>
          </cell>
        </row>
        <row r="489">
          <cell r="A489" t="str">
            <v>2755</v>
          </cell>
          <cell r="B489" t="str">
            <v>2755 - FARMACIA LEO, C.A</v>
          </cell>
          <cell r="C489" t="str">
            <v>INDEPENDIENTE</v>
          </cell>
          <cell r="D489">
            <v>3</v>
          </cell>
          <cell r="E489"/>
          <cell r="F489" t="str">
            <v>CENTRO ESTE</v>
          </cell>
          <cell r="G489" t="str">
            <v>WILLIBETTI GONZALEZ</v>
          </cell>
          <cell r="H489"/>
          <cell r="I489" t="str">
            <v>AF</v>
          </cell>
          <cell r="J489" t="str">
            <v>Activo</v>
          </cell>
          <cell r="K489">
            <v>70146.21806321232</v>
          </cell>
          <cell r="L489">
            <v>7014.6218063212318</v>
          </cell>
          <cell r="M489">
            <v>6976.1260666666667</v>
          </cell>
          <cell r="N489" t="str">
            <v>Si Compra</v>
          </cell>
          <cell r="O489">
            <v>10</v>
          </cell>
          <cell r="P489">
            <v>99878.507231015115</v>
          </cell>
          <cell r="Q489">
            <v>9987.8507231015119</v>
          </cell>
          <cell r="R489">
            <v>8260.9593333333323</v>
          </cell>
          <cell r="T489"/>
          <cell r="U489"/>
          <cell r="V489">
            <v>0.70231544311096716</v>
          </cell>
          <cell r="W489">
            <v>2.6784537153248838E-4</v>
          </cell>
          <cell r="X489">
            <v>10</v>
          </cell>
          <cell r="Y489" t="str">
            <v>Proteger</v>
          </cell>
        </row>
        <row r="490">
          <cell r="A490" t="str">
            <v>0366</v>
          </cell>
          <cell r="B490" t="str">
            <v>GRUPO LUIS BUITRAGO (BARINAS)</v>
          </cell>
          <cell r="C490" t="str">
            <v>GRUPO</v>
          </cell>
          <cell r="D490">
            <v>6</v>
          </cell>
          <cell r="E490"/>
          <cell r="F490" t="str">
            <v>CENTRO OESTE</v>
          </cell>
          <cell r="H490"/>
          <cell r="I490"/>
          <cell r="J490" t="str">
            <v>Activo</v>
          </cell>
          <cell r="K490">
            <v>69519.267428176725</v>
          </cell>
          <cell r="L490">
            <v>6951.9267428176727</v>
          </cell>
          <cell r="M490">
            <v>8658.4950549268451</v>
          </cell>
          <cell r="N490" t="str">
            <v>Si Compra</v>
          </cell>
          <cell r="O490">
            <v>10</v>
          </cell>
          <cell r="P490">
            <v>744171.1025489883</v>
          </cell>
          <cell r="Q490">
            <v>74417.110254898827</v>
          </cell>
          <cell r="R490">
            <v>46859.507880026649</v>
          </cell>
          <cell r="S490"/>
          <cell r="T490"/>
          <cell r="U490"/>
          <cell r="V490">
            <v>9.3418391536643039E-2</v>
          </cell>
          <cell r="W490">
            <v>2.6545143169638327E-4</v>
          </cell>
          <cell r="X490">
            <v>10</v>
          </cell>
          <cell r="Y490" t="str">
            <v>Conquistar</v>
          </cell>
        </row>
        <row r="491">
          <cell r="A491" t="str">
            <v>E423</v>
          </cell>
          <cell r="B491" t="str">
            <v>E423 - FARMA SERVISALUD, C.A</v>
          </cell>
          <cell r="C491" t="e">
            <v>#N/A</v>
          </cell>
          <cell r="D491">
            <v>3</v>
          </cell>
          <cell r="F491" t="str">
            <v>MARACAIBO</v>
          </cell>
          <cell r="G491">
            <v>0</v>
          </cell>
          <cell r="H491"/>
          <cell r="I491" t="str">
            <v>BE</v>
          </cell>
          <cell r="J491" t="str">
            <v>Activo</v>
          </cell>
          <cell r="K491">
            <v>69366.523073288496</v>
          </cell>
          <cell r="L491">
            <v>13873.3046146577</v>
          </cell>
          <cell r="M491">
            <v>4840.3492910961641</v>
          </cell>
          <cell r="N491" t="str">
            <v>Si Compra</v>
          </cell>
          <cell r="O491">
            <v>5</v>
          </cell>
          <cell r="P491">
            <v>0</v>
          </cell>
          <cell r="Q491">
            <v>0</v>
          </cell>
          <cell r="R491">
            <v>0</v>
          </cell>
          <cell r="V491">
            <v>0</v>
          </cell>
          <cell r="W491">
            <v>5.2973638942983218E-4</v>
          </cell>
          <cell r="X491">
            <v>0</v>
          </cell>
          <cell r="Y491" t="str">
            <v>Conquistar</v>
          </cell>
        </row>
        <row r="492">
          <cell r="A492" t="str">
            <v>B499</v>
          </cell>
          <cell r="B492" t="str">
            <v>B499 - EXPENDIO DE MEDICAMENTOS LA RAYA, C.A.</v>
          </cell>
          <cell r="C492" t="str">
            <v>INDEPENDIENTE</v>
          </cell>
          <cell r="D492">
            <v>3</v>
          </cell>
          <cell r="E492"/>
          <cell r="F492" t="str">
            <v>MARACAIBO</v>
          </cell>
          <cell r="G492">
            <v>0</v>
          </cell>
          <cell r="H492"/>
          <cell r="I492" t="str">
            <v>S</v>
          </cell>
          <cell r="J492" t="str">
            <v>Activo</v>
          </cell>
          <cell r="K492">
            <v>69302.037435545528</v>
          </cell>
          <cell r="L492">
            <v>6930.2037435545526</v>
          </cell>
          <cell r="M492">
            <v>8101.9141461820191</v>
          </cell>
          <cell r="N492" t="str">
            <v>Si Compra</v>
          </cell>
          <cell r="O492">
            <v>10</v>
          </cell>
          <cell r="P492">
            <v>0</v>
          </cell>
          <cell r="Q492">
            <v>0</v>
          </cell>
          <cell r="R492">
            <v>0</v>
          </cell>
          <cell r="T492"/>
          <cell r="U492"/>
          <cell r="V492">
            <v>0</v>
          </cell>
          <cell r="W492">
            <v>2.6462196362681651E-4</v>
          </cell>
          <cell r="X492">
            <v>0</v>
          </cell>
          <cell r="Y492" t="str">
            <v>Conquistar</v>
          </cell>
        </row>
        <row r="493">
          <cell r="A493" t="str">
            <v>8232</v>
          </cell>
          <cell r="B493" t="str">
            <v>8232 - FARMACIA VANESSA C A</v>
          </cell>
          <cell r="C493" t="str">
            <v>INDEPENDIENTE</v>
          </cell>
          <cell r="D493">
            <v>3</v>
          </cell>
          <cell r="E493"/>
          <cell r="F493" t="str">
            <v>CARACAS</v>
          </cell>
          <cell r="G493" t="str">
            <v>WILLIAM ARAQUE</v>
          </cell>
          <cell r="H493"/>
          <cell r="I493" t="str">
            <v>C8</v>
          </cell>
          <cell r="J493" t="str">
            <v>Activo</v>
          </cell>
          <cell r="K493">
            <v>69254.096857859869</v>
          </cell>
          <cell r="L493">
            <v>6925.4096857859868</v>
          </cell>
          <cell r="M493">
            <v>6974.8419218016379</v>
          </cell>
          <cell r="N493" t="str">
            <v>Si Compra</v>
          </cell>
          <cell r="O493">
            <v>10</v>
          </cell>
          <cell r="P493">
            <v>90716.760682976499</v>
          </cell>
          <cell r="Q493">
            <v>9071.6760682976492</v>
          </cell>
          <cell r="R493">
            <v>3312.9654619992884</v>
          </cell>
          <cell r="T493"/>
          <cell r="U493"/>
          <cell r="V493">
            <v>0.76341016077369472</v>
          </cell>
          <cell r="W493">
            <v>2.6443890797255264E-4</v>
          </cell>
          <cell r="X493">
            <v>10</v>
          </cell>
          <cell r="Y493" t="str">
            <v>Proteger</v>
          </cell>
        </row>
        <row r="494">
          <cell r="A494" t="str">
            <v>B508</v>
          </cell>
          <cell r="B494" t="str">
            <v>B508 - FARMACIA LA FE EN DIOS 21, C.A.</v>
          </cell>
          <cell r="C494" t="str">
            <v>INDEPENDIENTE</v>
          </cell>
          <cell r="D494">
            <v>3</v>
          </cell>
          <cell r="E494"/>
          <cell r="F494" t="str">
            <v>CENTRO OESTE</v>
          </cell>
          <cell r="G494" t="str">
            <v>JOSE LUIS GARCIA</v>
          </cell>
          <cell r="H494" t="str">
            <v>HECTOR</v>
          </cell>
          <cell r="I494" t="str">
            <v>Y</v>
          </cell>
          <cell r="J494" t="str">
            <v>Permiso</v>
          </cell>
          <cell r="K494">
            <v>68961.648668352049</v>
          </cell>
          <cell r="L494">
            <v>6896.1648668352045</v>
          </cell>
          <cell r="M494">
            <v>7269.8631487377452</v>
          </cell>
          <cell r="N494" t="str">
            <v>Si Compra</v>
          </cell>
          <cell r="O494">
            <v>10</v>
          </cell>
          <cell r="P494">
            <v>154475.31856262626</v>
          </cell>
          <cell r="Q494">
            <v>15447.531856262625</v>
          </cell>
          <cell r="R494">
            <v>13992.059649606739</v>
          </cell>
          <cell r="T494"/>
          <cell r="U494"/>
          <cell r="V494">
            <v>0.44642502964248049</v>
          </cell>
          <cell r="W494">
            <v>2.6332222775606344E-4</v>
          </cell>
          <cell r="X494">
            <v>10</v>
          </cell>
          <cell r="Y494" t="str">
            <v>Potenciar</v>
          </cell>
        </row>
        <row r="495">
          <cell r="A495" t="str">
            <v>C020</v>
          </cell>
          <cell r="B495" t="str">
            <v>C020 - SERVISALUD LAS MESAS, C.A.</v>
          </cell>
          <cell r="C495" t="str">
            <v>INDEPENDIENTE</v>
          </cell>
          <cell r="D495">
            <v>3</v>
          </cell>
          <cell r="E495"/>
          <cell r="F495" t="str">
            <v>ANDES</v>
          </cell>
          <cell r="G495">
            <v>0</v>
          </cell>
          <cell r="H495"/>
          <cell r="I495" t="str">
            <v>G2</v>
          </cell>
          <cell r="J495" t="str">
            <v>Activo</v>
          </cell>
          <cell r="K495">
            <v>68177.103897590307</v>
          </cell>
          <cell r="L495">
            <v>6817.7103897590305</v>
          </cell>
          <cell r="M495">
            <v>2811.4217385106349</v>
          </cell>
          <cell r="N495" t="str">
            <v>Si Compra</v>
          </cell>
          <cell r="O495">
            <v>10</v>
          </cell>
          <cell r="P495">
            <v>0</v>
          </cell>
          <cell r="Q495">
            <v>0</v>
          </cell>
          <cell r="R495">
            <v>0</v>
          </cell>
          <cell r="T495"/>
          <cell r="U495"/>
          <cell r="V495">
            <v>0</v>
          </cell>
          <cell r="W495">
            <v>2.6032653260084945E-4</v>
          </cell>
          <cell r="X495">
            <v>0</v>
          </cell>
          <cell r="Y495" t="str">
            <v>Conquistar</v>
          </cell>
        </row>
        <row r="496">
          <cell r="A496" t="str">
            <v>+110</v>
          </cell>
          <cell r="B496" t="str">
            <v>+110 - FARMACIA CAPRI,C.A.</v>
          </cell>
          <cell r="C496" t="str">
            <v>INDEPENDIENTE</v>
          </cell>
          <cell r="D496">
            <v>3</v>
          </cell>
          <cell r="E496"/>
          <cell r="F496" t="str">
            <v>CENTRO ESTE</v>
          </cell>
          <cell r="G496" t="str">
            <v>LAURA FLORES</v>
          </cell>
          <cell r="H496"/>
          <cell r="I496" t="str">
            <v>+</v>
          </cell>
          <cell r="J496" t="str">
            <v>Activo</v>
          </cell>
          <cell r="K496">
            <v>68140.342082372023</v>
          </cell>
          <cell r="L496">
            <v>6814.0342082372026</v>
          </cell>
          <cell r="M496">
            <v>7292.9668131615044</v>
          </cell>
          <cell r="N496" t="str">
            <v>Si Compra</v>
          </cell>
          <cell r="O496">
            <v>10</v>
          </cell>
          <cell r="P496">
            <v>79418.815739077487</v>
          </cell>
          <cell r="Q496">
            <v>7941.881573907749</v>
          </cell>
          <cell r="R496">
            <v>7218.0332219642924</v>
          </cell>
          <cell r="T496"/>
          <cell r="U496"/>
          <cell r="V496">
            <v>0.8579873855868142</v>
          </cell>
          <cell r="W496">
            <v>2.601861617821907E-4</v>
          </cell>
          <cell r="X496">
            <v>10</v>
          </cell>
          <cell r="Y496" t="str">
            <v>Proteger</v>
          </cell>
        </row>
        <row r="497">
          <cell r="A497" t="str">
            <v>E345</v>
          </cell>
          <cell r="B497" t="str">
            <v>E345 - FARMA MEDICA SP, S.A</v>
          </cell>
          <cell r="C497" t="e">
            <v>#N/A</v>
          </cell>
          <cell r="D497">
            <v>3</v>
          </cell>
          <cell r="F497" t="str">
            <v>CARACAS</v>
          </cell>
          <cell r="G497">
            <v>0</v>
          </cell>
          <cell r="H497"/>
          <cell r="I497" t="str">
            <v>C8</v>
          </cell>
          <cell r="J497" t="str">
            <v>Activo</v>
          </cell>
          <cell r="K497">
            <v>67299.063287664932</v>
          </cell>
          <cell r="L497">
            <v>11216.510547944155</v>
          </cell>
          <cell r="M497">
            <v>13306.992823752442</v>
          </cell>
          <cell r="N497" t="str">
            <v>Si Compra</v>
          </cell>
          <cell r="O497">
            <v>6</v>
          </cell>
          <cell r="P497">
            <v>0</v>
          </cell>
          <cell r="Q497">
            <v>0</v>
          </cell>
          <cell r="R497">
            <v>0</v>
          </cell>
          <cell r="V497">
            <v>0</v>
          </cell>
          <cell r="W497">
            <v>4.2828972366049133E-4</v>
          </cell>
          <cell r="X497">
            <v>0</v>
          </cell>
          <cell r="Y497" t="str">
            <v>Conquistar</v>
          </cell>
        </row>
        <row r="498">
          <cell r="A498">
            <v>0</v>
          </cell>
          <cell r="B498" t="str">
            <v>S371 - FARMACIA EBENEZER,C.A.</v>
          </cell>
          <cell r="C498" t="e">
            <v>#N/A</v>
          </cell>
          <cell r="D498">
            <v>0</v>
          </cell>
          <cell r="E498"/>
          <cell r="F498" t="str">
            <v>ANDES</v>
          </cell>
          <cell r="G498" t="str">
            <v>LUCIA DUGARTE</v>
          </cell>
          <cell r="H498" t="str">
            <v>VICTOR</v>
          </cell>
          <cell r="I498" t="str">
            <v>6</v>
          </cell>
          <cell r="J498" t="str">
            <v>Activo</v>
          </cell>
          <cell r="K498">
            <v>67233.291911180975</v>
          </cell>
          <cell r="L498">
            <v>6723.3291911180977</v>
          </cell>
          <cell r="M498">
            <v>5961.0684000000001</v>
          </cell>
          <cell r="N498" t="str">
            <v>Si Compra</v>
          </cell>
          <cell r="O498">
            <v>10</v>
          </cell>
          <cell r="P498">
            <v>1750214.8236580044</v>
          </cell>
          <cell r="Q498">
            <v>175021.48236580045</v>
          </cell>
          <cell r="R498">
            <v>83132.855266666666</v>
          </cell>
          <cell r="T498"/>
          <cell r="U498"/>
          <cell r="V498">
            <v>3.841430834796683E-2</v>
          </cell>
          <cell r="W498">
            <v>2.5672269366075413E-4</v>
          </cell>
          <cell r="X498">
            <v>10</v>
          </cell>
          <cell r="Y498" t="str">
            <v>Conquistar</v>
          </cell>
        </row>
        <row r="499">
          <cell r="A499" t="str">
            <v>2895</v>
          </cell>
          <cell r="B499" t="str">
            <v>EMPRESARIAL FARMEPRICA</v>
          </cell>
          <cell r="C499" t="str">
            <v>GRUPO</v>
          </cell>
          <cell r="D499">
            <v>9</v>
          </cell>
          <cell r="E499">
            <v>0</v>
          </cell>
          <cell r="F499" t="str">
            <v>ANDES</v>
          </cell>
          <cell r="G499" t="str">
            <v/>
          </cell>
          <cell r="H499" t="str">
            <v>VICTOR</v>
          </cell>
          <cell r="I499">
            <v>0</v>
          </cell>
          <cell r="J499" t="str">
            <v>Activo</v>
          </cell>
          <cell r="K499">
            <v>66961.404008481506</v>
          </cell>
          <cell r="L499">
            <v>6696.1404008481504</v>
          </cell>
          <cell r="M499">
            <v>8247.605394582597</v>
          </cell>
          <cell r="N499" t="str">
            <v>Si Compra</v>
          </cell>
          <cell r="O499">
            <v>10</v>
          </cell>
          <cell r="P499">
            <v>258492.22934077663</v>
          </cell>
          <cell r="Q499">
            <v>25849.222934077661</v>
          </cell>
          <cell r="R499">
            <v>18508.201257146167</v>
          </cell>
          <cell r="S499">
            <v>0</v>
          </cell>
          <cell r="T499">
            <v>0</v>
          </cell>
          <cell r="U499">
            <v>0</v>
          </cell>
          <cell r="V499">
            <v>0.259046100454357</v>
          </cell>
          <cell r="W499">
            <v>2.5568452056569E-4</v>
          </cell>
          <cell r="X499">
            <v>10</v>
          </cell>
          <cell r="Y499" t="str">
            <v>Potenciar</v>
          </cell>
        </row>
        <row r="500">
          <cell r="A500" t="str">
            <v>6982</v>
          </cell>
          <cell r="B500" t="str">
            <v>FARMALIDER (AGELVIS)</v>
          </cell>
          <cell r="C500" t="str">
            <v>GRUPO</v>
          </cell>
          <cell r="D500">
            <v>9</v>
          </cell>
          <cell r="E500"/>
          <cell r="F500" t="str">
            <v>CENTRO ESTE</v>
          </cell>
          <cell r="H500"/>
          <cell r="I500"/>
          <cell r="J500" t="str">
            <v>Activo</v>
          </cell>
          <cell r="K500">
            <v>66853.573269748798</v>
          </cell>
          <cell r="L500">
            <v>6685.3573269748795</v>
          </cell>
          <cell r="M500">
            <v>3745.1749113654928</v>
          </cell>
          <cell r="N500" t="str">
            <v>Si Compra</v>
          </cell>
          <cell r="O500">
            <v>10</v>
          </cell>
          <cell r="P500">
            <v>366977.54854916077</v>
          </cell>
          <cell r="Q500">
            <v>36697.754854916078</v>
          </cell>
          <cell r="R500">
            <v>30835.03106800553</v>
          </cell>
          <cell r="S500"/>
          <cell r="T500"/>
          <cell r="U500"/>
          <cell r="V500">
            <v>0.18217346955979516</v>
          </cell>
          <cell r="W500">
            <v>2.552727811294675E-4</v>
          </cell>
          <cell r="X500">
            <v>10</v>
          </cell>
          <cell r="Y500" t="str">
            <v>Conquistar</v>
          </cell>
        </row>
        <row r="501">
          <cell r="A501" t="str">
            <v>B890</v>
          </cell>
          <cell r="B501" t="str">
            <v>B890 - FARMACIA MIS DOS J 2021, C.A.</v>
          </cell>
          <cell r="C501" t="str">
            <v>INDEPENDIENTE</v>
          </cell>
          <cell r="D501">
            <v>3</v>
          </cell>
          <cell r="E501"/>
          <cell r="F501" t="str">
            <v>CENTRO OESTE</v>
          </cell>
          <cell r="G501" t="str">
            <v>DIEGO TORI</v>
          </cell>
          <cell r="H501"/>
          <cell r="I501" t="str">
            <v>A</v>
          </cell>
          <cell r="J501" t="str">
            <v>Activo</v>
          </cell>
          <cell r="K501">
            <v>66678.017069312569</v>
          </cell>
          <cell r="L501">
            <v>6667.8017069312573</v>
          </cell>
          <cell r="M501">
            <v>5971.4760999999999</v>
          </cell>
          <cell r="N501" t="str">
            <v>Si Compra</v>
          </cell>
          <cell r="O501">
            <v>10</v>
          </cell>
          <cell r="P501">
            <v>189015.12660289067</v>
          </cell>
          <cell r="Q501">
            <v>18901.512660289067</v>
          </cell>
          <cell r="R501">
            <v>18434.193766666667</v>
          </cell>
          <cell r="T501"/>
          <cell r="U501"/>
          <cell r="V501">
            <v>0.3527655075426796</v>
          </cell>
          <cell r="W501">
            <v>2.5460243970509741E-4</v>
          </cell>
          <cell r="X501">
            <v>10</v>
          </cell>
          <cell r="Y501" t="str">
            <v>Potenciar</v>
          </cell>
        </row>
        <row r="502">
          <cell r="A502" t="str">
            <v>C079</v>
          </cell>
          <cell r="B502" t="str">
            <v>C079 - FARMAPRECIOS C.A.</v>
          </cell>
          <cell r="C502" t="str">
            <v>INDEPENDIENTE</v>
          </cell>
          <cell r="D502">
            <v>3</v>
          </cell>
          <cell r="E502"/>
          <cell r="F502" t="str">
            <v>CARACAS</v>
          </cell>
          <cell r="G502" t="str">
            <v>MAIRUBI QUIJADA</v>
          </cell>
          <cell r="H502" t="str">
            <v>VICTOR</v>
          </cell>
          <cell r="I502" t="str">
            <v>C1</v>
          </cell>
          <cell r="J502" t="str">
            <v>Activo</v>
          </cell>
          <cell r="K502">
            <v>66584.494174331834</v>
          </cell>
          <cell r="L502">
            <v>9512.0705963331184</v>
          </cell>
          <cell r="M502">
            <v>14804.858333900389</v>
          </cell>
          <cell r="N502" t="str">
            <v>Si Compra</v>
          </cell>
          <cell r="O502">
            <v>7</v>
          </cell>
          <cell r="P502">
            <v>31975.276935203379</v>
          </cell>
          <cell r="Q502">
            <v>4567.8967050290539</v>
          </cell>
          <cell r="R502">
            <v>0</v>
          </cell>
          <cell r="T502"/>
          <cell r="U502"/>
          <cell r="V502">
            <v>2.0823742765156545</v>
          </cell>
          <cell r="W502">
            <v>3.6320761878027159E-4</v>
          </cell>
          <cell r="X502">
            <v>3</v>
          </cell>
          <cell r="Y502" t="str">
            <v>Proteger</v>
          </cell>
        </row>
        <row r="503">
          <cell r="A503" t="str">
            <v>8148</v>
          </cell>
          <cell r="B503" t="str">
            <v>8148 - FARMACIA CCG PRADOS DEL ESTE,C.A</v>
          </cell>
          <cell r="C503" t="str">
            <v>INDEPENDIENTE</v>
          </cell>
          <cell r="D503">
            <v>3</v>
          </cell>
          <cell r="E503"/>
          <cell r="F503" t="str">
            <v>CARACAS</v>
          </cell>
          <cell r="G503" t="str">
            <v>WILLIAM ARAQUE</v>
          </cell>
          <cell r="H503"/>
          <cell r="I503" t="str">
            <v>C8</v>
          </cell>
          <cell r="J503" t="str">
            <v>Activo</v>
          </cell>
          <cell r="K503">
            <v>66582.817014606626</v>
          </cell>
          <cell r="L503">
            <v>6658.2817014606626</v>
          </cell>
          <cell r="M503">
            <v>5864.7970910930453</v>
          </cell>
          <cell r="N503" t="str">
            <v>Si Compra</v>
          </cell>
          <cell r="O503">
            <v>10</v>
          </cell>
          <cell r="P503">
            <v>143435.52804910194</v>
          </cell>
          <cell r="Q503">
            <v>14343.552804910194</v>
          </cell>
          <cell r="R503">
            <v>13982.168669878321</v>
          </cell>
          <cell r="T503"/>
          <cell r="U503"/>
          <cell r="V503">
            <v>0.46420031299228381</v>
          </cell>
          <cell r="W503">
            <v>2.5423892910215014E-4</v>
          </cell>
          <cell r="X503">
            <v>10</v>
          </cell>
          <cell r="Y503" t="str">
            <v>Potenciar</v>
          </cell>
        </row>
        <row r="504">
          <cell r="A504" t="str">
            <v>A494</v>
          </cell>
          <cell r="B504" t="str">
            <v>A494 - FARMACIA DELTA SALUD, C.A.</v>
          </cell>
          <cell r="C504" t="str">
            <v>INDEPENDIENTE</v>
          </cell>
          <cell r="D504">
            <v>3</v>
          </cell>
          <cell r="E504"/>
          <cell r="F504" t="str">
            <v>ESTE</v>
          </cell>
          <cell r="G504">
            <v>0</v>
          </cell>
          <cell r="H504"/>
          <cell r="I504" t="str">
            <v>A0</v>
          </cell>
          <cell r="J504" t="str">
            <v>Activo</v>
          </cell>
          <cell r="K504">
            <v>66501.040028365882</v>
          </cell>
          <cell r="L504">
            <v>6650.1040028365878</v>
          </cell>
          <cell r="M504">
            <v>1335.3577191592788</v>
          </cell>
          <cell r="N504" t="str">
            <v>Si Compra</v>
          </cell>
          <cell r="O504">
            <v>10</v>
          </cell>
          <cell r="P504">
            <v>0</v>
          </cell>
          <cell r="Q504">
            <v>0</v>
          </cell>
          <cell r="R504">
            <v>0</v>
          </cell>
          <cell r="T504"/>
          <cell r="U504"/>
          <cell r="V504">
            <v>0</v>
          </cell>
          <cell r="W504">
            <v>2.5392667296251446E-4</v>
          </cell>
          <cell r="X504">
            <v>0</v>
          </cell>
          <cell r="Y504" t="str">
            <v>Conquistar</v>
          </cell>
        </row>
        <row r="505">
          <cell r="A505" t="str">
            <v>B019</v>
          </cell>
          <cell r="B505" t="str">
            <v>GRUPO FUENTES</v>
          </cell>
          <cell r="C505" t="str">
            <v>GRUPO</v>
          </cell>
          <cell r="D505">
            <v>4</v>
          </cell>
          <cell r="E505"/>
          <cell r="F505" t="str">
            <v>CENTRO ESTE</v>
          </cell>
          <cell r="H505"/>
          <cell r="I505"/>
          <cell r="J505" t="str">
            <v>Activo</v>
          </cell>
          <cell r="K505">
            <v>66386.360143387428</v>
          </cell>
          <cell r="L505">
            <v>7376.2622381541587</v>
          </cell>
          <cell r="M505">
            <v>8286.372231438696</v>
          </cell>
          <cell r="N505" t="str">
            <v>Si Compra</v>
          </cell>
          <cell r="O505">
            <v>9</v>
          </cell>
          <cell r="P505">
            <v>264305.19636846299</v>
          </cell>
          <cell r="Q505">
            <v>29367.244040940332</v>
          </cell>
          <cell r="R505">
            <v>15825.741427539506</v>
          </cell>
          <cell r="S505"/>
          <cell r="T505"/>
          <cell r="U505"/>
          <cell r="V505">
            <v>0.25117311750026827</v>
          </cell>
          <cell r="W505">
            <v>2.8165420093198231E-4</v>
          </cell>
          <cell r="X505">
            <v>9</v>
          </cell>
          <cell r="Y505" t="str">
            <v>Potenciar</v>
          </cell>
        </row>
        <row r="506">
          <cell r="A506" t="str">
            <v>4395</v>
          </cell>
          <cell r="B506" t="str">
            <v>4395 - FARMACIA LA GALENICA,C.A</v>
          </cell>
          <cell r="C506" t="str">
            <v>INDEPENDIENTE</v>
          </cell>
          <cell r="D506">
            <v>3</v>
          </cell>
          <cell r="E506"/>
          <cell r="F506" t="str">
            <v>CENTRO OESTE</v>
          </cell>
          <cell r="G506" t="str">
            <v>DIEGO TORI</v>
          </cell>
          <cell r="H506"/>
          <cell r="I506" t="str">
            <v>A</v>
          </cell>
          <cell r="J506" t="str">
            <v>Activo</v>
          </cell>
          <cell r="K506">
            <v>66168.567518963406</v>
          </cell>
          <cell r="L506">
            <v>6616.8567518963409</v>
          </cell>
          <cell r="M506">
            <v>6315.7682955653754</v>
          </cell>
          <cell r="N506" t="str">
            <v>Si Compra</v>
          </cell>
          <cell r="O506">
            <v>10</v>
          </cell>
          <cell r="P506">
            <v>75148.528151016959</v>
          </cell>
          <cell r="Q506">
            <v>7514.8528151016963</v>
          </cell>
          <cell r="R506">
            <v>6314.7866048726783</v>
          </cell>
          <cell r="T506"/>
          <cell r="U506"/>
          <cell r="V506">
            <v>0.88050383882426009</v>
          </cell>
          <cell r="W506">
            <v>2.5265716442357951E-4</v>
          </cell>
          <cell r="X506">
            <v>10</v>
          </cell>
          <cell r="Y506" t="str">
            <v>Proteger</v>
          </cell>
        </row>
        <row r="507">
          <cell r="A507" t="str">
            <v>1914</v>
          </cell>
          <cell r="B507" t="str">
            <v>1914 - FARMACIA LA POPULAR, C.A</v>
          </cell>
          <cell r="C507" t="str">
            <v>INDEPENDIENTE</v>
          </cell>
          <cell r="D507">
            <v>3</v>
          </cell>
          <cell r="E507"/>
          <cell r="F507" t="str">
            <v>MARACAIBO</v>
          </cell>
          <cell r="G507" t="str">
            <v>YENNIFER LUZARDO</v>
          </cell>
          <cell r="H507"/>
          <cell r="I507" t="str">
            <v>BE</v>
          </cell>
          <cell r="J507" t="str">
            <v>Activo</v>
          </cell>
          <cell r="K507">
            <v>66101.930831792153</v>
          </cell>
          <cell r="L507">
            <v>6610.1930831792151</v>
          </cell>
          <cell r="M507">
            <v>5998.8887482306027</v>
          </cell>
          <cell r="N507" t="str">
            <v>Si Compra</v>
          </cell>
          <cell r="O507">
            <v>10</v>
          </cell>
          <cell r="P507">
            <v>293341.0990272552</v>
          </cell>
          <cell r="Q507">
            <v>29334.109902725519</v>
          </cell>
          <cell r="R507">
            <v>24648.095877888671</v>
          </cell>
          <cell r="T507"/>
          <cell r="U507"/>
          <cell r="V507">
            <v>0.22534152579025563</v>
          </cell>
          <cell r="W507">
            <v>2.5240271979739886E-4</v>
          </cell>
          <cell r="X507">
            <v>10</v>
          </cell>
          <cell r="Y507" t="str">
            <v>Potenciar</v>
          </cell>
        </row>
        <row r="508">
          <cell r="A508" t="str">
            <v>E086</v>
          </cell>
          <cell r="B508" t="str">
            <v>E086 - FARMAGANGA 2020 C.A.</v>
          </cell>
          <cell r="C508" t="str">
            <v>INDEPENDIENTE</v>
          </cell>
          <cell r="D508">
            <v>3</v>
          </cell>
          <cell r="F508" t="str">
            <v>CENTRO ESTE</v>
          </cell>
          <cell r="G508">
            <v>0</v>
          </cell>
          <cell r="H508"/>
          <cell r="I508" t="str">
            <v>AF</v>
          </cell>
          <cell r="J508" t="str">
            <v>Activo</v>
          </cell>
          <cell r="K508">
            <v>65961.978566868624</v>
          </cell>
          <cell r="L508">
            <v>7329.1087296520691</v>
          </cell>
          <cell r="M508">
            <v>2949.8142822708655</v>
          </cell>
          <cell r="N508" t="str">
            <v>Si Compra</v>
          </cell>
          <cell r="O508">
            <v>9</v>
          </cell>
          <cell r="P508">
            <v>0</v>
          </cell>
          <cell r="Q508">
            <v>0</v>
          </cell>
          <cell r="R508">
            <v>0</v>
          </cell>
          <cell r="V508">
            <v>0</v>
          </cell>
          <cell r="W508">
            <v>2.798536977327334E-4</v>
          </cell>
          <cell r="X508">
            <v>0</v>
          </cell>
          <cell r="Y508" t="str">
            <v>Conquistar</v>
          </cell>
        </row>
        <row r="509">
          <cell r="A509" t="str">
            <v>2484</v>
          </cell>
          <cell r="B509" t="str">
            <v>2484 - FARMACIA LUIS MIGUEL,C.A.</v>
          </cell>
          <cell r="C509" t="str">
            <v>INDEPENDIENTE</v>
          </cell>
          <cell r="D509">
            <v>3</v>
          </cell>
          <cell r="E509"/>
          <cell r="F509" t="str">
            <v>CENTRO OESTE</v>
          </cell>
          <cell r="G509" t="str">
            <v>YAMILEX LAMEDA</v>
          </cell>
          <cell r="H509"/>
          <cell r="I509" t="str">
            <v>Y1</v>
          </cell>
          <cell r="J509" t="str">
            <v>Activo</v>
          </cell>
          <cell r="K509">
            <v>65829.6015443535</v>
          </cell>
          <cell r="L509">
            <v>6582.96015443535</v>
          </cell>
          <cell r="M509">
            <v>4854.0910382298889</v>
          </cell>
          <cell r="N509" t="str">
            <v>Si Compra</v>
          </cell>
          <cell r="O509">
            <v>10</v>
          </cell>
          <cell r="P509">
            <v>94607.762446086694</v>
          </cell>
          <cell r="Q509">
            <v>9460.776244608669</v>
          </cell>
          <cell r="R509">
            <v>6790.3305585847675</v>
          </cell>
          <cell r="T509"/>
          <cell r="U509"/>
          <cell r="V509">
            <v>0.69581607092618059</v>
          </cell>
          <cell r="W509">
            <v>2.5136286132480877E-4</v>
          </cell>
          <cell r="X509">
            <v>10</v>
          </cell>
          <cell r="Y509" t="str">
            <v>Proteger</v>
          </cell>
        </row>
        <row r="510">
          <cell r="A510" t="str">
            <v>D779</v>
          </cell>
          <cell r="B510" t="str">
            <v>D779 - FARMACIA 1° DE MAYO, VIDA, AHORRO Y SALUD C.A.</v>
          </cell>
          <cell r="C510" t="str">
            <v>INDEPENDIENTE</v>
          </cell>
          <cell r="D510">
            <v>3</v>
          </cell>
          <cell r="E510"/>
          <cell r="F510" t="str">
            <v>ANDES</v>
          </cell>
          <cell r="G510" t="str">
            <v>MARIA GABRIELA FORTUL</v>
          </cell>
          <cell r="H510" t="str">
            <v>VICTOR</v>
          </cell>
          <cell r="I510" t="str">
            <v>3</v>
          </cell>
          <cell r="J510" t="str">
            <v>Activo</v>
          </cell>
          <cell r="K510">
            <v>65809.092295428025</v>
          </cell>
          <cell r="L510">
            <v>6580.9092295428027</v>
          </cell>
          <cell r="M510">
            <v>7408.9665881925794</v>
          </cell>
          <cell r="N510" t="str">
            <v>Si Compra</v>
          </cell>
          <cell r="O510">
            <v>10</v>
          </cell>
          <cell r="P510">
            <v>591150.09655371984</v>
          </cell>
          <cell r="Q510">
            <v>59115.009655371985</v>
          </cell>
          <cell r="R510">
            <v>27514.613335974922</v>
          </cell>
          <cell r="T510"/>
          <cell r="U510"/>
          <cell r="V510">
            <v>0.11132382905641246</v>
          </cell>
          <cell r="W510">
            <v>2.5128454908574627E-4</v>
          </cell>
          <cell r="X510">
            <v>10</v>
          </cell>
          <cell r="Y510" t="str">
            <v>Conquistar</v>
          </cell>
        </row>
        <row r="511">
          <cell r="A511" t="str">
            <v>A801</v>
          </cell>
          <cell r="B511" t="str">
            <v>A801 - FARMACIA SALUDABLE GUANARE, C.A.</v>
          </cell>
          <cell r="C511" t="str">
            <v>INDEPENDIENTE</v>
          </cell>
          <cell r="D511">
            <v>3</v>
          </cell>
          <cell r="E511"/>
          <cell r="F511" t="str">
            <v>CENTRO OESTE</v>
          </cell>
          <cell r="G511" t="str">
            <v>SORALI SILVA</v>
          </cell>
          <cell r="H511"/>
          <cell r="I511" t="str">
            <v>L</v>
          </cell>
          <cell r="J511" t="str">
            <v>Activo</v>
          </cell>
          <cell r="K511">
            <v>65347.7621812324</v>
          </cell>
          <cell r="L511">
            <v>6534.7762181232401</v>
          </cell>
          <cell r="M511">
            <v>3431.2627029726359</v>
          </cell>
          <cell r="N511" t="str">
            <v>Si Compra</v>
          </cell>
          <cell r="O511">
            <v>10</v>
          </cell>
          <cell r="P511">
            <v>118037.62417587265</v>
          </cell>
          <cell r="Q511">
            <v>13115.291575096962</v>
          </cell>
          <cell r="R511">
            <v>11472.679845285464</v>
          </cell>
          <cell r="T511"/>
          <cell r="U511"/>
          <cell r="V511">
            <v>0.49825626679404783</v>
          </cell>
          <cell r="W511">
            <v>2.4952301240925004E-4</v>
          </cell>
          <cell r="X511">
            <v>9</v>
          </cell>
          <cell r="Y511" t="str">
            <v>Potenciar</v>
          </cell>
        </row>
        <row r="512">
          <cell r="A512" t="str">
            <v>D478</v>
          </cell>
          <cell r="B512" t="str">
            <v>D478 - FARMA AMIGA J &amp; V, C.A.</v>
          </cell>
          <cell r="C512" t="str">
            <v>INDEPENDIENTE</v>
          </cell>
          <cell r="D512">
            <v>3</v>
          </cell>
          <cell r="E512"/>
          <cell r="F512" t="str">
            <v>ESTE</v>
          </cell>
          <cell r="G512" t="str">
            <v>IRAIDA RODRIGUEZ</v>
          </cell>
          <cell r="H512"/>
          <cell r="I512" t="str">
            <v>AB</v>
          </cell>
          <cell r="J512" t="str">
            <v>Activo</v>
          </cell>
          <cell r="K512">
            <v>65343.502620871717</v>
          </cell>
          <cell r="L512">
            <v>6534.3502620871714</v>
          </cell>
          <cell r="M512">
            <v>4316.0365140437398</v>
          </cell>
          <cell r="N512" t="str">
            <v>Si Compra</v>
          </cell>
          <cell r="O512">
            <v>10</v>
          </cell>
          <cell r="P512">
            <v>455274.95818308386</v>
          </cell>
          <cell r="Q512">
            <v>45527.495818308387</v>
          </cell>
          <cell r="R512">
            <v>45015.077311454923</v>
          </cell>
          <cell r="T512"/>
          <cell r="U512"/>
          <cell r="V512">
            <v>0.14352536076582217</v>
          </cell>
          <cell r="W512">
            <v>2.4950674776150601E-4</v>
          </cell>
          <cell r="X512">
            <v>10</v>
          </cell>
          <cell r="Y512" t="str">
            <v>Conquistar</v>
          </cell>
        </row>
        <row r="513">
          <cell r="A513" t="str">
            <v>E195</v>
          </cell>
          <cell r="B513" t="str">
            <v>E195 - FARMACIA BETHEL 3515, C.A.</v>
          </cell>
          <cell r="C513" t="str">
            <v>INDEPENDIENTE</v>
          </cell>
          <cell r="D513">
            <v>3</v>
          </cell>
          <cell r="F513" t="str">
            <v>CARACAS</v>
          </cell>
          <cell r="G513">
            <v>0</v>
          </cell>
          <cell r="H513"/>
          <cell r="I513" t="str">
            <v>C6</v>
          </cell>
          <cell r="J513" t="str">
            <v>Activo</v>
          </cell>
          <cell r="K513">
            <v>65007.757143517956</v>
          </cell>
          <cell r="L513">
            <v>8125.9696429397445</v>
          </cell>
          <cell r="M513">
            <v>6853.1850341687577</v>
          </cell>
          <cell r="N513" t="str">
            <v>Si Compra</v>
          </cell>
          <cell r="O513">
            <v>8</v>
          </cell>
          <cell r="P513">
            <v>0</v>
          </cell>
          <cell r="Q513">
            <v>0</v>
          </cell>
          <cell r="R513">
            <v>0</v>
          </cell>
          <cell r="V513">
            <v>0</v>
          </cell>
          <cell r="W513">
            <v>3.1028092720744544E-4</v>
          </cell>
          <cell r="X513">
            <v>0</v>
          </cell>
          <cell r="Y513" t="str">
            <v>Conquistar</v>
          </cell>
        </row>
        <row r="514">
          <cell r="A514" t="str">
            <v>3428</v>
          </cell>
          <cell r="B514" t="str">
            <v>3428 - FARMACIA LA SANACIÓN, C.A.</v>
          </cell>
          <cell r="C514" t="str">
            <v>INDEPENDIENTE</v>
          </cell>
          <cell r="D514">
            <v>3</v>
          </cell>
          <cell r="E514"/>
          <cell r="F514" t="str">
            <v>CARACAS</v>
          </cell>
          <cell r="G514" t="str">
            <v>MAIRE ACOSTA FERNANDEZ</v>
          </cell>
          <cell r="H514"/>
          <cell r="I514" t="str">
            <v>C9</v>
          </cell>
          <cell r="J514" t="str">
            <v>Activo</v>
          </cell>
          <cell r="K514">
            <v>64985.345118193414</v>
          </cell>
          <cell r="L514">
            <v>6498.5345118193418</v>
          </cell>
          <cell r="M514">
            <v>7006.1342114730751</v>
          </cell>
          <cell r="N514" t="str">
            <v>Si Compra</v>
          </cell>
          <cell r="O514">
            <v>10</v>
          </cell>
          <cell r="P514">
            <v>83186.210498768953</v>
          </cell>
          <cell r="Q514">
            <v>8318.621049876896</v>
          </cell>
          <cell r="R514">
            <v>7501.4886110494481</v>
          </cell>
          <cell r="T514"/>
          <cell r="U514"/>
          <cell r="V514">
            <v>0.78120333560758981</v>
          </cell>
          <cell r="W514">
            <v>2.4813916399119397E-4</v>
          </cell>
          <cell r="X514">
            <v>10</v>
          </cell>
          <cell r="Y514" t="str">
            <v>Proteger</v>
          </cell>
        </row>
        <row r="515">
          <cell r="A515" t="str">
            <v>6659</v>
          </cell>
          <cell r="B515" t="str">
            <v>6659 - FARMAROSALITO, C.A.</v>
          </cell>
          <cell r="C515" t="str">
            <v>INDEPENDIENTE</v>
          </cell>
          <cell r="D515">
            <v>3</v>
          </cell>
          <cell r="E515"/>
          <cell r="F515" t="str">
            <v>CARACAS</v>
          </cell>
          <cell r="G515" t="str">
            <v>RAMON SERRANO</v>
          </cell>
          <cell r="H515"/>
          <cell r="I515" t="str">
            <v>CB</v>
          </cell>
          <cell r="J515" t="str">
            <v>Activo</v>
          </cell>
          <cell r="K515">
            <v>64978.133641132168</v>
          </cell>
          <cell r="L515">
            <v>6497.8133641132172</v>
          </cell>
          <cell r="M515">
            <v>6443.0164689395306</v>
          </cell>
          <cell r="N515" t="str">
            <v>Si Compra</v>
          </cell>
          <cell r="O515">
            <v>10</v>
          </cell>
          <cell r="P515">
            <v>94745.807805724078</v>
          </cell>
          <cell r="Q515">
            <v>9474.5807805724071</v>
          </cell>
          <cell r="R515">
            <v>12409.09068414459</v>
          </cell>
          <cell r="T515"/>
          <cell r="U515"/>
          <cell r="V515">
            <v>0.68581539538266001</v>
          </cell>
          <cell r="W515">
            <v>2.4811162778459441E-4</v>
          </cell>
          <cell r="X515">
            <v>10</v>
          </cell>
          <cell r="Y515" t="str">
            <v>Proteger</v>
          </cell>
        </row>
        <row r="516">
          <cell r="A516" t="str">
            <v>6146</v>
          </cell>
          <cell r="B516" t="str">
            <v>6146 - CONTRERAS,ELOINA(FARMACIA CAMPO CLARO)</v>
          </cell>
          <cell r="C516" t="str">
            <v>INDEPENDIENTE</v>
          </cell>
          <cell r="D516">
            <v>3</v>
          </cell>
          <cell r="E516"/>
          <cell r="F516" t="str">
            <v>ANDES</v>
          </cell>
          <cell r="G516" t="str">
            <v>ZULAY PARRA</v>
          </cell>
          <cell r="H516"/>
          <cell r="I516" t="str">
            <v>5</v>
          </cell>
          <cell r="J516" t="str">
            <v>Activo</v>
          </cell>
          <cell r="K516">
            <v>64897.213944015275</v>
          </cell>
          <cell r="L516">
            <v>6489.7213944015275</v>
          </cell>
          <cell r="M516">
            <v>5822.6694424145871</v>
          </cell>
          <cell r="N516" t="str">
            <v>Si Compra</v>
          </cell>
          <cell r="O516">
            <v>10</v>
          </cell>
          <cell r="P516">
            <v>129284.99414279973</v>
          </cell>
          <cell r="Q516">
            <v>12928.499414279973</v>
          </cell>
          <cell r="R516">
            <v>8567.0619145343517</v>
          </cell>
          <cell r="T516"/>
          <cell r="U516"/>
          <cell r="V516">
            <v>0.5019701967293595</v>
          </cell>
          <cell r="W516">
            <v>2.4780264510616915E-4</v>
          </cell>
          <cell r="X516">
            <v>10</v>
          </cell>
          <cell r="Y516" t="str">
            <v>Potenciar</v>
          </cell>
        </row>
        <row r="517">
          <cell r="A517" t="str">
            <v>9659</v>
          </cell>
          <cell r="B517" t="str">
            <v>ESPINOZA</v>
          </cell>
          <cell r="C517" t="e">
            <v>#N/A</v>
          </cell>
          <cell r="D517">
            <v>8</v>
          </cell>
          <cell r="E517">
            <v>8</v>
          </cell>
          <cell r="F517" t="str">
            <v>ESTE</v>
          </cell>
          <cell r="G517" t="str">
            <v>JOSE RAMIREZ</v>
          </cell>
          <cell r="H517" t="str">
            <v>HECTOR</v>
          </cell>
          <cell r="I517" t="str">
            <v>A2</v>
          </cell>
          <cell r="J517" t="str">
            <v>Inactivo</v>
          </cell>
          <cell r="K517">
            <v>64865.322252047285</v>
          </cell>
          <cell r="L517">
            <v>6486.5322252047281</v>
          </cell>
          <cell r="M517">
            <v>9390.2488067334343</v>
          </cell>
          <cell r="N517" t="str">
            <v>Si Compra</v>
          </cell>
          <cell r="O517">
            <v>10</v>
          </cell>
          <cell r="P517">
            <v>848802.91898309812</v>
          </cell>
          <cell r="Q517">
            <v>84880.291898309806</v>
          </cell>
          <cell r="R517">
            <v>112328.52411038648</v>
          </cell>
          <cell r="S517">
            <v>32000</v>
          </cell>
          <cell r="T517">
            <v>0</v>
          </cell>
          <cell r="U517">
            <v>3</v>
          </cell>
          <cell r="V517">
            <v>7.6419768124453072E-2</v>
          </cell>
          <cell r="W517">
            <v>2.4768087030034472E-4</v>
          </cell>
          <cell r="X517">
            <v>10</v>
          </cell>
          <cell r="Y517" t="str">
            <v>Conquistar</v>
          </cell>
        </row>
        <row r="518">
          <cell r="A518" t="str">
            <v>D851</v>
          </cell>
          <cell r="B518" t="str">
            <v>D851 - FARMACIA BELLA VISTA R5, C.A.</v>
          </cell>
          <cell r="C518" t="str">
            <v>INDEPENDIENTE</v>
          </cell>
          <cell r="D518">
            <v>3</v>
          </cell>
          <cell r="E518"/>
          <cell r="F518" t="str">
            <v>MARACAIBO</v>
          </cell>
          <cell r="G518" t="str">
            <v>MARIA FUSELLA</v>
          </cell>
          <cell r="H518"/>
          <cell r="I518" t="str">
            <v>BZ</v>
          </cell>
          <cell r="J518" t="str">
            <v>Activo</v>
          </cell>
          <cell r="K518">
            <v>64824.754267077435</v>
          </cell>
          <cell r="L518">
            <v>6482.4754267077433</v>
          </cell>
          <cell r="M518">
            <v>6000.506699999999</v>
          </cell>
          <cell r="N518" t="str">
            <v>Si Compra</v>
          </cell>
          <cell r="O518">
            <v>10</v>
          </cell>
          <cell r="P518">
            <v>211420.73923072906</v>
          </cell>
          <cell r="Q518">
            <v>21142.073923072905</v>
          </cell>
          <cell r="R518">
            <v>23742.025266666664</v>
          </cell>
          <cell r="T518"/>
          <cell r="U518"/>
          <cell r="V518">
            <v>0.30661492577761001</v>
          </cell>
          <cell r="W518">
            <v>2.4752596605451949E-4</v>
          </cell>
          <cell r="X518">
            <v>10</v>
          </cell>
          <cell r="Y518" t="str">
            <v>Potenciar</v>
          </cell>
        </row>
        <row r="519">
          <cell r="A519" t="str">
            <v>E189</v>
          </cell>
          <cell r="B519" t="str">
            <v>E189 - MUNDO FARMATOTAL PLUS, C.A.</v>
          </cell>
          <cell r="C519" t="str">
            <v>INDEPENDIENTE</v>
          </cell>
          <cell r="D519">
            <v>3</v>
          </cell>
          <cell r="F519" t="str">
            <v>CARACAS</v>
          </cell>
          <cell r="G519">
            <v>0</v>
          </cell>
          <cell r="H519"/>
          <cell r="I519" t="str">
            <v>C9</v>
          </cell>
          <cell r="J519" t="str">
            <v>Inactivo</v>
          </cell>
          <cell r="K519">
            <v>64524.048784844752</v>
          </cell>
          <cell r="L519">
            <v>8065.506098105594</v>
          </cell>
          <cell r="M519">
            <v>13007.984302176063</v>
          </cell>
          <cell r="N519" t="str">
            <v>Si Compra</v>
          </cell>
          <cell r="O519">
            <v>6</v>
          </cell>
          <cell r="P519">
            <v>0</v>
          </cell>
          <cell r="Q519">
            <v>0</v>
          </cell>
          <cell r="R519">
            <v>0</v>
          </cell>
          <cell r="V519">
            <v>0</v>
          </cell>
          <cell r="W519">
            <v>3.0797219537878433E-4</v>
          </cell>
          <cell r="X519">
            <v>0</v>
          </cell>
          <cell r="Y519" t="str">
            <v>Conquistar</v>
          </cell>
        </row>
        <row r="520">
          <cell r="A520" t="str">
            <v>D999</v>
          </cell>
          <cell r="B520" t="str">
            <v>FARMA OFERTA TACHIRA</v>
          </cell>
          <cell r="C520" t="e">
            <v>#N/A</v>
          </cell>
          <cell r="D520">
            <v>4</v>
          </cell>
          <cell r="E520"/>
          <cell r="F520" t="str">
            <v>ANDES</v>
          </cell>
          <cell r="H520"/>
          <cell r="I520"/>
          <cell r="J520" t="str">
            <v>Activo</v>
          </cell>
          <cell r="K520">
            <v>64408.329529170325</v>
          </cell>
          <cell r="L520">
            <v>6440.8329529170323</v>
          </cell>
          <cell r="M520">
            <v>4689.7892917099452</v>
          </cell>
          <cell r="N520" t="str">
            <v>Si Compra</v>
          </cell>
          <cell r="O520">
            <v>10</v>
          </cell>
          <cell r="P520">
            <v>0</v>
          </cell>
          <cell r="Q520">
            <v>0</v>
          </cell>
          <cell r="R520">
            <v>0</v>
          </cell>
          <cell r="S520"/>
          <cell r="T520"/>
          <cell r="U520"/>
          <cell r="V520">
            <v>0</v>
          </cell>
          <cell r="W520">
            <v>2.4593589546027111E-4</v>
          </cell>
          <cell r="X520">
            <v>0</v>
          </cell>
          <cell r="Y520" t="str">
            <v>Conquistar</v>
          </cell>
        </row>
        <row r="521">
          <cell r="A521" t="str">
            <v>8466</v>
          </cell>
          <cell r="B521" t="str">
            <v>8466 - FARMACIA CRISMARPLUS, C.A.</v>
          </cell>
          <cell r="C521" t="str">
            <v>INDEPENDIENTE</v>
          </cell>
          <cell r="D521">
            <v>3</v>
          </cell>
          <cell r="E521"/>
          <cell r="F521" t="str">
            <v>CARACAS</v>
          </cell>
          <cell r="G521" t="str">
            <v>RAMON SERRANO</v>
          </cell>
          <cell r="H521"/>
          <cell r="I521" t="str">
            <v>C6</v>
          </cell>
          <cell r="J521" t="str">
            <v>Activo</v>
          </cell>
          <cell r="K521">
            <v>64321.296747144428</v>
          </cell>
          <cell r="L521">
            <v>8040.1620933930535</v>
          </cell>
          <cell r="M521">
            <v>8086.6245376239604</v>
          </cell>
          <cell r="N521" t="str">
            <v>Si Compra</v>
          </cell>
          <cell r="O521">
            <v>8</v>
          </cell>
          <cell r="P521">
            <v>73291.632589028362</v>
          </cell>
          <cell r="Q521">
            <v>9161.4540736285453</v>
          </cell>
          <cell r="R521">
            <v>8597.974061158684</v>
          </cell>
          <cell r="T521"/>
          <cell r="U521"/>
          <cell r="V521">
            <v>0.87760764053130425</v>
          </cell>
          <cell r="W521">
            <v>3.0700446332625452E-4</v>
          </cell>
          <cell r="X521">
            <v>8</v>
          </cell>
          <cell r="Y521" t="str">
            <v>Proteger</v>
          </cell>
        </row>
        <row r="522">
          <cell r="A522" t="str">
            <v>3333</v>
          </cell>
          <cell r="B522" t="str">
            <v>INNOVAFARMA</v>
          </cell>
          <cell r="C522" t="str">
            <v>GRUPO</v>
          </cell>
          <cell r="D522">
            <v>5</v>
          </cell>
          <cell r="E522"/>
          <cell r="F522" t="str">
            <v>CENTRO OESTE</v>
          </cell>
          <cell r="H522"/>
          <cell r="I522"/>
          <cell r="J522" t="str">
            <v>Inactivo</v>
          </cell>
          <cell r="K522">
            <v>63712.630285742373</v>
          </cell>
          <cell r="L522">
            <v>6371.2630285742371</v>
          </cell>
          <cell r="M522">
            <v>6471.1286285807919</v>
          </cell>
          <cell r="N522" t="str">
            <v>Si Compra</v>
          </cell>
          <cell r="O522">
            <v>10</v>
          </cell>
          <cell r="P522">
            <v>273632.89151276986</v>
          </cell>
          <cell r="Q522">
            <v>27363.289151276986</v>
          </cell>
          <cell r="R522">
            <v>14934.869970923295</v>
          </cell>
          <cell r="S522"/>
          <cell r="T522"/>
          <cell r="U522"/>
          <cell r="V522">
            <v>0.23283980932814519</v>
          </cell>
          <cell r="W522">
            <v>2.4327944686652211E-4</v>
          </cell>
          <cell r="X522">
            <v>10</v>
          </cell>
          <cell r="Y522" t="str">
            <v>Potenciar</v>
          </cell>
        </row>
        <row r="523">
          <cell r="A523" t="str">
            <v>C706</v>
          </cell>
          <cell r="B523" t="str">
            <v>C706 - DISTRI-FARMA C.A</v>
          </cell>
          <cell r="C523" t="str">
            <v>INDEPENDIENTE</v>
          </cell>
          <cell r="D523">
            <v>3</v>
          </cell>
          <cell r="E523"/>
          <cell r="F523" t="str">
            <v>ANDES</v>
          </cell>
          <cell r="G523">
            <v>0</v>
          </cell>
          <cell r="H523"/>
          <cell r="I523" t="str">
            <v>5</v>
          </cell>
          <cell r="J523" t="str">
            <v>Activo</v>
          </cell>
          <cell r="K523">
            <v>63616.526178082269</v>
          </cell>
          <cell r="L523">
            <v>6361.6526178082268</v>
          </cell>
          <cell r="M523">
            <v>3522.9630333333334</v>
          </cell>
          <cell r="N523" t="str">
            <v>Si Compra</v>
          </cell>
          <cell r="O523">
            <v>10</v>
          </cell>
          <cell r="P523">
            <v>0</v>
          </cell>
          <cell r="Q523">
            <v>0</v>
          </cell>
          <cell r="R523">
            <v>0</v>
          </cell>
          <cell r="T523"/>
          <cell r="U523"/>
          <cell r="V523">
            <v>0</v>
          </cell>
          <cell r="W523">
            <v>2.4291248423998648E-4</v>
          </cell>
          <cell r="X523">
            <v>0</v>
          </cell>
          <cell r="Y523" t="str">
            <v>Conquistar</v>
          </cell>
        </row>
        <row r="524">
          <cell r="A524" t="str">
            <v>C398</v>
          </cell>
          <cell r="B524" t="str">
            <v>C398 - FARMACIA POPULAR 2003,C.A.</v>
          </cell>
          <cell r="C524" t="str">
            <v>INDEPENDIENTE</v>
          </cell>
          <cell r="D524">
            <v>3</v>
          </cell>
          <cell r="E524"/>
          <cell r="F524" t="str">
            <v>CENTRO OESTE</v>
          </cell>
          <cell r="G524" t="str">
            <v>SORALI SILVA</v>
          </cell>
          <cell r="H524" t="str">
            <v>HECTOR</v>
          </cell>
          <cell r="I524" t="str">
            <v>C</v>
          </cell>
          <cell r="J524" t="str">
            <v>Activo</v>
          </cell>
          <cell r="K524">
            <v>63597.309419551086</v>
          </cell>
          <cell r="L524">
            <v>6359.7309419551084</v>
          </cell>
          <cell r="M524">
            <v>5268.0532425610681</v>
          </cell>
          <cell r="N524" t="str">
            <v>Si Compra</v>
          </cell>
          <cell r="O524">
            <v>10</v>
          </cell>
          <cell r="P524">
            <v>149907.9601829107</v>
          </cell>
          <cell r="Q524">
            <v>14990.79601829107</v>
          </cell>
          <cell r="R524">
            <v>14254.855067068083</v>
          </cell>
          <cell r="T524"/>
          <cell r="U524"/>
          <cell r="V524">
            <v>0.42424237740245824</v>
          </cell>
          <cell r="W524">
            <v>2.4283910722878687E-4</v>
          </cell>
          <cell r="X524">
            <v>10</v>
          </cell>
          <cell r="Y524" t="str">
            <v>Potenciar</v>
          </cell>
        </row>
        <row r="525">
          <cell r="A525" t="str">
            <v>C610</v>
          </cell>
          <cell r="B525" t="str">
            <v>SANTIAGO EL APOSTOL</v>
          </cell>
          <cell r="C525" t="str">
            <v>CADENA</v>
          </cell>
          <cell r="D525">
            <v>3</v>
          </cell>
          <cell r="E525"/>
          <cell r="F525" t="str">
            <v>ANDES</v>
          </cell>
          <cell r="H525"/>
          <cell r="I525"/>
          <cell r="J525" t="str">
            <v>Inactivo</v>
          </cell>
          <cell r="K525">
            <v>63216.791285833591</v>
          </cell>
          <cell r="L525">
            <v>9030.9701836905133</v>
          </cell>
          <cell r="M525">
            <v>31152.435393495987</v>
          </cell>
          <cell r="N525" t="str">
            <v>Si Compra</v>
          </cell>
          <cell r="O525">
            <v>6</v>
          </cell>
          <cell r="P525">
            <v>100870.16049253651</v>
          </cell>
          <cell r="Q525">
            <v>14410.022927505215</v>
          </cell>
          <cell r="R525">
            <v>22682.918600000001</v>
          </cell>
          <cell r="S525"/>
          <cell r="T525"/>
          <cell r="U525"/>
          <cell r="V525">
            <v>0.62671449095702658</v>
          </cell>
          <cell r="W525">
            <v>3.4483734560993912E-4</v>
          </cell>
          <cell r="X525">
            <v>5</v>
          </cell>
          <cell r="Y525" t="str">
            <v>Proteger</v>
          </cell>
        </row>
        <row r="526">
          <cell r="A526" t="str">
            <v>E298</v>
          </cell>
          <cell r="B526" t="str">
            <v>E298 - FARMACIA FARMA VIDA PLUS, C.A.</v>
          </cell>
          <cell r="C526" t="str">
            <v>INDEPENDIENTE</v>
          </cell>
          <cell r="D526">
            <v>3</v>
          </cell>
          <cell r="F526" t="str">
            <v>CENTRO OESTE</v>
          </cell>
          <cell r="G526">
            <v>0</v>
          </cell>
          <cell r="H526"/>
          <cell r="I526" t="str">
            <v>E</v>
          </cell>
          <cell r="J526" t="str">
            <v>Activo</v>
          </cell>
          <cell r="K526">
            <v>63042.091897415165</v>
          </cell>
          <cell r="L526">
            <v>9006.0131282021666</v>
          </cell>
          <cell r="M526">
            <v>9943.9583294516397</v>
          </cell>
          <cell r="N526" t="str">
            <v>Si Compra</v>
          </cell>
          <cell r="O526">
            <v>7</v>
          </cell>
          <cell r="P526">
            <v>0</v>
          </cell>
          <cell r="Q526">
            <v>0</v>
          </cell>
          <cell r="R526">
            <v>0</v>
          </cell>
          <cell r="V526">
            <v>0</v>
          </cell>
          <cell r="W526">
            <v>3.4388438877431767E-4</v>
          </cell>
          <cell r="X526">
            <v>0</v>
          </cell>
          <cell r="Y526" t="str">
            <v>Conquistar</v>
          </cell>
        </row>
        <row r="527">
          <cell r="A527" t="str">
            <v>-270</v>
          </cell>
          <cell r="B527" t="str">
            <v>-270 - FARMACIA LA BOT. DAMASCO J.G.H,C.A</v>
          </cell>
          <cell r="C527" t="str">
            <v>INDEPENDIENTE</v>
          </cell>
          <cell r="D527">
            <v>3</v>
          </cell>
          <cell r="E527"/>
          <cell r="F527" t="str">
            <v>CARACAS</v>
          </cell>
          <cell r="G527" t="str">
            <v>RAMON SERRANO</v>
          </cell>
          <cell r="H527"/>
          <cell r="I527" t="str">
            <v>CB</v>
          </cell>
          <cell r="J527" t="str">
            <v>Activo</v>
          </cell>
          <cell r="K527">
            <v>62738.604184372933</v>
          </cell>
          <cell r="L527">
            <v>6273.8604184372934</v>
          </cell>
          <cell r="M527">
            <v>5694.8002314351543</v>
          </cell>
          <cell r="N527" t="str">
            <v>Si Compra</v>
          </cell>
          <cell r="O527">
            <v>10</v>
          </cell>
          <cell r="P527">
            <v>75760.798777680626</v>
          </cell>
          <cell r="Q527">
            <v>7576.0798777680629</v>
          </cell>
          <cell r="R527">
            <v>6508.6193268258294</v>
          </cell>
          <cell r="T527"/>
          <cell r="U527"/>
          <cell r="V527">
            <v>0.82811434404854667</v>
          </cell>
          <cell r="W527">
            <v>2.3956023875798893E-4</v>
          </cell>
          <cell r="X527">
            <v>10</v>
          </cell>
          <cell r="Y527" t="str">
            <v>Proteger</v>
          </cell>
        </row>
        <row r="528">
          <cell r="A528" t="str">
            <v>N26</v>
          </cell>
          <cell r="B528" t="str">
            <v>N26 - FARMACIA LA GRAN VIA S.R.L</v>
          </cell>
          <cell r="C528" t="str">
            <v>INDEPENDIENTE</v>
          </cell>
          <cell r="D528">
            <v>3</v>
          </cell>
          <cell r="F528" t="str">
            <v>CENTRO OESTE</v>
          </cell>
          <cell r="G528" t="str">
            <v>DIEGO TORI</v>
          </cell>
          <cell r="H528"/>
          <cell r="I528" t="str">
            <v xml:space="preserve">A </v>
          </cell>
          <cell r="J528" t="str">
            <v>Permiso</v>
          </cell>
          <cell r="K528">
            <v>62592.36326429667</v>
          </cell>
          <cell r="L528">
            <v>6259.2363264296673</v>
          </cell>
          <cell r="M528">
            <v>6103.2018191569523</v>
          </cell>
          <cell r="N528" t="str">
            <v>Si Compra</v>
          </cell>
          <cell r="O528">
            <v>10</v>
          </cell>
          <cell r="P528">
            <v>71679.450618417381</v>
          </cell>
          <cell r="Q528">
            <v>7167.9450618417377</v>
          </cell>
          <cell r="R528">
            <v>6243.8471722043541</v>
          </cell>
          <cell r="V528">
            <v>0.87322604629748846</v>
          </cell>
          <cell r="W528">
            <v>2.3900183440416073E-4</v>
          </cell>
          <cell r="X528">
            <v>10</v>
          </cell>
          <cell r="Y528" t="str">
            <v>Proteger</v>
          </cell>
        </row>
        <row r="529">
          <cell r="A529" t="str">
            <v>2276</v>
          </cell>
          <cell r="B529" t="str">
            <v>2276 - FARMACIA CAJIGAL C.A.</v>
          </cell>
          <cell r="C529" t="str">
            <v>INDEPENDIENTE</v>
          </cell>
          <cell r="D529">
            <v>3</v>
          </cell>
          <cell r="E529"/>
          <cell r="F529" t="str">
            <v>CARACAS</v>
          </cell>
          <cell r="G529" t="str">
            <v>JHON TORRES</v>
          </cell>
          <cell r="H529"/>
          <cell r="I529" t="str">
            <v>C4</v>
          </cell>
          <cell r="J529" t="str">
            <v>Activo</v>
          </cell>
          <cell r="K529">
            <v>62225.463499957848</v>
          </cell>
          <cell r="L529">
            <v>6222.546349995785</v>
          </cell>
          <cell r="M529">
            <v>5633.4304153275471</v>
          </cell>
          <cell r="N529" t="str">
            <v>Si Compra</v>
          </cell>
          <cell r="O529">
            <v>10</v>
          </cell>
          <cell r="P529">
            <v>303500.58032618463</v>
          </cell>
          <cell r="Q529">
            <v>30350.058032618464</v>
          </cell>
          <cell r="R529">
            <v>31200.76097054956</v>
          </cell>
          <cell r="T529"/>
          <cell r="U529"/>
          <cell r="V529">
            <v>0.20502584684708533</v>
          </cell>
          <cell r="W529">
            <v>2.3760086930001275E-4</v>
          </cell>
          <cell r="X529">
            <v>10</v>
          </cell>
          <cell r="Y529" t="str">
            <v>Conquistar</v>
          </cell>
        </row>
        <row r="530">
          <cell r="A530" t="str">
            <v>9370</v>
          </cell>
          <cell r="B530" t="str">
            <v>9370 - A.C.CENTRO MEDICO DOCENTE LA TRINIDAD</v>
          </cell>
          <cell r="C530" t="str">
            <v>INDEPENDIENTE</v>
          </cell>
          <cell r="D530">
            <v>3</v>
          </cell>
          <cell r="E530"/>
          <cell r="F530" t="str">
            <v>CARACAS</v>
          </cell>
          <cell r="G530">
            <v>0</v>
          </cell>
          <cell r="H530"/>
          <cell r="I530" t="str">
            <v>C8</v>
          </cell>
          <cell r="J530" t="str">
            <v>Permiso</v>
          </cell>
          <cell r="K530">
            <v>62111.13884109549</v>
          </cell>
          <cell r="L530">
            <v>6211.113884109549</v>
          </cell>
          <cell r="M530">
            <v>5139.704242877594</v>
          </cell>
          <cell r="N530" t="str">
            <v>Si Compra</v>
          </cell>
          <cell r="O530">
            <v>10</v>
          </cell>
          <cell r="P530">
            <v>0</v>
          </cell>
          <cell r="Q530">
            <v>0</v>
          </cell>
          <cell r="R530">
            <v>0</v>
          </cell>
          <cell r="T530"/>
          <cell r="U530"/>
          <cell r="V530">
            <v>0</v>
          </cell>
          <cell r="W530">
            <v>2.3716433356688572E-4</v>
          </cell>
          <cell r="X530">
            <v>0</v>
          </cell>
          <cell r="Y530" t="str">
            <v>Conquistar</v>
          </cell>
        </row>
        <row r="531">
          <cell r="A531" t="str">
            <v>C718</v>
          </cell>
          <cell r="B531" t="str">
            <v>FARMAVIAL</v>
          </cell>
          <cell r="C531" t="str">
            <v>GRUPO</v>
          </cell>
          <cell r="D531">
            <v>5</v>
          </cell>
          <cell r="E531"/>
          <cell r="F531" t="str">
            <v>CARACAS</v>
          </cell>
          <cell r="H531"/>
          <cell r="I531"/>
          <cell r="J531" t="str">
            <v>Permiso</v>
          </cell>
          <cell r="K531">
            <v>61993.245947110532</v>
          </cell>
          <cell r="L531">
            <v>7749.1557433888165</v>
          </cell>
          <cell r="M531">
            <v>4835.7990063755051</v>
          </cell>
          <cell r="N531" t="str">
            <v>Si Compra</v>
          </cell>
          <cell r="O531">
            <v>8</v>
          </cell>
          <cell r="P531">
            <v>155504.71926889327</v>
          </cell>
          <cell r="Q531">
            <v>19438.089908611659</v>
          </cell>
          <cell r="R531">
            <v>5438.5861617994497</v>
          </cell>
          <cell r="S531"/>
          <cell r="T531"/>
          <cell r="U531"/>
          <cell r="V531">
            <v>0.39865829306385231</v>
          </cell>
          <cell r="W531">
            <v>2.9589271616620687E-4</v>
          </cell>
          <cell r="X531">
            <v>7</v>
          </cell>
          <cell r="Y531" t="str">
            <v>Potenciar</v>
          </cell>
        </row>
        <row r="532">
          <cell r="A532" t="str">
            <v>J200</v>
          </cell>
          <cell r="B532" t="str">
            <v>J200 - FARMA ECONOMIA; C.A.</v>
          </cell>
          <cell r="C532" t="str">
            <v>INDEPENDIENTE</v>
          </cell>
          <cell r="D532">
            <v>3</v>
          </cell>
          <cell r="F532" t="str">
            <v>CENTRO OESTE</v>
          </cell>
          <cell r="G532" t="str">
            <v>YAMILEX LAMEDA</v>
          </cell>
          <cell r="H532" t="str">
            <v>HECTOR</v>
          </cell>
          <cell r="I532" t="str">
            <v>Y1</v>
          </cell>
          <cell r="J532" t="str">
            <v>Inactivo</v>
          </cell>
          <cell r="K532">
            <v>61732.915543837866</v>
          </cell>
          <cell r="L532">
            <v>6859.2128382042074</v>
          </cell>
          <cell r="M532">
            <v>6863.5861839858917</v>
          </cell>
          <cell r="N532" t="str">
            <v>Si Compra</v>
          </cell>
          <cell r="O532">
            <v>9</v>
          </cell>
          <cell r="P532">
            <v>70162.247155272926</v>
          </cell>
          <cell r="Q532">
            <v>7795.8052394747692</v>
          </cell>
          <cell r="R532">
            <v>6791.2442584248101</v>
          </cell>
          <cell r="V532">
            <v>0.87985944075051525</v>
          </cell>
          <cell r="W532">
            <v>2.6191125648621826E-4</v>
          </cell>
          <cell r="X532">
            <v>9</v>
          </cell>
          <cell r="Y532" t="str">
            <v>Proteger</v>
          </cell>
        </row>
        <row r="533">
          <cell r="A533" t="str">
            <v>B051</v>
          </cell>
          <cell r="B533" t="str">
            <v>B051 - FARMACIA MILLENIUM, C.A</v>
          </cell>
          <cell r="C533" t="str">
            <v>INDEPENDIENTE</v>
          </cell>
          <cell r="D533">
            <v>3</v>
          </cell>
          <cell r="E533"/>
          <cell r="F533" t="str">
            <v>CENTRO ESTE</v>
          </cell>
          <cell r="G533" t="str">
            <v>KARLA SALAZAR</v>
          </cell>
          <cell r="H533"/>
          <cell r="I533" t="str">
            <v>H</v>
          </cell>
          <cell r="J533" t="str">
            <v>Activo</v>
          </cell>
          <cell r="K533">
            <v>61502.950553543298</v>
          </cell>
          <cell r="L533">
            <v>6150.2950553543296</v>
          </cell>
          <cell r="M533">
            <v>4574.335458040222</v>
          </cell>
          <cell r="N533" t="str">
            <v>Si Compra</v>
          </cell>
          <cell r="O533">
            <v>10</v>
          </cell>
          <cell r="P533">
            <v>110697.47429381874</v>
          </cell>
          <cell r="Q533">
            <v>11069.747429381874</v>
          </cell>
          <cell r="R533">
            <v>6002.1560546894661</v>
          </cell>
          <cell r="T533"/>
          <cell r="U533"/>
          <cell r="V533">
            <v>0.55559488548310598</v>
          </cell>
          <cell r="W533">
            <v>2.3484203562497348E-4</v>
          </cell>
          <cell r="X533">
            <v>10</v>
          </cell>
          <cell r="Y533" t="str">
            <v>Potenciar</v>
          </cell>
        </row>
        <row r="534">
          <cell r="A534" t="str">
            <v>4978</v>
          </cell>
          <cell r="B534" t="str">
            <v>J.B.M.F.I</v>
          </cell>
          <cell r="C534" t="e">
            <v>#N/A</v>
          </cell>
          <cell r="D534">
            <v>9</v>
          </cell>
          <cell r="E534"/>
          <cell r="F534" t="str">
            <v>CARACAS</v>
          </cell>
          <cell r="H534"/>
          <cell r="I534"/>
          <cell r="J534" t="str">
            <v>Inactivo</v>
          </cell>
          <cell r="K534">
            <v>61334.102125694233</v>
          </cell>
          <cell r="L534">
            <v>15333.525531423558</v>
          </cell>
          <cell r="M534">
            <v>17871.329975231409</v>
          </cell>
          <cell r="N534" t="str">
            <v>Si Compra</v>
          </cell>
          <cell r="O534">
            <v>4</v>
          </cell>
          <cell r="P534">
            <v>7019.089568720894</v>
          </cell>
          <cell r="Q534">
            <v>7019.089568720894</v>
          </cell>
          <cell r="R534">
            <v>7019.089568720894</v>
          </cell>
          <cell r="S534"/>
          <cell r="T534"/>
          <cell r="U534"/>
          <cell r="V534">
            <v>2.1845462123398756</v>
          </cell>
          <cell r="W534">
            <v>5.8549326767210743E-4</v>
          </cell>
          <cell r="X534">
            <v>1</v>
          </cell>
          <cell r="Y534" t="str">
            <v>Proteger</v>
          </cell>
        </row>
        <row r="535">
          <cell r="A535">
            <v>0</v>
          </cell>
          <cell r="B535" t="str">
            <v>S386 - MULTITIENDA LA NUEVA ALIANZA, C.A.</v>
          </cell>
          <cell r="C535" t="e">
            <v>#N/A</v>
          </cell>
          <cell r="D535">
            <v>0</v>
          </cell>
          <cell r="E535"/>
          <cell r="F535" t="str">
            <v>MARACAIBO</v>
          </cell>
          <cell r="G535">
            <v>0</v>
          </cell>
          <cell r="H535"/>
          <cell r="I535" t="str">
            <v>S1</v>
          </cell>
          <cell r="J535" t="str">
            <v>Activo</v>
          </cell>
          <cell r="K535">
            <v>61066.220939985411</v>
          </cell>
          <cell r="L535">
            <v>6106.6220939985415</v>
          </cell>
          <cell r="M535">
            <v>5924.9828827747015</v>
          </cell>
          <cell r="N535" t="str">
            <v>Si Compra</v>
          </cell>
          <cell r="O535">
            <v>10</v>
          </cell>
          <cell r="P535">
            <v>0</v>
          </cell>
          <cell r="Q535">
            <v>0</v>
          </cell>
          <cell r="R535">
            <v>0</v>
          </cell>
          <cell r="T535"/>
          <cell r="U535"/>
          <cell r="V535">
            <v>0</v>
          </cell>
          <cell r="W535">
            <v>2.3317443316781409E-4</v>
          </cell>
          <cell r="X535">
            <v>0</v>
          </cell>
          <cell r="Y535" t="str">
            <v>Conquistar</v>
          </cell>
        </row>
        <row r="536">
          <cell r="A536" t="str">
            <v>4989</v>
          </cell>
          <cell r="B536" t="str">
            <v>4989 - FARMA FAMILY, C.A.</v>
          </cell>
          <cell r="C536" t="str">
            <v>INDEPENDIENTE</v>
          </cell>
          <cell r="D536">
            <v>3</v>
          </cell>
          <cell r="E536"/>
          <cell r="F536" t="str">
            <v>ANDES</v>
          </cell>
          <cell r="G536" t="str">
            <v>ZULAY PARRA</v>
          </cell>
          <cell r="H536"/>
          <cell r="I536" t="str">
            <v>5</v>
          </cell>
          <cell r="J536" t="str">
            <v>Activo</v>
          </cell>
          <cell r="K536">
            <v>60953.150706134045</v>
          </cell>
          <cell r="L536">
            <v>6095.3150706134047</v>
          </cell>
          <cell r="M536">
            <v>6473.2061351754464</v>
          </cell>
          <cell r="N536" t="str">
            <v>Si Compra</v>
          </cell>
          <cell r="O536">
            <v>10</v>
          </cell>
          <cell r="P536">
            <v>602410.87505275384</v>
          </cell>
          <cell r="Q536">
            <v>60241.087505275384</v>
          </cell>
          <cell r="R536">
            <v>50167.266202329782</v>
          </cell>
          <cell r="T536"/>
          <cell r="U536"/>
          <cell r="V536">
            <v>0.10118202248722072</v>
          </cell>
          <cell r="W536">
            <v>2.3274268731420452E-4</v>
          </cell>
          <cell r="X536">
            <v>10</v>
          </cell>
          <cell r="Y536" t="str">
            <v>Conquistar</v>
          </cell>
        </row>
        <row r="537">
          <cell r="A537" t="str">
            <v>D781</v>
          </cell>
          <cell r="B537" t="str">
            <v>D781 - FARMACIA TERRA NOVA, C.A</v>
          </cell>
          <cell r="C537" t="str">
            <v>INDEPENDIENTE</v>
          </cell>
          <cell r="D537">
            <v>3</v>
          </cell>
          <cell r="E537"/>
          <cell r="F537" t="str">
            <v>ANDES</v>
          </cell>
          <cell r="G537">
            <v>0</v>
          </cell>
          <cell r="H537"/>
          <cell r="I537" t="str">
            <v>5</v>
          </cell>
          <cell r="J537" t="str">
            <v>Activo</v>
          </cell>
          <cell r="K537">
            <v>60767.746577700906</v>
          </cell>
          <cell r="L537">
            <v>6076.7746577700909</v>
          </cell>
          <cell r="M537">
            <v>6568.1123794338064</v>
          </cell>
          <cell r="N537" t="str">
            <v>Si Compra</v>
          </cell>
          <cell r="O537">
            <v>10</v>
          </cell>
          <cell r="P537">
            <v>0</v>
          </cell>
          <cell r="Q537">
            <v>0</v>
          </cell>
          <cell r="R537">
            <v>0</v>
          </cell>
          <cell r="T537"/>
          <cell r="U537"/>
          <cell r="V537">
            <v>0</v>
          </cell>
          <cell r="W537">
            <v>2.3203474269459465E-4</v>
          </cell>
          <cell r="X537">
            <v>0</v>
          </cell>
          <cell r="Y537" t="str">
            <v>Conquistar</v>
          </cell>
        </row>
        <row r="538">
          <cell r="A538" t="str">
            <v>8302</v>
          </cell>
          <cell r="B538" t="str">
            <v>8302 - FARMACIA HELEN 2011,COMPAÑIA ANONIMA</v>
          </cell>
          <cell r="C538" t="str">
            <v>INDEPENDIENTE</v>
          </cell>
          <cell r="D538">
            <v>3</v>
          </cell>
          <cell r="E538"/>
          <cell r="F538" t="str">
            <v>ANDES</v>
          </cell>
          <cell r="G538" t="str">
            <v>RAYNE ANDREINA NAVA</v>
          </cell>
          <cell r="H538"/>
          <cell r="I538" t="str">
            <v>G1</v>
          </cell>
          <cell r="J538" t="str">
            <v>Permiso</v>
          </cell>
          <cell r="K538">
            <v>60759.454772361823</v>
          </cell>
          <cell r="L538">
            <v>6075.9454772361823</v>
          </cell>
          <cell r="M538">
            <v>6020.9682669721888</v>
          </cell>
          <cell r="N538" t="str">
            <v>Si Compra</v>
          </cell>
          <cell r="O538">
            <v>10</v>
          </cell>
          <cell r="P538">
            <v>514225.21468463773</v>
          </cell>
          <cell r="Q538">
            <v>51422.521468463776</v>
          </cell>
          <cell r="R538">
            <v>56263.52891334294</v>
          </cell>
          <cell r="T538"/>
          <cell r="U538"/>
          <cell r="V538">
            <v>0.11815728407955291</v>
          </cell>
          <cell r="W538">
            <v>2.3200308137709183E-4</v>
          </cell>
          <cell r="X538">
            <v>10</v>
          </cell>
          <cell r="Y538" t="str">
            <v>Conquistar</v>
          </cell>
        </row>
        <row r="539">
          <cell r="A539" t="str">
            <v>B395</v>
          </cell>
          <cell r="B539" t="str">
            <v>ECOFARMA</v>
          </cell>
          <cell r="C539" t="str">
            <v>GRUPO</v>
          </cell>
          <cell r="D539">
            <v>12</v>
          </cell>
          <cell r="E539"/>
          <cell r="F539" t="str">
            <v>ESTE</v>
          </cell>
          <cell r="H539"/>
          <cell r="I539"/>
          <cell r="J539" t="str">
            <v>Inactivo</v>
          </cell>
          <cell r="K539">
            <v>60567.221335945214</v>
          </cell>
          <cell r="L539">
            <v>6056.7221335945214</v>
          </cell>
          <cell r="M539">
            <v>6952.4612783724178</v>
          </cell>
          <cell r="N539" t="str">
            <v>Si Compra</v>
          </cell>
          <cell r="O539">
            <v>10</v>
          </cell>
          <cell r="P539">
            <v>1017131.0845010746</v>
          </cell>
          <cell r="Q539">
            <v>101713.10845010747</v>
          </cell>
          <cell r="R539">
            <v>87290.963514281641</v>
          </cell>
          <cell r="S539"/>
          <cell r="T539"/>
          <cell r="U539"/>
          <cell r="V539">
            <v>5.9547114682523716E-2</v>
          </cell>
          <cell r="W539">
            <v>2.312690598201267E-4</v>
          </cell>
          <cell r="X539">
            <v>10</v>
          </cell>
          <cell r="Y539" t="str">
            <v>Conquistar</v>
          </cell>
        </row>
        <row r="540">
          <cell r="A540" t="str">
            <v>D934</v>
          </cell>
          <cell r="B540" t="str">
            <v>D934 - FARMACIA EXPRESS C.A.</v>
          </cell>
          <cell r="C540" t="str">
            <v>INDEPENDIENTE</v>
          </cell>
          <cell r="D540">
            <v>3</v>
          </cell>
          <cell r="E540"/>
          <cell r="F540" t="str">
            <v>ESTE</v>
          </cell>
          <cell r="G540">
            <v>0</v>
          </cell>
          <cell r="H540"/>
          <cell r="I540" t="str">
            <v>A5</v>
          </cell>
          <cell r="J540" t="str">
            <v>Activo</v>
          </cell>
          <cell r="K540">
            <v>60491.130428564851</v>
          </cell>
          <cell r="L540">
            <v>6049.1130428564848</v>
          </cell>
          <cell r="M540">
            <v>4691.6083582059491</v>
          </cell>
          <cell r="N540" t="str">
            <v>Si Compra</v>
          </cell>
          <cell r="O540">
            <v>10</v>
          </cell>
          <cell r="P540">
            <v>0</v>
          </cell>
          <cell r="Q540">
            <v>0</v>
          </cell>
          <cell r="R540">
            <v>0</v>
          </cell>
          <cell r="T540"/>
          <cell r="U540"/>
          <cell r="V540">
            <v>0</v>
          </cell>
          <cell r="W540">
            <v>2.3097851532720518E-4</v>
          </cell>
          <cell r="X540">
            <v>0</v>
          </cell>
          <cell r="Y540" t="str">
            <v>Conquistar</v>
          </cell>
        </row>
        <row r="541">
          <cell r="A541" t="str">
            <v>9999</v>
          </cell>
          <cell r="B541" t="str">
            <v>9999 - FARMACIA LOS CLAROS, C.A</v>
          </cell>
          <cell r="C541" t="str">
            <v>INDEPENDIENTE</v>
          </cell>
          <cell r="D541">
            <v>2</v>
          </cell>
          <cell r="E541"/>
          <cell r="F541" t="str">
            <v>CENTRO OESTE</v>
          </cell>
          <cell r="G541" t="str">
            <v>SORALI SILVA</v>
          </cell>
          <cell r="H541"/>
          <cell r="I541" t="str">
            <v>L</v>
          </cell>
          <cell r="J541" t="str">
            <v>Activo</v>
          </cell>
          <cell r="K541">
            <v>60212.461779939396</v>
          </cell>
          <cell r="L541">
            <v>6690.2735311043771</v>
          </cell>
          <cell r="M541">
            <v>2530.524626972835</v>
          </cell>
          <cell r="N541" t="str">
            <v>Si Compra</v>
          </cell>
          <cell r="O541">
            <v>9</v>
          </cell>
          <cell r="P541">
            <v>130561.23507611436</v>
          </cell>
          <cell r="Q541">
            <v>14506.803897346041</v>
          </cell>
          <cell r="R541">
            <v>5555.0319982432575</v>
          </cell>
          <cell r="T541"/>
          <cell r="U541"/>
          <cell r="V541">
            <v>0.46118177225297258</v>
          </cell>
          <cell r="W541">
            <v>2.5546050080387791E-4</v>
          </cell>
          <cell r="X541">
            <v>9</v>
          </cell>
          <cell r="Y541" t="str">
            <v>Potenciar</v>
          </cell>
        </row>
        <row r="542">
          <cell r="A542" t="str">
            <v>B513</v>
          </cell>
          <cell r="B542" t="str">
            <v>B513 - FARMACIA MAS SALUD, C.A</v>
          </cell>
          <cell r="C542" t="str">
            <v>INDEPENDIENTE</v>
          </cell>
          <cell r="D542">
            <v>3</v>
          </cell>
          <cell r="E542"/>
          <cell r="F542" t="str">
            <v>CARACAS</v>
          </cell>
          <cell r="G542" t="str">
            <v>JHON TORRES</v>
          </cell>
          <cell r="H542"/>
          <cell r="I542" t="str">
            <v>C4</v>
          </cell>
          <cell r="J542" t="str">
            <v>Activo</v>
          </cell>
          <cell r="K542">
            <v>60123.503523846804</v>
          </cell>
          <cell r="L542">
            <v>6012.3503523846803</v>
          </cell>
          <cell r="M542">
            <v>5629.9822531851896</v>
          </cell>
          <cell r="N542" t="str">
            <v>Si Compra</v>
          </cell>
          <cell r="O542">
            <v>10</v>
          </cell>
          <cell r="P542">
            <v>70527.80170395755</v>
          </cell>
          <cell r="Q542">
            <v>7052.7801703957548</v>
          </cell>
          <cell r="R542">
            <v>6034.1020422530964</v>
          </cell>
          <cell r="T542"/>
          <cell r="U542"/>
          <cell r="V542">
            <v>0.85247947718854078</v>
          </cell>
          <cell r="W542">
            <v>2.2957477372005525E-4</v>
          </cell>
          <cell r="X542">
            <v>10</v>
          </cell>
          <cell r="Y542" t="str">
            <v>Proteger</v>
          </cell>
        </row>
        <row r="543">
          <cell r="A543" t="str">
            <v>5506</v>
          </cell>
          <cell r="B543" t="str">
            <v>5506 - FARMACIA FARMAMEDICA CORO C.A</v>
          </cell>
          <cell r="C543" t="str">
            <v>INDEPENDIENTE</v>
          </cell>
          <cell r="D543">
            <v>3</v>
          </cell>
          <cell r="E543"/>
          <cell r="F543" t="str">
            <v>MARACAIBO</v>
          </cell>
          <cell r="G543" t="str">
            <v>MARIA FUSELLA</v>
          </cell>
          <cell r="H543"/>
          <cell r="I543" t="str">
            <v>BZ</v>
          </cell>
          <cell r="J543" t="str">
            <v>Activo</v>
          </cell>
          <cell r="K543">
            <v>59905.329609035798</v>
          </cell>
          <cell r="L543">
            <v>5990.5329609035798</v>
          </cell>
          <cell r="M543">
            <v>5023.4257279943058</v>
          </cell>
          <cell r="N543" t="str">
            <v>Si Compra</v>
          </cell>
          <cell r="O543">
            <v>10</v>
          </cell>
          <cell r="P543">
            <v>111070.64254095644</v>
          </cell>
          <cell r="Q543">
            <v>11107.064254095643</v>
          </cell>
          <cell r="R543">
            <v>9182.2106435722944</v>
          </cell>
          <cell r="T543"/>
          <cell r="U543"/>
          <cell r="V543">
            <v>0.53934440495332669</v>
          </cell>
          <cell r="W543">
            <v>2.2874170139078741E-4</v>
          </cell>
          <cell r="X543">
            <v>10</v>
          </cell>
          <cell r="Y543" t="str">
            <v>Potenciar</v>
          </cell>
        </row>
        <row r="544">
          <cell r="A544" t="str">
            <v>D247</v>
          </cell>
          <cell r="B544" t="str">
            <v>D247 - FARMACIA SANTA BARBARA I C.A.</v>
          </cell>
          <cell r="C544" t="str">
            <v>INDEPENDIENTE</v>
          </cell>
          <cell r="D544">
            <v>2</v>
          </cell>
          <cell r="E544"/>
          <cell r="F544" t="str">
            <v>ESTE</v>
          </cell>
          <cell r="G544" t="str">
            <v>CARMEN ALCALA</v>
          </cell>
          <cell r="H544"/>
          <cell r="I544" t="str">
            <v>A0</v>
          </cell>
          <cell r="J544" t="str">
            <v>Inactivo</v>
          </cell>
          <cell r="K544">
            <v>59701.715675681429</v>
          </cell>
          <cell r="L544">
            <v>7462.7144594601787</v>
          </cell>
          <cell r="M544">
            <v>2888.9077000000002</v>
          </cell>
          <cell r="N544" t="str">
            <v>Si Compra</v>
          </cell>
          <cell r="O544">
            <v>8</v>
          </cell>
          <cell r="P544">
            <v>3347457.705108929</v>
          </cell>
          <cell r="Q544">
            <v>418432.21313861612</v>
          </cell>
          <cell r="R544">
            <v>709247.64194999996</v>
          </cell>
          <cell r="T544"/>
          <cell r="U544"/>
          <cell r="V544">
            <v>1.783494249518492E-2</v>
          </cell>
          <cell r="W544">
            <v>2.8495528087255057E-4</v>
          </cell>
          <cell r="X544">
            <v>8</v>
          </cell>
          <cell r="Y544" t="str">
            <v>Conquistar</v>
          </cell>
        </row>
        <row r="545">
          <cell r="A545" t="str">
            <v>B364</v>
          </cell>
          <cell r="B545" t="str">
            <v>B364 - FARMACIA EL CRUCE, C.A.</v>
          </cell>
          <cell r="C545" t="str">
            <v>INDEPENDIENTE</v>
          </cell>
          <cell r="D545">
            <v>3</v>
          </cell>
          <cell r="E545"/>
          <cell r="F545" t="str">
            <v>MARACAIBO</v>
          </cell>
          <cell r="G545" t="str">
            <v>MARIA FUSELLA</v>
          </cell>
          <cell r="H545"/>
          <cell r="I545" t="str">
            <v>BZ</v>
          </cell>
          <cell r="J545" t="str">
            <v>Inactivo</v>
          </cell>
          <cell r="K545">
            <v>59643.302143491892</v>
          </cell>
          <cell r="L545">
            <v>5964.3302143491892</v>
          </cell>
          <cell r="M545">
            <v>5541.2656672570374</v>
          </cell>
          <cell r="N545" t="str">
            <v>Si Compra</v>
          </cell>
          <cell r="O545">
            <v>10</v>
          </cell>
          <cell r="P545">
            <v>164748.07121408157</v>
          </cell>
          <cell r="Q545">
            <v>16474.807121408157</v>
          </cell>
          <cell r="R545">
            <v>13056.678515533853</v>
          </cell>
          <cell r="T545"/>
          <cell r="U545"/>
          <cell r="V545">
            <v>0.36202731664147081</v>
          </cell>
          <cell r="W545">
            <v>2.277411792557654E-4</v>
          </cell>
          <cell r="X545">
            <v>10</v>
          </cell>
          <cell r="Y545" t="str">
            <v>Potenciar</v>
          </cell>
        </row>
        <row r="546">
          <cell r="A546" t="str">
            <v>0716</v>
          </cell>
          <cell r="B546" t="str">
            <v>0716 - FARMACIA SAN RAFAEL, C.A.</v>
          </cell>
          <cell r="C546" t="e">
            <v>#N/A</v>
          </cell>
          <cell r="D546">
            <v>3</v>
          </cell>
          <cell r="E546"/>
          <cell r="F546" t="str">
            <v>ESTE</v>
          </cell>
          <cell r="G546" t="str">
            <v>PEDRO VIRE</v>
          </cell>
          <cell r="H546"/>
          <cell r="I546" t="str">
            <v>A7</v>
          </cell>
          <cell r="J546" t="str">
            <v>Activo</v>
          </cell>
          <cell r="K546">
            <v>59567.302538026001</v>
          </cell>
          <cell r="L546">
            <v>5956.7302538025997</v>
          </cell>
          <cell r="M546">
            <v>4223.6310560907832</v>
          </cell>
          <cell r="N546" t="str">
            <v>Si Compra</v>
          </cell>
          <cell r="O546">
            <v>10</v>
          </cell>
          <cell r="P546">
            <v>76985.292603698064</v>
          </cell>
          <cell r="Q546">
            <v>7698.5292603698063</v>
          </cell>
          <cell r="R546">
            <v>4415.5477800949457</v>
          </cell>
          <cell r="T546"/>
          <cell r="U546"/>
          <cell r="V546">
            <v>0.77374912172724042</v>
          </cell>
          <cell r="W546">
            <v>2.2745098338884082E-4</v>
          </cell>
          <cell r="X546">
            <v>10</v>
          </cell>
          <cell r="Y546" t="str">
            <v>Proteger</v>
          </cell>
        </row>
        <row r="547">
          <cell r="A547" t="str">
            <v>B018</v>
          </cell>
          <cell r="B547" t="str">
            <v>B018 - FARMACIA CINERA, C.A</v>
          </cell>
          <cell r="C547" t="str">
            <v>INDEPENDIENTE</v>
          </cell>
          <cell r="D547">
            <v>3</v>
          </cell>
          <cell r="E547"/>
          <cell r="F547" t="str">
            <v>MARACAIBO</v>
          </cell>
          <cell r="G547" t="str">
            <v>ADRIANA ALBORNOZ</v>
          </cell>
          <cell r="H547"/>
          <cell r="I547" t="str">
            <v>Q</v>
          </cell>
          <cell r="J547" t="str">
            <v>Activo</v>
          </cell>
          <cell r="K547">
            <v>59474.909135783215</v>
          </cell>
          <cell r="L547">
            <v>5947.4909135783219</v>
          </cell>
          <cell r="M547">
            <v>8620.0859413375747</v>
          </cell>
          <cell r="N547" t="str">
            <v>Si Compra</v>
          </cell>
          <cell r="O547">
            <v>10</v>
          </cell>
          <cell r="P547">
            <v>220634.30927752331</v>
          </cell>
          <cell r="Q547">
            <v>22063.430927752332</v>
          </cell>
          <cell r="R547">
            <v>14630.123554345528</v>
          </cell>
          <cell r="T547"/>
          <cell r="U547"/>
          <cell r="V547">
            <v>0.26956328474268759</v>
          </cell>
          <cell r="W547">
            <v>2.2709818966974726E-4</v>
          </cell>
          <cell r="X547">
            <v>10</v>
          </cell>
          <cell r="Y547" t="str">
            <v>Potenciar</v>
          </cell>
        </row>
        <row r="548">
          <cell r="A548" t="str">
            <v>D289</v>
          </cell>
          <cell r="B548" t="str">
            <v>D289 - FARMA RAEL, C.A.</v>
          </cell>
          <cell r="C548" t="str">
            <v>INDEPENDIENTE</v>
          </cell>
          <cell r="D548">
            <v>3</v>
          </cell>
          <cell r="E548"/>
          <cell r="F548" t="str">
            <v>ANDES</v>
          </cell>
          <cell r="G548" t="str">
            <v>RAYNE ANDREINA NAVA</v>
          </cell>
          <cell r="H548" t="str">
            <v>VICTOR</v>
          </cell>
          <cell r="I548" t="str">
            <v>G1</v>
          </cell>
          <cell r="J548" t="str">
            <v>Inactivo</v>
          </cell>
          <cell r="K548">
            <v>59064.613900000004</v>
          </cell>
          <cell r="L548">
            <v>5906.4613900000004</v>
          </cell>
          <cell r="M548">
            <v>5378.2023999999992</v>
          </cell>
          <cell r="N548" t="str">
            <v>Si Compra</v>
          </cell>
          <cell r="O548">
            <v>10</v>
          </cell>
          <cell r="P548">
            <v>78191.800499999998</v>
          </cell>
          <cell r="Q548">
            <v>7819.1800499999999</v>
          </cell>
          <cell r="R548">
            <v>5557.299266666666</v>
          </cell>
          <cell r="T548"/>
          <cell r="U548"/>
          <cell r="V548">
            <v>0.75538117196828081</v>
          </cell>
          <cell r="W548">
            <v>2.2553152388361277E-4</v>
          </cell>
          <cell r="X548">
            <v>10</v>
          </cell>
          <cell r="Y548" t="str">
            <v>Proteger</v>
          </cell>
        </row>
        <row r="549">
          <cell r="A549" t="str">
            <v>E160</v>
          </cell>
          <cell r="B549" t="str">
            <v>E160 - COMERCIAL LA JUNCAL C.A.</v>
          </cell>
          <cell r="C549" t="str">
            <v>INDEPENDIENTE</v>
          </cell>
          <cell r="D549">
            <v>3</v>
          </cell>
          <cell r="F549" t="str">
            <v>ESTE</v>
          </cell>
          <cell r="G549">
            <v>0</v>
          </cell>
          <cell r="H549"/>
          <cell r="I549" t="str">
            <v>A5</v>
          </cell>
          <cell r="J549" t="str">
            <v>Activo</v>
          </cell>
          <cell r="K549">
            <v>58752.021522789117</v>
          </cell>
          <cell r="L549">
            <v>7344.0026903486396</v>
          </cell>
          <cell r="M549">
            <v>7044.8457549005843</v>
          </cell>
          <cell r="N549" t="str">
            <v>Si Compra</v>
          </cell>
          <cell r="O549">
            <v>8</v>
          </cell>
          <cell r="P549">
            <v>0</v>
          </cell>
          <cell r="Q549">
            <v>0</v>
          </cell>
          <cell r="R549">
            <v>0</v>
          </cell>
          <cell r="V549">
            <v>0</v>
          </cell>
          <cell r="W549">
            <v>2.8042240671612693E-4</v>
          </cell>
          <cell r="X549">
            <v>0</v>
          </cell>
          <cell r="Y549" t="str">
            <v>Conquistar</v>
          </cell>
        </row>
        <row r="550">
          <cell r="A550" t="str">
            <v>7816</v>
          </cell>
          <cell r="B550" t="str">
            <v>7816 - FARMACIA FARMA HOGAR 3000, C.A</v>
          </cell>
          <cell r="C550" t="str">
            <v>INDEPENDIENTE</v>
          </cell>
          <cell r="D550">
            <v>3</v>
          </cell>
          <cell r="E550"/>
          <cell r="F550" t="str">
            <v>ESTE</v>
          </cell>
          <cell r="G550" t="str">
            <v>IRAIDA RODRIGUEZ</v>
          </cell>
          <cell r="H550"/>
          <cell r="I550" t="str">
            <v>AB</v>
          </cell>
          <cell r="J550" t="str">
            <v>Activo</v>
          </cell>
          <cell r="K550">
            <v>58670.075449948163</v>
          </cell>
          <cell r="L550">
            <v>5867.0075449948163</v>
          </cell>
          <cell r="M550">
            <v>2387.8825000000002</v>
          </cell>
          <cell r="N550" t="str">
            <v>Si Compra</v>
          </cell>
          <cell r="O550">
            <v>10</v>
          </cell>
          <cell r="P550">
            <v>278247.86589947931</v>
          </cell>
          <cell r="Q550">
            <v>27824.786589947929</v>
          </cell>
          <cell r="R550">
            <v>30803.137500000001</v>
          </cell>
          <cell r="T550"/>
          <cell r="U550"/>
          <cell r="V550">
            <v>0.21085543732846992</v>
          </cell>
          <cell r="W550">
            <v>2.2402502359527565E-4</v>
          </cell>
          <cell r="X550">
            <v>10</v>
          </cell>
          <cell r="Y550" t="str">
            <v>Potenciar</v>
          </cell>
        </row>
        <row r="551">
          <cell r="A551" t="str">
            <v>4229</v>
          </cell>
          <cell r="B551" t="str">
            <v>CHIVEN</v>
          </cell>
          <cell r="C551" t="str">
            <v>GRUPO</v>
          </cell>
          <cell r="D551">
            <v>9</v>
          </cell>
          <cell r="E551"/>
          <cell r="F551" t="str">
            <v>CENTRO ESTE</v>
          </cell>
          <cell r="H551"/>
          <cell r="I551"/>
          <cell r="J551" t="str">
            <v>Activo</v>
          </cell>
          <cell r="K551">
            <v>58542.954791682212</v>
          </cell>
          <cell r="L551">
            <v>5854.2954791682214</v>
          </cell>
          <cell r="M551">
            <v>5736.9449575866674</v>
          </cell>
          <cell r="N551" t="str">
            <v>Si Compra</v>
          </cell>
          <cell r="O551">
            <v>10</v>
          </cell>
          <cell r="P551">
            <v>224783.21259568678</v>
          </cell>
          <cell r="Q551">
            <v>24975.912510631864</v>
          </cell>
          <cell r="R551">
            <v>29356.326258529996</v>
          </cell>
          <cell r="S551"/>
          <cell r="T551"/>
          <cell r="U551"/>
          <cell r="V551">
            <v>0.23439766121362482</v>
          </cell>
          <cell r="W551">
            <v>2.2353962779087156E-4</v>
          </cell>
          <cell r="X551">
            <v>9</v>
          </cell>
          <cell r="Y551" t="str">
            <v>Potenciar</v>
          </cell>
        </row>
        <row r="552">
          <cell r="A552" t="str">
            <v>E005</v>
          </cell>
          <cell r="B552" t="str">
            <v>E005 - FARMACIA CENTRO NIRGUA; C.A.</v>
          </cell>
          <cell r="C552" t="str">
            <v>INDEPENDIENTE</v>
          </cell>
          <cell r="D552">
            <v>3</v>
          </cell>
          <cell r="F552" t="str">
            <v>CENTRO OESTE</v>
          </cell>
          <cell r="G552" t="str">
            <v>YAMILEX LAMEDA</v>
          </cell>
          <cell r="H552"/>
          <cell r="I552" t="str">
            <v>Y1</v>
          </cell>
          <cell r="J552" t="str">
            <v>Activo</v>
          </cell>
          <cell r="K552">
            <v>58440.055931822404</v>
          </cell>
          <cell r="L552">
            <v>5844.0055931822408</v>
          </cell>
          <cell r="M552">
            <v>7548.2335999999996</v>
          </cell>
          <cell r="N552" t="str">
            <v>Si Compra</v>
          </cell>
          <cell r="O552">
            <v>10</v>
          </cell>
          <cell r="P552">
            <v>107414.29732474845</v>
          </cell>
          <cell r="Q552">
            <v>10741.429732474844</v>
          </cell>
          <cell r="R552">
            <v>14317.656733333335</v>
          </cell>
          <cell r="V552">
            <v>0.54406217223708186</v>
          </cell>
          <cell r="W552">
            <v>2.2314672017431861E-4</v>
          </cell>
          <cell r="X552">
            <v>10</v>
          </cell>
          <cell r="Y552" t="str">
            <v>Potenciar</v>
          </cell>
        </row>
        <row r="553">
          <cell r="A553" t="str">
            <v>O305</v>
          </cell>
          <cell r="B553" t="str">
            <v>O305 - FARMACIA LA NUEVA JERUSALEN, C.A.</v>
          </cell>
          <cell r="C553" t="str">
            <v>INDEPENDIENTE</v>
          </cell>
          <cell r="D553">
            <v>3</v>
          </cell>
          <cell r="F553" t="str">
            <v>CENTRO ESTE</v>
          </cell>
          <cell r="G553" t="str">
            <v>KARLA SALAZAR</v>
          </cell>
          <cell r="H553"/>
          <cell r="I553" t="str">
            <v>O</v>
          </cell>
          <cell r="J553" t="str">
            <v>Activo</v>
          </cell>
          <cell r="K553">
            <v>58438.183160831701</v>
          </cell>
          <cell r="L553">
            <v>5843.8183160831704</v>
          </cell>
          <cell r="M553">
            <v>5883.0442143614318</v>
          </cell>
          <cell r="N553" t="str">
            <v>Si Compra</v>
          </cell>
          <cell r="O553">
            <v>10</v>
          </cell>
          <cell r="P553">
            <v>75422.126957824061</v>
          </cell>
          <cell r="Q553">
            <v>7542.2126957824057</v>
          </cell>
          <cell r="R553">
            <v>6298.4275477929559</v>
          </cell>
          <cell r="V553">
            <v>0.77481483906586524</v>
          </cell>
          <cell r="W553">
            <v>2.2313956921086471E-4</v>
          </cell>
          <cell r="X553">
            <v>10</v>
          </cell>
          <cell r="Y553" t="str">
            <v>Proteger</v>
          </cell>
        </row>
        <row r="554">
          <cell r="A554" t="str">
            <v>P32</v>
          </cell>
          <cell r="B554" t="str">
            <v>P32 - FARMACIA PROFESIONAL C.A.</v>
          </cell>
          <cell r="C554" t="str">
            <v>INDEPENDIENTE</v>
          </cell>
          <cell r="D554">
            <v>3</v>
          </cell>
          <cell r="F554" t="str">
            <v>CENTRO OESTE</v>
          </cell>
          <cell r="G554" t="str">
            <v>JOSE LUIS GARCIA</v>
          </cell>
          <cell r="H554"/>
          <cell r="I554" t="str">
            <v xml:space="preserve">Y </v>
          </cell>
          <cell r="J554" t="str">
            <v>Inactivo</v>
          </cell>
          <cell r="K554">
            <v>58336.008771660723</v>
          </cell>
          <cell r="L554">
            <v>5833.6008771660727</v>
          </cell>
          <cell r="M554">
            <v>5064.841789031806</v>
          </cell>
          <cell r="N554" t="str">
            <v>Si Compra</v>
          </cell>
          <cell r="O554">
            <v>10</v>
          </cell>
          <cell r="P554">
            <v>58653.184597541585</v>
          </cell>
          <cell r="Q554">
            <v>5865.3184597541585</v>
          </cell>
          <cell r="R554">
            <v>5212.7930660050542</v>
          </cell>
          <cell r="V554">
            <v>0.99459235115608446</v>
          </cell>
          <cell r="W554">
            <v>2.2274942790340399E-4</v>
          </cell>
          <cell r="X554">
            <v>10</v>
          </cell>
          <cell r="Y554" t="str">
            <v>Proteger</v>
          </cell>
        </row>
        <row r="555">
          <cell r="A555" t="str">
            <v>A901</v>
          </cell>
          <cell r="B555" t="str">
            <v>A901 - INVER-TORRES, C.A.</v>
          </cell>
          <cell r="C555" t="str">
            <v>INDEPENDIENTE</v>
          </cell>
          <cell r="D555">
            <v>3</v>
          </cell>
          <cell r="E555"/>
          <cell r="F555" t="str">
            <v>ANDES</v>
          </cell>
          <cell r="G555" t="str">
            <v>MILAGRO BRICEñO</v>
          </cell>
          <cell r="H555" t="str">
            <v>VICTOR</v>
          </cell>
          <cell r="I555" t="str">
            <v>G</v>
          </cell>
          <cell r="J555" t="str">
            <v>Activo</v>
          </cell>
          <cell r="K555">
            <v>58322.691411052292</v>
          </cell>
          <cell r="L555">
            <v>5832.2691411052292</v>
          </cell>
          <cell r="M555">
            <v>2749.6218502028082</v>
          </cell>
          <cell r="N555" t="str">
            <v>Si Compra</v>
          </cell>
          <cell r="O555">
            <v>10</v>
          </cell>
          <cell r="P555">
            <v>229887.55808237637</v>
          </cell>
          <cell r="Q555">
            <v>22988.755808237638</v>
          </cell>
          <cell r="R555">
            <v>23858.776377714519</v>
          </cell>
          <cell r="T555"/>
          <cell r="U555"/>
          <cell r="V555">
            <v>0.25370094796584564</v>
          </cell>
          <cell r="W555">
            <v>2.2269857707354481E-4</v>
          </cell>
          <cell r="X555">
            <v>10</v>
          </cell>
          <cell r="Y555" t="str">
            <v>Potenciar</v>
          </cell>
        </row>
        <row r="556">
          <cell r="A556">
            <v>0</v>
          </cell>
          <cell r="B556" t="str">
            <v>B792 - ALVAREZ "FARMACIA SAN MIGUEL" F.P</v>
          </cell>
          <cell r="C556" t="str">
            <v>INDEPENDIENTE</v>
          </cell>
          <cell r="D556">
            <v>0</v>
          </cell>
          <cell r="E556"/>
          <cell r="F556" t="str">
            <v>CENTRO OESTE</v>
          </cell>
          <cell r="G556" t="str">
            <v>LUIS PLACERES</v>
          </cell>
          <cell r="H556" t="str">
            <v>HECTOR</v>
          </cell>
          <cell r="I556" t="str">
            <v>E</v>
          </cell>
          <cell r="J556" t="str">
            <v>Activo</v>
          </cell>
          <cell r="K556">
            <v>58179.2737944291</v>
          </cell>
          <cell r="L556">
            <v>5817.92737944291</v>
          </cell>
          <cell r="M556">
            <v>4996.5398518683105</v>
          </cell>
          <cell r="N556" t="str">
            <v>Si Compra</v>
          </cell>
          <cell r="O556">
            <v>10</v>
          </cell>
          <cell r="P556">
            <v>179460.01058996216</v>
          </cell>
          <cell r="Q556">
            <v>17946.001058996215</v>
          </cell>
          <cell r="R556">
            <v>16313.439145075599</v>
          </cell>
          <cell r="T556"/>
          <cell r="U556"/>
          <cell r="V556">
            <v>0.32419074089636368</v>
          </cell>
          <cell r="W556">
            <v>2.2215095318348525E-4</v>
          </cell>
          <cell r="X556">
            <v>10</v>
          </cell>
          <cell r="Y556" t="str">
            <v>Potenciar</v>
          </cell>
        </row>
        <row r="557">
          <cell r="A557" t="str">
            <v>1787</v>
          </cell>
          <cell r="B557" t="str">
            <v>1787 - FARMACIA SANTA ROSA, C.A</v>
          </cell>
          <cell r="C557" t="str">
            <v>INDEPENDIENTE</v>
          </cell>
          <cell r="D557">
            <v>3</v>
          </cell>
          <cell r="E557"/>
          <cell r="F557" t="str">
            <v>ESTE</v>
          </cell>
          <cell r="G557" t="str">
            <v>CARMEN ALCALA</v>
          </cell>
          <cell r="H557"/>
          <cell r="I557" t="str">
            <v>A6</v>
          </cell>
          <cell r="J557" t="str">
            <v>Activo</v>
          </cell>
          <cell r="K557">
            <v>57995.833563252178</v>
          </cell>
          <cell r="L557">
            <v>5799.5833563252181</v>
          </cell>
          <cell r="M557">
            <v>5766.8133955566491</v>
          </cell>
          <cell r="N557" t="str">
            <v>Si Compra</v>
          </cell>
          <cell r="O557">
            <v>10</v>
          </cell>
          <cell r="P557">
            <v>74874.977869265422</v>
          </cell>
          <cell r="Q557">
            <v>7487.4977869265422</v>
          </cell>
          <cell r="R557">
            <v>8140.9120369746115</v>
          </cell>
          <cell r="T557"/>
          <cell r="U557"/>
          <cell r="V557">
            <v>0.77456895766320133</v>
          </cell>
          <cell r="W557">
            <v>2.2145050748263061E-4</v>
          </cell>
          <cell r="X557">
            <v>10</v>
          </cell>
          <cell r="Y557" t="str">
            <v>Proteger</v>
          </cell>
        </row>
        <row r="558">
          <cell r="A558" t="str">
            <v>E391</v>
          </cell>
          <cell r="B558" t="str">
            <v>E391 - FARMACIA Y LABORATORIO TIUNA GLOBAL, C.A</v>
          </cell>
          <cell r="C558" t="e">
            <v>#N/A</v>
          </cell>
          <cell r="D558">
            <v>3</v>
          </cell>
          <cell r="F558" t="str">
            <v>CARACAS</v>
          </cell>
          <cell r="G558">
            <v>0</v>
          </cell>
          <cell r="H558"/>
          <cell r="I558" t="str">
            <v>CB</v>
          </cell>
          <cell r="J558" t="str">
            <v>Activo</v>
          </cell>
          <cell r="K558">
            <v>57919.546535141235</v>
          </cell>
          <cell r="L558">
            <v>9653.2577558568719</v>
          </cell>
          <cell r="M558">
            <v>8841.4106698862706</v>
          </cell>
          <cell r="N558" t="str">
            <v>Si Compra</v>
          </cell>
          <cell r="O558">
            <v>6</v>
          </cell>
          <cell r="P558">
            <v>0</v>
          </cell>
          <cell r="Q558">
            <v>0</v>
          </cell>
          <cell r="R558">
            <v>0</v>
          </cell>
          <cell r="V558">
            <v>0</v>
          </cell>
          <cell r="W558">
            <v>3.6859869020826769E-4</v>
          </cell>
          <cell r="X558">
            <v>0</v>
          </cell>
          <cell r="Y558" t="str">
            <v>Conquistar</v>
          </cell>
        </row>
        <row r="559">
          <cell r="A559" t="str">
            <v>B570</v>
          </cell>
          <cell r="B559" t="str">
            <v>B570 - FARMA OSHE 305, C.A.</v>
          </cell>
          <cell r="C559" t="str">
            <v>INDEPENDIENTE</v>
          </cell>
          <cell r="D559">
            <v>3</v>
          </cell>
          <cell r="E559"/>
          <cell r="F559" t="str">
            <v>CARACAS</v>
          </cell>
          <cell r="G559" t="str">
            <v>RAMON SERRANO</v>
          </cell>
          <cell r="H559" t="str">
            <v>VICTOR</v>
          </cell>
          <cell r="I559" t="str">
            <v>CB</v>
          </cell>
          <cell r="J559" t="str">
            <v>Activo</v>
          </cell>
          <cell r="K559">
            <v>57731.865043617261</v>
          </cell>
          <cell r="L559">
            <v>5773.1865043617263</v>
          </cell>
          <cell r="M559">
            <v>4924.1126002727015</v>
          </cell>
          <cell r="N559" t="str">
            <v>Si Compra</v>
          </cell>
          <cell r="O559">
            <v>10</v>
          </cell>
          <cell r="P559">
            <v>79271.706396872629</v>
          </cell>
          <cell r="Q559">
            <v>7927.1706396872632</v>
          </cell>
          <cell r="R559">
            <v>8880.6433436802599</v>
          </cell>
          <cell r="T559"/>
          <cell r="U559"/>
          <cell r="V559">
            <v>0.72827831855395575</v>
          </cell>
          <cell r="W559">
            <v>2.2044257365288686E-4</v>
          </cell>
          <cell r="X559">
            <v>10</v>
          </cell>
          <cell r="Y559" t="str">
            <v>Proteger</v>
          </cell>
        </row>
        <row r="560">
          <cell r="A560" t="str">
            <v>A826</v>
          </cell>
          <cell r="B560" t="str">
            <v>FARMACIA MAS MEDICA JAVIER BALZA</v>
          </cell>
          <cell r="C560" t="e">
            <v>#N/A</v>
          </cell>
          <cell r="D560">
            <v>15</v>
          </cell>
          <cell r="E560">
            <v>0</v>
          </cell>
          <cell r="F560" t="str">
            <v>ANDES</v>
          </cell>
          <cell r="G560" t="str">
            <v/>
          </cell>
          <cell r="H560" t="str">
            <v>VICTOR</v>
          </cell>
          <cell r="I560">
            <v>0</v>
          </cell>
          <cell r="J560" t="str">
            <v>Inactivo</v>
          </cell>
          <cell r="K560">
            <v>57700.552126895658</v>
          </cell>
          <cell r="L560">
            <v>9616.7586878159436</v>
          </cell>
          <cell r="M560">
            <v>13434.352022234532</v>
          </cell>
          <cell r="N560" t="str">
            <v>Si Compra</v>
          </cell>
          <cell r="O560">
            <v>6</v>
          </cell>
          <cell r="P560">
            <v>135975.52276958773</v>
          </cell>
          <cell r="Q560">
            <v>22662.587128264622</v>
          </cell>
          <cell r="R560">
            <v>17979.640889862578</v>
          </cell>
          <cell r="S560">
            <v>0</v>
          </cell>
          <cell r="T560">
            <v>0</v>
          </cell>
          <cell r="U560">
            <v>0</v>
          </cell>
          <cell r="V560">
            <v>0.42434513912235505</v>
          </cell>
          <cell r="W560">
            <v>3.6720501472440876E-4</v>
          </cell>
          <cell r="X560">
            <v>6</v>
          </cell>
          <cell r="Y560" t="str">
            <v>Potenciar</v>
          </cell>
        </row>
        <row r="561">
          <cell r="A561" t="str">
            <v>E338</v>
          </cell>
          <cell r="B561" t="str">
            <v>E338 - FARMACIA BENPLUS25, C.A</v>
          </cell>
          <cell r="C561" t="e">
            <v>#N/A</v>
          </cell>
          <cell r="D561">
            <v>3</v>
          </cell>
          <cell r="F561" t="str">
            <v>ANDES</v>
          </cell>
          <cell r="G561">
            <v>0</v>
          </cell>
          <cell r="H561"/>
          <cell r="I561" t="str">
            <v>3</v>
          </cell>
          <cell r="J561" t="str">
            <v>Activo</v>
          </cell>
          <cell r="K561">
            <v>57368.729428965788</v>
          </cell>
          <cell r="L561">
            <v>9561.4549048276313</v>
          </cell>
          <cell r="M561">
            <v>7322.1339138951153</v>
          </cell>
          <cell r="N561" t="str">
            <v>Si Compra</v>
          </cell>
          <cell r="O561">
            <v>6</v>
          </cell>
          <cell r="P561">
            <v>0</v>
          </cell>
          <cell r="Q561">
            <v>0</v>
          </cell>
          <cell r="R561">
            <v>0</v>
          </cell>
          <cell r="V561">
            <v>0</v>
          </cell>
          <cell r="W561">
            <v>3.6509330254509952E-4</v>
          </cell>
          <cell r="X561">
            <v>0</v>
          </cell>
          <cell r="Y561" t="str">
            <v>Conquistar</v>
          </cell>
        </row>
        <row r="562">
          <cell r="A562" t="str">
            <v>0479</v>
          </cell>
          <cell r="B562" t="str">
            <v>0479 - CENTRO MEDICO LOIRA,C.A.</v>
          </cell>
          <cell r="C562" t="str">
            <v>INDEPENDIENTE</v>
          </cell>
          <cell r="D562">
            <v>3</v>
          </cell>
          <cell r="E562"/>
          <cell r="F562" t="str">
            <v>CARACAS</v>
          </cell>
          <cell r="G562">
            <v>0</v>
          </cell>
          <cell r="H562"/>
          <cell r="I562" t="str">
            <v>CF</v>
          </cell>
          <cell r="J562" t="str">
            <v>Activo</v>
          </cell>
          <cell r="K562">
            <v>57051.853480437436</v>
          </cell>
          <cell r="L562">
            <v>5705.1853480437439</v>
          </cell>
          <cell r="M562">
            <v>5043.205493479144</v>
          </cell>
          <cell r="N562" t="str">
            <v>Si Compra</v>
          </cell>
          <cell r="O562">
            <v>10</v>
          </cell>
          <cell r="P562">
            <v>0</v>
          </cell>
          <cell r="Q562">
            <v>0</v>
          </cell>
          <cell r="R562">
            <v>0</v>
          </cell>
          <cell r="T562"/>
          <cell r="U562"/>
          <cell r="V562">
            <v>0</v>
          </cell>
          <cell r="W562">
            <v>2.1784602668549149E-4</v>
          </cell>
          <cell r="X562">
            <v>0</v>
          </cell>
          <cell r="Y562" t="str">
            <v>Conquistar</v>
          </cell>
        </row>
        <row r="563">
          <cell r="A563" t="str">
            <v>9024</v>
          </cell>
          <cell r="B563" t="str">
            <v>GRUPO FARMACARIBE</v>
          </cell>
          <cell r="C563" t="str">
            <v>CADENA</v>
          </cell>
          <cell r="D563">
            <v>6</v>
          </cell>
          <cell r="E563"/>
          <cell r="F563" t="str">
            <v>CENTRO OESTE</v>
          </cell>
          <cell r="H563"/>
          <cell r="I563"/>
          <cell r="J563" t="str">
            <v>Suspendido</v>
          </cell>
          <cell r="K563">
            <v>57003.517977547133</v>
          </cell>
          <cell r="L563">
            <v>6333.7242197274591</v>
          </cell>
          <cell r="M563">
            <v>5315.5625661712629</v>
          </cell>
          <cell r="N563" t="str">
            <v>Si Compra</v>
          </cell>
          <cell r="O563">
            <v>8</v>
          </cell>
          <cell r="P563">
            <v>112913.45815839904</v>
          </cell>
          <cell r="Q563">
            <v>12545.939795377672</v>
          </cell>
          <cell r="R563">
            <v>15865.75842826515</v>
          </cell>
          <cell r="S563"/>
          <cell r="T563"/>
          <cell r="U563"/>
          <cell r="V563">
            <v>0.50484254850808441</v>
          </cell>
          <cell r="W563">
            <v>2.4184607006017859E-4</v>
          </cell>
          <cell r="X563">
            <v>8</v>
          </cell>
          <cell r="Y563" t="str">
            <v>Potenciar</v>
          </cell>
        </row>
        <row r="564">
          <cell r="A564" t="str">
            <v>A921</v>
          </cell>
          <cell r="B564" t="str">
            <v>A921 - SUPERMERCADO HATO GRILL LICO, C.A.</v>
          </cell>
          <cell r="C564" t="str">
            <v>INDEPENDIENTE</v>
          </cell>
          <cell r="D564">
            <v>3</v>
          </cell>
          <cell r="E564"/>
          <cell r="F564" t="str">
            <v>ESTE</v>
          </cell>
          <cell r="G564" t="str">
            <v>CARLOS BLONDELL</v>
          </cell>
          <cell r="H564"/>
          <cell r="I564" t="str">
            <v>A3</v>
          </cell>
          <cell r="J564" t="str">
            <v>Inactivo</v>
          </cell>
          <cell r="K564">
            <v>56940.519650459712</v>
          </cell>
          <cell r="L564">
            <v>5694.051965045971</v>
          </cell>
          <cell r="M564">
            <v>5488.2901469382377</v>
          </cell>
          <cell r="N564" t="str">
            <v>Si Compra</v>
          </cell>
          <cell r="O564">
            <v>10</v>
          </cell>
          <cell r="P564">
            <v>341753.15881715313</v>
          </cell>
          <cell r="Q564">
            <v>34175.315881715316</v>
          </cell>
          <cell r="R564">
            <v>30928.248761782859</v>
          </cell>
          <cell r="T564"/>
          <cell r="U564"/>
          <cell r="V564">
            <v>0.16661300175699142</v>
          </cell>
          <cell r="W564">
            <v>2.1742091109297804E-4</v>
          </cell>
          <cell r="X564">
            <v>10</v>
          </cell>
          <cell r="Y564" t="str">
            <v>Conquistar</v>
          </cell>
        </row>
        <row r="565">
          <cell r="A565" t="str">
            <v>B447</v>
          </cell>
          <cell r="B565" t="str">
            <v>FARMATODITO</v>
          </cell>
          <cell r="C565" t="str">
            <v>GRUPO</v>
          </cell>
          <cell r="D565">
            <v>6</v>
          </cell>
          <cell r="E565">
            <v>0</v>
          </cell>
          <cell r="F565" t="str">
            <v>CENTRO OESTE</v>
          </cell>
          <cell r="G565" t="str">
            <v>LUIS PLACERES</v>
          </cell>
          <cell r="H565" t="str">
            <v>HECTOR</v>
          </cell>
          <cell r="I565" t="str">
            <v>E</v>
          </cell>
          <cell r="J565" t="str">
            <v>Activo</v>
          </cell>
          <cell r="K565">
            <v>56881.523656524776</v>
          </cell>
          <cell r="L565">
            <v>5688.1523656524778</v>
          </cell>
          <cell r="M565">
            <v>5731.192799827616</v>
          </cell>
          <cell r="N565" t="str">
            <v>Si Compra</v>
          </cell>
          <cell r="O565">
            <v>10</v>
          </cell>
          <cell r="P565">
            <v>475294.6358394362</v>
          </cell>
          <cell r="Q565">
            <v>47529.463583943623</v>
          </cell>
          <cell r="R565">
            <v>44307.338418846623</v>
          </cell>
          <cell r="S565">
            <v>25000</v>
          </cell>
          <cell r="T565">
            <v>6</v>
          </cell>
          <cell r="U565">
            <v>6</v>
          </cell>
          <cell r="V565">
            <v>0.11967634256183876</v>
          </cell>
          <cell r="W565">
            <v>2.1719564158664213E-4</v>
          </cell>
          <cell r="X565">
            <v>10</v>
          </cell>
          <cell r="Y565" t="str">
            <v>Conquistar</v>
          </cell>
        </row>
        <row r="566">
          <cell r="A566" t="str">
            <v>9858</v>
          </cell>
          <cell r="B566" t="str">
            <v>9858 - FARMACIA LA NUEVA COROMOTO VII, C.A</v>
          </cell>
          <cell r="C566" t="str">
            <v>INDEPENDIENTE</v>
          </cell>
          <cell r="D566">
            <v>3</v>
          </cell>
          <cell r="E566"/>
          <cell r="F566" t="str">
            <v>CENTRO OESTE</v>
          </cell>
          <cell r="G566" t="str">
            <v>DIEGO TORI</v>
          </cell>
          <cell r="H566"/>
          <cell r="I566" t="str">
            <v xml:space="preserve">A </v>
          </cell>
          <cell r="J566" t="str">
            <v>Activo</v>
          </cell>
          <cell r="K566">
            <v>56173.546258726055</v>
          </cell>
          <cell r="L566">
            <v>5617.3546258726055</v>
          </cell>
          <cell r="M566">
            <v>4130.230305703757</v>
          </cell>
          <cell r="N566" t="str">
            <v>Si Compra</v>
          </cell>
          <cell r="O566">
            <v>10</v>
          </cell>
          <cell r="P566">
            <v>150658.43890105348</v>
          </cell>
          <cell r="Q566">
            <v>15065.843890105349</v>
          </cell>
          <cell r="R566">
            <v>15492.469472785138</v>
          </cell>
          <cell r="T566"/>
          <cell r="U566"/>
          <cell r="V566">
            <v>0.37285363281653688</v>
          </cell>
          <cell r="W566">
            <v>2.1449231025409446E-4</v>
          </cell>
          <cell r="X566">
            <v>10</v>
          </cell>
          <cell r="Y566" t="str">
            <v>Potenciar</v>
          </cell>
        </row>
        <row r="567">
          <cell r="A567" t="str">
            <v>0677</v>
          </cell>
          <cell r="B567" t="str">
            <v>0677 - FARMACIA CANDELARIA, C.A</v>
          </cell>
          <cell r="C567" t="str">
            <v>INDEPENDIENTE</v>
          </cell>
          <cell r="D567">
            <v>3</v>
          </cell>
          <cell r="E567"/>
          <cell r="F567" t="str">
            <v>ESTE</v>
          </cell>
          <cell r="G567" t="str">
            <v>ALEXMAR CASTILLO</v>
          </cell>
          <cell r="H567"/>
          <cell r="I567" t="str">
            <v>A1</v>
          </cell>
          <cell r="J567" t="str">
            <v>Activo</v>
          </cell>
          <cell r="K567">
            <v>56158.344997659449</v>
          </cell>
          <cell r="L567">
            <v>5615.8344997659451</v>
          </cell>
          <cell r="M567">
            <v>4048.5925883563245</v>
          </cell>
          <cell r="N567" t="str">
            <v>Si Compra</v>
          </cell>
          <cell r="O567">
            <v>10</v>
          </cell>
          <cell r="P567">
            <v>297465.89826116466</v>
          </cell>
          <cell r="Q567">
            <v>29746.589826116466</v>
          </cell>
          <cell r="R567">
            <v>31588.877195664954</v>
          </cell>
          <cell r="T567"/>
          <cell r="U567"/>
          <cell r="V567">
            <v>0.18878918667965894</v>
          </cell>
          <cell r="W567">
            <v>2.1443426596417313E-4</v>
          </cell>
          <cell r="X567">
            <v>10</v>
          </cell>
          <cell r="Y567" t="str">
            <v>Conquistar</v>
          </cell>
        </row>
        <row r="568">
          <cell r="A568" t="str">
            <v>B618</v>
          </cell>
          <cell r="B568" t="str">
            <v>B618 - FARMACIA FARMAOFERTA, C.A.</v>
          </cell>
          <cell r="C568" t="str">
            <v>INDEPENDIENTE</v>
          </cell>
          <cell r="D568">
            <v>3</v>
          </cell>
          <cell r="E568"/>
          <cell r="F568" t="str">
            <v>MARACAIBO</v>
          </cell>
          <cell r="G568" t="str">
            <v>MARIA FUSELLA</v>
          </cell>
          <cell r="H568" t="str">
            <v>VICTOR</v>
          </cell>
          <cell r="I568" t="str">
            <v>BZ</v>
          </cell>
          <cell r="J568" t="str">
            <v>Activo</v>
          </cell>
          <cell r="K568">
            <v>55883.15933063603</v>
          </cell>
          <cell r="L568">
            <v>5588.3159330636026</v>
          </cell>
          <cell r="M568">
            <v>2910.1756999999998</v>
          </cell>
          <cell r="N568" t="str">
            <v>Si Compra</v>
          </cell>
          <cell r="O568">
            <v>10</v>
          </cell>
          <cell r="P568">
            <v>293243.50518369972</v>
          </cell>
          <cell r="Q568">
            <v>29324.350518369971</v>
          </cell>
          <cell r="R568">
            <v>32240.478066666663</v>
          </cell>
          <cell r="T568"/>
          <cell r="U568"/>
          <cell r="V568">
            <v>0.19056912887338642</v>
          </cell>
          <cell r="W568">
            <v>2.1338350073035989E-4</v>
          </cell>
          <cell r="X568">
            <v>10</v>
          </cell>
          <cell r="Y568" t="str">
            <v>Conquistar</v>
          </cell>
        </row>
        <row r="569">
          <cell r="A569" t="str">
            <v>0872</v>
          </cell>
          <cell r="B569" t="str">
            <v>VIDA SALUD (ORIENTE)</v>
          </cell>
          <cell r="C569" t="str">
            <v>GRUPO</v>
          </cell>
          <cell r="D569">
            <v>9</v>
          </cell>
          <cell r="E569">
            <v>0</v>
          </cell>
          <cell r="F569" t="str">
            <v>ESTE</v>
          </cell>
          <cell r="G569" t="str">
            <v>JOSE RAMIREZ</v>
          </cell>
          <cell r="H569" t="str">
            <v>HECTOR</v>
          </cell>
          <cell r="I569" t="str">
            <v>A2</v>
          </cell>
          <cell r="J569" t="str">
            <v>Inactivo</v>
          </cell>
          <cell r="K569">
            <v>55636.676090966881</v>
          </cell>
          <cell r="L569">
            <v>5563.6676090966885</v>
          </cell>
          <cell r="M569">
            <v>5133.6204595327845</v>
          </cell>
          <cell r="N569" t="str">
            <v>Si Compra</v>
          </cell>
          <cell r="O569">
            <v>10</v>
          </cell>
          <cell r="P569">
            <v>224891.46517815199</v>
          </cell>
          <cell r="Q569">
            <v>22489.146517815199</v>
          </cell>
          <cell r="R569">
            <v>17201.920258231698</v>
          </cell>
          <cell r="S569">
            <v>6100</v>
          </cell>
          <cell r="T569">
            <v>4</v>
          </cell>
          <cell r="U569">
            <v>4</v>
          </cell>
          <cell r="V569">
            <v>0.24739345286800124</v>
          </cell>
          <cell r="W569">
            <v>2.1244233245745002E-4</v>
          </cell>
          <cell r="X569">
            <v>10</v>
          </cell>
          <cell r="Y569" t="str">
            <v>Potenciar</v>
          </cell>
        </row>
        <row r="570">
          <cell r="A570" t="str">
            <v>B271</v>
          </cell>
          <cell r="B570" t="str">
            <v>GRUPO LA CURVA</v>
          </cell>
          <cell r="C570" t="str">
            <v>GRUPO</v>
          </cell>
          <cell r="D570">
            <v>9</v>
          </cell>
          <cell r="E570"/>
          <cell r="F570" t="str">
            <v>MARACAIBO</v>
          </cell>
          <cell r="H570"/>
          <cell r="I570"/>
          <cell r="J570" t="str">
            <v>Activo</v>
          </cell>
          <cell r="K570">
            <v>55635.208871487674</v>
          </cell>
          <cell r="L570">
            <v>5563.5208871487675</v>
          </cell>
          <cell r="M570">
            <v>8141.4371476242932</v>
          </cell>
          <cell r="N570" t="str">
            <v>Si Compra</v>
          </cell>
          <cell r="O570">
            <v>10</v>
          </cell>
          <cell r="P570">
            <v>112244.54805209258</v>
          </cell>
          <cell r="Q570">
            <v>11224.454805209258</v>
          </cell>
          <cell r="R570">
            <v>9828.5273438078602</v>
          </cell>
          <cell r="S570"/>
          <cell r="T570"/>
          <cell r="U570"/>
          <cell r="V570">
            <v>0.495660678732186</v>
          </cell>
          <cell r="W570">
            <v>2.1243673004640951E-4</v>
          </cell>
          <cell r="X570">
            <v>10</v>
          </cell>
          <cell r="Y570" t="str">
            <v>Potenciar</v>
          </cell>
        </row>
        <row r="571">
          <cell r="A571" t="str">
            <v>D064</v>
          </cell>
          <cell r="B571" t="str">
            <v>D064 - EXPENDIO DE MEDICINAS ECONOFAR A R, C.A.</v>
          </cell>
          <cell r="C571" t="str">
            <v>INDEPENDIENTE</v>
          </cell>
          <cell r="D571">
            <v>3</v>
          </cell>
          <cell r="E571"/>
          <cell r="F571" t="str">
            <v>CENTRO ESTE</v>
          </cell>
          <cell r="G571">
            <v>0</v>
          </cell>
          <cell r="H571"/>
          <cell r="I571" t="str">
            <v>I</v>
          </cell>
          <cell r="J571" t="str">
            <v>Inactivo</v>
          </cell>
          <cell r="K571">
            <v>55596.431110106794</v>
          </cell>
          <cell r="L571">
            <v>5559.6431110106796</v>
          </cell>
          <cell r="M571">
            <v>7074.2770700355986</v>
          </cell>
          <cell r="N571" t="str">
            <v>Si Compra</v>
          </cell>
          <cell r="O571">
            <v>10</v>
          </cell>
          <cell r="P571">
            <v>0</v>
          </cell>
          <cell r="Q571">
            <v>0</v>
          </cell>
          <cell r="R571">
            <v>0</v>
          </cell>
          <cell r="T571"/>
          <cell r="U571"/>
          <cell r="V571">
            <v>0</v>
          </cell>
          <cell r="W571">
            <v>2.1228866156615444E-4</v>
          </cell>
          <cell r="X571">
            <v>0</v>
          </cell>
          <cell r="Y571" t="str">
            <v>Conquistar</v>
          </cell>
        </row>
        <row r="572">
          <cell r="A572" t="str">
            <v>0284</v>
          </cell>
          <cell r="B572" t="str">
            <v>0284 - FARMACIA ORTOPEDICA, C.A</v>
          </cell>
          <cell r="C572" t="str">
            <v>INDEPENDIENTE</v>
          </cell>
          <cell r="D572">
            <v>3</v>
          </cell>
          <cell r="E572"/>
          <cell r="F572" t="str">
            <v>ESTE</v>
          </cell>
          <cell r="G572" t="str">
            <v>PEDRO VIRE</v>
          </cell>
          <cell r="H572"/>
          <cell r="I572" t="str">
            <v>A7</v>
          </cell>
          <cell r="J572" t="str">
            <v>Activo</v>
          </cell>
          <cell r="K572">
            <v>55460.284767921381</v>
          </cell>
          <cell r="L572">
            <v>5546.0284767921385</v>
          </cell>
          <cell r="M572">
            <v>5085.0150012624072</v>
          </cell>
          <cell r="N572" t="str">
            <v>Si Compra</v>
          </cell>
          <cell r="O572">
            <v>10</v>
          </cell>
          <cell r="P572">
            <v>867317.71764086059</v>
          </cell>
          <cell r="Q572">
            <v>86731.771764086065</v>
          </cell>
          <cell r="R572">
            <v>63052.975461509755</v>
          </cell>
          <cell r="T572"/>
          <cell r="U572"/>
          <cell r="V572">
            <v>6.3944600277249741E-2</v>
          </cell>
          <cell r="W572">
            <v>2.1176880221218929E-4</v>
          </cell>
          <cell r="X572">
            <v>10</v>
          </cell>
          <cell r="Y572" t="str">
            <v>Conquistar</v>
          </cell>
        </row>
        <row r="573">
          <cell r="A573" t="str">
            <v>9927</v>
          </cell>
          <cell r="B573" t="str">
            <v>9927 - FARMACIA ACUARIO 0706, C.A.</v>
          </cell>
          <cell r="C573" t="str">
            <v>INDEPENDIENTE</v>
          </cell>
          <cell r="D573">
            <v>3</v>
          </cell>
          <cell r="E573"/>
          <cell r="F573" t="str">
            <v>CENTRO OESTE</v>
          </cell>
          <cell r="G573" t="str">
            <v>SORALI SILVA</v>
          </cell>
          <cell r="H573"/>
          <cell r="I573" t="str">
            <v>C</v>
          </cell>
          <cell r="J573" t="str">
            <v>Activo</v>
          </cell>
          <cell r="K573">
            <v>55403.842904974517</v>
          </cell>
          <cell r="L573">
            <v>5540.3842904974517</v>
          </cell>
          <cell r="M573">
            <v>6981.1107066407139</v>
          </cell>
          <cell r="N573" t="str">
            <v>Si Compra</v>
          </cell>
          <cell r="O573">
            <v>10</v>
          </cell>
          <cell r="P573">
            <v>152464.15039861135</v>
          </cell>
          <cell r="Q573">
            <v>15246.415039861135</v>
          </cell>
          <cell r="R573">
            <v>15100.283503699609</v>
          </cell>
          <cell r="T573"/>
          <cell r="U573"/>
          <cell r="V573">
            <v>0.3633893132262464</v>
          </cell>
          <cell r="W573">
            <v>2.1155328536511756E-4</v>
          </cell>
          <cell r="X573">
            <v>10</v>
          </cell>
          <cell r="Y573" t="str">
            <v>Potenciar</v>
          </cell>
        </row>
        <row r="574">
          <cell r="A574" t="str">
            <v>2405</v>
          </cell>
          <cell r="B574" t="str">
            <v>2405 - FARMACIA FRANCISCO, C.A.</v>
          </cell>
          <cell r="C574" t="str">
            <v>INDEPENDIENTE</v>
          </cell>
          <cell r="D574">
            <v>3</v>
          </cell>
          <cell r="E574"/>
          <cell r="F574" t="str">
            <v>CENTRO OESTE</v>
          </cell>
          <cell r="G574" t="str">
            <v>YAMILEX LAMEDA</v>
          </cell>
          <cell r="H574"/>
          <cell r="I574" t="str">
            <v>Y1</v>
          </cell>
          <cell r="J574" t="str">
            <v>Activo</v>
          </cell>
          <cell r="K574">
            <v>55296.428083436498</v>
          </cell>
          <cell r="L574">
            <v>5529.6428083436494</v>
          </cell>
          <cell r="M574">
            <v>5007.3979919415651</v>
          </cell>
          <cell r="N574" t="str">
            <v>Si Compra</v>
          </cell>
          <cell r="O574">
            <v>10</v>
          </cell>
          <cell r="P574">
            <v>106693.84598087636</v>
          </cell>
          <cell r="Q574">
            <v>10669.384598087636</v>
          </cell>
          <cell r="R574">
            <v>11000.820164232309</v>
          </cell>
          <cell r="T574"/>
          <cell r="U574"/>
          <cell r="V574">
            <v>0.51827195444194352</v>
          </cell>
          <cell r="W574">
            <v>2.1114313406149317E-4</v>
          </cell>
          <cell r="X574">
            <v>10</v>
          </cell>
          <cell r="Y574" t="str">
            <v>Potenciar</v>
          </cell>
        </row>
        <row r="575">
          <cell r="A575" t="str">
            <v>D921</v>
          </cell>
          <cell r="B575" t="str">
            <v>CASA MEDICA</v>
          </cell>
          <cell r="C575" t="str">
            <v>GRUPO</v>
          </cell>
          <cell r="D575">
            <v>6</v>
          </cell>
          <cell r="E575">
            <v>0</v>
          </cell>
          <cell r="F575" t="str">
            <v>ANDES</v>
          </cell>
          <cell r="G575" t="str">
            <v/>
          </cell>
          <cell r="H575" t="str">
            <v>VICTOR</v>
          </cell>
          <cell r="I575">
            <v>0</v>
          </cell>
          <cell r="J575" t="str">
            <v>Activo</v>
          </cell>
          <cell r="K575">
            <v>54879.658036588204</v>
          </cell>
          <cell r="L575">
            <v>5487.9658036588207</v>
          </cell>
          <cell r="M575">
            <v>7478.7188705057524</v>
          </cell>
          <cell r="N575" t="str">
            <v>Si Compra</v>
          </cell>
          <cell r="O575">
            <v>10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2.0955174494424815E-4</v>
          </cell>
          <cell r="X575">
            <v>0</v>
          </cell>
          <cell r="Y575" t="str">
            <v>Conquistar</v>
          </cell>
        </row>
        <row r="576">
          <cell r="A576" t="str">
            <v>B493</v>
          </cell>
          <cell r="B576" t="str">
            <v>B493 - FARMACIA GUADALUPE 1988, C.A</v>
          </cell>
          <cell r="C576" t="str">
            <v>INDEPENDIENTE</v>
          </cell>
          <cell r="D576">
            <v>3</v>
          </cell>
          <cell r="E576"/>
          <cell r="F576" t="str">
            <v>CENTRO OESTE</v>
          </cell>
          <cell r="G576" t="str">
            <v>DIEGO TORI</v>
          </cell>
          <cell r="H576" t="str">
            <v>HECTOR</v>
          </cell>
          <cell r="I576" t="str">
            <v xml:space="preserve">A </v>
          </cell>
          <cell r="J576" t="str">
            <v>Inactivo</v>
          </cell>
          <cell r="K576">
            <v>54852.724432764429</v>
          </cell>
          <cell r="L576">
            <v>5485.2724432764426</v>
          </cell>
          <cell r="M576">
            <v>4106.5619258167935</v>
          </cell>
          <cell r="N576" t="str">
            <v>Si Compra</v>
          </cell>
          <cell r="O576">
            <v>10</v>
          </cell>
          <cell r="P576">
            <v>140909.3013591471</v>
          </cell>
          <cell r="Q576">
            <v>14090.93013591471</v>
          </cell>
          <cell r="R576">
            <v>12059.112782517046</v>
          </cell>
          <cell r="T576"/>
          <cell r="U576"/>
          <cell r="V576">
            <v>0.38927681780890239</v>
          </cell>
          <cell r="W576">
            <v>2.0944890203522076E-4</v>
          </cell>
          <cell r="X576">
            <v>10</v>
          </cell>
          <cell r="Y576" t="str">
            <v>Potenciar</v>
          </cell>
        </row>
        <row r="577">
          <cell r="A577" t="str">
            <v>A442</v>
          </cell>
          <cell r="B577" t="str">
            <v>A442 - TU FARMACIA PUERTO ORDAZ,C.A</v>
          </cell>
          <cell r="C577" t="str">
            <v>INDEPENDIENTE</v>
          </cell>
          <cell r="D577">
            <v>3</v>
          </cell>
          <cell r="E577"/>
          <cell r="F577" t="str">
            <v>ESTE</v>
          </cell>
          <cell r="G577" t="str">
            <v>JOSE RAMIREZ</v>
          </cell>
          <cell r="H577" t="str">
            <v>HECTOR</v>
          </cell>
          <cell r="I577" t="str">
            <v>A2</v>
          </cell>
          <cell r="J577" t="str">
            <v>Activo</v>
          </cell>
          <cell r="K577">
            <v>54629.384551060808</v>
          </cell>
          <cell r="L577">
            <v>6069.9316167845345</v>
          </cell>
          <cell r="M577">
            <v>8218.1123070362974</v>
          </cell>
          <cell r="N577" t="str">
            <v>Si Compra</v>
          </cell>
          <cell r="O577">
            <v>9</v>
          </cell>
          <cell r="P577">
            <v>86902.146424181541</v>
          </cell>
          <cell r="Q577">
            <v>9655.7940471312832</v>
          </cell>
          <cell r="R577">
            <v>8331.3850315616382</v>
          </cell>
          <cell r="T577"/>
          <cell r="U577"/>
          <cell r="V577">
            <v>0.62863101544589173</v>
          </cell>
          <cell r="W577">
            <v>2.3177344894194547E-4</v>
          </cell>
          <cell r="X577">
            <v>9</v>
          </cell>
          <cell r="Y577" t="str">
            <v>Proteger</v>
          </cell>
        </row>
        <row r="578">
          <cell r="A578" t="str">
            <v>B670</v>
          </cell>
          <cell r="B578" t="str">
            <v>B670 - FARMA LA BONITA, C.A.</v>
          </cell>
          <cell r="C578" t="str">
            <v>INDEPENDIENTE</v>
          </cell>
          <cell r="D578">
            <v>2</v>
          </cell>
          <cell r="E578"/>
          <cell r="F578" t="str">
            <v>CENTRO OESTE</v>
          </cell>
          <cell r="G578" t="str">
            <v>SORALI SILVA</v>
          </cell>
          <cell r="H578"/>
          <cell r="I578" t="str">
            <v>C</v>
          </cell>
          <cell r="J578" t="str">
            <v>Activo</v>
          </cell>
          <cell r="K578">
            <v>54555.556090491038</v>
          </cell>
          <cell r="L578">
            <v>5455.5556090491036</v>
          </cell>
          <cell r="M578">
            <v>4802.0456611451664</v>
          </cell>
          <cell r="N578" t="str">
            <v>Si Compra</v>
          </cell>
          <cell r="O578">
            <v>9</v>
          </cell>
          <cell r="P578">
            <v>74842.204405508615</v>
          </cell>
          <cell r="Q578">
            <v>7484.2204405508619</v>
          </cell>
          <cell r="R578">
            <v>6303.1328592000864</v>
          </cell>
          <cell r="T578"/>
          <cell r="U578"/>
          <cell r="V578">
            <v>0.72894106371986522</v>
          </cell>
          <cell r="W578">
            <v>2.0831419845117034E-4</v>
          </cell>
          <cell r="X578">
            <v>10</v>
          </cell>
          <cell r="Y578" t="str">
            <v>Proteger</v>
          </cell>
        </row>
        <row r="579">
          <cell r="A579" t="str">
            <v>H207</v>
          </cell>
          <cell r="B579" t="str">
            <v>H207 - FARMACIA DEL PUEBLO C.A.</v>
          </cell>
          <cell r="C579" t="str">
            <v>INDEPENDIENTE</v>
          </cell>
          <cell r="D579">
            <v>3</v>
          </cell>
          <cell r="F579" t="str">
            <v>CENTRO ESTE</v>
          </cell>
          <cell r="G579" t="str">
            <v>KARLA SALAZAR</v>
          </cell>
          <cell r="H579"/>
          <cell r="I579" t="str">
            <v>H</v>
          </cell>
          <cell r="J579" t="str">
            <v>Activo</v>
          </cell>
          <cell r="K579">
            <v>54473.017658579614</v>
          </cell>
          <cell r="L579">
            <v>5447.3017658579611</v>
          </cell>
          <cell r="M579">
            <v>4661.4837115962318</v>
          </cell>
          <cell r="N579" t="str">
            <v>Si Compra</v>
          </cell>
          <cell r="O579">
            <v>10</v>
          </cell>
          <cell r="P579">
            <v>119725.46229712205</v>
          </cell>
          <cell r="Q579">
            <v>11972.546229712205</v>
          </cell>
          <cell r="R579">
            <v>9432.6118337016287</v>
          </cell>
          <cell r="V579">
            <v>0.45498272976715853</v>
          </cell>
          <cell r="W579">
            <v>2.0799903481767121E-4</v>
          </cell>
          <cell r="X579">
            <v>10</v>
          </cell>
          <cell r="Y579" t="str">
            <v>Potenciar</v>
          </cell>
        </row>
        <row r="580">
          <cell r="A580" t="str">
            <v>C960</v>
          </cell>
          <cell r="B580" t="str">
            <v>C960 - FARMACIA OJEDA PLUS, C.A.</v>
          </cell>
          <cell r="C580" t="str">
            <v>INDEPENDIENTE</v>
          </cell>
          <cell r="D580">
            <v>3</v>
          </cell>
          <cell r="E580"/>
          <cell r="F580" t="str">
            <v>MARACAIBO</v>
          </cell>
          <cell r="G580" t="str">
            <v>JOEL JIMENEZ</v>
          </cell>
          <cell r="H580" t="str">
            <v>VICTOR</v>
          </cell>
          <cell r="I580" t="str">
            <v>S</v>
          </cell>
          <cell r="J580" t="str">
            <v>Activo</v>
          </cell>
          <cell r="K580">
            <v>54248.754085731955</v>
          </cell>
          <cell r="L580">
            <v>5424.8754085731953</v>
          </cell>
          <cell r="M580">
            <v>3751.6897000000004</v>
          </cell>
          <cell r="N580" t="str">
            <v>Si Compra</v>
          </cell>
          <cell r="O580">
            <v>10</v>
          </cell>
          <cell r="P580">
            <v>197340.41322544264</v>
          </cell>
          <cell r="Q580">
            <v>19734.041322544264</v>
          </cell>
          <cell r="R580">
            <v>15899.573066666666</v>
          </cell>
          <cell r="T580"/>
          <cell r="U580"/>
          <cell r="V580">
            <v>0.27489936399270593</v>
          </cell>
          <cell r="W580">
            <v>2.0714270982041398E-4</v>
          </cell>
          <cell r="X580">
            <v>10</v>
          </cell>
          <cell r="Y580" t="str">
            <v>Potenciar</v>
          </cell>
        </row>
        <row r="581">
          <cell r="A581" t="str">
            <v>C017</v>
          </cell>
          <cell r="B581" t="str">
            <v>C017 - FARMACIA LADENINA, C.A</v>
          </cell>
          <cell r="C581" t="str">
            <v>INDEPENDIENTE</v>
          </cell>
          <cell r="D581">
            <v>3</v>
          </cell>
          <cell r="E581"/>
          <cell r="F581" t="str">
            <v>CENTRO OESTE</v>
          </cell>
          <cell r="G581" t="str">
            <v>DIEGO TORI</v>
          </cell>
          <cell r="H581"/>
          <cell r="I581" t="str">
            <v xml:space="preserve">A </v>
          </cell>
          <cell r="J581" t="str">
            <v>Activo</v>
          </cell>
          <cell r="K581">
            <v>54241.257652907167</v>
          </cell>
          <cell r="L581">
            <v>5424.125765290717</v>
          </cell>
          <cell r="M581">
            <v>4381.9658355418442</v>
          </cell>
          <cell r="N581" t="str">
            <v>Si Compra</v>
          </cell>
          <cell r="O581">
            <v>10</v>
          </cell>
          <cell r="P581">
            <v>238343.61207904702</v>
          </cell>
          <cell r="Q581">
            <v>23834.361207904702</v>
          </cell>
          <cell r="R581">
            <v>20178.987346091588</v>
          </cell>
          <cell r="T581"/>
          <cell r="U581"/>
          <cell r="V581">
            <v>0.22757588164317144</v>
          </cell>
          <cell r="W581">
            <v>2.0711408554257603E-4</v>
          </cell>
          <cell r="X581">
            <v>10</v>
          </cell>
          <cell r="Y581" t="str">
            <v>Potenciar</v>
          </cell>
        </row>
        <row r="582">
          <cell r="A582" t="str">
            <v>9654</v>
          </cell>
          <cell r="B582" t="str">
            <v>9654 - FARMACIA SALUDABLE, C.A</v>
          </cell>
          <cell r="C582" t="str">
            <v>INDEPENDIENTE</v>
          </cell>
          <cell r="D582">
            <v>2</v>
          </cell>
          <cell r="E582"/>
          <cell r="F582" t="str">
            <v>CARACAS</v>
          </cell>
          <cell r="G582" t="str">
            <v>JHON TORRES</v>
          </cell>
          <cell r="H582"/>
          <cell r="I582" t="str">
            <v>C4</v>
          </cell>
          <cell r="J582" t="str">
            <v>Inactivo</v>
          </cell>
          <cell r="K582">
            <v>53958.531288528218</v>
          </cell>
          <cell r="L582">
            <v>5995.3923653920247</v>
          </cell>
          <cell r="M582">
            <v>6586.4864650868585</v>
          </cell>
          <cell r="N582" t="str">
            <v>Si Compra</v>
          </cell>
          <cell r="O582">
            <v>8</v>
          </cell>
          <cell r="P582">
            <v>157281.55907796533</v>
          </cell>
          <cell r="Q582">
            <v>17475.728786440592</v>
          </cell>
          <cell r="R582">
            <v>23406.439534121768</v>
          </cell>
          <cell r="T582"/>
          <cell r="U582"/>
          <cell r="V582">
            <v>0.3430696618526059</v>
          </cell>
          <cell r="W582">
            <v>2.2892725223537622E-4</v>
          </cell>
          <cell r="X582">
            <v>9</v>
          </cell>
          <cell r="Y582" t="str">
            <v>Potenciar</v>
          </cell>
        </row>
        <row r="583">
          <cell r="A583" t="str">
            <v>C638</v>
          </cell>
          <cell r="B583" t="str">
            <v>C638 - FARMA VENTURA, C.A.</v>
          </cell>
          <cell r="C583" t="str">
            <v>INDEPENDIENTE</v>
          </cell>
          <cell r="D583">
            <v>2</v>
          </cell>
          <cell r="E583"/>
          <cell r="F583" t="str">
            <v>CENTRO ESTE</v>
          </cell>
          <cell r="G583" t="str">
            <v>MARCOS CRUCES</v>
          </cell>
          <cell r="H583" t="str">
            <v>HECTOR</v>
          </cell>
          <cell r="I583" t="str">
            <v>$</v>
          </cell>
          <cell r="J583" t="str">
            <v>Activo</v>
          </cell>
          <cell r="K583">
            <v>53913.840666701755</v>
          </cell>
          <cell r="L583">
            <v>5990.4267407446396</v>
          </cell>
          <cell r="M583">
            <v>5344.9914058179802</v>
          </cell>
          <cell r="N583" t="str">
            <v>Si Compra</v>
          </cell>
          <cell r="O583">
            <v>9</v>
          </cell>
          <cell r="P583">
            <v>80857.868082279703</v>
          </cell>
          <cell r="Q583">
            <v>8984.2075646977446</v>
          </cell>
          <cell r="R583">
            <v>7958.2467600358068</v>
          </cell>
          <cell r="T583"/>
          <cell r="U583"/>
          <cell r="V583">
            <v>0.66677296774433725</v>
          </cell>
          <cell r="W583">
            <v>2.2873764549458643E-4</v>
          </cell>
          <cell r="X583">
            <v>9</v>
          </cell>
          <cell r="Y583" t="str">
            <v>Proteger</v>
          </cell>
        </row>
        <row r="584">
          <cell r="A584" t="str">
            <v>D338</v>
          </cell>
          <cell r="B584" t="str">
            <v>D338 - FARMACIA DINYASAN, C.A.</v>
          </cell>
          <cell r="C584" t="str">
            <v>INDEPENDIENTE</v>
          </cell>
          <cell r="D584">
            <v>3</v>
          </cell>
          <cell r="E584"/>
          <cell r="F584" t="str">
            <v>ANDES</v>
          </cell>
          <cell r="G584" t="str">
            <v>JESUS CONTRERAS</v>
          </cell>
          <cell r="H584" t="str">
            <v>VICTOR</v>
          </cell>
          <cell r="I584" t="str">
            <v>G2</v>
          </cell>
          <cell r="J584" t="str">
            <v>Activo</v>
          </cell>
          <cell r="K584">
            <v>53792.620151145085</v>
          </cell>
          <cell r="L584">
            <v>5379.2620151145084</v>
          </cell>
          <cell r="M584">
            <v>4212.3190837150287</v>
          </cell>
          <cell r="N584" t="str">
            <v>Si Compra</v>
          </cell>
          <cell r="O584">
            <v>10</v>
          </cell>
          <cell r="P584">
            <v>187579.75038258146</v>
          </cell>
          <cell r="Q584">
            <v>18757.975038258148</v>
          </cell>
          <cell r="R584">
            <v>13739.300627527153</v>
          </cell>
          <cell r="T584"/>
          <cell r="U584"/>
          <cell r="V584">
            <v>0.28677199986369228</v>
          </cell>
          <cell r="W584">
            <v>2.0540101416594692E-4</v>
          </cell>
          <cell r="X584">
            <v>10</v>
          </cell>
          <cell r="Y584" t="str">
            <v>Potenciar</v>
          </cell>
        </row>
        <row r="585">
          <cell r="A585" t="str">
            <v>7674</v>
          </cell>
          <cell r="B585" t="str">
            <v>7674 - FARMACIA GENERI C.A</v>
          </cell>
          <cell r="C585" t="str">
            <v>INDEPENDIENTE</v>
          </cell>
          <cell r="D585">
            <v>3</v>
          </cell>
          <cell r="E585"/>
          <cell r="F585" t="str">
            <v>ANDES</v>
          </cell>
          <cell r="G585" t="str">
            <v>JESUS CONTRERAS</v>
          </cell>
          <cell r="H585"/>
          <cell r="I585" t="str">
            <v>G2</v>
          </cell>
          <cell r="J585" t="str">
            <v>Activo</v>
          </cell>
          <cell r="K585">
            <v>53730.650411679839</v>
          </cell>
          <cell r="L585">
            <v>5373.0650411679835</v>
          </cell>
          <cell r="M585">
            <v>4208.6874020260593</v>
          </cell>
          <cell r="N585" t="str">
            <v>Si Compra</v>
          </cell>
          <cell r="O585">
            <v>10</v>
          </cell>
          <cell r="P585">
            <v>181589.74246353508</v>
          </cell>
          <cell r="Q585">
            <v>18158.974246353508</v>
          </cell>
          <cell r="R585">
            <v>11959.790096154322</v>
          </cell>
          <cell r="T585"/>
          <cell r="U585"/>
          <cell r="V585">
            <v>0.29589033875340981</v>
          </cell>
          <cell r="W585">
            <v>2.0516438974984677E-4</v>
          </cell>
          <cell r="X585">
            <v>10</v>
          </cell>
          <cell r="Y585" t="str">
            <v>Potenciar</v>
          </cell>
        </row>
        <row r="586">
          <cell r="A586" t="str">
            <v>D742</v>
          </cell>
          <cell r="B586" t="str">
            <v>FARMACIAS VILLASMIL</v>
          </cell>
          <cell r="C586" t="str">
            <v>GRUPO</v>
          </cell>
          <cell r="D586">
            <v>12</v>
          </cell>
          <cell r="E586"/>
          <cell r="F586" t="str">
            <v>ANDES</v>
          </cell>
          <cell r="H586"/>
          <cell r="I586"/>
          <cell r="J586" t="str">
            <v>Activo</v>
          </cell>
          <cell r="K586">
            <v>53718.127759888783</v>
          </cell>
          <cell r="L586">
            <v>5371.8127759888785</v>
          </cell>
          <cell r="M586">
            <v>9428.5801199629295</v>
          </cell>
          <cell r="N586" t="str">
            <v>Si Compra</v>
          </cell>
          <cell r="O586">
            <v>10</v>
          </cell>
          <cell r="P586">
            <v>0</v>
          </cell>
          <cell r="Q586">
            <v>0</v>
          </cell>
          <cell r="R586">
            <v>0</v>
          </cell>
          <cell r="S586"/>
          <cell r="T586"/>
          <cell r="U586"/>
          <cell r="V586">
            <v>0</v>
          </cell>
          <cell r="W586">
            <v>2.0511657342540114E-4</v>
          </cell>
          <cell r="X586">
            <v>0</v>
          </cell>
          <cell r="Y586" t="str">
            <v>Conquistar</v>
          </cell>
        </row>
        <row r="587">
          <cell r="A587" t="str">
            <v>D803</v>
          </cell>
          <cell r="B587" t="str">
            <v>D803 - FARMACIA CURAMAX, C.A</v>
          </cell>
          <cell r="C587" t="str">
            <v>INDEPENDIENTE</v>
          </cell>
          <cell r="D587">
            <v>3</v>
          </cell>
          <cell r="E587"/>
          <cell r="F587" t="str">
            <v>ANDES</v>
          </cell>
          <cell r="G587" t="str">
            <v>ZULAY PARRA</v>
          </cell>
          <cell r="H587" t="str">
            <v>VICTOR</v>
          </cell>
          <cell r="I587" t="str">
            <v>5</v>
          </cell>
          <cell r="J587" t="str">
            <v>Activo</v>
          </cell>
          <cell r="K587">
            <v>53516.982139475076</v>
          </cell>
          <cell r="L587">
            <v>5351.6982139475076</v>
          </cell>
          <cell r="M587">
            <v>5524.7770588664525</v>
          </cell>
          <cell r="N587" t="str">
            <v>Si Compra</v>
          </cell>
          <cell r="O587">
            <v>10</v>
          </cell>
          <cell r="P587">
            <v>102125.90094834044</v>
          </cell>
          <cell r="Q587">
            <v>10212.590094834044</v>
          </cell>
          <cell r="R587">
            <v>5543.2399129535306</v>
          </cell>
          <cell r="T587"/>
          <cell r="U587"/>
          <cell r="V587">
            <v>0.52402947384078602</v>
          </cell>
          <cell r="W587">
            <v>2.0434852170544537E-4</v>
          </cell>
          <cell r="X587">
            <v>10</v>
          </cell>
          <cell r="Y587" t="str">
            <v>Potenciar</v>
          </cell>
        </row>
        <row r="588">
          <cell r="A588" t="str">
            <v>A818</v>
          </cell>
          <cell r="B588" t="str">
            <v>HUMANA</v>
          </cell>
          <cell r="C588" t="str">
            <v>GRUPO</v>
          </cell>
          <cell r="D588">
            <v>6</v>
          </cell>
          <cell r="E588"/>
          <cell r="F588" t="str">
            <v>ESTE</v>
          </cell>
          <cell r="H588"/>
          <cell r="I588"/>
          <cell r="J588" t="str">
            <v>Inactivo</v>
          </cell>
          <cell r="K588">
            <v>53500.313046680727</v>
          </cell>
          <cell r="L588">
            <v>5350.0313046680731</v>
          </cell>
          <cell r="M588">
            <v>2272.3569145769738</v>
          </cell>
          <cell r="N588" t="str">
            <v>Si Compra</v>
          </cell>
          <cell r="O588">
            <v>10</v>
          </cell>
          <cell r="P588">
            <v>272813.18367359409</v>
          </cell>
          <cell r="Q588">
            <v>27281.31836735941</v>
          </cell>
          <cell r="R588">
            <v>10720.679536688955</v>
          </cell>
          <cell r="S588"/>
          <cell r="T588"/>
          <cell r="U588"/>
          <cell r="V588">
            <v>0.19610603976782479</v>
          </cell>
          <cell r="W588">
            <v>2.0428487266668197E-4</v>
          </cell>
          <cell r="X588">
            <v>10</v>
          </cell>
          <cell r="Y588" t="str">
            <v>Conquistar</v>
          </cell>
        </row>
        <row r="589">
          <cell r="A589" t="str">
            <v>E315</v>
          </cell>
          <cell r="B589" t="str">
            <v>E315 - FARMACIA PUERTA DEL SOL 2023, C.A.</v>
          </cell>
          <cell r="C589" t="str">
            <v>INDEPENDIENTE</v>
          </cell>
          <cell r="D589">
            <v>2</v>
          </cell>
          <cell r="F589" t="str">
            <v>CARACAS</v>
          </cell>
          <cell r="G589">
            <v>0</v>
          </cell>
          <cell r="H589"/>
          <cell r="I589" t="str">
            <v>C7</v>
          </cell>
          <cell r="J589" t="str">
            <v>Suspendido</v>
          </cell>
          <cell r="K589">
            <v>53492.928860353808</v>
          </cell>
          <cell r="L589">
            <v>8915.4881433923019</v>
          </cell>
          <cell r="M589">
            <v>21540.359850000001</v>
          </cell>
          <cell r="N589" t="str">
            <v>Si Compra</v>
          </cell>
          <cell r="O589">
            <v>6</v>
          </cell>
          <cell r="P589">
            <v>0</v>
          </cell>
          <cell r="Q589">
            <v>0</v>
          </cell>
          <cell r="R589">
            <v>0</v>
          </cell>
          <cell r="V589">
            <v>0</v>
          </cell>
          <cell r="W589">
            <v>3.4042779498225876E-4</v>
          </cell>
          <cell r="X589">
            <v>0</v>
          </cell>
          <cell r="Y589" t="str">
            <v>Conquistar</v>
          </cell>
        </row>
        <row r="590">
          <cell r="A590" t="str">
            <v>B040</v>
          </cell>
          <cell r="B590" t="str">
            <v>GRUPO NOVACENTER</v>
          </cell>
          <cell r="C590" t="str">
            <v>GRUPO</v>
          </cell>
          <cell r="D590">
            <v>9</v>
          </cell>
          <cell r="E590"/>
          <cell r="F590" t="str">
            <v>CENTRO ESTE</v>
          </cell>
          <cell r="H590"/>
          <cell r="I590"/>
          <cell r="J590" t="str">
            <v>Activo</v>
          </cell>
          <cell r="K590">
            <v>53486.166119242785</v>
          </cell>
          <cell r="L590">
            <v>5348.6166119242789</v>
          </cell>
          <cell r="M590">
            <v>3881.2948097646154</v>
          </cell>
          <cell r="N590" t="str">
            <v>Si Compra</v>
          </cell>
          <cell r="O590">
            <v>10</v>
          </cell>
          <cell r="P590">
            <v>461265.93910637056</v>
          </cell>
          <cell r="Q590">
            <v>46126.593910637057</v>
          </cell>
          <cell r="R590">
            <v>19264.731433333331</v>
          </cell>
          <cell r="S590"/>
          <cell r="T590"/>
          <cell r="U590"/>
          <cell r="V590">
            <v>0.11595516075360721</v>
          </cell>
          <cell r="W590">
            <v>2.042308542300466E-4</v>
          </cell>
          <cell r="X590">
            <v>10</v>
          </cell>
          <cell r="Y590" t="str">
            <v>Conquistar</v>
          </cell>
        </row>
        <row r="591">
          <cell r="A591" t="str">
            <v>B716</v>
          </cell>
          <cell r="B591" t="str">
            <v>B716 - SUPERMERCADO SAMBA LATINO, C.A.</v>
          </cell>
          <cell r="C591" t="str">
            <v>INDEPENDIENTE</v>
          </cell>
          <cell r="D591">
            <v>3</v>
          </cell>
          <cell r="E591"/>
          <cell r="F591" t="str">
            <v>MARACAIBO</v>
          </cell>
          <cell r="G591">
            <v>0</v>
          </cell>
          <cell r="H591"/>
          <cell r="I591" t="str">
            <v>BD</v>
          </cell>
          <cell r="J591" t="str">
            <v>Activo</v>
          </cell>
          <cell r="K591">
            <v>52836.477489249286</v>
          </cell>
          <cell r="L591">
            <v>5283.6477489249282</v>
          </cell>
          <cell r="M591">
            <v>5638.8543178632181</v>
          </cell>
          <cell r="N591" t="str">
            <v>Si Compra</v>
          </cell>
          <cell r="O591">
            <v>10</v>
          </cell>
          <cell r="P591">
            <v>0</v>
          </cell>
          <cell r="Q591">
            <v>0</v>
          </cell>
          <cell r="R591">
            <v>0</v>
          </cell>
          <cell r="T591"/>
          <cell r="U591"/>
          <cell r="V591">
            <v>0</v>
          </cell>
          <cell r="W591">
            <v>2.0175009194113417E-4</v>
          </cell>
          <cell r="X591">
            <v>0</v>
          </cell>
          <cell r="Y591" t="str">
            <v>Conquistar</v>
          </cell>
        </row>
        <row r="592">
          <cell r="A592" t="str">
            <v>9871</v>
          </cell>
          <cell r="B592" t="str">
            <v>9871 - FARMACIA VILMA DEL CARMEN, C.A.</v>
          </cell>
          <cell r="C592" t="str">
            <v>INDEPENDIENTE</v>
          </cell>
          <cell r="D592">
            <v>3</v>
          </cell>
          <cell r="E592"/>
          <cell r="F592" t="str">
            <v>ANDES</v>
          </cell>
          <cell r="G592" t="str">
            <v>RAYNE ANDREINA NAVA</v>
          </cell>
          <cell r="H592"/>
          <cell r="I592" t="str">
            <v>G1</v>
          </cell>
          <cell r="J592" t="str">
            <v>Suspendido</v>
          </cell>
          <cell r="K592">
            <v>52670.837223298156</v>
          </cell>
          <cell r="L592">
            <v>7524.4053176140224</v>
          </cell>
          <cell r="M592">
            <v>10374.850442530007</v>
          </cell>
          <cell r="N592" t="str">
            <v>Si Compra</v>
          </cell>
          <cell r="O592">
            <v>7</v>
          </cell>
          <cell r="P592">
            <v>129896.28970350377</v>
          </cell>
          <cell r="Q592">
            <v>18556.612814786255</v>
          </cell>
          <cell r="R592">
            <v>14652.559136725002</v>
          </cell>
          <cell r="T592"/>
          <cell r="U592"/>
          <cell r="V592">
            <v>0.4054837697329351</v>
          </cell>
          <cell r="W592">
            <v>2.8731087626722803E-4</v>
          </cell>
          <cell r="X592">
            <v>7</v>
          </cell>
          <cell r="Y592" t="str">
            <v>Potenciar</v>
          </cell>
        </row>
        <row r="593">
          <cell r="A593" t="str">
            <v>D626</v>
          </cell>
          <cell r="B593" t="str">
            <v>RICARDO URRIERA</v>
          </cell>
          <cell r="C593" t="e">
            <v>#N/A</v>
          </cell>
          <cell r="D593">
            <v>3</v>
          </cell>
          <cell r="E593"/>
          <cell r="F593" t="str">
            <v>CENTRO ESTE</v>
          </cell>
          <cell r="H593"/>
          <cell r="I593"/>
          <cell r="J593" t="str">
            <v>Activo</v>
          </cell>
          <cell r="K593">
            <v>52651.094754430203</v>
          </cell>
          <cell r="L593">
            <v>5265.1094754430205</v>
          </cell>
          <cell r="M593">
            <v>4901.4469181434024</v>
          </cell>
          <cell r="N593" t="str">
            <v>Si Compra</v>
          </cell>
          <cell r="O593">
            <v>10</v>
          </cell>
          <cell r="P593">
            <v>1472306.932566369</v>
          </cell>
          <cell r="Q593">
            <v>147230.69325663691</v>
          </cell>
          <cell r="R593">
            <v>113898.58242212301</v>
          </cell>
          <cell r="S593"/>
          <cell r="T593"/>
          <cell r="U593"/>
          <cell r="V593">
            <v>3.5760950104781759E-2</v>
          </cell>
          <cell r="W593">
            <v>2.0104222901061127E-4</v>
          </cell>
          <cell r="X593">
            <v>10</v>
          </cell>
          <cell r="Y593" t="str">
            <v>Conquistar</v>
          </cell>
        </row>
        <row r="594">
          <cell r="A594" t="str">
            <v>9067</v>
          </cell>
          <cell r="B594" t="str">
            <v>9067 - FARMACIA ANGELUS, C.A</v>
          </cell>
          <cell r="C594" t="str">
            <v>INDEPENDIENTE</v>
          </cell>
          <cell r="D594">
            <v>3</v>
          </cell>
          <cell r="E594"/>
          <cell r="F594" t="str">
            <v>ANDES</v>
          </cell>
          <cell r="G594" t="str">
            <v>MARIA GABRIELA FORTUL</v>
          </cell>
          <cell r="H594"/>
          <cell r="I594" t="str">
            <v>3</v>
          </cell>
          <cell r="J594" t="str">
            <v>Inactivo</v>
          </cell>
          <cell r="K594">
            <v>52600.198031594722</v>
          </cell>
          <cell r="L594">
            <v>5260.0198031594718</v>
          </cell>
          <cell r="M594">
            <v>4999.8527987949119</v>
          </cell>
          <cell r="N594" t="str">
            <v>Si Compra</v>
          </cell>
          <cell r="O594">
            <v>10</v>
          </cell>
          <cell r="P594">
            <v>89594.815434132484</v>
          </cell>
          <cell r="Q594">
            <v>8959.4815434132488</v>
          </cell>
          <cell r="R594">
            <v>7637.3992860405842</v>
          </cell>
          <cell r="T594"/>
          <cell r="U594"/>
          <cell r="V594">
            <v>0.58708975264606533</v>
          </cell>
          <cell r="W594">
            <v>2.0084788565163827E-4</v>
          </cell>
          <cell r="X594">
            <v>10</v>
          </cell>
          <cell r="Y594" t="str">
            <v>Potenciar</v>
          </cell>
        </row>
        <row r="595">
          <cell r="A595" t="str">
            <v>Y111</v>
          </cell>
          <cell r="B595" t="str">
            <v>Y111 - FARMACIA NUEVA 2002,C.A.</v>
          </cell>
          <cell r="C595" t="str">
            <v>INDEPENDIENTE</v>
          </cell>
          <cell r="D595">
            <v>3</v>
          </cell>
          <cell r="F595" t="str">
            <v>CENTRO OESTE</v>
          </cell>
          <cell r="G595">
            <v>0</v>
          </cell>
          <cell r="H595"/>
          <cell r="I595" t="str">
            <v>Y</v>
          </cell>
          <cell r="J595" t="str">
            <v>Inactivo</v>
          </cell>
          <cell r="K595">
            <v>52596.497418372513</v>
          </cell>
          <cell r="L595">
            <v>5259.649741837251</v>
          </cell>
          <cell r="M595">
            <v>4490.6632227633227</v>
          </cell>
          <cell r="N595" t="str">
            <v>Si Compra</v>
          </cell>
          <cell r="O595">
            <v>10</v>
          </cell>
          <cell r="P595">
            <v>0</v>
          </cell>
          <cell r="Q595">
            <v>0</v>
          </cell>
          <cell r="R595">
            <v>0</v>
          </cell>
          <cell r="V595">
            <v>0</v>
          </cell>
          <cell r="W595">
            <v>2.0083375528009767E-4</v>
          </cell>
          <cell r="X595">
            <v>0</v>
          </cell>
          <cell r="Y595" t="str">
            <v>Conquistar</v>
          </cell>
        </row>
        <row r="596">
          <cell r="A596" t="str">
            <v>Y87</v>
          </cell>
          <cell r="B596" t="str">
            <v>GRUPO LA REDOMA (Bqto)</v>
          </cell>
          <cell r="C596" t="str">
            <v>INDEPENDIENTE</v>
          </cell>
          <cell r="D596">
            <v>3</v>
          </cell>
          <cell r="F596" t="str">
            <v>CENTRO OESTE</v>
          </cell>
          <cell r="G596" t="str">
            <v>YAMILEX LAMEDA</v>
          </cell>
          <cell r="H596" t="str">
            <v>HECTOR</v>
          </cell>
          <cell r="I596" t="str">
            <v>Y1</v>
          </cell>
          <cell r="J596" t="str">
            <v>Activo</v>
          </cell>
          <cell r="K596">
            <v>52358.342596234012</v>
          </cell>
          <cell r="L596">
            <v>5235.8342596234015</v>
          </cell>
          <cell r="M596">
            <v>3860.6364500788404</v>
          </cell>
          <cell r="N596" t="str">
            <v>Si Compra</v>
          </cell>
          <cell r="O596">
            <v>10</v>
          </cell>
          <cell r="P596">
            <v>59915.252974632131</v>
          </cell>
          <cell r="Q596">
            <v>5991.5252974632131</v>
          </cell>
          <cell r="R596">
            <v>4951.6701472345439</v>
          </cell>
          <cell r="V596">
            <v>0.87387334604766365</v>
          </cell>
          <cell r="W596">
            <v>1.9992438812418834E-4</v>
          </cell>
          <cell r="X596">
            <v>10</v>
          </cell>
          <cell r="Y596" t="str">
            <v>Proteger</v>
          </cell>
        </row>
        <row r="597">
          <cell r="A597" t="str">
            <v>6705</v>
          </cell>
          <cell r="B597" t="str">
            <v>6705 - FARMACIA RRP, C.A.</v>
          </cell>
          <cell r="C597" t="str">
            <v>INDEPENDIENTE</v>
          </cell>
          <cell r="D597">
            <v>3</v>
          </cell>
          <cell r="E597"/>
          <cell r="F597" t="str">
            <v>CARACAS</v>
          </cell>
          <cell r="G597">
            <v>0</v>
          </cell>
          <cell r="H597"/>
          <cell r="I597" t="str">
            <v>CB</v>
          </cell>
          <cell r="J597" t="str">
            <v>Activo</v>
          </cell>
          <cell r="K597">
            <v>52217.887823377052</v>
          </cell>
          <cell r="L597">
            <v>5221.788782337705</v>
          </cell>
          <cell r="M597">
            <v>4659.9285271632207</v>
          </cell>
          <cell r="N597" t="str">
            <v>Si Compra</v>
          </cell>
          <cell r="O597">
            <v>10</v>
          </cell>
          <cell r="P597">
            <v>0</v>
          </cell>
          <cell r="Q597">
            <v>0</v>
          </cell>
          <cell r="R597">
            <v>0</v>
          </cell>
          <cell r="T597"/>
          <cell r="U597"/>
          <cell r="V597">
            <v>0</v>
          </cell>
          <cell r="W597">
            <v>1.9938807751674429E-4</v>
          </cell>
          <cell r="X597">
            <v>0</v>
          </cell>
          <cell r="Y597" t="str">
            <v>Conquistar</v>
          </cell>
        </row>
        <row r="598">
          <cell r="A598" t="str">
            <v>B281</v>
          </cell>
          <cell r="B598" t="str">
            <v>B281 - FARMAORIENTE 24, C.A.</v>
          </cell>
          <cell r="C598" t="str">
            <v>INDEPENDIENTE</v>
          </cell>
          <cell r="D598">
            <v>3</v>
          </cell>
          <cell r="E598"/>
          <cell r="F598" t="str">
            <v>ESTE</v>
          </cell>
          <cell r="G598" t="str">
            <v>ALEXMAR CASTILLO</v>
          </cell>
          <cell r="H598" t="str">
            <v>HECTOR</v>
          </cell>
          <cell r="I598" t="str">
            <v>A1</v>
          </cell>
          <cell r="J598" t="str">
            <v>Activo</v>
          </cell>
          <cell r="K598">
            <v>52202.351306505654</v>
          </cell>
          <cell r="L598">
            <v>5220.2351306505652</v>
          </cell>
          <cell r="M598">
            <v>4223.7596999999996</v>
          </cell>
          <cell r="N598" t="str">
            <v>Si Compra</v>
          </cell>
          <cell r="O598">
            <v>10</v>
          </cell>
          <cell r="P598">
            <v>227061.20101402485</v>
          </cell>
          <cell r="Q598">
            <v>22706.120101402485</v>
          </cell>
          <cell r="R598">
            <v>21728.053166666668</v>
          </cell>
          <cell r="T598"/>
          <cell r="U598"/>
          <cell r="V598">
            <v>0.22990432127275359</v>
          </cell>
          <cell r="W598">
            <v>1.9932875309058647E-4</v>
          </cell>
          <cell r="X598">
            <v>10</v>
          </cell>
          <cell r="Y598" t="str">
            <v>Potenciar</v>
          </cell>
        </row>
        <row r="599">
          <cell r="A599" t="str">
            <v>C647</v>
          </cell>
          <cell r="B599" t="str">
            <v>C647 - FARMACIA LA BENDICION DE DIOS, C.A</v>
          </cell>
          <cell r="C599" t="str">
            <v>INDEPENDIENTE</v>
          </cell>
          <cell r="D599">
            <v>3</v>
          </cell>
          <cell r="E599"/>
          <cell r="F599" t="str">
            <v>CENTRO OESTE</v>
          </cell>
          <cell r="G599" t="str">
            <v>LUIS PLACERES</v>
          </cell>
          <cell r="H599" t="str">
            <v>HECTOR</v>
          </cell>
          <cell r="I599" t="str">
            <v>E</v>
          </cell>
          <cell r="J599" t="str">
            <v>Activo</v>
          </cell>
          <cell r="K599">
            <v>52139.691699999996</v>
          </cell>
          <cell r="L599">
            <v>5213.9691699999994</v>
          </cell>
          <cell r="M599">
            <v>3497.3755333333334</v>
          </cell>
          <cell r="N599" t="str">
            <v>Si Compra</v>
          </cell>
          <cell r="O599">
            <v>10</v>
          </cell>
          <cell r="P599">
            <v>154526.58720000001</v>
          </cell>
          <cell r="Q599">
            <v>15452.658720000001</v>
          </cell>
          <cell r="R599">
            <v>17473.635999999999</v>
          </cell>
          <cell r="T599"/>
          <cell r="U599"/>
          <cell r="V599">
            <v>0.33741566836337916</v>
          </cell>
          <cell r="W599">
            <v>1.990894944954978E-4</v>
          </cell>
          <cell r="X599">
            <v>10</v>
          </cell>
          <cell r="Y599" t="str">
            <v>Potenciar</v>
          </cell>
        </row>
        <row r="600">
          <cell r="A600" t="str">
            <v>D455</v>
          </cell>
          <cell r="B600" t="str">
            <v>FARMADESCUENTO TACHIRA</v>
          </cell>
          <cell r="C600" t="str">
            <v>GRUPO</v>
          </cell>
          <cell r="D600">
            <v>6</v>
          </cell>
          <cell r="E600"/>
          <cell r="F600" t="str">
            <v>ANDES</v>
          </cell>
          <cell r="H600"/>
          <cell r="I600"/>
          <cell r="J600" t="str">
            <v>Activo</v>
          </cell>
          <cell r="K600">
            <v>52138.275831703795</v>
          </cell>
          <cell r="L600">
            <v>5213.8275831703795</v>
          </cell>
          <cell r="M600">
            <v>5538.2850897850503</v>
          </cell>
          <cell r="N600" t="str">
            <v>Si Compra</v>
          </cell>
          <cell r="O600">
            <v>10</v>
          </cell>
          <cell r="P600">
            <v>23988.31409817731</v>
          </cell>
          <cell r="Q600">
            <v>2398.8314098177311</v>
          </cell>
          <cell r="R600">
            <v>2621.1009333333336</v>
          </cell>
          <cell r="S600"/>
          <cell r="T600"/>
          <cell r="U600"/>
          <cell r="V600">
            <v>2.1734864575441502</v>
          </cell>
          <cell r="W600">
            <v>1.9908408816312085E-4</v>
          </cell>
          <cell r="X600">
            <v>10</v>
          </cell>
          <cell r="Y600" t="str">
            <v>Proteger</v>
          </cell>
        </row>
        <row r="601">
          <cell r="A601" t="str">
            <v>A349</v>
          </cell>
          <cell r="B601" t="str">
            <v>A349 - FARMACIA PLAZA,C.A.</v>
          </cell>
          <cell r="C601" t="str">
            <v>INDEPENDIENTE</v>
          </cell>
          <cell r="D601">
            <v>3</v>
          </cell>
          <cell r="E601"/>
          <cell r="F601" t="str">
            <v>ESTE</v>
          </cell>
          <cell r="G601" t="str">
            <v>CARMEN ALCALA</v>
          </cell>
          <cell r="H601" t="str">
            <v>HECTOR</v>
          </cell>
          <cell r="I601" t="str">
            <v>A0</v>
          </cell>
          <cell r="J601" t="str">
            <v>Activo</v>
          </cell>
          <cell r="K601">
            <v>52113.362091395975</v>
          </cell>
          <cell r="L601">
            <v>5211.3362091395975</v>
          </cell>
          <cell r="M601">
            <v>4136.9023641909116</v>
          </cell>
          <cell r="N601" t="str">
            <v>Si Compra</v>
          </cell>
          <cell r="O601">
            <v>10</v>
          </cell>
          <cell r="P601">
            <v>167466.42709132636</v>
          </cell>
          <cell r="Q601">
            <v>16746.642709132637</v>
          </cell>
          <cell r="R601">
            <v>12532.276236568316</v>
          </cell>
          <cell r="T601"/>
          <cell r="U601"/>
          <cell r="V601">
            <v>0.3111869226360004</v>
          </cell>
          <cell r="W601">
            <v>1.9898895787365893E-4</v>
          </cell>
          <cell r="X601">
            <v>10</v>
          </cell>
          <cell r="Y601" t="str">
            <v>Potenciar</v>
          </cell>
        </row>
        <row r="602">
          <cell r="A602" t="str">
            <v>7220</v>
          </cell>
          <cell r="B602" t="str">
            <v>7220 - FARMACIA LA SOSA C.A.</v>
          </cell>
          <cell r="C602" t="str">
            <v>INDEPENDIENTE</v>
          </cell>
          <cell r="D602">
            <v>3</v>
          </cell>
          <cell r="E602"/>
          <cell r="F602" t="str">
            <v>CARACAS</v>
          </cell>
          <cell r="G602" t="str">
            <v>JHON TORRES</v>
          </cell>
          <cell r="H602"/>
          <cell r="I602" t="str">
            <v>CF</v>
          </cell>
          <cell r="J602" t="str">
            <v>Activo</v>
          </cell>
          <cell r="K602">
            <v>52024.006749090593</v>
          </cell>
          <cell r="L602">
            <v>5202.4006749090595</v>
          </cell>
          <cell r="M602">
            <v>3882.4236208931857</v>
          </cell>
          <cell r="N602" t="str">
            <v>Si Compra</v>
          </cell>
          <cell r="O602">
            <v>10</v>
          </cell>
          <cell r="P602">
            <v>193937.65629329457</v>
          </cell>
          <cell r="Q602">
            <v>19393.765629329457</v>
          </cell>
          <cell r="R602">
            <v>16800.477358214928</v>
          </cell>
          <cell r="T602"/>
          <cell r="U602"/>
          <cell r="V602">
            <v>0.26825118826028288</v>
          </cell>
          <cell r="W602">
            <v>1.9864776464159289E-4</v>
          </cell>
          <cell r="X602">
            <v>10</v>
          </cell>
          <cell r="Y602" t="str">
            <v>Potenciar</v>
          </cell>
        </row>
        <row r="603">
          <cell r="A603" t="str">
            <v>5019</v>
          </cell>
          <cell r="B603" t="str">
            <v>5019 - FARMACIA SUPERFARMA ORIENTE, C.A</v>
          </cell>
          <cell r="C603" t="str">
            <v>INDEPENDIENTE</v>
          </cell>
          <cell r="D603">
            <v>3</v>
          </cell>
          <cell r="E603"/>
          <cell r="F603" t="str">
            <v>ESTE</v>
          </cell>
          <cell r="G603" t="str">
            <v>IRAIDA RODRIGUEZ</v>
          </cell>
          <cell r="H603"/>
          <cell r="I603" t="str">
            <v>AB</v>
          </cell>
          <cell r="J603" t="str">
            <v>Activo</v>
          </cell>
          <cell r="K603">
            <v>51850.824667990426</v>
          </cell>
          <cell r="L603">
            <v>5185.0824667990428</v>
          </cell>
          <cell r="M603">
            <v>4445.1037408589209</v>
          </cell>
          <cell r="N603" t="str">
            <v>Si Compra</v>
          </cell>
          <cell r="O603">
            <v>10</v>
          </cell>
          <cell r="P603">
            <v>70544.375455576781</v>
          </cell>
          <cell r="Q603">
            <v>7054.4375455576783</v>
          </cell>
          <cell r="R603">
            <v>7491.0689204128894</v>
          </cell>
          <cell r="T603"/>
          <cell r="U603"/>
          <cell r="V603">
            <v>0.73501004627423394</v>
          </cell>
          <cell r="W603">
            <v>1.9798648852242646E-4</v>
          </cell>
          <cell r="X603">
            <v>10</v>
          </cell>
          <cell r="Y603" t="str">
            <v>Proteger</v>
          </cell>
        </row>
        <row r="604">
          <cell r="A604" t="str">
            <v>A928</v>
          </cell>
          <cell r="B604" t="str">
            <v>A928 - BOTIQUERIA FARMAVIDA, C.A.</v>
          </cell>
          <cell r="C604" t="str">
            <v>INDEPENDIENTE</v>
          </cell>
          <cell r="D604">
            <v>3</v>
          </cell>
          <cell r="E604"/>
          <cell r="F604" t="str">
            <v>ESTE</v>
          </cell>
          <cell r="G604" t="str">
            <v>CARMEN ALCALA</v>
          </cell>
          <cell r="H604"/>
          <cell r="I604" t="str">
            <v>A0</v>
          </cell>
          <cell r="J604" t="str">
            <v>Activo</v>
          </cell>
          <cell r="K604">
            <v>51845.256824412805</v>
          </cell>
          <cell r="L604">
            <v>5184.5256824412809</v>
          </cell>
          <cell r="M604">
            <v>3257.0040017213219</v>
          </cell>
          <cell r="N604" t="str">
            <v>Si Compra</v>
          </cell>
          <cell r="O604">
            <v>10</v>
          </cell>
          <cell r="P604">
            <v>264150.59798269998</v>
          </cell>
          <cell r="Q604">
            <v>26415.059798269998</v>
          </cell>
          <cell r="R604">
            <v>29173.447809247638</v>
          </cell>
          <cell r="T604"/>
          <cell r="U604"/>
          <cell r="V604">
            <v>0.1962715860586782</v>
          </cell>
          <cell r="W604">
            <v>1.9796522834371891E-4</v>
          </cell>
          <cell r="X604">
            <v>10</v>
          </cell>
          <cell r="Y604" t="str">
            <v>Conquistar</v>
          </cell>
        </row>
        <row r="605">
          <cell r="A605" t="str">
            <v>D071</v>
          </cell>
          <cell r="B605" t="str">
            <v>TRINIDAD</v>
          </cell>
          <cell r="C605" t="str">
            <v>GRUPO</v>
          </cell>
          <cell r="D605">
            <v>6</v>
          </cell>
          <cell r="E605"/>
          <cell r="F605" t="str">
            <v>CENTRO OESTE</v>
          </cell>
          <cell r="H605"/>
          <cell r="I605"/>
          <cell r="J605" t="str">
            <v>Inactivo</v>
          </cell>
          <cell r="K605">
            <v>51621.374476477307</v>
          </cell>
          <cell r="L605">
            <v>5162.1374476477304</v>
          </cell>
          <cell r="M605">
            <v>3094.8166333333338</v>
          </cell>
          <cell r="N605" t="str">
            <v>Si Compra</v>
          </cell>
          <cell r="O605">
            <v>10</v>
          </cell>
          <cell r="P605">
            <v>208602.97286922435</v>
          </cell>
          <cell r="Q605">
            <v>20860.297286922436</v>
          </cell>
          <cell r="R605">
            <v>16773.077133333336</v>
          </cell>
          <cell r="S605"/>
          <cell r="T605"/>
          <cell r="U605"/>
          <cell r="V605">
            <v>0.24746231449366421</v>
          </cell>
          <cell r="W605">
            <v>1.9711035901051675E-4</v>
          </cell>
          <cell r="X605">
            <v>10</v>
          </cell>
          <cell r="Y605" t="str">
            <v>Potenciar</v>
          </cell>
        </row>
        <row r="606">
          <cell r="A606" t="str">
            <v>Y4</v>
          </cell>
          <cell r="B606" t="str">
            <v>Y4 - FARMACIA LA PRINCESA C.A.</v>
          </cell>
          <cell r="C606" t="str">
            <v>INDEPENDIENTE</v>
          </cell>
          <cell r="D606">
            <v>3</v>
          </cell>
          <cell r="F606" t="str">
            <v>CENTRO OESTE</v>
          </cell>
          <cell r="G606" t="str">
            <v>JOSE LUIS GARCIA</v>
          </cell>
          <cell r="H606" t="str">
            <v>HECTOR</v>
          </cell>
          <cell r="I606" t="str">
            <v>Y</v>
          </cell>
          <cell r="J606" t="str">
            <v>Activo</v>
          </cell>
          <cell r="K606">
            <v>51532.893332935273</v>
          </cell>
          <cell r="L606">
            <v>5153.2893332935273</v>
          </cell>
          <cell r="M606">
            <v>3685.2847032640384</v>
          </cell>
          <cell r="N606" t="str">
            <v>Si Compra</v>
          </cell>
          <cell r="O606">
            <v>10</v>
          </cell>
          <cell r="P606">
            <v>89900.719521862251</v>
          </cell>
          <cell r="Q606">
            <v>8990.0719521862247</v>
          </cell>
          <cell r="R606">
            <v>8583.5358488890379</v>
          </cell>
          <cell r="V606">
            <v>0.5732200321311488</v>
          </cell>
          <cell r="W606">
            <v>1.967725038072002E-4</v>
          </cell>
          <cell r="X606">
            <v>10</v>
          </cell>
          <cell r="Y606" t="str">
            <v>Potenciar</v>
          </cell>
        </row>
        <row r="607">
          <cell r="A607" t="str">
            <v>C394</v>
          </cell>
          <cell r="B607" t="str">
            <v>C394 - FARMACIA FARMAITAL,C.A.</v>
          </cell>
          <cell r="C607" t="str">
            <v>INDEPENDIENTE</v>
          </cell>
          <cell r="D607">
            <v>3</v>
          </cell>
          <cell r="E607"/>
          <cell r="F607" t="str">
            <v>CARACAS</v>
          </cell>
          <cell r="G607" t="str">
            <v>MAIRUBI QUIJADA</v>
          </cell>
          <cell r="H607" t="str">
            <v>VICTOR</v>
          </cell>
          <cell r="I607" t="str">
            <v>C2</v>
          </cell>
          <cell r="J607" t="str">
            <v>Activo</v>
          </cell>
          <cell r="K607">
            <v>51453.424962875739</v>
          </cell>
          <cell r="L607">
            <v>5145.3424962875742</v>
          </cell>
          <cell r="M607">
            <v>6601.2302302035141</v>
          </cell>
          <cell r="N607" t="str">
            <v>Si Compra</v>
          </cell>
          <cell r="O607">
            <v>10</v>
          </cell>
          <cell r="P607">
            <v>79404.251497761259</v>
          </cell>
          <cell r="Q607">
            <v>7940.4251497761261</v>
          </cell>
          <cell r="R607">
            <v>7919.0488229034599</v>
          </cell>
          <cell r="T607"/>
          <cell r="U607"/>
          <cell r="V607">
            <v>0.64799332519778785</v>
          </cell>
          <cell r="W607">
            <v>1.9646906285640658E-4</v>
          </cell>
          <cell r="X607">
            <v>10</v>
          </cell>
          <cell r="Y607" t="str">
            <v>Proteger</v>
          </cell>
        </row>
        <row r="608">
          <cell r="A608" t="str">
            <v>-33</v>
          </cell>
          <cell r="B608" t="str">
            <v>-33 - FARMACIA LONDRES, C.A.</v>
          </cell>
          <cell r="C608" t="str">
            <v>INDEPENDIENTE</v>
          </cell>
          <cell r="D608">
            <v>3</v>
          </cell>
          <cell r="E608"/>
          <cell r="F608" t="str">
            <v>CARACAS</v>
          </cell>
          <cell r="G608" t="str">
            <v>RAMON SERRANO</v>
          </cell>
          <cell r="H608"/>
          <cell r="I608" t="str">
            <v>CB</v>
          </cell>
          <cell r="J608" t="str">
            <v>Inactivo</v>
          </cell>
          <cell r="K608">
            <v>51389.017609726761</v>
          </cell>
          <cell r="L608">
            <v>5138.9017609726761</v>
          </cell>
          <cell r="M608">
            <v>4147.1241365725691</v>
          </cell>
          <cell r="N608" t="str">
            <v>Si Compra</v>
          </cell>
          <cell r="O608">
            <v>10</v>
          </cell>
          <cell r="P608">
            <v>62650.87779513438</v>
          </cell>
          <cell r="Q608">
            <v>6265.0877795134384</v>
          </cell>
          <cell r="R608">
            <v>4580.4819888452084</v>
          </cell>
          <cell r="T608"/>
          <cell r="U608"/>
          <cell r="V608">
            <v>0.82024417563256802</v>
          </cell>
          <cell r="W608">
            <v>1.9622313068914325E-4</v>
          </cell>
          <cell r="X608">
            <v>10</v>
          </cell>
          <cell r="Y608" t="str">
            <v>Proteger</v>
          </cell>
        </row>
        <row r="609">
          <cell r="A609" t="str">
            <v>6699</v>
          </cell>
          <cell r="B609" t="str">
            <v>6699 - FARMACIA BEJUMA,S.A</v>
          </cell>
          <cell r="C609" t="str">
            <v>INDEPENDIENTE</v>
          </cell>
          <cell r="D609">
            <v>3</v>
          </cell>
          <cell r="E609"/>
          <cell r="F609" t="str">
            <v>CENTRO ESTE</v>
          </cell>
          <cell r="G609" t="str">
            <v>KARLA SALAZAR</v>
          </cell>
          <cell r="H609"/>
          <cell r="I609" t="str">
            <v>H</v>
          </cell>
          <cell r="J609" t="str">
            <v>Activo</v>
          </cell>
          <cell r="K609">
            <v>51282.587621840801</v>
          </cell>
          <cell r="L609">
            <v>5128.2587621840803</v>
          </cell>
          <cell r="M609">
            <v>4670.3387868311356</v>
          </cell>
          <cell r="N609" t="str">
            <v>Si Compra</v>
          </cell>
          <cell r="O609">
            <v>10</v>
          </cell>
          <cell r="P609">
            <v>499890.82112270861</v>
          </cell>
          <cell r="Q609">
            <v>49989.082112270858</v>
          </cell>
          <cell r="R609">
            <v>37041.564866611159</v>
          </cell>
          <cell r="T609"/>
          <cell r="U609"/>
          <cell r="V609">
            <v>0.10258757603643302</v>
          </cell>
          <cell r="W609">
            <v>1.9581673986103298E-4</v>
          </cell>
          <cell r="X609">
            <v>10</v>
          </cell>
          <cell r="Y609" t="str">
            <v>Conquistar</v>
          </cell>
        </row>
        <row r="610">
          <cell r="A610">
            <v>0</v>
          </cell>
          <cell r="B610" t="str">
            <v>B296 - FARMACIA LA CEIBA, C.A.</v>
          </cell>
          <cell r="C610" t="str">
            <v>INDEPENDIENTE</v>
          </cell>
          <cell r="D610">
            <v>0</v>
          </cell>
          <cell r="E610"/>
          <cell r="F610" t="str">
            <v>CENTRO OESTE</v>
          </cell>
          <cell r="G610" t="str">
            <v>JOSE LUIS GARCIA</v>
          </cell>
          <cell r="H610" t="str">
            <v>HECTOR</v>
          </cell>
          <cell r="I610" t="str">
            <v>Y</v>
          </cell>
          <cell r="J610" t="str">
            <v>Activo</v>
          </cell>
          <cell r="K610">
            <v>51236.582252925524</v>
          </cell>
          <cell r="L610">
            <v>5123.6582252925527</v>
          </cell>
          <cell r="M610">
            <v>3670.3698054674351</v>
          </cell>
          <cell r="N610" t="str">
            <v>Si Compra</v>
          </cell>
          <cell r="O610">
            <v>10</v>
          </cell>
          <cell r="P610">
            <v>76892.114457711228</v>
          </cell>
          <cell r="Q610">
            <v>8543.5682730790249</v>
          </cell>
          <cell r="R610">
            <v>5784.8507027128117</v>
          </cell>
          <cell r="T610"/>
          <cell r="U610"/>
          <cell r="V610">
            <v>0.59970940262013406</v>
          </cell>
          <cell r="W610">
            <v>1.9564107358179756E-4</v>
          </cell>
          <cell r="X610">
            <v>9</v>
          </cell>
          <cell r="Y610" t="str">
            <v>Potenciar</v>
          </cell>
        </row>
        <row r="611">
          <cell r="A611" t="str">
            <v>D360</v>
          </cell>
          <cell r="B611" t="str">
            <v>D360 - FARMACIA DOÑA BEBA, C.A.</v>
          </cell>
          <cell r="C611" t="str">
            <v>INDEPENDIENTE</v>
          </cell>
          <cell r="D611">
            <v>3</v>
          </cell>
          <cell r="E611"/>
          <cell r="F611" t="str">
            <v>ANDES</v>
          </cell>
          <cell r="G611" t="str">
            <v>ZULAY PARRA</v>
          </cell>
          <cell r="H611" t="str">
            <v>VICTOR</v>
          </cell>
          <cell r="I611" t="str">
            <v>5</v>
          </cell>
          <cell r="J611" t="str">
            <v>Activo</v>
          </cell>
          <cell r="K611">
            <v>51223.308600000004</v>
          </cell>
          <cell r="L611">
            <v>5122.33086</v>
          </cell>
          <cell r="M611">
            <v>5722.3371333333334</v>
          </cell>
          <cell r="N611" t="str">
            <v>Si Compra</v>
          </cell>
          <cell r="O611">
            <v>10</v>
          </cell>
          <cell r="P611">
            <v>147927.78769999999</v>
          </cell>
          <cell r="Q611">
            <v>14792.778769999999</v>
          </cell>
          <cell r="R611">
            <v>11678.7155</v>
          </cell>
          <cell r="T611"/>
          <cell r="U611"/>
          <cell r="V611">
            <v>0.34627239003858912</v>
          </cell>
          <cell r="W611">
            <v>1.9559038964476439E-4</v>
          </cell>
          <cell r="X611">
            <v>10</v>
          </cell>
          <cell r="Y611" t="str">
            <v>Potenciar</v>
          </cell>
        </row>
        <row r="612">
          <cell r="A612" t="str">
            <v>B285</v>
          </cell>
          <cell r="B612" t="str">
            <v>B285 - FARMAMEDICO, C.A</v>
          </cell>
          <cell r="C612" t="str">
            <v>INDEPENDIENTE</v>
          </cell>
          <cell r="D612">
            <v>2</v>
          </cell>
          <cell r="E612"/>
          <cell r="F612" t="str">
            <v>CENTRO OESTE</v>
          </cell>
          <cell r="G612" t="str">
            <v>LUIS PLACERES</v>
          </cell>
          <cell r="H612"/>
          <cell r="I612" t="str">
            <v>E</v>
          </cell>
          <cell r="J612" t="str">
            <v>Suspendido</v>
          </cell>
          <cell r="K612">
            <v>51063.845475361595</v>
          </cell>
          <cell r="L612">
            <v>5673.7606083735109</v>
          </cell>
          <cell r="M612">
            <v>8805.3135725983884</v>
          </cell>
          <cell r="N612" t="str">
            <v>Si Compra</v>
          </cell>
          <cell r="O612">
            <v>9</v>
          </cell>
          <cell r="P612">
            <v>82464.02100632932</v>
          </cell>
          <cell r="Q612">
            <v>9162.6690007032576</v>
          </cell>
          <cell r="R612">
            <v>10803.902105019662</v>
          </cell>
          <cell r="T612"/>
          <cell r="U612"/>
          <cell r="V612">
            <v>0.6192257526642112</v>
          </cell>
          <cell r="W612">
            <v>2.166461086707098E-4</v>
          </cell>
          <cell r="X612">
            <v>9</v>
          </cell>
          <cell r="Y612" t="str">
            <v>Proteger</v>
          </cell>
        </row>
        <row r="613">
          <cell r="A613" t="str">
            <v>2796</v>
          </cell>
          <cell r="B613" t="str">
            <v>VIRGEN DE LA CONSOLACION</v>
          </cell>
          <cell r="C613" t="str">
            <v>GRUPO</v>
          </cell>
          <cell r="D613">
            <v>7</v>
          </cell>
          <cell r="E613"/>
          <cell r="F613" t="str">
            <v>ANDES</v>
          </cell>
          <cell r="H613"/>
          <cell r="I613"/>
          <cell r="J613" t="str">
            <v>Activo</v>
          </cell>
          <cell r="K613">
            <v>50757.395284067257</v>
          </cell>
          <cell r="L613">
            <v>5075.7395284067261</v>
          </cell>
          <cell r="M613">
            <v>6308.6763666666666</v>
          </cell>
          <cell r="N613" t="str">
            <v>Si Compra</v>
          </cell>
          <cell r="O613">
            <v>10</v>
          </cell>
          <cell r="P613">
            <v>125603.73126676591</v>
          </cell>
          <cell r="Q613">
            <v>12560.373126676592</v>
          </cell>
          <cell r="R613">
            <v>14244.397166666668</v>
          </cell>
          <cell r="S613"/>
          <cell r="T613"/>
          <cell r="U613"/>
          <cell r="V613">
            <v>0.40410738416890801</v>
          </cell>
          <cell r="W613">
            <v>1.9381135253266404E-4</v>
          </cell>
          <cell r="X613">
            <v>10</v>
          </cell>
          <cell r="Y613" t="str">
            <v>Potenciar</v>
          </cell>
        </row>
        <row r="614">
          <cell r="A614" t="str">
            <v>A602</v>
          </cell>
          <cell r="B614" t="str">
            <v>A602 - AUTOMERCADOS NOVA, C.A</v>
          </cell>
          <cell r="C614" t="str">
            <v>INDEPENDIENTE</v>
          </cell>
          <cell r="D614">
            <v>3</v>
          </cell>
          <cell r="E614"/>
          <cell r="F614" t="str">
            <v>ESTE</v>
          </cell>
          <cell r="G614">
            <v>0</v>
          </cell>
          <cell r="H614"/>
          <cell r="I614" t="str">
            <v>A8</v>
          </cell>
          <cell r="J614" t="str">
            <v>Activo</v>
          </cell>
          <cell r="K614">
            <v>50697.918664603239</v>
          </cell>
          <cell r="L614">
            <v>5069.7918664603239</v>
          </cell>
          <cell r="M614">
            <v>4199.7665999999999</v>
          </cell>
          <cell r="N614" t="str">
            <v>Si Compra</v>
          </cell>
          <cell r="O614">
            <v>10</v>
          </cell>
          <cell r="P614">
            <v>0</v>
          </cell>
          <cell r="Q614">
            <v>0</v>
          </cell>
          <cell r="R614">
            <v>0</v>
          </cell>
          <cell r="T614"/>
          <cell r="U614"/>
          <cell r="V614">
            <v>0</v>
          </cell>
          <cell r="W614">
            <v>1.9358424781230004E-4</v>
          </cell>
          <cell r="X614">
            <v>0</v>
          </cell>
          <cell r="Y614" t="str">
            <v>Conquistar</v>
          </cell>
        </row>
        <row r="615">
          <cell r="A615" t="str">
            <v>D740</v>
          </cell>
          <cell r="B615" t="str">
            <v>D740 - FARMA-DOS CENTRO, C.A</v>
          </cell>
          <cell r="C615" t="str">
            <v>INDEPENDIENTE</v>
          </cell>
          <cell r="D615">
            <v>3</v>
          </cell>
          <cell r="E615"/>
          <cell r="F615" t="str">
            <v>ANDES</v>
          </cell>
          <cell r="G615" t="str">
            <v>ANYERSSON TORRES</v>
          </cell>
          <cell r="H615" t="str">
            <v>VICTOR</v>
          </cell>
          <cell r="I615" t="str">
            <v>4</v>
          </cell>
          <cell r="J615" t="str">
            <v>Activo</v>
          </cell>
          <cell r="K615">
            <v>50664.294907968913</v>
          </cell>
          <cell r="L615">
            <v>5066.4294907968915</v>
          </cell>
          <cell r="M615">
            <v>5415.4628666666667</v>
          </cell>
          <cell r="N615" t="str">
            <v>Si Compra</v>
          </cell>
          <cell r="O615">
            <v>10</v>
          </cell>
          <cell r="P615">
            <v>1105906.5097494337</v>
          </cell>
          <cell r="Q615">
            <v>110590.65097494338</v>
          </cell>
          <cell r="R615">
            <v>81401.031766666667</v>
          </cell>
          <cell r="T615"/>
          <cell r="U615"/>
          <cell r="V615">
            <v>4.5812457437697851E-2</v>
          </cell>
          <cell r="W615">
            <v>1.9345585931415004E-4</v>
          </cell>
          <cell r="X615">
            <v>10</v>
          </cell>
          <cell r="Y615" t="str">
            <v>Conquistar</v>
          </cell>
        </row>
        <row r="616">
          <cell r="A616" t="str">
            <v>E367</v>
          </cell>
          <cell r="B616" t="str">
            <v>E367 - FARMACIA GRUPO FAMILIA, C.A.</v>
          </cell>
          <cell r="C616" t="e">
            <v>#N/A</v>
          </cell>
          <cell r="D616">
            <v>3</v>
          </cell>
          <cell r="F616" t="str">
            <v>CENTRO OESTE</v>
          </cell>
          <cell r="G616">
            <v>0</v>
          </cell>
          <cell r="H616"/>
          <cell r="I616" t="str">
            <v>C</v>
          </cell>
          <cell r="J616" t="str">
            <v>Inactivo</v>
          </cell>
          <cell r="K616">
            <v>50588.686022781621</v>
          </cell>
          <cell r="L616">
            <v>8431.4476704636036</v>
          </cell>
          <cell r="M616">
            <v>8308.0368129115996</v>
          </cell>
          <cell r="N616" t="str">
            <v>Si Compra</v>
          </cell>
          <cell r="O616">
            <v>6</v>
          </cell>
          <cell r="P616">
            <v>0</v>
          </cell>
          <cell r="Q616">
            <v>0</v>
          </cell>
          <cell r="R616">
            <v>0</v>
          </cell>
          <cell r="V616">
            <v>0</v>
          </cell>
          <cell r="W616">
            <v>3.2194525894709914E-4</v>
          </cell>
          <cell r="X616">
            <v>0</v>
          </cell>
          <cell r="Y616" t="str">
            <v>Conquistar</v>
          </cell>
        </row>
        <row r="617">
          <cell r="A617" t="str">
            <v>D429</v>
          </cell>
          <cell r="B617" t="str">
            <v>ALKOSTO</v>
          </cell>
          <cell r="C617" t="str">
            <v>CADENA</v>
          </cell>
          <cell r="D617">
            <v>6</v>
          </cell>
          <cell r="E617"/>
          <cell r="F617" t="str">
            <v>ANDES</v>
          </cell>
          <cell r="H617"/>
          <cell r="I617"/>
          <cell r="J617" t="str">
            <v>Activo</v>
          </cell>
          <cell r="K617">
            <v>50529.729682229037</v>
          </cell>
          <cell r="L617">
            <v>5052.9729682229035</v>
          </cell>
          <cell r="M617">
            <v>4909.8839353098419</v>
          </cell>
          <cell r="N617" t="str">
            <v>Si Compra</v>
          </cell>
          <cell r="O617">
            <v>10</v>
          </cell>
          <cell r="P617">
            <v>0</v>
          </cell>
          <cell r="Q617">
            <v>0</v>
          </cell>
          <cell r="R617">
            <v>0</v>
          </cell>
          <cell r="S617"/>
          <cell r="T617"/>
          <cell r="U617"/>
          <cell r="V617">
            <v>0</v>
          </cell>
          <cell r="W617">
            <v>1.9294203727386312E-4</v>
          </cell>
          <cell r="X617">
            <v>0</v>
          </cell>
          <cell r="Y617" t="str">
            <v>Conquistar</v>
          </cell>
        </row>
        <row r="618">
          <cell r="A618" t="str">
            <v>C803</v>
          </cell>
          <cell r="B618" t="str">
            <v>C803 - EXPENDIO DE MEDICINAS LA COROMOTO BENDITA 2019,C.A</v>
          </cell>
          <cell r="C618" t="str">
            <v>INDEPENDIENTE</v>
          </cell>
          <cell r="D618">
            <v>2</v>
          </cell>
          <cell r="E618"/>
          <cell r="F618" t="str">
            <v>CENTRO OESTE</v>
          </cell>
          <cell r="G618">
            <v>0</v>
          </cell>
          <cell r="H618"/>
          <cell r="I618" t="str">
            <v>A</v>
          </cell>
          <cell r="J618" t="str">
            <v>Activo</v>
          </cell>
          <cell r="K618">
            <v>50315.76338143176</v>
          </cell>
          <cell r="L618">
            <v>5590.64037571464</v>
          </cell>
          <cell r="M618">
            <v>7167.9237931033567</v>
          </cell>
          <cell r="N618" t="str">
            <v>Si Compra</v>
          </cell>
          <cell r="O618">
            <v>9</v>
          </cell>
          <cell r="P618">
            <v>0</v>
          </cell>
          <cell r="Q618">
            <v>0</v>
          </cell>
          <cell r="R618">
            <v>0</v>
          </cell>
          <cell r="T618"/>
          <cell r="U618"/>
          <cell r="V618">
            <v>0</v>
          </cell>
          <cell r="W618">
            <v>2.1347225693456637E-4</v>
          </cell>
          <cell r="X618">
            <v>0</v>
          </cell>
          <cell r="Y618" t="str">
            <v>Conquistar</v>
          </cell>
        </row>
        <row r="619">
          <cell r="A619" t="str">
            <v>3651</v>
          </cell>
          <cell r="B619" t="str">
            <v>NERIO RUBIO</v>
          </cell>
          <cell r="C619" t="str">
            <v>GRUPO</v>
          </cell>
          <cell r="D619">
            <v>12</v>
          </cell>
          <cell r="E619"/>
          <cell r="F619" t="str">
            <v>MARACAIBO</v>
          </cell>
          <cell r="H619"/>
          <cell r="I619"/>
          <cell r="J619" t="str">
            <v>Inactivo</v>
          </cell>
          <cell r="K619">
            <v>50253.418738430875</v>
          </cell>
          <cell r="L619">
            <v>5025.3418738430873</v>
          </cell>
          <cell r="M619">
            <v>5023.5867493835076</v>
          </cell>
          <cell r="N619" t="str">
            <v>Si Compra</v>
          </cell>
          <cell r="O619">
            <v>10</v>
          </cell>
          <cell r="P619">
            <v>333867.93581910845</v>
          </cell>
          <cell r="Q619">
            <v>33386.793581910846</v>
          </cell>
          <cell r="R619">
            <v>29257.695581895183</v>
          </cell>
          <cell r="S619"/>
          <cell r="T619"/>
          <cell r="U619"/>
          <cell r="V619">
            <v>0.15051885295645301</v>
          </cell>
          <cell r="W619">
            <v>1.9188697529841324E-4</v>
          </cell>
          <cell r="X619">
            <v>10</v>
          </cell>
          <cell r="Y619" t="str">
            <v>Conquistar</v>
          </cell>
        </row>
        <row r="620">
          <cell r="A620" t="str">
            <v>D749</v>
          </cell>
          <cell r="B620" t="str">
            <v>D749 - FARMACOS GUARICO 0324 C.A.</v>
          </cell>
          <cell r="C620" t="str">
            <v>INDEPENDIENTE</v>
          </cell>
          <cell r="D620">
            <v>3</v>
          </cell>
          <cell r="E620"/>
          <cell r="F620" t="str">
            <v>ESTE</v>
          </cell>
          <cell r="G620" t="str">
            <v>PEDRO VIRE</v>
          </cell>
          <cell r="H620" t="str">
            <v>HECTOR</v>
          </cell>
          <cell r="I620" t="str">
            <v>A7</v>
          </cell>
          <cell r="J620" t="str">
            <v>Inactivo</v>
          </cell>
          <cell r="K620">
            <v>50138.504199999996</v>
          </cell>
          <cell r="L620">
            <v>5013.8504199999998</v>
          </cell>
          <cell r="M620">
            <v>5701.2951333333331</v>
          </cell>
          <cell r="N620" t="str">
            <v>Si Compra</v>
          </cell>
          <cell r="O620">
            <v>10</v>
          </cell>
          <cell r="P620">
            <v>1289743.7481</v>
          </cell>
          <cell r="Q620">
            <v>128974.37480999999</v>
          </cell>
          <cell r="R620">
            <v>148835.8751</v>
          </cell>
          <cell r="T620"/>
          <cell r="U620"/>
          <cell r="V620">
            <v>3.8874779795491997E-2</v>
          </cell>
          <cell r="W620">
            <v>1.9144818717710974E-4</v>
          </cell>
          <cell r="X620">
            <v>10</v>
          </cell>
          <cell r="Y620" t="str">
            <v>Conquistar</v>
          </cell>
        </row>
        <row r="621">
          <cell r="A621" t="str">
            <v>C920</v>
          </cell>
          <cell r="B621" t="str">
            <v>C920 - FARMA 24/7, C.A.</v>
          </cell>
          <cell r="C621" t="e">
            <v>#N/A</v>
          </cell>
          <cell r="D621">
            <v>0</v>
          </cell>
          <cell r="E621"/>
          <cell r="F621" t="str">
            <v>CARACAS</v>
          </cell>
          <cell r="H621"/>
          <cell r="I621" t="str">
            <v>C4</v>
          </cell>
          <cell r="J621" t="str">
            <v>Bloqueado</v>
          </cell>
          <cell r="K621">
            <v>50066.467945801363</v>
          </cell>
          <cell r="L621">
            <v>8344.4113243002266</v>
          </cell>
          <cell r="M621">
            <v>-12.283380827320856</v>
          </cell>
          <cell r="N621" t="str">
            <v>No Compra</v>
          </cell>
          <cell r="O621">
            <v>4</v>
          </cell>
          <cell r="P621">
            <v>0</v>
          </cell>
          <cell r="Q621">
            <v>0</v>
          </cell>
          <cell r="R621">
            <v>0</v>
          </cell>
          <cell r="T621"/>
          <cell r="U621"/>
          <cell r="V621">
            <v>0</v>
          </cell>
          <cell r="W621">
            <v>3.1862187486187988E-4</v>
          </cell>
          <cell r="X621">
            <v>0</v>
          </cell>
          <cell r="Y621" t="str">
            <v>Conquistar</v>
          </cell>
        </row>
        <row r="622">
          <cell r="A622" t="str">
            <v>C957</v>
          </cell>
          <cell r="B622" t="str">
            <v>C957 - FARMACIA EL SAMARITANO E.J 2023, C.A.</v>
          </cell>
          <cell r="C622" t="str">
            <v>INDEPENDIENTE</v>
          </cell>
          <cell r="D622">
            <v>1</v>
          </cell>
          <cell r="E622"/>
          <cell r="F622" t="str">
            <v>CENTRO ESTE</v>
          </cell>
          <cell r="G622" t="str">
            <v>LAURA FLORES</v>
          </cell>
          <cell r="H622"/>
          <cell r="I622" t="str">
            <v>+</v>
          </cell>
          <cell r="J622" t="str">
            <v>Activo</v>
          </cell>
          <cell r="K622">
            <v>49958.499499999998</v>
          </cell>
          <cell r="L622">
            <v>8326.4165833333336</v>
          </cell>
          <cell r="M622">
            <v>8760.0131999999994</v>
          </cell>
          <cell r="N622" t="str">
            <v>Si Compra</v>
          </cell>
          <cell r="O622">
            <v>6</v>
          </cell>
          <cell r="P622">
            <v>74716.094899999996</v>
          </cell>
          <cell r="Q622">
            <v>12452.682483333332</v>
          </cell>
          <cell r="R622">
            <v>13290.7726</v>
          </cell>
          <cell r="T622"/>
          <cell r="U622"/>
          <cell r="V622">
            <v>0.66864441412341546</v>
          </cell>
          <cell r="W622">
            <v>3.1793476610349111E-4</v>
          </cell>
          <cell r="X622">
            <v>6</v>
          </cell>
          <cell r="Y622" t="str">
            <v>Proteger</v>
          </cell>
        </row>
        <row r="623">
          <cell r="A623" t="str">
            <v>C135</v>
          </cell>
          <cell r="B623" t="str">
            <v>C135 - FARMACIA LA UNICA, C. A.</v>
          </cell>
          <cell r="C623" t="str">
            <v>INDEPENDIENTE</v>
          </cell>
          <cell r="D623">
            <v>3</v>
          </cell>
          <cell r="E623"/>
          <cell r="F623" t="str">
            <v>CENTRO OESTE</v>
          </cell>
          <cell r="G623" t="str">
            <v>SORALI SILVA</v>
          </cell>
          <cell r="H623" t="str">
            <v>HECTOR</v>
          </cell>
          <cell r="I623" t="str">
            <v>C</v>
          </cell>
          <cell r="J623" t="str">
            <v>Activo</v>
          </cell>
          <cell r="K623">
            <v>49955.294268210091</v>
          </cell>
          <cell r="L623">
            <v>4995.5294268210091</v>
          </cell>
          <cell r="M623">
            <v>5744.0862686146711</v>
          </cell>
          <cell r="N623" t="str">
            <v>Si Compra</v>
          </cell>
          <cell r="O623">
            <v>10</v>
          </cell>
          <cell r="P623">
            <v>80179.132694847081</v>
          </cell>
          <cell r="Q623">
            <v>8017.9132694847085</v>
          </cell>
          <cell r="R623">
            <v>7881.0740970968036</v>
          </cell>
          <cell r="T623"/>
          <cell r="U623"/>
          <cell r="V623">
            <v>0.62304607931261136</v>
          </cell>
          <cell r="W623">
            <v>1.9074862084832365E-4</v>
          </cell>
          <cell r="X623">
            <v>10</v>
          </cell>
          <cell r="Y623" t="str">
            <v>Proteger</v>
          </cell>
        </row>
        <row r="624">
          <cell r="A624" t="str">
            <v>9600</v>
          </cell>
          <cell r="B624" t="str">
            <v>9600 - FARMACIA LA PLAYITA C.A</v>
          </cell>
          <cell r="C624" t="str">
            <v>INDEPENDIENTE</v>
          </cell>
          <cell r="D624">
            <v>3</v>
          </cell>
          <cell r="E624"/>
          <cell r="F624" t="str">
            <v>ANDES</v>
          </cell>
          <cell r="G624" t="str">
            <v>ZULAY PARRA</v>
          </cell>
          <cell r="H624"/>
          <cell r="I624" t="str">
            <v>5</v>
          </cell>
          <cell r="J624" t="str">
            <v>Inactivo</v>
          </cell>
          <cell r="K624">
            <v>49936.975510445809</v>
          </cell>
          <cell r="L624">
            <v>4993.6975510445809</v>
          </cell>
          <cell r="M624">
            <v>8235.5306210580566</v>
          </cell>
          <cell r="N624" t="str">
            <v>Si Compra</v>
          </cell>
          <cell r="O624">
            <v>10</v>
          </cell>
          <cell r="P624">
            <v>131991.1636831708</v>
          </cell>
          <cell r="Q624">
            <v>13199.11636831708</v>
          </cell>
          <cell r="R624">
            <v>8049.7917947757887</v>
          </cell>
          <cell r="T624"/>
          <cell r="U624"/>
          <cell r="V624">
            <v>0.37833574700738015</v>
          </cell>
          <cell r="W624">
            <v>1.9067867275112237E-4</v>
          </cell>
          <cell r="X624">
            <v>10</v>
          </cell>
          <cell r="Y624" t="str">
            <v>Potenciar</v>
          </cell>
        </row>
        <row r="625">
          <cell r="A625" t="str">
            <v>Q154</v>
          </cell>
          <cell r="B625" t="str">
            <v>Q154 - FARMACIA DIVINA PASTORA II,C.A.</v>
          </cell>
          <cell r="C625" t="str">
            <v>INDEPENDIENTE</v>
          </cell>
          <cell r="D625">
            <v>3</v>
          </cell>
          <cell r="F625" t="str">
            <v>MARACAIBO</v>
          </cell>
          <cell r="G625" t="str">
            <v>ADRIANA ALBORNOZ</v>
          </cell>
          <cell r="H625" t="str">
            <v>VICTOR</v>
          </cell>
          <cell r="I625" t="str">
            <v>Q</v>
          </cell>
          <cell r="J625" t="str">
            <v>Activo</v>
          </cell>
          <cell r="K625">
            <v>49616.571299999996</v>
          </cell>
          <cell r="L625">
            <v>5512.9523666666664</v>
          </cell>
          <cell r="M625">
            <v>9860.8077666666668</v>
          </cell>
          <cell r="N625" t="str">
            <v>Si Compra</v>
          </cell>
          <cell r="O625">
            <v>9</v>
          </cell>
          <cell r="P625">
            <v>88499.962</v>
          </cell>
          <cell r="Q625">
            <v>9833.3291111111103</v>
          </cell>
          <cell r="R625">
            <v>10301.683266666667</v>
          </cell>
          <cell r="V625">
            <v>0.56063946445536328</v>
          </cell>
          <cell r="W625">
            <v>2.1050582849100832E-4</v>
          </cell>
          <cell r="X625">
            <v>9</v>
          </cell>
          <cell r="Y625" t="str">
            <v>Potenciar</v>
          </cell>
        </row>
        <row r="626">
          <cell r="A626" t="str">
            <v>2507</v>
          </cell>
          <cell r="B626" t="str">
            <v>2507 - FARMACIA EL ANGEL , C.A</v>
          </cell>
          <cell r="C626" t="str">
            <v>INDEPENDIENTE</v>
          </cell>
          <cell r="D626">
            <v>3</v>
          </cell>
          <cell r="E626"/>
          <cell r="F626" t="str">
            <v>CARACAS</v>
          </cell>
          <cell r="G626" t="str">
            <v>JHON TORRES</v>
          </cell>
          <cell r="H626"/>
          <cell r="I626" t="str">
            <v>C4</v>
          </cell>
          <cell r="J626" t="str">
            <v>Permiso</v>
          </cell>
          <cell r="K626">
            <v>49470.984887861232</v>
          </cell>
          <cell r="L626">
            <v>4947.0984887861232</v>
          </cell>
          <cell r="M626">
            <v>4691.2904617132108</v>
          </cell>
          <cell r="N626" t="str">
            <v>Si Compra</v>
          </cell>
          <cell r="O626">
            <v>10</v>
          </cell>
          <cell r="P626">
            <v>55220.614386986585</v>
          </cell>
          <cell r="Q626">
            <v>5522.0614386986581</v>
          </cell>
          <cell r="R626">
            <v>4529.76064102691</v>
          </cell>
          <cell r="T626"/>
          <cell r="U626"/>
          <cell r="V626">
            <v>0.89587892921958656</v>
          </cell>
          <cell r="W626">
            <v>1.8889934045234689E-4</v>
          </cell>
          <cell r="X626">
            <v>10</v>
          </cell>
          <cell r="Y626" t="str">
            <v>Proteger</v>
          </cell>
        </row>
        <row r="627">
          <cell r="A627" t="str">
            <v>C951</v>
          </cell>
          <cell r="B627" t="str">
            <v>C951 - FARMACIA FARMACRISMEL, C.A</v>
          </cell>
          <cell r="C627" t="str">
            <v>INDEPENDIENTE</v>
          </cell>
          <cell r="D627">
            <v>3</v>
          </cell>
          <cell r="E627"/>
          <cell r="F627" t="str">
            <v>CENTRO OESTE</v>
          </cell>
          <cell r="G627" t="str">
            <v>YAMILEX LAMEDA</v>
          </cell>
          <cell r="H627"/>
          <cell r="I627" t="str">
            <v>Y1</v>
          </cell>
          <cell r="J627" t="str">
            <v>Activo</v>
          </cell>
          <cell r="K627">
            <v>49441.298358675049</v>
          </cell>
          <cell r="L627">
            <v>4944.1298358675049</v>
          </cell>
          <cell r="M627">
            <v>4595.5990810423827</v>
          </cell>
          <cell r="N627" t="str">
            <v>Si Compra</v>
          </cell>
          <cell r="O627">
            <v>10</v>
          </cell>
          <cell r="P627">
            <v>62882.354408195832</v>
          </cell>
          <cell r="Q627">
            <v>6288.2354408195833</v>
          </cell>
          <cell r="R627">
            <v>5035.3799844404448</v>
          </cell>
          <cell r="T627"/>
          <cell r="U627"/>
          <cell r="V627">
            <v>0.78625075069121564</v>
          </cell>
          <cell r="W627">
            <v>1.8878598581030165E-4</v>
          </cell>
          <cell r="X627">
            <v>10</v>
          </cell>
          <cell r="Y627" t="str">
            <v>Proteger</v>
          </cell>
        </row>
        <row r="628">
          <cell r="A628" t="str">
            <v>C012</v>
          </cell>
          <cell r="B628" t="str">
            <v>TU FARMA</v>
          </cell>
          <cell r="C628" t="str">
            <v>GRUPO</v>
          </cell>
          <cell r="D628">
            <v>25</v>
          </cell>
          <cell r="E628">
            <v>0</v>
          </cell>
          <cell r="F628" t="str">
            <v>ESTE</v>
          </cell>
          <cell r="G628" t="str">
            <v>ALEXMAR CASTILLO</v>
          </cell>
          <cell r="H628" t="str">
            <v>HECTOR</v>
          </cell>
          <cell r="I628" t="str">
            <v>A1</v>
          </cell>
          <cell r="J628" t="str">
            <v>Activo</v>
          </cell>
          <cell r="K628">
            <v>49379.233897745522</v>
          </cell>
          <cell r="L628">
            <v>4937.9233897745526</v>
          </cell>
          <cell r="M628">
            <v>4594.2352828155681</v>
          </cell>
          <cell r="N628" t="str">
            <v>Si Compra</v>
          </cell>
          <cell r="O628">
            <v>10</v>
          </cell>
          <cell r="P628">
            <v>1189348.5813334947</v>
          </cell>
          <cell r="Q628">
            <v>118934.85813334948</v>
          </cell>
          <cell r="R628">
            <v>100474.93989407543</v>
          </cell>
          <cell r="S628">
            <v>58000</v>
          </cell>
          <cell r="T628">
            <v>6</v>
          </cell>
          <cell r="U628">
            <v>6</v>
          </cell>
          <cell r="V628">
            <v>4.1517881866375665E-2</v>
          </cell>
          <cell r="W628">
            <v>1.8854899971104178E-4</v>
          </cell>
          <cell r="X628">
            <v>10</v>
          </cell>
          <cell r="Y628" t="str">
            <v>Conquistar</v>
          </cell>
        </row>
        <row r="629">
          <cell r="A629" t="str">
            <v>9939</v>
          </cell>
          <cell r="B629" t="str">
            <v>9939 - SAVIA FARMACIAS, C.A.</v>
          </cell>
          <cell r="C629" t="str">
            <v>INDEPENDIENTE</v>
          </cell>
          <cell r="D629">
            <v>3</v>
          </cell>
          <cell r="E629"/>
          <cell r="F629" t="str">
            <v>CARACAS</v>
          </cell>
          <cell r="G629" t="str">
            <v>MAIRUBI QUIJADA</v>
          </cell>
          <cell r="H629"/>
          <cell r="I629" t="str">
            <v>C1</v>
          </cell>
          <cell r="J629" t="str">
            <v>Inactivo</v>
          </cell>
          <cell r="K629">
            <v>49338.851775156727</v>
          </cell>
          <cell r="L629">
            <v>4933.8851775156727</v>
          </cell>
          <cell r="M629">
            <v>3673.0558333333333</v>
          </cell>
          <cell r="N629" t="str">
            <v>Si Compra</v>
          </cell>
          <cell r="O629">
            <v>10</v>
          </cell>
          <cell r="P629">
            <v>109832.17509103866</v>
          </cell>
          <cell r="Q629">
            <v>10983.217509103866</v>
          </cell>
          <cell r="R629">
            <v>10494.529566666666</v>
          </cell>
          <cell r="T629"/>
          <cell r="U629"/>
          <cell r="V629">
            <v>0.44922038313691143</v>
          </cell>
          <cell r="W629">
            <v>1.8839480515962177E-4</v>
          </cell>
          <cell r="X629">
            <v>10</v>
          </cell>
          <cell r="Y629" t="str">
            <v>Potenciar</v>
          </cell>
        </row>
        <row r="630">
          <cell r="A630" t="str">
            <v>B337</v>
          </cell>
          <cell r="B630" t="str">
            <v>B337 - FARMACIA TAVACARE, C.A.</v>
          </cell>
          <cell r="C630" t="str">
            <v>INDEPENDIENTE</v>
          </cell>
          <cell r="D630">
            <v>3</v>
          </cell>
          <cell r="E630"/>
          <cell r="F630" t="str">
            <v>CENTRO OESTE</v>
          </cell>
          <cell r="G630" t="str">
            <v>LUIS PLACERES</v>
          </cell>
          <cell r="H630"/>
          <cell r="I630" t="str">
            <v>E</v>
          </cell>
          <cell r="J630" t="str">
            <v>Activo</v>
          </cell>
          <cell r="K630">
            <v>49079.747211632668</v>
          </cell>
          <cell r="L630">
            <v>4907.9747211632666</v>
          </cell>
          <cell r="M630">
            <v>4722.9357015114338</v>
          </cell>
          <cell r="N630" t="str">
            <v>Si Compra</v>
          </cell>
          <cell r="O630">
            <v>10</v>
          </cell>
          <cell r="P630">
            <v>69505.920447999481</v>
          </cell>
          <cell r="Q630">
            <v>6950.5920447999479</v>
          </cell>
          <cell r="R630">
            <v>6890.2398871812447</v>
          </cell>
          <cell r="T630"/>
          <cell r="U630"/>
          <cell r="V630">
            <v>0.70612326108754209</v>
          </cell>
          <cell r="W630">
            <v>1.8740544379419041E-4</v>
          </cell>
          <cell r="X630">
            <v>10</v>
          </cell>
          <cell r="Y630" t="str">
            <v>Proteger</v>
          </cell>
        </row>
        <row r="631">
          <cell r="A631" t="str">
            <v>C043</v>
          </cell>
          <cell r="B631" t="str">
            <v>C043 - FARMACIA CRISTO REY C.A</v>
          </cell>
          <cell r="C631" t="str">
            <v>INDEPENDIENTE</v>
          </cell>
          <cell r="D631">
            <v>3</v>
          </cell>
          <cell r="E631"/>
          <cell r="F631" t="str">
            <v>CENTRO OESTE</v>
          </cell>
          <cell r="G631" t="str">
            <v>LUIS PLACERES</v>
          </cell>
          <cell r="H631"/>
          <cell r="I631" t="str">
            <v>E</v>
          </cell>
          <cell r="J631" t="str">
            <v>Activo</v>
          </cell>
          <cell r="K631">
            <v>49053.042585166499</v>
          </cell>
          <cell r="L631">
            <v>4905.3042585166495</v>
          </cell>
          <cell r="M631">
            <v>6534.2100216376348</v>
          </cell>
          <cell r="N631" t="str">
            <v>Si Compra</v>
          </cell>
          <cell r="O631">
            <v>10</v>
          </cell>
          <cell r="P631">
            <v>68995.702989771686</v>
          </cell>
          <cell r="Q631">
            <v>6899.5702989771689</v>
          </cell>
          <cell r="R631">
            <v>9916.2675522397094</v>
          </cell>
          <cell r="T631"/>
          <cell r="U631"/>
          <cell r="V631">
            <v>0.7109579359230298</v>
          </cell>
          <cell r="W631">
            <v>1.8730347520921236E-4</v>
          </cell>
          <cell r="X631">
            <v>10</v>
          </cell>
          <cell r="Y631" t="str">
            <v>Proteger</v>
          </cell>
        </row>
        <row r="632">
          <cell r="A632" t="str">
            <v>B064</v>
          </cell>
          <cell r="B632" t="str">
            <v>B064 - FARMALIANZA, C.A</v>
          </cell>
          <cell r="C632" t="str">
            <v>INDEPENDIENTE</v>
          </cell>
          <cell r="D632">
            <v>3</v>
          </cell>
          <cell r="E632"/>
          <cell r="F632" t="str">
            <v>CENTRO ESTE</v>
          </cell>
          <cell r="G632" t="str">
            <v>KARLA SALAZAR</v>
          </cell>
          <cell r="H632"/>
          <cell r="I632" t="str">
            <v xml:space="preserve">O </v>
          </cell>
          <cell r="J632" t="str">
            <v>Activo</v>
          </cell>
          <cell r="K632">
            <v>49026.83414955622</v>
          </cell>
          <cell r="L632">
            <v>4902.6834149556216</v>
          </cell>
          <cell r="M632">
            <v>5251.8949191291422</v>
          </cell>
          <cell r="N632" t="str">
            <v>Si Compra</v>
          </cell>
          <cell r="O632">
            <v>10</v>
          </cell>
          <cell r="P632">
            <v>97992.095616949402</v>
          </cell>
          <cell r="Q632">
            <v>9799.2095616949409</v>
          </cell>
          <cell r="R632">
            <v>8576.3454098295097</v>
          </cell>
          <cell r="T632"/>
          <cell r="U632"/>
          <cell r="V632">
            <v>0.50031417167770198</v>
          </cell>
          <cell r="W632">
            <v>1.8720340127269602E-4</v>
          </cell>
          <cell r="X632">
            <v>10</v>
          </cell>
          <cell r="Y632" t="str">
            <v>Potenciar</v>
          </cell>
        </row>
        <row r="633">
          <cell r="A633" t="str">
            <v>E054</v>
          </cell>
          <cell r="B633" t="str">
            <v>E054 - FARMACIA CIMA SALUD, C.A</v>
          </cell>
          <cell r="C633" t="str">
            <v>INDEPENDIENTE</v>
          </cell>
          <cell r="D633">
            <v>3</v>
          </cell>
          <cell r="F633" t="str">
            <v>MARACAIBO</v>
          </cell>
          <cell r="G633">
            <v>0</v>
          </cell>
          <cell r="H633"/>
          <cell r="I633" t="str">
            <v>D</v>
          </cell>
          <cell r="J633" t="str">
            <v>Activo</v>
          </cell>
          <cell r="K633">
            <v>48853.01496273496</v>
          </cell>
          <cell r="L633">
            <v>5428.1127736372182</v>
          </cell>
          <cell r="M633">
            <v>4970.0695628842886</v>
          </cell>
          <cell r="N633" t="str">
            <v>Si Compra</v>
          </cell>
          <cell r="O633">
            <v>9</v>
          </cell>
          <cell r="P633">
            <v>0</v>
          </cell>
          <cell r="Q633">
            <v>0</v>
          </cell>
          <cell r="R633">
            <v>0</v>
          </cell>
          <cell r="V633">
            <v>0</v>
          </cell>
          <cell r="W633">
            <v>2.0726632493072231E-4</v>
          </cell>
          <cell r="X633">
            <v>0</v>
          </cell>
          <cell r="Y633" t="str">
            <v>Conquistar</v>
          </cell>
        </row>
        <row r="634">
          <cell r="A634" t="str">
            <v>C071</v>
          </cell>
          <cell r="B634" t="str">
            <v>LAS 24 HORAS DE FLOR AMARILLO</v>
          </cell>
          <cell r="C634" t="str">
            <v>GRUPO</v>
          </cell>
          <cell r="D634">
            <v>6</v>
          </cell>
          <cell r="E634"/>
          <cell r="F634" t="str">
            <v>CENTRO ESTE</v>
          </cell>
          <cell r="H634"/>
          <cell r="I634"/>
          <cell r="J634" t="str">
            <v>Activo</v>
          </cell>
          <cell r="K634">
            <v>48838.113575020798</v>
          </cell>
          <cell r="L634">
            <v>4883.8113575020798</v>
          </cell>
          <cell r="M634">
            <v>3766.1808322303127</v>
          </cell>
          <cell r="N634" t="str">
            <v>Si Compra</v>
          </cell>
          <cell r="O634">
            <v>10</v>
          </cell>
          <cell r="P634">
            <v>356634.86599948199</v>
          </cell>
          <cell r="Q634">
            <v>35663.486599948199</v>
          </cell>
          <cell r="R634">
            <v>19532.385222070177</v>
          </cell>
          <cell r="S634"/>
          <cell r="T634"/>
          <cell r="U634"/>
          <cell r="V634">
            <v>0.13694150020399781</v>
          </cell>
          <cell r="W634">
            <v>1.8648279318008706E-4</v>
          </cell>
          <cell r="X634">
            <v>10</v>
          </cell>
          <cell r="Y634" t="str">
            <v>Conquistar</v>
          </cell>
        </row>
        <row r="635">
          <cell r="A635" t="str">
            <v>8159</v>
          </cell>
          <cell r="B635" t="str">
            <v>8159 - FARMACIA MKB 1508,C.A.</v>
          </cell>
          <cell r="C635" t="str">
            <v>INDEPENDIENTE</v>
          </cell>
          <cell r="D635">
            <v>3</v>
          </cell>
          <cell r="E635"/>
          <cell r="F635" t="str">
            <v>CARACAS</v>
          </cell>
          <cell r="G635" t="str">
            <v>WILLIAM ARAQUE</v>
          </cell>
          <cell r="H635"/>
          <cell r="I635" t="str">
            <v>C8</v>
          </cell>
          <cell r="J635" t="str">
            <v>Activo</v>
          </cell>
          <cell r="K635">
            <v>48693.361934176959</v>
          </cell>
          <cell r="L635">
            <v>4869.3361934176955</v>
          </cell>
          <cell r="M635">
            <v>5607.8078587103892</v>
          </cell>
          <cell r="N635" t="str">
            <v>Si Compra</v>
          </cell>
          <cell r="O635">
            <v>10</v>
          </cell>
          <cell r="P635">
            <v>57772.672066588559</v>
          </cell>
          <cell r="Q635">
            <v>5777.2672066588557</v>
          </cell>
          <cell r="R635">
            <v>4919.8458980464547</v>
          </cell>
          <cell r="T635"/>
          <cell r="U635"/>
          <cell r="V635">
            <v>0.84284420630662849</v>
          </cell>
          <cell r="W635">
            <v>1.8593007546996307E-4</v>
          </cell>
          <cell r="X635">
            <v>10</v>
          </cell>
          <cell r="Y635" t="str">
            <v>Proteger</v>
          </cell>
        </row>
        <row r="636">
          <cell r="A636" t="str">
            <v>0345</v>
          </cell>
          <cell r="B636" t="str">
            <v>0345 - FARMACIA SAN LUIS, C.A</v>
          </cell>
          <cell r="C636" t="str">
            <v>INDEPENDIENTE</v>
          </cell>
          <cell r="D636">
            <v>3</v>
          </cell>
          <cell r="E636"/>
          <cell r="F636" t="str">
            <v>ESTE</v>
          </cell>
          <cell r="G636" t="str">
            <v>ALEXMAR CASTILLO</v>
          </cell>
          <cell r="H636"/>
          <cell r="I636" t="str">
            <v>A1</v>
          </cell>
          <cell r="J636" t="str">
            <v>Activo</v>
          </cell>
          <cell r="K636">
            <v>48662.493288508987</v>
          </cell>
          <cell r="L636">
            <v>4866.2493288508986</v>
          </cell>
          <cell r="M636">
            <v>3422.6995999999999</v>
          </cell>
          <cell r="N636" t="str">
            <v>Si Compra</v>
          </cell>
          <cell r="O636">
            <v>10</v>
          </cell>
          <cell r="P636">
            <v>132448.9537425669</v>
          </cell>
          <cell r="Q636">
            <v>13244.89537425669</v>
          </cell>
          <cell r="R636">
            <v>10491.1896</v>
          </cell>
          <cell r="T636"/>
          <cell r="U636"/>
          <cell r="V636">
            <v>0.36740564506905327</v>
          </cell>
          <cell r="W636">
            <v>1.8581220705031154E-4</v>
          </cell>
          <cell r="X636">
            <v>10</v>
          </cell>
          <cell r="Y636" t="str">
            <v>Potenciar</v>
          </cell>
        </row>
        <row r="637">
          <cell r="A637" t="str">
            <v>D017</v>
          </cell>
          <cell r="B637" t="str">
            <v>D017 - PHARMA SANTO CRISTO CA</v>
          </cell>
          <cell r="C637" t="str">
            <v>INDEPENDIENTE</v>
          </cell>
          <cell r="D637">
            <v>3</v>
          </cell>
          <cell r="E637"/>
          <cell r="F637" t="str">
            <v>CENTRO OESTE</v>
          </cell>
          <cell r="G637" t="str">
            <v>LUIS PLACERES</v>
          </cell>
          <cell r="H637"/>
          <cell r="I637" t="str">
            <v>E</v>
          </cell>
          <cell r="J637" t="str">
            <v>Inactivo</v>
          </cell>
          <cell r="K637">
            <v>48610.848937660063</v>
          </cell>
          <cell r="L637">
            <v>4861.0848937660066</v>
          </cell>
          <cell r="M637">
            <v>4129.6027730511669</v>
          </cell>
          <cell r="N637" t="str">
            <v>Si Compra</v>
          </cell>
          <cell r="O637">
            <v>10</v>
          </cell>
          <cell r="P637">
            <v>46800.288283862392</v>
          </cell>
          <cell r="Q637">
            <v>6685.755469123199</v>
          </cell>
          <cell r="R637">
            <v>0</v>
          </cell>
          <cell r="T637"/>
          <cell r="U637"/>
          <cell r="V637">
            <v>0.72708086860429433</v>
          </cell>
          <cell r="W637">
            <v>1.8561500895863085E-4</v>
          </cell>
          <cell r="X637">
            <v>7</v>
          </cell>
          <cell r="Y637" t="str">
            <v>Proteger</v>
          </cell>
        </row>
        <row r="638">
          <cell r="A638" t="str">
            <v>8009</v>
          </cell>
          <cell r="B638" t="str">
            <v>8009 - FARMACIA LA VICTORIA,C.A</v>
          </cell>
          <cell r="C638" t="str">
            <v>INDEPENDIENTE</v>
          </cell>
          <cell r="D638">
            <v>3</v>
          </cell>
          <cell r="E638"/>
          <cell r="F638" t="str">
            <v>CENTRO OESTE</v>
          </cell>
          <cell r="G638" t="str">
            <v>YAMILEX LAMEDA</v>
          </cell>
          <cell r="H638"/>
          <cell r="I638" t="str">
            <v>Y1</v>
          </cell>
          <cell r="J638" t="str">
            <v>Activo</v>
          </cell>
          <cell r="K638">
            <v>48608.144479845301</v>
          </cell>
          <cell r="L638">
            <v>4860.8144479845305</v>
          </cell>
          <cell r="M638">
            <v>1065.227104327764</v>
          </cell>
          <cell r="N638" t="str">
            <v>Si Compra</v>
          </cell>
          <cell r="O638">
            <v>10</v>
          </cell>
          <cell r="P638">
            <v>131709.73348582725</v>
          </cell>
          <cell r="Q638">
            <v>13170.973348582726</v>
          </cell>
          <cell r="R638">
            <v>12050.721298989507</v>
          </cell>
          <cell r="T638"/>
          <cell r="U638"/>
          <cell r="V638">
            <v>0.36905506672425109</v>
          </cell>
          <cell r="W638">
            <v>1.856046822934422E-4</v>
          </cell>
          <cell r="X638">
            <v>10</v>
          </cell>
          <cell r="Y638" t="str">
            <v>Potenciar</v>
          </cell>
        </row>
        <row r="639">
          <cell r="A639" t="str">
            <v>E000</v>
          </cell>
          <cell r="B639" t="str">
            <v>E000 - CESAR MIGUEL RUIZ PEREZ</v>
          </cell>
          <cell r="C639" t="str">
            <v>INDEPENDIENTE</v>
          </cell>
          <cell r="D639">
            <v>3</v>
          </cell>
          <cell r="F639" t="str">
            <v>CENTRO OESTE</v>
          </cell>
          <cell r="G639">
            <v>0</v>
          </cell>
          <cell r="H639"/>
          <cell r="I639" t="str">
            <v>E</v>
          </cell>
          <cell r="J639" t="str">
            <v>Inactivo</v>
          </cell>
          <cell r="K639">
            <v>48421.262196928386</v>
          </cell>
          <cell r="L639">
            <v>4842.1262196928383</v>
          </cell>
          <cell r="M639">
            <v>4553.8668989761291</v>
          </cell>
          <cell r="N639" t="str">
            <v>Si Compra</v>
          </cell>
          <cell r="O639">
            <v>10</v>
          </cell>
          <cell r="P639">
            <v>0</v>
          </cell>
          <cell r="Q639">
            <v>0</v>
          </cell>
          <cell r="R639">
            <v>0</v>
          </cell>
          <cell r="V639">
            <v>0</v>
          </cell>
          <cell r="W639">
            <v>1.8489109350871806E-4</v>
          </cell>
          <cell r="X639">
            <v>0</v>
          </cell>
          <cell r="Y639" t="str">
            <v>Conquistar</v>
          </cell>
        </row>
        <row r="640">
          <cell r="A640" t="str">
            <v>1620</v>
          </cell>
          <cell r="B640" t="str">
            <v>1620 - FARMACIA LA MONTAÑA, C.A.</v>
          </cell>
          <cell r="C640" t="str">
            <v>INDEPENDIENTE</v>
          </cell>
          <cell r="D640">
            <v>3</v>
          </cell>
          <cell r="E640"/>
          <cell r="F640" t="str">
            <v>CARACAS</v>
          </cell>
          <cell r="G640" t="str">
            <v>RAMON SERRANO</v>
          </cell>
          <cell r="H640"/>
          <cell r="I640" t="str">
            <v>C6</v>
          </cell>
          <cell r="J640" t="str">
            <v>Activo</v>
          </cell>
          <cell r="K640">
            <v>48393.090914000728</v>
          </cell>
          <cell r="L640">
            <v>4839.3090914000732</v>
          </cell>
          <cell r="M640">
            <v>6219.8952852879856</v>
          </cell>
          <cell r="N640" t="str">
            <v>Si Compra</v>
          </cell>
          <cell r="O640">
            <v>10</v>
          </cell>
          <cell r="P640">
            <v>66883.98944487526</v>
          </cell>
          <cell r="Q640">
            <v>6688.398944487526</v>
          </cell>
          <cell r="R640">
            <v>7662.1648573227167</v>
          </cell>
          <cell r="T640"/>
          <cell r="U640"/>
          <cell r="V640">
            <v>0.72353774521607395</v>
          </cell>
          <cell r="W640">
            <v>1.8478352466251878E-4</v>
          </cell>
          <cell r="X640">
            <v>10</v>
          </cell>
          <cell r="Y640" t="str">
            <v>Proteger</v>
          </cell>
        </row>
        <row r="641">
          <cell r="A641" t="str">
            <v>+157</v>
          </cell>
          <cell r="B641" t="str">
            <v>FARMA EMERGENCIA</v>
          </cell>
          <cell r="C641" t="str">
            <v>CADENA</v>
          </cell>
          <cell r="D641">
            <v>3</v>
          </cell>
          <cell r="E641"/>
          <cell r="F641" t="str">
            <v>CENTRO ESTE</v>
          </cell>
          <cell r="H641"/>
          <cell r="I641"/>
          <cell r="J641" t="str">
            <v>Inactivo</v>
          </cell>
          <cell r="K641">
            <v>48353.587175689623</v>
          </cell>
          <cell r="L641">
            <v>6044.1983969612029</v>
          </cell>
          <cell r="M641">
            <v>4049.7897942385639</v>
          </cell>
          <cell r="N641" t="str">
            <v>Si Compra</v>
          </cell>
          <cell r="O641">
            <v>8</v>
          </cell>
          <cell r="P641">
            <v>252656.52895546082</v>
          </cell>
          <cell r="Q641">
            <v>31582.066119432602</v>
          </cell>
          <cell r="R641">
            <v>28392.029046849653</v>
          </cell>
          <cell r="S641"/>
          <cell r="T641"/>
          <cell r="U641"/>
          <cell r="V641">
            <v>0.19138071505847989</v>
          </cell>
          <cell r="W641">
            <v>2.3079085515219957E-4</v>
          </cell>
          <cell r="X641">
            <v>8</v>
          </cell>
          <cell r="Y641" t="str">
            <v>Conquistar</v>
          </cell>
        </row>
        <row r="642">
          <cell r="A642" t="str">
            <v>I117</v>
          </cell>
          <cell r="B642" t="str">
            <v>I117 - FARMACIA EL PUEBLO,C.A.</v>
          </cell>
          <cell r="C642" t="str">
            <v>INDEPENDIENTE</v>
          </cell>
          <cell r="D642">
            <v>3</v>
          </cell>
          <cell r="F642" t="str">
            <v>CENTRO ESTE</v>
          </cell>
          <cell r="G642" t="str">
            <v>KARLA SALAZAR</v>
          </cell>
          <cell r="H642" t="str">
            <v>HECTOR</v>
          </cell>
          <cell r="I642" t="str">
            <v>O</v>
          </cell>
          <cell r="J642" t="str">
            <v>Activo</v>
          </cell>
          <cell r="K642">
            <v>48150.6675186231</v>
          </cell>
          <cell r="L642">
            <v>4815.0667518623104</v>
          </cell>
          <cell r="M642">
            <v>1690.5069390510519</v>
          </cell>
          <cell r="N642" t="str">
            <v>Si Compra</v>
          </cell>
          <cell r="O642">
            <v>10</v>
          </cell>
          <cell r="P642">
            <v>269605.16449760587</v>
          </cell>
          <cell r="Q642">
            <v>26960.516449760587</v>
          </cell>
          <cell r="R642">
            <v>24914.142788816553</v>
          </cell>
          <cell r="V642">
            <v>0.17859697757774476</v>
          </cell>
          <cell r="W642">
            <v>1.8385785844421212E-4</v>
          </cell>
          <cell r="X642">
            <v>10</v>
          </cell>
          <cell r="Y642" t="str">
            <v>Conquistar</v>
          </cell>
        </row>
        <row r="643">
          <cell r="A643" t="str">
            <v>9806</v>
          </cell>
          <cell r="B643" t="str">
            <v>CARLOS RUBIO</v>
          </cell>
          <cell r="C643" t="str">
            <v>GRUPO</v>
          </cell>
          <cell r="D643">
            <v>3</v>
          </cell>
          <cell r="E643"/>
          <cell r="F643" t="str">
            <v>MARACAIBO</v>
          </cell>
          <cell r="H643"/>
          <cell r="I643"/>
          <cell r="J643" t="str">
            <v>Activo</v>
          </cell>
          <cell r="K643">
            <v>48106.434791653483</v>
          </cell>
          <cell r="L643">
            <v>4810.6434791653483</v>
          </cell>
          <cell r="M643">
            <v>2849.5738678933958</v>
          </cell>
          <cell r="N643" t="str">
            <v>Si Compra</v>
          </cell>
          <cell r="O643">
            <v>10</v>
          </cell>
          <cell r="P643">
            <v>188443.58182681515</v>
          </cell>
          <cell r="Q643">
            <v>18844.358182681513</v>
          </cell>
          <cell r="R643">
            <v>13807.455655234526</v>
          </cell>
          <cell r="S643"/>
          <cell r="T643"/>
          <cell r="U643"/>
          <cell r="V643">
            <v>0.25528295697470144</v>
          </cell>
          <cell r="W643">
            <v>1.8368896079703749E-4</v>
          </cell>
          <cell r="X643">
            <v>10</v>
          </cell>
          <cell r="Y643" t="str">
            <v>Potenciar</v>
          </cell>
        </row>
        <row r="644">
          <cell r="A644" t="str">
            <v>A952</v>
          </cell>
          <cell r="B644" t="str">
            <v>A952 - INVERSIONES DELEITE CAFE MERCADO, C.A.</v>
          </cell>
          <cell r="C644" t="str">
            <v>INDEPENDIENTE</v>
          </cell>
          <cell r="D644">
            <v>3</v>
          </cell>
          <cell r="E644"/>
          <cell r="F644" t="str">
            <v>ESTE</v>
          </cell>
          <cell r="G644">
            <v>0</v>
          </cell>
          <cell r="H644"/>
          <cell r="I644" t="str">
            <v>A1</v>
          </cell>
          <cell r="J644" t="str">
            <v>Activo</v>
          </cell>
          <cell r="K644">
            <v>48020.203744689636</v>
          </cell>
          <cell r="L644">
            <v>4802.0203744689634</v>
          </cell>
          <cell r="M644">
            <v>4742.4712747889325</v>
          </cell>
          <cell r="N644" t="str">
            <v>Si Compra</v>
          </cell>
          <cell r="O644">
            <v>10</v>
          </cell>
          <cell r="P644">
            <v>0</v>
          </cell>
          <cell r="Q644">
            <v>0</v>
          </cell>
          <cell r="R644">
            <v>0</v>
          </cell>
          <cell r="T644"/>
          <cell r="U644"/>
          <cell r="V644">
            <v>0</v>
          </cell>
          <cell r="W644">
            <v>1.8335969733210126E-4</v>
          </cell>
          <cell r="X644">
            <v>0</v>
          </cell>
          <cell r="Y644" t="str">
            <v>Conquistar</v>
          </cell>
        </row>
        <row r="645">
          <cell r="A645" t="str">
            <v>6759</v>
          </cell>
          <cell r="B645" t="str">
            <v>6759 - FARMANATURAL LOS PROCERES, C.A</v>
          </cell>
          <cell r="C645" t="e">
            <v>#N/A</v>
          </cell>
          <cell r="D645">
            <v>3</v>
          </cell>
          <cell r="E645"/>
          <cell r="F645" t="str">
            <v>CARACAS</v>
          </cell>
          <cell r="G645" t="str">
            <v>RAMON SERRANO</v>
          </cell>
          <cell r="H645"/>
          <cell r="I645" t="str">
            <v>CB</v>
          </cell>
          <cell r="J645" t="str">
            <v>Activo</v>
          </cell>
          <cell r="K645">
            <v>48002.104510438185</v>
          </cell>
          <cell r="L645">
            <v>4800.2104510438185</v>
          </cell>
          <cell r="M645">
            <v>3210.1594694126857</v>
          </cell>
          <cell r="N645" t="str">
            <v>Si Compra</v>
          </cell>
          <cell r="O645">
            <v>10</v>
          </cell>
          <cell r="P645">
            <v>192968.7806773514</v>
          </cell>
          <cell r="Q645">
            <v>19296.878067735139</v>
          </cell>
          <cell r="R645">
            <v>28791.882246229361</v>
          </cell>
          <cell r="T645"/>
          <cell r="U645"/>
          <cell r="V645">
            <v>0.24875580569013855</v>
          </cell>
          <cell r="W645">
            <v>1.8329058746051609E-4</v>
          </cell>
          <cell r="X645">
            <v>10</v>
          </cell>
          <cell r="Y645" t="str">
            <v>Potenciar</v>
          </cell>
        </row>
        <row r="646">
          <cell r="A646" t="str">
            <v>C002</v>
          </cell>
          <cell r="B646" t="str">
            <v>C002 - SALUDMARKET CA</v>
          </cell>
          <cell r="C646" t="e">
            <v>#N/A</v>
          </cell>
          <cell r="D646">
            <v>0</v>
          </cell>
          <cell r="E646"/>
          <cell r="F646" t="str">
            <v>ESTE</v>
          </cell>
          <cell r="H646"/>
          <cell r="I646" t="str">
            <v>A7</v>
          </cell>
          <cell r="J646" t="str">
            <v>Bloqueado</v>
          </cell>
          <cell r="K646">
            <v>47890.949927180765</v>
          </cell>
          <cell r="L646">
            <v>9578.1899854361527</v>
          </cell>
          <cell r="M646">
            <v>0</v>
          </cell>
          <cell r="N646" t="str">
            <v>No Compra</v>
          </cell>
          <cell r="O646">
            <v>5</v>
          </cell>
          <cell r="P646">
            <v>0</v>
          </cell>
          <cell r="Q646">
            <v>0</v>
          </cell>
          <cell r="R646">
            <v>0</v>
          </cell>
          <cell r="T646"/>
          <cell r="U646"/>
          <cell r="V646">
            <v>0</v>
          </cell>
          <cell r="W646">
            <v>3.6573231260251648E-4</v>
          </cell>
          <cell r="X646">
            <v>0</v>
          </cell>
          <cell r="Y646" t="str">
            <v>Conquistar</v>
          </cell>
        </row>
        <row r="647">
          <cell r="A647" t="str">
            <v>2114</v>
          </cell>
          <cell r="B647" t="str">
            <v>2114 - INSTITUTO DE PREVISION DEL PROFESORADO DE LA U.C.V.</v>
          </cell>
          <cell r="C647" t="str">
            <v>INDEPENDIENTE</v>
          </cell>
          <cell r="D647">
            <v>3</v>
          </cell>
          <cell r="E647"/>
          <cell r="F647" t="str">
            <v>CARACAS</v>
          </cell>
          <cell r="G647" t="str">
            <v>RAMON SERRANO</v>
          </cell>
          <cell r="H647"/>
          <cell r="I647" t="str">
            <v>CB</v>
          </cell>
          <cell r="J647" t="str">
            <v>Activo</v>
          </cell>
          <cell r="K647">
            <v>47834.315047417156</v>
          </cell>
          <cell r="L647">
            <v>5314.9238941574622</v>
          </cell>
          <cell r="M647">
            <v>7718.1281721226596</v>
          </cell>
          <cell r="N647" t="str">
            <v>Si Compra</v>
          </cell>
          <cell r="O647">
            <v>9</v>
          </cell>
          <cell r="P647">
            <v>75061.632676709894</v>
          </cell>
          <cell r="Q647">
            <v>8340.1814085233218</v>
          </cell>
          <cell r="R647">
            <v>0</v>
          </cell>
          <cell r="T647"/>
          <cell r="U647"/>
          <cell r="V647">
            <v>0.63726718087041001</v>
          </cell>
          <cell r="W647">
            <v>2.0294433604597857E-4</v>
          </cell>
          <cell r="X647">
            <v>4</v>
          </cell>
          <cell r="Y647" t="str">
            <v>Proteger</v>
          </cell>
        </row>
        <row r="648">
          <cell r="A648" t="str">
            <v>-152</v>
          </cell>
          <cell r="B648" t="str">
            <v>-152 - FARMA SHOP SOLIDARIA,C.A.</v>
          </cell>
          <cell r="C648" t="str">
            <v>INDEPENDIENTE</v>
          </cell>
          <cell r="D648">
            <v>0</v>
          </cell>
          <cell r="E648"/>
          <cell r="F648" t="str">
            <v>CENTRO ESTE</v>
          </cell>
          <cell r="G648" t="str">
            <v>MARCOS CRUCES</v>
          </cell>
          <cell r="H648"/>
          <cell r="I648" t="str">
            <v>$</v>
          </cell>
          <cell r="J648" t="str">
            <v>Activo</v>
          </cell>
          <cell r="K648">
            <v>47772.707300512062</v>
          </cell>
          <cell r="L648">
            <v>11943.176825128015</v>
          </cell>
          <cell r="M648">
            <v>0</v>
          </cell>
          <cell r="N648" t="str">
            <v>No Compra</v>
          </cell>
          <cell r="O648">
            <v>4</v>
          </cell>
          <cell r="P648">
            <v>70870.714028472838</v>
          </cell>
          <cell r="Q648">
            <v>17717.678507118209</v>
          </cell>
          <cell r="R648">
            <v>0</v>
          </cell>
          <cell r="T648"/>
          <cell r="U648"/>
          <cell r="V648">
            <v>0.67408248887289357</v>
          </cell>
          <cell r="W648">
            <v>4.5603665063195635E-4</v>
          </cell>
          <cell r="X648">
            <v>4</v>
          </cell>
          <cell r="Y648" t="str">
            <v>Proteger</v>
          </cell>
        </row>
        <row r="649">
          <cell r="A649" t="str">
            <v>5215</v>
          </cell>
          <cell r="B649" t="str">
            <v>5215 - INVERSORA DISAVILA, C.A.</v>
          </cell>
          <cell r="C649" t="str">
            <v>INDEPENDIENTE</v>
          </cell>
          <cell r="D649">
            <v>3</v>
          </cell>
          <cell r="E649"/>
          <cell r="F649" t="str">
            <v>CARACAS</v>
          </cell>
          <cell r="G649">
            <v>0</v>
          </cell>
          <cell r="H649"/>
          <cell r="I649" t="str">
            <v>C2</v>
          </cell>
          <cell r="J649" t="str">
            <v>Activo</v>
          </cell>
          <cell r="K649">
            <v>47573.424011704585</v>
          </cell>
          <cell r="L649">
            <v>4757.3424011704583</v>
          </cell>
          <cell r="M649">
            <v>4342.9356753863585</v>
          </cell>
          <cell r="N649" t="str">
            <v>Si Compra</v>
          </cell>
          <cell r="O649">
            <v>10</v>
          </cell>
          <cell r="P649">
            <v>0</v>
          </cell>
          <cell r="Q649">
            <v>0</v>
          </cell>
          <cell r="R649">
            <v>0</v>
          </cell>
          <cell r="T649"/>
          <cell r="U649"/>
          <cell r="V649">
            <v>0</v>
          </cell>
          <cell r="W649">
            <v>1.8165371963467603E-4</v>
          </cell>
          <cell r="X649">
            <v>0</v>
          </cell>
          <cell r="Y649" t="str">
            <v>Conquistar</v>
          </cell>
        </row>
        <row r="650">
          <cell r="A650" t="str">
            <v>9441</v>
          </cell>
          <cell r="B650" t="str">
            <v>9441 - FARMACIA LA NUEVA ECONOMIA, C.A</v>
          </cell>
          <cell r="C650" t="str">
            <v>INDEPENDIENTE</v>
          </cell>
          <cell r="D650">
            <v>3</v>
          </cell>
          <cell r="E650"/>
          <cell r="F650" t="str">
            <v>MARACAIBO</v>
          </cell>
          <cell r="G650" t="str">
            <v>JOEL JIMENEZ</v>
          </cell>
          <cell r="H650"/>
          <cell r="I650" t="str">
            <v>D</v>
          </cell>
          <cell r="J650" t="str">
            <v>Inactivo</v>
          </cell>
          <cell r="K650">
            <v>47512.85265571787</v>
          </cell>
          <cell r="L650">
            <v>4751.285265571787</v>
          </cell>
          <cell r="M650">
            <v>4271.0531519059596</v>
          </cell>
          <cell r="N650" t="str">
            <v>Si Compra</v>
          </cell>
          <cell r="O650">
            <v>10</v>
          </cell>
          <cell r="P650">
            <v>80363.125986078143</v>
          </cell>
          <cell r="Q650">
            <v>8036.3125986078139</v>
          </cell>
          <cell r="R650">
            <v>7809.6455286927167</v>
          </cell>
          <cell r="T650"/>
          <cell r="U650"/>
          <cell r="V650">
            <v>0.59122703444797364</v>
          </cell>
          <cell r="W650">
            <v>1.8142243478716126E-4</v>
          </cell>
          <cell r="X650">
            <v>10</v>
          </cell>
          <cell r="Y650" t="str">
            <v>Potenciar</v>
          </cell>
        </row>
        <row r="651">
          <cell r="A651" t="str">
            <v>B633</v>
          </cell>
          <cell r="B651" t="str">
            <v>B633 - FARMACIA JUSTO EXPRES PP, C.A.</v>
          </cell>
          <cell r="C651" t="str">
            <v>INDEPENDIENTE</v>
          </cell>
          <cell r="D651">
            <v>3</v>
          </cell>
          <cell r="E651"/>
          <cell r="F651" t="str">
            <v>MARACAIBO</v>
          </cell>
          <cell r="G651" t="str">
            <v>MARIA FUSELLA</v>
          </cell>
          <cell r="H651"/>
          <cell r="I651" t="str">
            <v>Z</v>
          </cell>
          <cell r="J651" t="str">
            <v>Activo</v>
          </cell>
          <cell r="K651">
            <v>47441.537225852575</v>
          </cell>
          <cell r="L651">
            <v>4744.1537225852571</v>
          </cell>
          <cell r="M651">
            <v>3143.8188329644349</v>
          </cell>
          <cell r="N651" t="str">
            <v>Si Compra</v>
          </cell>
          <cell r="O651">
            <v>10</v>
          </cell>
          <cell r="P651">
            <v>70344.266213494426</v>
          </cell>
          <cell r="Q651">
            <v>7034.4266213494429</v>
          </cell>
          <cell r="R651">
            <v>5181.2010137376383</v>
          </cell>
          <cell r="T651"/>
          <cell r="U651"/>
          <cell r="V651">
            <v>0.67441939165116582</v>
          </cell>
          <cell r="W651">
            <v>1.8115012491307713E-4</v>
          </cell>
          <cell r="X651">
            <v>10</v>
          </cell>
          <cell r="Y651" t="str">
            <v>Proteger</v>
          </cell>
        </row>
        <row r="652">
          <cell r="A652" t="str">
            <v>6776</v>
          </cell>
          <cell r="B652" t="str">
            <v>6776 - FARMACIA MEDI SALUD A&amp;M, C.A</v>
          </cell>
          <cell r="C652" t="str">
            <v>INDEPENDIENTE</v>
          </cell>
          <cell r="D652">
            <v>3</v>
          </cell>
          <cell r="E652"/>
          <cell r="F652" t="str">
            <v>ESTE</v>
          </cell>
          <cell r="G652" t="str">
            <v>CARLOS BLONDELL</v>
          </cell>
          <cell r="H652"/>
          <cell r="I652" t="str">
            <v>A3</v>
          </cell>
          <cell r="J652" t="str">
            <v>Activo</v>
          </cell>
          <cell r="K652">
            <v>47361.699499416733</v>
          </cell>
          <cell r="L652">
            <v>4736.1699499416736</v>
          </cell>
          <cell r="M652">
            <v>4488.0631227884051</v>
          </cell>
          <cell r="N652" t="str">
            <v>Si Compra</v>
          </cell>
          <cell r="O652">
            <v>10</v>
          </cell>
          <cell r="P652">
            <v>55615.861954225278</v>
          </cell>
          <cell r="Q652">
            <v>5561.5861954225275</v>
          </cell>
          <cell r="R652">
            <v>5137.6790072533731</v>
          </cell>
          <cell r="T652"/>
          <cell r="U652"/>
          <cell r="V652">
            <v>0.85158618126601826</v>
          </cell>
          <cell r="W652">
            <v>1.8084527361688545E-4</v>
          </cell>
          <cell r="X652">
            <v>10</v>
          </cell>
          <cell r="Y652" t="str">
            <v>Proteger</v>
          </cell>
        </row>
        <row r="653">
          <cell r="A653" t="str">
            <v>D941</v>
          </cell>
          <cell r="B653" t="str">
            <v>RONALDO SILVA</v>
          </cell>
          <cell r="C653" t="str">
            <v>GRUPO</v>
          </cell>
          <cell r="D653">
            <v>6</v>
          </cell>
          <cell r="E653">
            <v>5</v>
          </cell>
          <cell r="F653" t="str">
            <v>CENTRO OESTE</v>
          </cell>
          <cell r="G653" t="str">
            <v/>
          </cell>
          <cell r="H653" t="str">
            <v>HECTOR</v>
          </cell>
          <cell r="I653">
            <v>0</v>
          </cell>
          <cell r="J653" t="str">
            <v>Activo</v>
          </cell>
          <cell r="K653">
            <v>47343.389199972567</v>
          </cell>
          <cell r="L653">
            <v>4734.3389199972571</v>
          </cell>
          <cell r="M653">
            <v>4639.3420666666671</v>
          </cell>
          <cell r="N653" t="str">
            <v>Si Compra</v>
          </cell>
          <cell r="O653">
            <v>10</v>
          </cell>
          <cell r="P653">
            <v>906168.52139673685</v>
          </cell>
          <cell r="Q653">
            <v>90616.852139673691</v>
          </cell>
          <cell r="R653">
            <v>84966.033199999991</v>
          </cell>
          <cell r="S653">
            <v>10000</v>
          </cell>
          <cell r="T653">
            <v>0</v>
          </cell>
          <cell r="U653">
            <v>0</v>
          </cell>
          <cell r="V653">
            <v>5.2245678460557318E-2</v>
          </cell>
          <cell r="W653">
            <v>1.8077535781681946E-4</v>
          </cell>
          <cell r="X653">
            <v>10</v>
          </cell>
          <cell r="Y653" t="str">
            <v>Conquistar</v>
          </cell>
        </row>
        <row r="654">
          <cell r="A654" t="str">
            <v>A837</v>
          </cell>
          <cell r="B654" t="str">
            <v>TU ZONA MARKET</v>
          </cell>
          <cell r="C654" t="str">
            <v>GRUPO</v>
          </cell>
          <cell r="D654">
            <v>6</v>
          </cell>
          <cell r="E654">
            <v>0</v>
          </cell>
          <cell r="F654" t="str">
            <v>CENTRO ESTE</v>
          </cell>
          <cell r="G654" t="str">
            <v>KARLA SALAZAR</v>
          </cell>
          <cell r="H654" t="str">
            <v>HECTOR</v>
          </cell>
          <cell r="I654">
            <v>0</v>
          </cell>
          <cell r="J654" t="str">
            <v>Activo</v>
          </cell>
          <cell r="K654">
            <v>47263.429743353954</v>
          </cell>
          <cell r="L654">
            <v>4726.3429743353954</v>
          </cell>
          <cell r="M654">
            <v>4698.6958159623564</v>
          </cell>
          <cell r="N654" t="str">
            <v>Si Compra</v>
          </cell>
          <cell r="O654">
            <v>10</v>
          </cell>
          <cell r="P654">
            <v>276101.21049818024</v>
          </cell>
          <cell r="Q654">
            <v>27610.121049818023</v>
          </cell>
          <cell r="R654">
            <v>26504.450057192775</v>
          </cell>
          <cell r="S654">
            <v>9000</v>
          </cell>
          <cell r="T654">
            <v>0</v>
          </cell>
          <cell r="U654">
            <v>0</v>
          </cell>
          <cell r="V654">
            <v>0.17118153758933072</v>
          </cell>
          <cell r="W654">
            <v>1.8047004170774212E-4</v>
          </cell>
          <cell r="X654">
            <v>10</v>
          </cell>
          <cell r="Y654" t="str">
            <v>Conquistar</v>
          </cell>
        </row>
        <row r="655">
          <cell r="A655" t="str">
            <v>8135</v>
          </cell>
          <cell r="B655" t="str">
            <v>8135 - FARMACIA STA IRENE,C.A.</v>
          </cell>
          <cell r="C655" t="str">
            <v>INDEPENDIENTE</v>
          </cell>
          <cell r="D655">
            <v>3</v>
          </cell>
          <cell r="E655"/>
          <cell r="F655" t="str">
            <v>CARACAS</v>
          </cell>
          <cell r="G655" t="str">
            <v>RAMON SERRANO</v>
          </cell>
          <cell r="H655"/>
          <cell r="I655" t="str">
            <v>CB</v>
          </cell>
          <cell r="J655" t="str">
            <v>Activo</v>
          </cell>
          <cell r="K655">
            <v>47236.825968744903</v>
          </cell>
          <cell r="L655">
            <v>4723.6825968744906</v>
          </cell>
          <cell r="M655">
            <v>5017.6952396335955</v>
          </cell>
          <cell r="N655" t="str">
            <v>Si Compra</v>
          </cell>
          <cell r="O655">
            <v>10</v>
          </cell>
          <cell r="P655">
            <v>38473.933174059501</v>
          </cell>
          <cell r="Q655">
            <v>3847.3933174059503</v>
          </cell>
          <cell r="R655">
            <v>3680.7589102988691</v>
          </cell>
          <cell r="T655"/>
          <cell r="U655"/>
          <cell r="V655">
            <v>1.227761813564558</v>
          </cell>
          <cell r="W655">
            <v>1.8036845821413301E-4</v>
          </cell>
          <cell r="X655">
            <v>10</v>
          </cell>
          <cell r="Y655" t="str">
            <v>Proteger</v>
          </cell>
        </row>
        <row r="656">
          <cell r="A656" t="str">
            <v>6292</v>
          </cell>
          <cell r="B656" t="str">
            <v>6292 - ELDA JOSEFINA PERNIA MOLINA (FARMACIA MULTIFARMA)</v>
          </cell>
          <cell r="C656" t="str">
            <v>INDEPENDIENTE</v>
          </cell>
          <cell r="D656">
            <v>3</v>
          </cell>
          <cell r="E656"/>
          <cell r="F656" t="str">
            <v>ANDES</v>
          </cell>
          <cell r="G656" t="str">
            <v>ZULAY PARRA</v>
          </cell>
          <cell r="H656"/>
          <cell r="I656" t="str">
            <v>5</v>
          </cell>
          <cell r="J656" t="str">
            <v>Activo</v>
          </cell>
          <cell r="K656">
            <v>47204.48363012448</v>
          </cell>
          <cell r="L656">
            <v>4720.4483630124478</v>
          </cell>
          <cell r="M656">
            <v>4164.9272573225562</v>
          </cell>
          <cell r="N656" t="str">
            <v>Si Compra</v>
          </cell>
          <cell r="O656">
            <v>10</v>
          </cell>
          <cell r="P656">
            <v>74462.060999355934</v>
          </cell>
          <cell r="Q656">
            <v>7446.2060999355936</v>
          </cell>
          <cell r="R656">
            <v>5450.2591022229781</v>
          </cell>
          <cell r="T656"/>
          <cell r="U656"/>
          <cell r="V656">
            <v>0.63394006285338755</v>
          </cell>
          <cell r="W656">
            <v>1.8024496266521816E-4</v>
          </cell>
          <cell r="X656">
            <v>10</v>
          </cell>
          <cell r="Y656" t="str">
            <v>Proteger</v>
          </cell>
        </row>
        <row r="657">
          <cell r="A657" t="str">
            <v>B886</v>
          </cell>
          <cell r="B657" t="str">
            <v>FARMAESPERANZA</v>
          </cell>
          <cell r="C657" t="str">
            <v>GRUPO</v>
          </cell>
          <cell r="D657">
            <v>6</v>
          </cell>
          <cell r="E657">
            <v>0</v>
          </cell>
          <cell r="F657" t="str">
            <v>CENTRO ESTE</v>
          </cell>
          <cell r="G657" t="str">
            <v>KARLA SALAZAR</v>
          </cell>
          <cell r="H657" t="str">
            <v>HECTOR</v>
          </cell>
          <cell r="I657">
            <v>0</v>
          </cell>
          <cell r="J657" t="str">
            <v>Activo</v>
          </cell>
          <cell r="K657">
            <v>47033.273782330405</v>
          </cell>
          <cell r="L657">
            <v>4703.3273782330407</v>
          </cell>
          <cell r="M657">
            <v>2211.3173776175686</v>
          </cell>
          <cell r="N657" t="str">
            <v>Si Compra</v>
          </cell>
          <cell r="O657">
            <v>10</v>
          </cell>
          <cell r="P657">
            <v>645305.05785100174</v>
          </cell>
          <cell r="Q657">
            <v>64530.505785100177</v>
          </cell>
          <cell r="R657">
            <v>57888.601716746656</v>
          </cell>
          <cell r="S657">
            <v>40000</v>
          </cell>
          <cell r="T657">
            <v>0</v>
          </cell>
          <cell r="U657">
            <v>0</v>
          </cell>
          <cell r="V657">
            <v>7.288533261921247E-2</v>
          </cell>
          <cell r="W657">
            <v>1.7959121729506722E-4</v>
          </cell>
          <cell r="X657">
            <v>10</v>
          </cell>
          <cell r="Y657" t="str">
            <v>Conquistar</v>
          </cell>
        </row>
        <row r="658">
          <cell r="A658">
            <v>0</v>
          </cell>
          <cell r="B658" t="str">
            <v>N139 - FARMACIA LA CEIBA,C.A.</v>
          </cell>
          <cell r="C658" t="str">
            <v>INDEPENDIENTE</v>
          </cell>
          <cell r="D658">
            <v>0</v>
          </cell>
          <cell r="F658" t="str">
            <v>CENTRO OESTE</v>
          </cell>
          <cell r="G658" t="str">
            <v>JOSE LUIS GARCIA</v>
          </cell>
          <cell r="H658" t="str">
            <v>HECTOR</v>
          </cell>
          <cell r="I658" t="str">
            <v>Y</v>
          </cell>
          <cell r="J658" t="str">
            <v>Permiso</v>
          </cell>
          <cell r="K658">
            <v>46868.378313032015</v>
          </cell>
          <cell r="L658">
            <v>4686.8378313032017</v>
          </cell>
          <cell r="M658">
            <v>4110.7454499587629</v>
          </cell>
          <cell r="N658" t="str">
            <v>Si Compra</v>
          </cell>
          <cell r="O658">
            <v>10</v>
          </cell>
          <cell r="P658">
            <v>157862.77872213375</v>
          </cell>
          <cell r="Q658">
            <v>15786.277872213375</v>
          </cell>
          <cell r="R658">
            <v>12034.126146851364</v>
          </cell>
          <cell r="V658">
            <v>0.29689315424713641</v>
          </cell>
          <cell r="W658">
            <v>1.7896158266247089E-4</v>
          </cell>
          <cell r="X658">
            <v>10</v>
          </cell>
          <cell r="Y658" t="str">
            <v>Potenciar</v>
          </cell>
        </row>
        <row r="659">
          <cell r="A659" t="str">
            <v>6044</v>
          </cell>
          <cell r="B659" t="str">
            <v>GRUPO MONTREAL</v>
          </cell>
          <cell r="C659" t="str">
            <v>GRUPO</v>
          </cell>
          <cell r="D659">
            <v>9</v>
          </cell>
          <cell r="E659">
            <v>3</v>
          </cell>
          <cell r="F659" t="str">
            <v>CENTRO ESTE</v>
          </cell>
          <cell r="G659" t="str">
            <v>KARLA SALAZAR</v>
          </cell>
          <cell r="H659" t="str">
            <v>HECTOR</v>
          </cell>
          <cell r="I659">
            <v>0</v>
          </cell>
          <cell r="J659" t="str">
            <v>Activo</v>
          </cell>
          <cell r="K659">
            <v>46772.102666456281</v>
          </cell>
          <cell r="L659">
            <v>4677.2102666456285</v>
          </cell>
          <cell r="M659">
            <v>4160.0889611968096</v>
          </cell>
          <cell r="N659" t="str">
            <v>Si Compra</v>
          </cell>
          <cell r="O659">
            <v>10</v>
          </cell>
          <cell r="P659">
            <v>592166.26560154662</v>
          </cell>
          <cell r="Q659">
            <v>59216.626560154662</v>
          </cell>
          <cell r="R659">
            <v>60711.619438679445</v>
          </cell>
          <cell r="S659">
            <v>50000</v>
          </cell>
          <cell r="T659">
            <v>0</v>
          </cell>
          <cell r="U659">
            <v>3</v>
          </cell>
          <cell r="V659">
            <v>7.8984746993216975E-2</v>
          </cell>
          <cell r="W659">
            <v>1.7859396503405693E-4</v>
          </cell>
          <cell r="X659">
            <v>10</v>
          </cell>
          <cell r="Y659" t="str">
            <v>Conquistar</v>
          </cell>
        </row>
        <row r="660">
          <cell r="A660" t="str">
            <v>G12</v>
          </cell>
          <cell r="B660" t="str">
            <v>G12 - FARMACIA AVENIDA C.A</v>
          </cell>
          <cell r="C660" t="str">
            <v>INDEPENDIENTE</v>
          </cell>
          <cell r="D660">
            <v>3</v>
          </cell>
          <cell r="F660" t="str">
            <v>ANDES</v>
          </cell>
          <cell r="G660" t="str">
            <v>MILAGRO BRICEñO</v>
          </cell>
          <cell r="H660" t="str">
            <v>VICTOR</v>
          </cell>
          <cell r="I660" t="str">
            <v>G</v>
          </cell>
          <cell r="J660" t="str">
            <v>Activo</v>
          </cell>
          <cell r="K660">
            <v>46762.591668380424</v>
          </cell>
          <cell r="L660">
            <v>6680.3702383400605</v>
          </cell>
          <cell r="M660">
            <v>14257.402877736713</v>
          </cell>
          <cell r="N660" t="str">
            <v>Si Compra</v>
          </cell>
          <cell r="O660">
            <v>7</v>
          </cell>
          <cell r="P660">
            <v>74651.706222865309</v>
          </cell>
          <cell r="Q660">
            <v>10664.529460409331</v>
          </cell>
          <cell r="R660">
            <v>23877.531107621773</v>
          </cell>
          <cell r="V660">
            <v>0.62641021932941909</v>
          </cell>
          <cell r="W660">
            <v>2.5508235481068084E-4</v>
          </cell>
          <cell r="X660">
            <v>5</v>
          </cell>
          <cell r="Y660" t="str">
            <v>Proteger</v>
          </cell>
        </row>
        <row r="661">
          <cell r="A661" t="str">
            <v>C783</v>
          </cell>
          <cell r="B661" t="str">
            <v>C783 - FARMAUNIVERSO 2022, C.A.</v>
          </cell>
          <cell r="C661" t="str">
            <v>INDEPENDIENTE</v>
          </cell>
          <cell r="D661">
            <v>3</v>
          </cell>
          <cell r="E661"/>
          <cell r="F661" t="str">
            <v>CENTRO ESTE</v>
          </cell>
          <cell r="G661" t="str">
            <v>WILLIBETTI GONZALEZ</v>
          </cell>
          <cell r="H661"/>
          <cell r="I661" t="str">
            <v>AF</v>
          </cell>
          <cell r="J661" t="str">
            <v>Activo</v>
          </cell>
          <cell r="K661">
            <v>46740.953867711614</v>
          </cell>
          <cell r="L661">
            <v>4674.0953867711614</v>
          </cell>
          <cell r="M661">
            <v>5866.224761327644</v>
          </cell>
          <cell r="N661" t="str">
            <v>Si Compra</v>
          </cell>
          <cell r="O661">
            <v>10</v>
          </cell>
          <cell r="P661">
            <v>77566.63166323067</v>
          </cell>
          <cell r="Q661">
            <v>7756.6631663230673</v>
          </cell>
          <cell r="R661">
            <v>8726.2069316562574</v>
          </cell>
          <cell r="T661"/>
          <cell r="U661"/>
          <cell r="V661">
            <v>0.60259099648217007</v>
          </cell>
          <cell r="W661">
            <v>1.7847502688168157E-4</v>
          </cell>
          <cell r="X661">
            <v>10</v>
          </cell>
          <cell r="Y661" t="str">
            <v>Potenciar</v>
          </cell>
        </row>
        <row r="662">
          <cell r="A662" t="str">
            <v>8299</v>
          </cell>
          <cell r="B662" t="str">
            <v>8299 - FARMACIA GUALCO C.A</v>
          </cell>
          <cell r="C662" t="str">
            <v>INDEPENDIENTE</v>
          </cell>
          <cell r="D662">
            <v>3</v>
          </cell>
          <cell r="E662"/>
          <cell r="F662" t="str">
            <v>MARACAIBO</v>
          </cell>
          <cell r="G662" t="str">
            <v>MARIA FUSELLA</v>
          </cell>
          <cell r="H662"/>
          <cell r="I662" t="str">
            <v>Z</v>
          </cell>
          <cell r="J662" t="str">
            <v>Activo</v>
          </cell>
          <cell r="K662">
            <v>46678.812889449975</v>
          </cell>
          <cell r="L662">
            <v>4667.8812889449973</v>
          </cell>
          <cell r="M662">
            <v>1751.1010666520567</v>
          </cell>
          <cell r="N662" t="str">
            <v>Si Compra</v>
          </cell>
          <cell r="O662">
            <v>10</v>
          </cell>
          <cell r="P662">
            <v>161046.97068940097</v>
          </cell>
          <cell r="Q662">
            <v>16104.697068940097</v>
          </cell>
          <cell r="R662">
            <v>18849.392537733354</v>
          </cell>
          <cell r="T662"/>
          <cell r="U662"/>
          <cell r="V662">
            <v>0.28984595419354919</v>
          </cell>
          <cell r="W662">
            <v>1.7823774860967434E-4</v>
          </cell>
          <cell r="X662">
            <v>10</v>
          </cell>
          <cell r="Y662" t="str">
            <v>Potenciar</v>
          </cell>
        </row>
        <row r="663">
          <cell r="A663" t="str">
            <v>B662</v>
          </cell>
          <cell r="B663" t="str">
            <v>B662 - SUPERMERCADO SLEDO, C.A.</v>
          </cell>
          <cell r="C663" t="str">
            <v>INDEPENDIENTE</v>
          </cell>
          <cell r="D663">
            <v>3</v>
          </cell>
          <cell r="E663"/>
          <cell r="F663" t="str">
            <v>CARACAS</v>
          </cell>
          <cell r="G663">
            <v>0</v>
          </cell>
          <cell r="H663"/>
          <cell r="I663" t="str">
            <v>CF</v>
          </cell>
          <cell r="J663" t="str">
            <v>Activo</v>
          </cell>
          <cell r="K663">
            <v>46672.813639860797</v>
          </cell>
          <cell r="L663">
            <v>4667.2813639860797</v>
          </cell>
          <cell r="M663">
            <v>3728.6309216860445</v>
          </cell>
          <cell r="N663" t="str">
            <v>Si Compra</v>
          </cell>
          <cell r="O663">
            <v>10</v>
          </cell>
          <cell r="P663">
            <v>0</v>
          </cell>
          <cell r="Q663">
            <v>0</v>
          </cell>
          <cell r="R663">
            <v>0</v>
          </cell>
          <cell r="T663"/>
          <cell r="U663"/>
          <cell r="V663">
            <v>0</v>
          </cell>
          <cell r="W663">
            <v>1.782148411560796E-4</v>
          </cell>
          <cell r="X663">
            <v>0</v>
          </cell>
          <cell r="Y663" t="str">
            <v>Conquistar</v>
          </cell>
        </row>
        <row r="664">
          <cell r="A664" t="str">
            <v>A194</v>
          </cell>
          <cell r="B664" t="str">
            <v>A194 - FARMACIA PISCIS,C.A.</v>
          </cell>
          <cell r="C664" t="str">
            <v>INDEPENDIENTE</v>
          </cell>
          <cell r="D664">
            <v>3</v>
          </cell>
          <cell r="E664"/>
          <cell r="F664" t="str">
            <v>ESTE</v>
          </cell>
          <cell r="G664" t="str">
            <v>ALEXMAR CASTILLO</v>
          </cell>
          <cell r="H664"/>
          <cell r="I664" t="str">
            <v>A1</v>
          </cell>
          <cell r="J664" t="str">
            <v>Activo</v>
          </cell>
          <cell r="K664">
            <v>46656.797214139675</v>
          </cell>
          <cell r="L664">
            <v>5184.0885793488524</v>
          </cell>
          <cell r="M664">
            <v>8245.8829624527298</v>
          </cell>
          <cell r="N664" t="str">
            <v>Si Compra</v>
          </cell>
          <cell r="O664">
            <v>8</v>
          </cell>
          <cell r="P664">
            <v>115988.59689031061</v>
          </cell>
          <cell r="Q664">
            <v>12887.62187670118</v>
          </cell>
          <cell r="R664">
            <v>11277.432498352397</v>
          </cell>
          <cell r="T664"/>
          <cell r="U664"/>
          <cell r="V664">
            <v>0.40225331166185752</v>
          </cell>
          <cell r="W664">
            <v>1.9794853805828056E-4</v>
          </cell>
          <cell r="X664">
            <v>9</v>
          </cell>
          <cell r="Y664" t="str">
            <v>Potenciar</v>
          </cell>
        </row>
        <row r="665">
          <cell r="A665" t="str">
            <v>D267</v>
          </cell>
          <cell r="B665" t="str">
            <v>D267 - FARMACIA LA VITALICIA C.A</v>
          </cell>
          <cell r="C665" t="str">
            <v>INDEPENDIENTE</v>
          </cell>
          <cell r="D665">
            <v>3</v>
          </cell>
          <cell r="E665"/>
          <cell r="F665" t="str">
            <v>CENTRO OESTE</v>
          </cell>
          <cell r="G665" t="str">
            <v>SORALI SILVA</v>
          </cell>
          <cell r="H665" t="str">
            <v>HECTOR</v>
          </cell>
          <cell r="I665" t="str">
            <v>L</v>
          </cell>
          <cell r="J665" t="str">
            <v>Activo</v>
          </cell>
          <cell r="K665">
            <v>46361.676124737474</v>
          </cell>
          <cell r="L665">
            <v>4636.1676124737478</v>
          </cell>
          <cell r="M665">
            <v>4997.7249225429687</v>
          </cell>
          <cell r="N665" t="str">
            <v>Si Compra</v>
          </cell>
          <cell r="O665">
            <v>10</v>
          </cell>
          <cell r="P665">
            <v>162132.33997071031</v>
          </cell>
          <cell r="Q665">
            <v>16213.233997071031</v>
          </cell>
          <cell r="R665">
            <v>16960.958178290279</v>
          </cell>
          <cell r="T665"/>
          <cell r="U665"/>
          <cell r="V665">
            <v>0.28594958990361119</v>
          </cell>
          <cell r="W665">
            <v>1.7702679787111162E-4</v>
          </cell>
          <cell r="X665">
            <v>10</v>
          </cell>
          <cell r="Y665" t="str">
            <v>Potenciar</v>
          </cell>
        </row>
        <row r="666">
          <cell r="A666" t="str">
            <v>2903</v>
          </cell>
          <cell r="B666" t="str">
            <v>2903 - FARMACIA MALBRIC, C.A.</v>
          </cell>
          <cell r="C666" t="str">
            <v>INDEPENDIENTE</v>
          </cell>
          <cell r="D666">
            <v>3</v>
          </cell>
          <cell r="E666"/>
          <cell r="F666" t="str">
            <v>CENTRO OESTE</v>
          </cell>
          <cell r="G666" t="str">
            <v>SORALI SILVA</v>
          </cell>
          <cell r="H666"/>
          <cell r="I666" t="str">
            <v>L</v>
          </cell>
          <cell r="J666" t="str">
            <v>Activo</v>
          </cell>
          <cell r="K666">
            <v>46354.441507758296</v>
          </cell>
          <cell r="L666">
            <v>4635.4441507758293</v>
          </cell>
          <cell r="M666">
            <v>3008.9605999999999</v>
          </cell>
          <cell r="N666" t="str">
            <v>Si Compra</v>
          </cell>
          <cell r="O666">
            <v>10</v>
          </cell>
          <cell r="P666">
            <v>108756.31895787755</v>
          </cell>
          <cell r="Q666">
            <v>10875.631895787756</v>
          </cell>
          <cell r="R666">
            <v>10972.949999999999</v>
          </cell>
          <cell r="T666"/>
          <cell r="U666"/>
          <cell r="V666">
            <v>0.42622297216322524</v>
          </cell>
          <cell r="W666">
            <v>1.7699917330736195E-4</v>
          </cell>
          <cell r="X666">
            <v>10</v>
          </cell>
          <cell r="Y666" t="str">
            <v>Potenciar</v>
          </cell>
        </row>
        <row r="667">
          <cell r="A667" t="str">
            <v>9432</v>
          </cell>
          <cell r="B667" t="str">
            <v>VINO TINTO</v>
          </cell>
          <cell r="C667" t="str">
            <v>GRUPO</v>
          </cell>
          <cell r="D667">
            <v>12</v>
          </cell>
          <cell r="E667"/>
          <cell r="F667" t="str">
            <v>ESTE</v>
          </cell>
          <cell r="H667"/>
          <cell r="I667"/>
          <cell r="J667" t="str">
            <v>Activo</v>
          </cell>
          <cell r="K667">
            <v>46123.422968925574</v>
          </cell>
          <cell r="L667">
            <v>4612.342296892557</v>
          </cell>
          <cell r="M667">
            <v>4901.2146317602919</v>
          </cell>
          <cell r="N667" t="str">
            <v>Si Compra</v>
          </cell>
          <cell r="O667">
            <v>10</v>
          </cell>
          <cell r="P667">
            <v>939613.75230510416</v>
          </cell>
          <cell r="Q667">
            <v>93961.375230510414</v>
          </cell>
          <cell r="R667">
            <v>114462.34652360658</v>
          </cell>
          <cell r="S667"/>
          <cell r="T667"/>
          <cell r="U667"/>
          <cell r="V667">
            <v>4.9087641443916127E-2</v>
          </cell>
          <cell r="W667">
            <v>1.7611705523923199E-4</v>
          </cell>
          <cell r="X667">
            <v>10</v>
          </cell>
          <cell r="Y667" t="str">
            <v>Conquistar</v>
          </cell>
        </row>
        <row r="668">
          <cell r="A668" t="str">
            <v>8709</v>
          </cell>
          <cell r="B668" t="str">
            <v>8709 - FARMACIA VIDA &amp; SALUD II, C.A.</v>
          </cell>
          <cell r="C668" t="str">
            <v>INDEPENDIENTE</v>
          </cell>
          <cell r="D668">
            <v>3</v>
          </cell>
          <cell r="E668"/>
          <cell r="F668" t="str">
            <v>ESTE</v>
          </cell>
          <cell r="G668" t="str">
            <v>CARLOS BLONDELL</v>
          </cell>
          <cell r="H668"/>
          <cell r="I668" t="str">
            <v>A3</v>
          </cell>
          <cell r="J668" t="str">
            <v>Activo</v>
          </cell>
          <cell r="K668">
            <v>46071.260003629657</v>
          </cell>
          <cell r="L668">
            <v>4607.1260003629659</v>
          </cell>
          <cell r="M668">
            <v>5621.5397814185017</v>
          </cell>
          <cell r="N668" t="str">
            <v>Si Compra</v>
          </cell>
          <cell r="O668">
            <v>10</v>
          </cell>
          <cell r="P668">
            <v>511831.78397093056</v>
          </cell>
          <cell r="Q668">
            <v>51183.178397093056</v>
          </cell>
          <cell r="R668">
            <v>47331.195913218049</v>
          </cell>
          <cell r="T668"/>
          <cell r="U668"/>
          <cell r="V668">
            <v>9.0012503026279958E-2</v>
          </cell>
          <cell r="W668">
            <v>1.7591787687715223E-4</v>
          </cell>
          <cell r="X668">
            <v>10</v>
          </cell>
          <cell r="Y668" t="str">
            <v>Conquistar</v>
          </cell>
        </row>
        <row r="669">
          <cell r="A669" t="str">
            <v>9153</v>
          </cell>
          <cell r="B669" t="str">
            <v>9153 - FARMACIA BOTICALSALUD, C.A.</v>
          </cell>
          <cell r="C669" t="str">
            <v>INDEPENDIENTE</v>
          </cell>
          <cell r="D669">
            <v>3</v>
          </cell>
          <cell r="E669"/>
          <cell r="F669" t="str">
            <v>CARACAS</v>
          </cell>
          <cell r="G669" t="str">
            <v>MAIRUBI QUIJADA</v>
          </cell>
          <cell r="H669"/>
          <cell r="I669" t="str">
            <v>C7</v>
          </cell>
          <cell r="J669" t="str">
            <v>Activo</v>
          </cell>
          <cell r="K669">
            <v>45996.008699999998</v>
          </cell>
          <cell r="L669">
            <v>4599.6008700000002</v>
          </cell>
          <cell r="M669">
            <v>4141.958333333333</v>
          </cell>
          <cell r="N669" t="str">
            <v>Si Compra</v>
          </cell>
          <cell r="O669">
            <v>10</v>
          </cell>
          <cell r="P669">
            <v>57859.294699999999</v>
          </cell>
          <cell r="Q669">
            <v>5785.92947</v>
          </cell>
          <cell r="R669">
            <v>4436.6067333333331</v>
          </cell>
          <cell r="T669"/>
          <cell r="U669"/>
          <cell r="V669">
            <v>0.79496317641770353</v>
          </cell>
          <cell r="W669">
            <v>1.7563053831585126E-4</v>
          </cell>
          <cell r="X669">
            <v>10</v>
          </cell>
          <cell r="Y669" t="str">
            <v>Proteger</v>
          </cell>
        </row>
        <row r="670">
          <cell r="A670" t="str">
            <v>D642</v>
          </cell>
          <cell r="B670" t="str">
            <v>EBENEZER</v>
          </cell>
          <cell r="C670" t="str">
            <v>GRUPO</v>
          </cell>
          <cell r="D670">
            <v>6</v>
          </cell>
          <cell r="E670"/>
          <cell r="F670" t="str">
            <v>MARACAIBO</v>
          </cell>
          <cell r="H670"/>
          <cell r="I670"/>
          <cell r="J670" t="str">
            <v>Activo</v>
          </cell>
          <cell r="K670">
            <v>45968.232326909827</v>
          </cell>
          <cell r="L670">
            <v>4596.8232326909829</v>
          </cell>
          <cell r="M670">
            <v>4393.6921000000002</v>
          </cell>
          <cell r="N670" t="str">
            <v>Si Compra</v>
          </cell>
          <cell r="O670">
            <v>10</v>
          </cell>
          <cell r="P670">
            <v>0</v>
          </cell>
          <cell r="Q670">
            <v>0</v>
          </cell>
          <cell r="R670">
            <v>0</v>
          </cell>
          <cell r="S670"/>
          <cell r="T670"/>
          <cell r="U670"/>
          <cell r="V670">
            <v>0</v>
          </cell>
          <cell r="W670">
            <v>1.7552447738804103E-4</v>
          </cell>
          <cell r="X670">
            <v>0</v>
          </cell>
          <cell r="Y670" t="str">
            <v>Conquistar</v>
          </cell>
        </row>
        <row r="671">
          <cell r="A671" t="str">
            <v>8604</v>
          </cell>
          <cell r="B671" t="str">
            <v>FARMAKOOX</v>
          </cell>
          <cell r="C671" t="str">
            <v>CADENA</v>
          </cell>
          <cell r="D671">
            <v>6</v>
          </cell>
          <cell r="E671">
            <v>3</v>
          </cell>
          <cell r="F671" t="str">
            <v>CENTRO OESTE</v>
          </cell>
          <cell r="G671" t="str">
            <v>DIEGO TORI</v>
          </cell>
          <cell r="H671" t="str">
            <v>HECTOR</v>
          </cell>
          <cell r="I671" t="str">
            <v>A</v>
          </cell>
          <cell r="J671" t="str">
            <v>Activo</v>
          </cell>
          <cell r="K671">
            <v>45902.897361898256</v>
          </cell>
          <cell r="L671">
            <v>4590.2897361898258</v>
          </cell>
          <cell r="M671">
            <v>3409.6529073984625</v>
          </cell>
          <cell r="N671" t="str">
            <v>Si Compra</v>
          </cell>
          <cell r="O671">
            <v>10</v>
          </cell>
          <cell r="P671">
            <v>651304.43651425897</v>
          </cell>
          <cell r="Q671">
            <v>65130.4436514259</v>
          </cell>
          <cell r="R671">
            <v>60449.313071419623</v>
          </cell>
          <cell r="S671">
            <v>15000</v>
          </cell>
          <cell r="T671">
            <v>5</v>
          </cell>
          <cell r="U671">
            <v>5</v>
          </cell>
          <cell r="V671">
            <v>7.0478404242980019E-2</v>
          </cell>
          <cell r="W671">
            <v>1.7527500324017155E-4</v>
          </cell>
          <cell r="X671">
            <v>10</v>
          </cell>
          <cell r="Y671" t="str">
            <v>Conquistar</v>
          </cell>
        </row>
        <row r="672">
          <cell r="A672" t="str">
            <v>Y164</v>
          </cell>
          <cell r="B672" t="str">
            <v>Y164 - FARMACIA SARRIA II,C.A.</v>
          </cell>
          <cell r="C672" t="str">
            <v>INDEPENDIENTE</v>
          </cell>
          <cell r="D672">
            <v>3</v>
          </cell>
          <cell r="F672" t="str">
            <v>CENTRO OESTE</v>
          </cell>
          <cell r="G672" t="str">
            <v>YAMILEX LAMEDA</v>
          </cell>
          <cell r="H672"/>
          <cell r="I672" t="str">
            <v>Y1</v>
          </cell>
          <cell r="J672" t="str">
            <v>Activo</v>
          </cell>
          <cell r="K672">
            <v>45863.138846057947</v>
          </cell>
          <cell r="L672">
            <v>4586.3138846057946</v>
          </cell>
          <cell r="M672">
            <v>2710.1595909471671</v>
          </cell>
          <cell r="N672" t="str">
            <v>Si Compra</v>
          </cell>
          <cell r="O672">
            <v>10</v>
          </cell>
          <cell r="P672">
            <v>56669.718055746998</v>
          </cell>
          <cell r="Q672">
            <v>5666.9718055746998</v>
          </cell>
          <cell r="R672">
            <v>2812.415047710434</v>
          </cell>
          <cell r="V672">
            <v>0.80930592950791758</v>
          </cell>
          <cell r="W672">
            <v>1.7512318986033642E-4</v>
          </cell>
          <cell r="X672">
            <v>10</v>
          </cell>
          <cell r="Y672" t="str">
            <v>Proteger</v>
          </cell>
        </row>
        <row r="673">
          <cell r="A673" t="str">
            <v>9937</v>
          </cell>
          <cell r="B673" t="str">
            <v>FARMABOX</v>
          </cell>
          <cell r="C673" t="e">
            <v>#N/A</v>
          </cell>
          <cell r="D673">
            <v>4</v>
          </cell>
          <cell r="E673"/>
          <cell r="F673" t="str">
            <v>CARACAS</v>
          </cell>
          <cell r="H673"/>
          <cell r="I673"/>
          <cell r="J673" t="str">
            <v>Inactivo</v>
          </cell>
          <cell r="K673">
            <v>45820.909537484236</v>
          </cell>
          <cell r="L673">
            <v>9164.181907496848</v>
          </cell>
          <cell r="M673">
            <v>13767.197166666665</v>
          </cell>
          <cell r="N673" t="str">
            <v>Si Compra</v>
          </cell>
          <cell r="O673">
            <v>5</v>
          </cell>
          <cell r="P673">
            <v>58803.098684183824</v>
          </cell>
          <cell r="Q673">
            <v>11760.619736836765</v>
          </cell>
          <cell r="R673">
            <v>6619.421933333334</v>
          </cell>
          <cell r="S673"/>
          <cell r="T673"/>
          <cell r="U673"/>
          <cell r="V673">
            <v>0.77922610479383836</v>
          </cell>
          <cell r="W673">
            <v>3.4992388407780606E-4</v>
          </cell>
          <cell r="X673">
            <v>5</v>
          </cell>
          <cell r="Y673" t="str">
            <v>Proteger</v>
          </cell>
        </row>
        <row r="674">
          <cell r="A674" t="str">
            <v>0079</v>
          </cell>
          <cell r="B674" t="str">
            <v>0079 - FARMACIA CORAZON DE MARIA, C.A.</v>
          </cell>
          <cell r="C674" t="str">
            <v>INDEPENDIENTE</v>
          </cell>
          <cell r="D674">
            <v>3</v>
          </cell>
          <cell r="E674"/>
          <cell r="F674" t="str">
            <v>ESTE</v>
          </cell>
          <cell r="G674" t="str">
            <v>ADOLFO GONZALEZ</v>
          </cell>
          <cell r="H674"/>
          <cell r="I674" t="str">
            <v>A8</v>
          </cell>
          <cell r="J674" t="str">
            <v>Permiso</v>
          </cell>
          <cell r="K674">
            <v>45756.770847177802</v>
          </cell>
          <cell r="L674">
            <v>5084.0856496864226</v>
          </cell>
          <cell r="M674">
            <v>5355.6260732519286</v>
          </cell>
          <cell r="N674" t="str">
            <v>Si Compra</v>
          </cell>
          <cell r="O674">
            <v>9</v>
          </cell>
          <cell r="P674">
            <v>46746.155226052673</v>
          </cell>
          <cell r="Q674">
            <v>5194.0172473391858</v>
          </cell>
          <cell r="R674">
            <v>4573.4716664076732</v>
          </cell>
          <cell r="T674"/>
          <cell r="U674"/>
          <cell r="V674">
            <v>0.97883495714052948</v>
          </cell>
          <cell r="W674">
            <v>1.9413003970023178E-4</v>
          </cell>
          <cell r="X674">
            <v>9</v>
          </cell>
          <cell r="Y674" t="str">
            <v>Proteger</v>
          </cell>
        </row>
        <row r="675">
          <cell r="A675" t="str">
            <v>9673</v>
          </cell>
          <cell r="B675" t="str">
            <v>9673 - SERVICIOS FARMACEUTICOS SERVIDET C.A</v>
          </cell>
          <cell r="C675" t="str">
            <v>INDEPENDIENTE</v>
          </cell>
          <cell r="D675">
            <v>3</v>
          </cell>
          <cell r="E675"/>
          <cell r="F675" t="str">
            <v>CENTRO OESTE</v>
          </cell>
          <cell r="G675">
            <v>0</v>
          </cell>
          <cell r="H675"/>
          <cell r="I675" t="str">
            <v>Y</v>
          </cell>
          <cell r="J675" t="str">
            <v>Activo</v>
          </cell>
          <cell r="K675">
            <v>45714.745375038328</v>
          </cell>
          <cell r="L675">
            <v>4571.4745375038328</v>
          </cell>
          <cell r="M675">
            <v>5343.6988333333329</v>
          </cell>
          <cell r="N675" t="str">
            <v>Si Compra</v>
          </cell>
          <cell r="O675">
            <v>10</v>
          </cell>
          <cell r="P675">
            <v>0</v>
          </cell>
          <cell r="Q675">
            <v>0</v>
          </cell>
          <cell r="R675">
            <v>0</v>
          </cell>
          <cell r="T675"/>
          <cell r="U675"/>
          <cell r="V675">
            <v>0</v>
          </cell>
          <cell r="W675">
            <v>1.7455656623506231E-4</v>
          </cell>
          <cell r="X675">
            <v>0</v>
          </cell>
          <cell r="Y675" t="str">
            <v>Conquistar</v>
          </cell>
        </row>
        <row r="676">
          <cell r="A676" t="str">
            <v>J77</v>
          </cell>
          <cell r="B676" t="str">
            <v>J77 - HENRY FELIPE RODRIGUEZ ARRIECHE ( FARMACIA EL CUJI)</v>
          </cell>
          <cell r="C676" t="str">
            <v>INDEPENDIENTE</v>
          </cell>
          <cell r="D676">
            <v>3</v>
          </cell>
          <cell r="F676" t="str">
            <v>CENTRO OESTE</v>
          </cell>
          <cell r="G676" t="str">
            <v>JOSE LUIS GARCIA</v>
          </cell>
          <cell r="H676"/>
          <cell r="I676" t="str">
            <v>Y</v>
          </cell>
          <cell r="J676" t="str">
            <v>Activo</v>
          </cell>
          <cell r="K676">
            <v>45663.058614277754</v>
          </cell>
          <cell r="L676">
            <v>4566.3058614277752</v>
          </cell>
          <cell r="M676">
            <v>3492.4007291618859</v>
          </cell>
          <cell r="N676" t="str">
            <v>Si Compra</v>
          </cell>
          <cell r="O676">
            <v>10</v>
          </cell>
          <cell r="P676">
            <v>58507.027119665036</v>
          </cell>
          <cell r="Q676">
            <v>5850.7027119665036</v>
          </cell>
          <cell r="R676">
            <v>5173.6195808137936</v>
          </cell>
          <cell r="V676">
            <v>0.78047135296897963</v>
          </cell>
          <cell r="W676">
            <v>1.7435920620594781E-4</v>
          </cell>
          <cell r="X676">
            <v>10</v>
          </cell>
          <cell r="Y676" t="str">
            <v>Proteger</v>
          </cell>
        </row>
        <row r="677">
          <cell r="A677" t="str">
            <v>7808</v>
          </cell>
          <cell r="B677" t="str">
            <v>7808 - FARMACIA FARMAVEN,C.A</v>
          </cell>
          <cell r="C677" t="str">
            <v>INDEPENDIENTE</v>
          </cell>
          <cell r="D677">
            <v>3</v>
          </cell>
          <cell r="E677"/>
          <cell r="F677" t="str">
            <v>MARACAIBO</v>
          </cell>
          <cell r="G677" t="str">
            <v>MARIA FUSELLA</v>
          </cell>
          <cell r="H677"/>
          <cell r="I677" t="str">
            <v>Z</v>
          </cell>
          <cell r="J677" t="str">
            <v>Activo</v>
          </cell>
          <cell r="K677">
            <v>45631.881146805892</v>
          </cell>
          <cell r="L677">
            <v>4563.188114680589</v>
          </cell>
          <cell r="M677">
            <v>4318.8955111659043</v>
          </cell>
          <cell r="N677" t="str">
            <v>Si Compra</v>
          </cell>
          <cell r="O677">
            <v>10</v>
          </cell>
          <cell r="P677">
            <v>80588.283333514744</v>
          </cell>
          <cell r="Q677">
            <v>8058.8283333514746</v>
          </cell>
          <cell r="R677">
            <v>8651.0306545843032</v>
          </cell>
          <cell r="T677"/>
          <cell r="U677"/>
          <cell r="V677">
            <v>0.56623468399194299</v>
          </cell>
          <cell r="W677">
            <v>1.742401585852918E-4</v>
          </cell>
          <cell r="X677">
            <v>10</v>
          </cell>
          <cell r="Y677" t="str">
            <v>Potenciar</v>
          </cell>
        </row>
        <row r="678">
          <cell r="A678" t="str">
            <v>8534</v>
          </cell>
          <cell r="B678" t="str">
            <v>8534 - MUNDOPHARMA, C.A.</v>
          </cell>
          <cell r="C678" t="str">
            <v>INDEPENDIENTE</v>
          </cell>
          <cell r="D678">
            <v>3</v>
          </cell>
          <cell r="E678"/>
          <cell r="F678" t="str">
            <v>ANDES</v>
          </cell>
          <cell r="G678" t="str">
            <v>MARIA GABRIELA FORTUL</v>
          </cell>
          <cell r="H678"/>
          <cell r="I678" t="str">
            <v>3</v>
          </cell>
          <cell r="J678" t="str">
            <v>Activo</v>
          </cell>
          <cell r="K678">
            <v>45604.789738729902</v>
          </cell>
          <cell r="L678">
            <v>5067.1988598588778</v>
          </cell>
          <cell r="M678">
            <v>6587.8149431190004</v>
          </cell>
          <cell r="N678" t="str">
            <v>Si Compra</v>
          </cell>
          <cell r="O678">
            <v>9</v>
          </cell>
          <cell r="P678">
            <v>49184.04876041189</v>
          </cell>
          <cell r="Q678">
            <v>5464.8943067124319</v>
          </cell>
          <cell r="R678">
            <v>6869.9525172871217</v>
          </cell>
          <cell r="T678"/>
          <cell r="U678"/>
          <cell r="V678">
            <v>0.92722723907668769</v>
          </cell>
          <cell r="W678">
            <v>1.934852367984882E-4</v>
          </cell>
          <cell r="X678">
            <v>9</v>
          </cell>
          <cell r="Y678" t="str">
            <v>Proteger</v>
          </cell>
        </row>
        <row r="679">
          <cell r="A679" t="str">
            <v>0403</v>
          </cell>
          <cell r="B679" t="str">
            <v>0403 - FARMAINDUSTRIA,C.A.</v>
          </cell>
          <cell r="C679" t="str">
            <v>INDEPENDIENTE</v>
          </cell>
          <cell r="D679">
            <v>3</v>
          </cell>
          <cell r="E679"/>
          <cell r="F679" t="str">
            <v>CENTRO ESTE</v>
          </cell>
          <cell r="G679" t="str">
            <v>KARLA SALAZAR</v>
          </cell>
          <cell r="H679"/>
          <cell r="I679" t="str">
            <v>O</v>
          </cell>
          <cell r="J679" t="str">
            <v>Activo</v>
          </cell>
          <cell r="K679">
            <v>45268.909784422649</v>
          </cell>
          <cell r="L679">
            <v>4526.8909784422649</v>
          </cell>
          <cell r="M679">
            <v>6373.8805071768502</v>
          </cell>
          <cell r="N679" t="str">
            <v>Si Compra</v>
          </cell>
          <cell r="O679">
            <v>10</v>
          </cell>
          <cell r="P679">
            <v>2967.521631389794</v>
          </cell>
          <cell r="Q679">
            <v>329.72462570997709</v>
          </cell>
          <cell r="R679">
            <v>243.84577712993132</v>
          </cell>
          <cell r="T679"/>
          <cell r="U679"/>
          <cell r="V679">
            <v>13.729308111866898</v>
          </cell>
          <cell r="W679">
            <v>1.7285419363810702E-4</v>
          </cell>
          <cell r="X679">
            <v>5</v>
          </cell>
          <cell r="Y679" t="str">
            <v>Proteger</v>
          </cell>
        </row>
        <row r="680">
          <cell r="A680" t="str">
            <v>E310</v>
          </cell>
          <cell r="B680" t="str">
            <v>TREBOL</v>
          </cell>
          <cell r="C680" t="e">
            <v>#N/A</v>
          </cell>
          <cell r="D680">
            <v>6</v>
          </cell>
          <cell r="E680">
            <v>6</v>
          </cell>
          <cell r="F680" t="str">
            <v>CENTRO ESTE</v>
          </cell>
          <cell r="G680" t="str">
            <v>KARLA SALAZAR</v>
          </cell>
          <cell r="H680" t="str">
            <v>HECTOR</v>
          </cell>
          <cell r="I680">
            <v>0</v>
          </cell>
          <cell r="J680" t="str">
            <v>Activo</v>
          </cell>
          <cell r="K680">
            <v>45222.173840772179</v>
          </cell>
          <cell r="L680">
            <v>7537.0289734620301</v>
          </cell>
          <cell r="M680">
            <v>6855.1340773615711</v>
          </cell>
          <cell r="N680" t="str">
            <v>Si Compra</v>
          </cell>
          <cell r="O680">
            <v>6</v>
          </cell>
          <cell r="P680">
            <v>0</v>
          </cell>
          <cell r="Q680">
            <v>0</v>
          </cell>
          <cell r="R680">
            <v>0</v>
          </cell>
          <cell r="S680">
            <v>20000</v>
          </cell>
          <cell r="T680">
            <v>0</v>
          </cell>
          <cell r="U680">
            <v>6</v>
          </cell>
          <cell r="V680">
            <v>0</v>
          </cell>
          <cell r="W680">
            <v>2.8779289623695199E-4</v>
          </cell>
          <cell r="X680">
            <v>0</v>
          </cell>
          <cell r="Y680" t="str">
            <v>Conquistar</v>
          </cell>
        </row>
        <row r="681">
          <cell r="A681" t="str">
            <v>9036</v>
          </cell>
          <cell r="B681" t="str">
            <v>9036 - TU FARMACIA 78, C.A</v>
          </cell>
          <cell r="C681" t="str">
            <v>INDEPENDIENTE</v>
          </cell>
          <cell r="D681">
            <v>3</v>
          </cell>
          <cell r="E681"/>
          <cell r="F681" t="str">
            <v>CENTRO OESTE</v>
          </cell>
          <cell r="G681" t="str">
            <v>LUIS PLACERES</v>
          </cell>
          <cell r="H681"/>
          <cell r="I681" t="str">
            <v>E</v>
          </cell>
          <cell r="J681" t="str">
            <v>Activo</v>
          </cell>
          <cell r="K681">
            <v>45139.4001050433</v>
          </cell>
          <cell r="L681">
            <v>4513.9400105043296</v>
          </cell>
          <cell r="M681">
            <v>4763.9881999999998</v>
          </cell>
          <cell r="N681" t="str">
            <v>Si Compra</v>
          </cell>
          <cell r="O681">
            <v>10</v>
          </cell>
          <cell r="P681">
            <v>73554.25393942892</v>
          </cell>
          <cell r="Q681">
            <v>7355.4253939428918</v>
          </cell>
          <cell r="R681">
            <v>7338.496133333334</v>
          </cell>
          <cell r="T681"/>
          <cell r="U681"/>
          <cell r="V681">
            <v>0.61368850457262569</v>
          </cell>
          <cell r="W681">
            <v>1.7235967562775388E-4</v>
          </cell>
          <cell r="X681">
            <v>10</v>
          </cell>
          <cell r="Y681" t="str">
            <v>Proteger</v>
          </cell>
        </row>
        <row r="682">
          <cell r="A682" t="str">
            <v>C930</v>
          </cell>
          <cell r="B682" t="str">
            <v>C930 - RIOFARMA CA</v>
          </cell>
          <cell r="C682" t="str">
            <v>INDEPENDIENTE</v>
          </cell>
          <cell r="D682">
            <v>3</v>
          </cell>
          <cell r="E682"/>
          <cell r="F682" t="str">
            <v>CENTRO OESTE</v>
          </cell>
          <cell r="G682" t="str">
            <v>DIEGO TORI</v>
          </cell>
          <cell r="H682"/>
          <cell r="I682" t="str">
            <v xml:space="preserve">A </v>
          </cell>
          <cell r="J682" t="str">
            <v>Activo</v>
          </cell>
          <cell r="K682">
            <v>45105.701463184807</v>
          </cell>
          <cell r="L682">
            <v>4510.5701463184805</v>
          </cell>
          <cell r="M682">
            <v>4295.3062695257013</v>
          </cell>
          <cell r="N682" t="str">
            <v>Si Compra</v>
          </cell>
          <cell r="O682">
            <v>10</v>
          </cell>
          <cell r="P682">
            <v>95436.468644765002</v>
          </cell>
          <cell r="Q682">
            <v>9543.6468644765009</v>
          </cell>
          <cell r="R682">
            <v>9382.9959703483401</v>
          </cell>
          <cell r="T682"/>
          <cell r="U682"/>
          <cell r="V682">
            <v>0.47262542405123864</v>
          </cell>
          <cell r="W682">
            <v>1.7223100118887545E-4</v>
          </cell>
          <cell r="X682">
            <v>10</v>
          </cell>
          <cell r="Y682" t="str">
            <v>Potenciar</v>
          </cell>
        </row>
        <row r="683">
          <cell r="A683" t="str">
            <v>8062</v>
          </cell>
          <cell r="B683" t="str">
            <v>8062 - FARMACIA EL INGENIO, C.A.</v>
          </cell>
          <cell r="C683" t="str">
            <v>INDEPENDIENTE</v>
          </cell>
          <cell r="D683">
            <v>3</v>
          </cell>
          <cell r="E683"/>
          <cell r="F683" t="str">
            <v>CARACAS</v>
          </cell>
          <cell r="G683" t="str">
            <v>MAIRUBI QUIJADA</v>
          </cell>
          <cell r="H683"/>
          <cell r="I683" t="str">
            <v>C2</v>
          </cell>
          <cell r="J683" t="str">
            <v>Activo</v>
          </cell>
          <cell r="K683">
            <v>44880.820197935274</v>
          </cell>
          <cell r="L683">
            <v>4488.0820197935273</v>
          </cell>
          <cell r="M683">
            <v>4932.7252120566363</v>
          </cell>
          <cell r="N683" t="str">
            <v>Si Compra</v>
          </cell>
          <cell r="O683">
            <v>10</v>
          </cell>
          <cell r="P683">
            <v>55703.349899456385</v>
          </cell>
          <cell r="Q683">
            <v>5570.3349899456389</v>
          </cell>
          <cell r="R683">
            <v>5376.5437715310054</v>
          </cell>
          <cell r="T683"/>
          <cell r="U683"/>
          <cell r="V683">
            <v>0.80571133116669647</v>
          </cell>
          <cell r="W683">
            <v>1.7137231760329459E-4</v>
          </cell>
          <cell r="X683">
            <v>10</v>
          </cell>
          <cell r="Y683" t="str">
            <v>Proteger</v>
          </cell>
        </row>
        <row r="684">
          <cell r="A684" t="str">
            <v>D388</v>
          </cell>
          <cell r="B684" t="str">
            <v>FARMACIUDAD</v>
          </cell>
          <cell r="C684" t="str">
            <v>INDEPENDIENTE</v>
          </cell>
          <cell r="D684">
            <v>3</v>
          </cell>
          <cell r="E684"/>
          <cell r="F684" t="str">
            <v>CENTRO OESTE</v>
          </cell>
          <cell r="H684"/>
          <cell r="I684"/>
          <cell r="J684" t="str">
            <v>Activo</v>
          </cell>
          <cell r="K684">
            <v>44634.875865245696</v>
          </cell>
          <cell r="L684">
            <v>4463.4875865245695</v>
          </cell>
          <cell r="M684">
            <v>4375.3708382812083</v>
          </cell>
          <cell r="N684" t="str">
            <v>Si Compra</v>
          </cell>
          <cell r="O684">
            <v>10</v>
          </cell>
          <cell r="P684">
            <v>243652.17015692926</v>
          </cell>
          <cell r="Q684">
            <v>24365.217015692928</v>
          </cell>
          <cell r="R684">
            <v>29774.420870721846</v>
          </cell>
          <cell r="S684"/>
          <cell r="T684"/>
          <cell r="U684"/>
          <cell r="V684">
            <v>0.1831909637270937</v>
          </cell>
          <cell r="W684">
            <v>1.7043320708551605E-4</v>
          </cell>
          <cell r="X684">
            <v>10</v>
          </cell>
          <cell r="Y684" t="str">
            <v>Conquistar</v>
          </cell>
        </row>
        <row r="685">
          <cell r="A685" t="str">
            <v>C961</v>
          </cell>
          <cell r="B685" t="str">
            <v>C961 - FARMACIA SALUD VITAL;C.A.</v>
          </cell>
          <cell r="C685" t="str">
            <v>INDEPENDIENTE</v>
          </cell>
          <cell r="D685">
            <v>3</v>
          </cell>
          <cell r="E685"/>
          <cell r="F685" t="str">
            <v>ANDES</v>
          </cell>
          <cell r="G685" t="str">
            <v>JESUS CONTRERAS</v>
          </cell>
          <cell r="H685" t="str">
            <v>VICTOR</v>
          </cell>
          <cell r="I685" t="str">
            <v>G2</v>
          </cell>
          <cell r="J685" t="str">
            <v>Activo</v>
          </cell>
          <cell r="K685">
            <v>44607.234039783521</v>
          </cell>
          <cell r="L685">
            <v>4460.7234039783525</v>
          </cell>
          <cell r="M685">
            <v>4976.8686666666663</v>
          </cell>
          <cell r="N685" t="str">
            <v>Si Compra</v>
          </cell>
          <cell r="O685">
            <v>10</v>
          </cell>
          <cell r="P685">
            <v>128716.93871040878</v>
          </cell>
          <cell r="Q685">
            <v>12871.693871040878</v>
          </cell>
          <cell r="R685">
            <v>12488.985766666667</v>
          </cell>
          <cell r="T685"/>
          <cell r="U685"/>
          <cell r="V685">
            <v>0.34655294389918812</v>
          </cell>
          <cell r="W685">
            <v>1.7032765991255116E-4</v>
          </cell>
          <cell r="X685">
            <v>10</v>
          </cell>
          <cell r="Y685" t="str">
            <v>Potenciar</v>
          </cell>
        </row>
        <row r="686">
          <cell r="A686" t="str">
            <v>6571</v>
          </cell>
          <cell r="B686" t="str">
            <v>LOS CEDROS</v>
          </cell>
          <cell r="C686" t="str">
            <v>GRUPO</v>
          </cell>
          <cell r="D686">
            <v>6</v>
          </cell>
          <cell r="E686">
            <v>0</v>
          </cell>
          <cell r="F686" t="str">
            <v>CENTRO OESTE</v>
          </cell>
          <cell r="G686" t="str">
            <v/>
          </cell>
          <cell r="H686" t="str">
            <v>HECTOR</v>
          </cell>
          <cell r="I686">
            <v>0</v>
          </cell>
          <cell r="J686" t="str">
            <v>Activo</v>
          </cell>
          <cell r="K686">
            <v>44406.091600309606</v>
          </cell>
          <cell r="L686">
            <v>4440.609160030961</v>
          </cell>
          <cell r="M686">
            <v>6025.4399560266511</v>
          </cell>
          <cell r="N686" t="str">
            <v>Si Compra</v>
          </cell>
          <cell r="O686">
            <v>10</v>
          </cell>
          <cell r="P686">
            <v>115776.19646241629</v>
          </cell>
          <cell r="Q686">
            <v>11577.61964624163</v>
          </cell>
          <cell r="R686">
            <v>12986.831777894287</v>
          </cell>
          <cell r="S686">
            <v>10000</v>
          </cell>
          <cell r="T686">
            <v>0</v>
          </cell>
          <cell r="U686">
            <v>0</v>
          </cell>
          <cell r="V686">
            <v>0.38355113535557267</v>
          </cell>
          <cell r="W686">
            <v>1.6955962033865293E-4</v>
          </cell>
          <cell r="X686">
            <v>10</v>
          </cell>
          <cell r="Y686" t="str">
            <v>Potenciar</v>
          </cell>
        </row>
        <row r="687">
          <cell r="A687">
            <v>0</v>
          </cell>
          <cell r="B687" t="str">
            <v>B936 - FARMACIA LOS CERRITOS 2022, C.A.</v>
          </cell>
          <cell r="C687" t="str">
            <v>INDEPENDIENTE</v>
          </cell>
          <cell r="D687">
            <v>0</v>
          </cell>
          <cell r="E687"/>
          <cell r="F687" t="str">
            <v>CENTRO ESTE</v>
          </cell>
          <cell r="G687" t="str">
            <v>KARLA SALAZAR</v>
          </cell>
          <cell r="H687" t="str">
            <v>HECTOR</v>
          </cell>
          <cell r="I687" t="str">
            <v xml:space="preserve">O </v>
          </cell>
          <cell r="J687" t="str">
            <v>Activo</v>
          </cell>
          <cell r="K687">
            <v>44213.565074409242</v>
          </cell>
          <cell r="L687">
            <v>4421.3565074409244</v>
          </cell>
          <cell r="M687">
            <v>1571.5592999999999</v>
          </cell>
          <cell r="N687" t="str">
            <v>Si Compra</v>
          </cell>
          <cell r="O687">
            <v>10</v>
          </cell>
          <cell r="P687">
            <v>162622.98342728411</v>
          </cell>
          <cell r="Q687">
            <v>16262.298342728411</v>
          </cell>
          <cell r="R687">
            <v>10560.720166666668</v>
          </cell>
          <cell r="T687"/>
          <cell r="U687"/>
          <cell r="V687">
            <v>0.27187771459240923</v>
          </cell>
          <cell r="W687">
            <v>1.6882447965276202E-4</v>
          </cell>
          <cell r="X687">
            <v>10</v>
          </cell>
          <cell r="Y687" t="str">
            <v>Potenciar</v>
          </cell>
        </row>
        <row r="688">
          <cell r="A688" t="str">
            <v>5545</v>
          </cell>
          <cell r="B688" t="str">
            <v>5545 - FARMACIA LA FRIA,C.A</v>
          </cell>
          <cell r="C688" t="str">
            <v>INDEPENDIENTE</v>
          </cell>
          <cell r="D688">
            <v>3</v>
          </cell>
          <cell r="E688"/>
          <cell r="F688" t="str">
            <v>ANDES</v>
          </cell>
          <cell r="G688" t="str">
            <v>JESUS CONTRERAS</v>
          </cell>
          <cell r="H688"/>
          <cell r="I688" t="str">
            <v>G2</v>
          </cell>
          <cell r="J688" t="str">
            <v>Activo</v>
          </cell>
          <cell r="K688">
            <v>44102.606987145387</v>
          </cell>
          <cell r="L688">
            <v>4410.2606987145391</v>
          </cell>
          <cell r="M688">
            <v>5478.4328971943478</v>
          </cell>
          <cell r="N688" t="str">
            <v>Si Compra</v>
          </cell>
          <cell r="O688">
            <v>10</v>
          </cell>
          <cell r="P688">
            <v>50912.814745229851</v>
          </cell>
          <cell r="Q688">
            <v>5091.2814745229853</v>
          </cell>
          <cell r="R688">
            <v>5507.1463514213656</v>
          </cell>
          <cell r="T688"/>
          <cell r="U688"/>
          <cell r="V688">
            <v>0.86623784616578237</v>
          </cell>
          <cell r="W688">
            <v>1.684007987911518E-4</v>
          </cell>
          <cell r="X688">
            <v>10</v>
          </cell>
          <cell r="Y688" t="str">
            <v>Proteger</v>
          </cell>
        </row>
        <row r="689">
          <cell r="A689" t="str">
            <v>6456</v>
          </cell>
          <cell r="B689" t="str">
            <v>6456 - FARMA SALUD TUY, C.A.</v>
          </cell>
          <cell r="C689" t="str">
            <v>INDEPENDIENTE</v>
          </cell>
          <cell r="D689">
            <v>3</v>
          </cell>
          <cell r="E689"/>
          <cell r="F689" t="str">
            <v>CARACAS</v>
          </cell>
          <cell r="G689" t="str">
            <v>RAMON SERRANO</v>
          </cell>
          <cell r="H689"/>
          <cell r="I689" t="str">
            <v>C6</v>
          </cell>
          <cell r="J689" t="str">
            <v>Inactivo</v>
          </cell>
          <cell r="K689">
            <v>44095.648414446645</v>
          </cell>
          <cell r="L689">
            <v>4409.5648414446641</v>
          </cell>
          <cell r="M689">
            <v>4433.4231190959417</v>
          </cell>
          <cell r="N689" t="str">
            <v>Si Compra</v>
          </cell>
          <cell r="O689">
            <v>10</v>
          </cell>
          <cell r="P689">
            <v>147655.1108811966</v>
          </cell>
          <cell r="Q689">
            <v>14765.51108811966</v>
          </cell>
          <cell r="R689">
            <v>21742.291383612926</v>
          </cell>
          <cell r="T689"/>
          <cell r="U689"/>
          <cell r="V689">
            <v>0.29863949951536745</v>
          </cell>
          <cell r="W689">
            <v>1.6837422827115379E-4</v>
          </cell>
          <cell r="X689">
            <v>10</v>
          </cell>
          <cell r="Y689" t="str">
            <v>Potenciar</v>
          </cell>
        </row>
        <row r="690">
          <cell r="A690" t="str">
            <v>D517</v>
          </cell>
          <cell r="B690" t="str">
            <v>FARMA VIDA (ZARAZA)</v>
          </cell>
          <cell r="C690" t="str">
            <v>GRUPO</v>
          </cell>
          <cell r="D690">
            <v>3</v>
          </cell>
          <cell r="E690"/>
          <cell r="F690" t="str">
            <v>ESTE</v>
          </cell>
          <cell r="H690"/>
          <cell r="I690"/>
          <cell r="J690" t="str">
            <v>Activo</v>
          </cell>
          <cell r="K690">
            <v>44058.258536009875</v>
          </cell>
          <cell r="L690">
            <v>4405.8258536009871</v>
          </cell>
          <cell r="M690">
            <v>4244.7852545352916</v>
          </cell>
          <cell r="N690" t="str">
            <v>Si Compra</v>
          </cell>
          <cell r="O690">
            <v>10</v>
          </cell>
          <cell r="P690">
            <v>2130195.4327905923</v>
          </cell>
          <cell r="Q690">
            <v>213019.54327905923</v>
          </cell>
          <cell r="R690">
            <v>172250.44983387887</v>
          </cell>
          <cell r="S690"/>
          <cell r="T690"/>
          <cell r="U690"/>
          <cell r="V690">
            <v>2.0682730728744828E-2</v>
          </cell>
          <cell r="W690">
            <v>1.6823145926438528E-4</v>
          </cell>
          <cell r="X690">
            <v>10</v>
          </cell>
          <cell r="Y690" t="str">
            <v>Conquistar</v>
          </cell>
        </row>
        <row r="691">
          <cell r="A691" t="str">
            <v>8136</v>
          </cell>
          <cell r="B691" t="str">
            <v>FARMAPLUS</v>
          </cell>
          <cell r="C691" t="e">
            <v>#N/A</v>
          </cell>
          <cell r="D691">
            <v>0</v>
          </cell>
          <cell r="E691"/>
          <cell r="F691" t="str">
            <v>CARACAS</v>
          </cell>
          <cell r="G691" t="str">
            <v>JHON TORRES</v>
          </cell>
          <cell r="H691"/>
          <cell r="I691" t="str">
            <v>W</v>
          </cell>
          <cell r="J691" t="str">
            <v>Bloqueado</v>
          </cell>
          <cell r="K691">
            <v>43964.038809580008</v>
          </cell>
          <cell r="L691">
            <v>10991.009702395002</v>
          </cell>
          <cell r="M691">
            <v>0</v>
          </cell>
          <cell r="N691" t="str">
            <v>No Compra</v>
          </cell>
          <cell r="O691">
            <v>4</v>
          </cell>
          <cell r="P691">
            <v>59626.879078005019</v>
          </cell>
          <cell r="Q691">
            <v>14906.719769501255</v>
          </cell>
          <cell r="R691">
            <v>0</v>
          </cell>
          <cell r="T691"/>
          <cell r="U691"/>
          <cell r="V691">
            <v>0.73731913340735833</v>
          </cell>
          <cell r="W691">
            <v>4.1967922983421346E-4</v>
          </cell>
          <cell r="X691">
            <v>4</v>
          </cell>
          <cell r="Y691" t="str">
            <v>Proteger</v>
          </cell>
        </row>
        <row r="692">
          <cell r="A692" t="str">
            <v>4824</v>
          </cell>
          <cell r="B692" t="str">
            <v>4824 - FARMACIA ARCA, C.A</v>
          </cell>
          <cell r="C692" t="str">
            <v>INDEPENDIENTE</v>
          </cell>
          <cell r="D692">
            <v>3</v>
          </cell>
          <cell r="E692"/>
          <cell r="F692" t="str">
            <v>CENTRO OESTE</v>
          </cell>
          <cell r="G692" t="str">
            <v>JOSE LUIS GARCIA</v>
          </cell>
          <cell r="H692"/>
          <cell r="I692" t="str">
            <v>Y</v>
          </cell>
          <cell r="J692" t="str">
            <v>Activo</v>
          </cell>
          <cell r="K692">
            <v>43934.347890549245</v>
          </cell>
          <cell r="L692">
            <v>4393.4347890549243</v>
          </cell>
          <cell r="M692">
            <v>5099.9968218273343</v>
          </cell>
          <cell r="N692" t="str">
            <v>Si Compra</v>
          </cell>
          <cell r="O692">
            <v>10</v>
          </cell>
          <cell r="P692">
            <v>147642.24105809681</v>
          </cell>
          <cell r="Q692">
            <v>14764.224105809681</v>
          </cell>
          <cell r="R692">
            <v>10745.952703150897</v>
          </cell>
          <cell r="T692"/>
          <cell r="U692"/>
          <cell r="V692">
            <v>0.29757302229828114</v>
          </cell>
          <cell r="W692">
            <v>1.6775832052951688E-4</v>
          </cell>
          <cell r="X692">
            <v>10</v>
          </cell>
          <cell r="Y692" t="str">
            <v>Potenciar</v>
          </cell>
        </row>
        <row r="693">
          <cell r="A693" t="str">
            <v>D757</v>
          </cell>
          <cell r="B693" t="str">
            <v>FARMAFAMILIA</v>
          </cell>
          <cell r="C693" t="str">
            <v>GRUPO</v>
          </cell>
          <cell r="D693">
            <v>6</v>
          </cell>
          <cell r="E693"/>
          <cell r="F693" t="str">
            <v>CENTRO ESTE</v>
          </cell>
          <cell r="H693"/>
          <cell r="I693"/>
          <cell r="J693" t="str">
            <v>Activo</v>
          </cell>
          <cell r="K693">
            <v>43661.289552425325</v>
          </cell>
          <cell r="L693">
            <v>4366.1289552425324</v>
          </cell>
          <cell r="M693">
            <v>3614.3330763514382</v>
          </cell>
          <cell r="N693" t="str">
            <v>Si Compra</v>
          </cell>
          <cell r="O693">
            <v>10</v>
          </cell>
          <cell r="P693">
            <v>1122603.7824690291</v>
          </cell>
          <cell r="Q693">
            <v>112260.37824690291</v>
          </cell>
          <cell r="R693">
            <v>91375.241520362397</v>
          </cell>
          <cell r="S693"/>
          <cell r="T693"/>
          <cell r="U693"/>
          <cell r="V693">
            <v>3.8892875860793631E-2</v>
          </cell>
          <cell r="W693">
            <v>1.6671567825963802E-4</v>
          </cell>
          <cell r="X693">
            <v>10</v>
          </cell>
          <cell r="Y693" t="str">
            <v>Conquistar</v>
          </cell>
        </row>
        <row r="694">
          <cell r="A694" t="str">
            <v>P156</v>
          </cell>
          <cell r="B694" t="str">
            <v>P156 - FARMACIA FARME,C.A.</v>
          </cell>
          <cell r="C694" t="str">
            <v>INDEPENDIENTE</v>
          </cell>
          <cell r="D694">
            <v>3</v>
          </cell>
          <cell r="F694" t="str">
            <v>CENTRO OESTE</v>
          </cell>
          <cell r="G694" t="str">
            <v>DIEGO TORI</v>
          </cell>
          <cell r="H694"/>
          <cell r="I694" t="str">
            <v xml:space="preserve">A </v>
          </cell>
          <cell r="J694" t="str">
            <v>Activo</v>
          </cell>
          <cell r="K694">
            <v>43438.0216</v>
          </cell>
          <cell r="L694">
            <v>4343.8021600000002</v>
          </cell>
          <cell r="M694">
            <v>3909.6913666666674</v>
          </cell>
          <cell r="N694" t="str">
            <v>Si Compra</v>
          </cell>
          <cell r="O694">
            <v>10</v>
          </cell>
          <cell r="P694">
            <v>50842.861500000006</v>
          </cell>
          <cell r="Q694">
            <v>5084.2861500000008</v>
          </cell>
          <cell r="R694">
            <v>3827.4012666666663</v>
          </cell>
          <cell r="V694">
            <v>0.85435831734215029</v>
          </cell>
          <cell r="W694">
            <v>1.6586315492595283E-4</v>
          </cell>
          <cell r="X694">
            <v>10</v>
          </cell>
          <cell r="Y694" t="str">
            <v>Proteger</v>
          </cell>
        </row>
        <row r="695">
          <cell r="A695" t="str">
            <v>3992</v>
          </cell>
          <cell r="B695" t="str">
            <v>3992 - FARMACIA SANTA MARIA C.A</v>
          </cell>
          <cell r="C695" t="str">
            <v>INDEPENDIENTE</v>
          </cell>
          <cell r="D695">
            <v>3</v>
          </cell>
          <cell r="E695"/>
          <cell r="F695" t="str">
            <v>CENTRO ESTE</v>
          </cell>
          <cell r="G695" t="str">
            <v>KARLA SALAZAR</v>
          </cell>
          <cell r="H695"/>
          <cell r="I695" t="str">
            <v>O</v>
          </cell>
          <cell r="J695" t="str">
            <v>Activo</v>
          </cell>
          <cell r="K695">
            <v>43376.53985024993</v>
          </cell>
          <cell r="L695">
            <v>4337.6539850249928</v>
          </cell>
          <cell r="M695">
            <v>4163.3482936109058</v>
          </cell>
          <cell r="N695" t="str">
            <v>Si Compra</v>
          </cell>
          <cell r="O695">
            <v>10</v>
          </cell>
          <cell r="P695">
            <v>369615.37052391144</v>
          </cell>
          <cell r="Q695">
            <v>36961.537052391141</v>
          </cell>
          <cell r="R695">
            <v>33810.823637196714</v>
          </cell>
          <cell r="T695"/>
          <cell r="U695"/>
          <cell r="V695">
            <v>0.11735588752374081</v>
          </cell>
          <cell r="W695">
            <v>1.6562839384318945E-4</v>
          </cell>
          <cell r="X695">
            <v>10</v>
          </cell>
          <cell r="Y695" t="str">
            <v>Conquistar</v>
          </cell>
        </row>
        <row r="696">
          <cell r="A696" t="str">
            <v>A871</v>
          </cell>
          <cell r="B696" t="str">
            <v>A871 - FARMACARACAS, C.A.</v>
          </cell>
          <cell r="C696" t="str">
            <v>INDEPENDIENTE</v>
          </cell>
          <cell r="D696">
            <v>2</v>
          </cell>
          <cell r="E696"/>
          <cell r="F696" t="str">
            <v>ESTE</v>
          </cell>
          <cell r="G696" t="str">
            <v>JOSE RAMIREZ</v>
          </cell>
          <cell r="H696"/>
          <cell r="I696" t="str">
            <v>A2</v>
          </cell>
          <cell r="J696" t="str">
            <v>Suspendido</v>
          </cell>
          <cell r="K696">
            <v>43311.198812219103</v>
          </cell>
          <cell r="L696">
            <v>4812.3554235799002</v>
          </cell>
          <cell r="M696">
            <v>4072.3685730190687</v>
          </cell>
          <cell r="N696" t="str">
            <v>Si Compra</v>
          </cell>
          <cell r="O696">
            <v>8</v>
          </cell>
          <cell r="P696">
            <v>156629.10246563895</v>
          </cell>
          <cell r="Q696">
            <v>19578.637808204869</v>
          </cell>
          <cell r="R696">
            <v>46773.245339219364</v>
          </cell>
          <cell r="T696"/>
          <cell r="U696"/>
          <cell r="V696">
            <v>0.24579623315587229</v>
          </cell>
          <cell r="W696">
            <v>1.8375432945131698E-4</v>
          </cell>
          <cell r="X696">
            <v>8</v>
          </cell>
          <cell r="Y696" t="str">
            <v>Potenciar</v>
          </cell>
        </row>
        <row r="697">
          <cell r="A697" t="str">
            <v>1396</v>
          </cell>
          <cell r="B697" t="str">
            <v>1396 - FARMA SHOP SOLIDARIA, C.A.</v>
          </cell>
          <cell r="C697" t="str">
            <v>INDEPENDIENTE</v>
          </cell>
          <cell r="D697">
            <v>3</v>
          </cell>
          <cell r="E697"/>
          <cell r="F697" t="str">
            <v>CENTRO ESTE</v>
          </cell>
          <cell r="G697" t="str">
            <v>KARLA SALAZAR</v>
          </cell>
          <cell r="H697"/>
          <cell r="I697" t="str">
            <v>H</v>
          </cell>
          <cell r="J697" t="str">
            <v>Activo</v>
          </cell>
          <cell r="K697">
            <v>43256.876245337517</v>
          </cell>
          <cell r="L697">
            <v>4325.6876245337517</v>
          </cell>
          <cell r="M697">
            <v>2631.1442839542033</v>
          </cell>
          <cell r="N697" t="str">
            <v>Si Compra</v>
          </cell>
          <cell r="O697">
            <v>10</v>
          </cell>
          <cell r="P697">
            <v>76522.957977554397</v>
          </cell>
          <cell r="Q697">
            <v>7652.2957977554397</v>
          </cell>
          <cell r="R697">
            <v>3843.1373839740595</v>
          </cell>
          <cell r="T697"/>
          <cell r="U697"/>
          <cell r="V697">
            <v>0.56527971981984226</v>
          </cell>
          <cell r="W697">
            <v>1.6517147195058222E-4</v>
          </cell>
          <cell r="X697">
            <v>10</v>
          </cell>
          <cell r="Y697" t="str">
            <v>Potenciar</v>
          </cell>
        </row>
        <row r="698">
          <cell r="A698" t="str">
            <v>3679</v>
          </cell>
          <cell r="B698" t="str">
            <v>3679 - FARMA CENTRO SALOMON S.A.</v>
          </cell>
          <cell r="C698" t="str">
            <v>INDEPENDIENTE</v>
          </cell>
          <cell r="D698">
            <v>3</v>
          </cell>
          <cell r="E698"/>
          <cell r="F698" t="str">
            <v>ESTE</v>
          </cell>
          <cell r="G698" t="str">
            <v>CARMEN ALCALA</v>
          </cell>
          <cell r="H698"/>
          <cell r="I698" t="str">
            <v>A0</v>
          </cell>
          <cell r="J698" t="str">
            <v>Activo</v>
          </cell>
          <cell r="K698">
            <v>43238.966587142982</v>
          </cell>
          <cell r="L698">
            <v>4323.8966587142986</v>
          </cell>
          <cell r="M698">
            <v>3637.7378828070505</v>
          </cell>
          <cell r="N698" t="str">
            <v>Si Compra</v>
          </cell>
          <cell r="O698">
            <v>10</v>
          </cell>
          <cell r="P698">
            <v>307783.11706749047</v>
          </cell>
          <cell r="Q698">
            <v>30778.311706749046</v>
          </cell>
          <cell r="R698">
            <v>40323.100754651678</v>
          </cell>
          <cell r="T698"/>
          <cell r="U698"/>
          <cell r="V698">
            <v>0.14048517995111987</v>
          </cell>
          <cell r="W698">
            <v>1.6510308595365204E-4</v>
          </cell>
          <cell r="X698">
            <v>10</v>
          </cell>
          <cell r="Y698" t="str">
            <v>Conquistar</v>
          </cell>
        </row>
        <row r="699">
          <cell r="A699" t="str">
            <v>7212</v>
          </cell>
          <cell r="B699" t="str">
            <v>7212 - FARMACIA LA INDIA, C.A.</v>
          </cell>
          <cell r="C699" t="str">
            <v>INDEPENDIENTE</v>
          </cell>
          <cell r="D699">
            <v>3</v>
          </cell>
          <cell r="E699"/>
          <cell r="F699" t="str">
            <v>CARACAS</v>
          </cell>
          <cell r="G699" t="str">
            <v>JHON TORRES</v>
          </cell>
          <cell r="H699"/>
          <cell r="I699" t="str">
            <v>CF</v>
          </cell>
          <cell r="J699" t="str">
            <v>Activo</v>
          </cell>
          <cell r="K699">
            <v>43096.96454439676</v>
          </cell>
          <cell r="L699">
            <v>4309.696454439676</v>
          </cell>
          <cell r="M699">
            <v>4125.45317336479</v>
          </cell>
          <cell r="N699" t="str">
            <v>Si Compra</v>
          </cell>
          <cell r="O699">
            <v>10</v>
          </cell>
          <cell r="P699">
            <v>49693.388647108615</v>
          </cell>
          <cell r="Q699">
            <v>4969.3388647108613</v>
          </cell>
          <cell r="R699">
            <v>3469.2033669384514</v>
          </cell>
          <cell r="T699"/>
          <cell r="U699"/>
          <cell r="V699">
            <v>0.86725751086214842</v>
          </cell>
          <cell r="W699">
            <v>1.6456086727176301E-4</v>
          </cell>
          <cell r="X699">
            <v>10</v>
          </cell>
          <cell r="Y699" t="str">
            <v>Proteger</v>
          </cell>
        </row>
        <row r="700">
          <cell r="A700" t="str">
            <v>7647</v>
          </cell>
          <cell r="B700" t="str">
            <v>GRUPO CONTIGO</v>
          </cell>
          <cell r="C700" t="str">
            <v>GRUPO</v>
          </cell>
          <cell r="D700">
            <v>6</v>
          </cell>
          <cell r="E700"/>
          <cell r="F700" t="str">
            <v>ANDES</v>
          </cell>
          <cell r="H700"/>
          <cell r="I700"/>
          <cell r="J700" t="str">
            <v>Inactivo</v>
          </cell>
          <cell r="K700">
            <v>43022.427038985741</v>
          </cell>
          <cell r="L700">
            <v>4302.2427038985743</v>
          </cell>
          <cell r="M700">
            <v>2623.6898957322023</v>
          </cell>
          <cell r="N700" t="str">
            <v>Si Compra</v>
          </cell>
          <cell r="O700">
            <v>10</v>
          </cell>
          <cell r="P700">
            <v>308707.81611584325</v>
          </cell>
          <cell r="Q700">
            <v>30870.781611584323</v>
          </cell>
          <cell r="R700">
            <v>16900.762570029721</v>
          </cell>
          <cell r="S700"/>
          <cell r="T700"/>
          <cell r="U700"/>
          <cell r="V700">
            <v>0.13936293411774675</v>
          </cell>
          <cell r="W700">
            <v>1.6427625426793826E-4</v>
          </cell>
          <cell r="X700">
            <v>10</v>
          </cell>
          <cell r="Y700" t="str">
            <v>Conquistar</v>
          </cell>
        </row>
        <row r="701">
          <cell r="A701" t="str">
            <v>9110</v>
          </cell>
          <cell r="B701" t="str">
            <v>9110 - FARMACIA GRAN SUCRE, C.A</v>
          </cell>
          <cell r="C701" t="str">
            <v>INDEPENDIENTE</v>
          </cell>
          <cell r="D701">
            <v>3</v>
          </cell>
          <cell r="E701"/>
          <cell r="F701" t="str">
            <v>ESTE</v>
          </cell>
          <cell r="G701" t="str">
            <v>CARLOS BLONDELL</v>
          </cell>
          <cell r="H701"/>
          <cell r="I701" t="str">
            <v>A3</v>
          </cell>
          <cell r="J701" t="str">
            <v>Activo</v>
          </cell>
          <cell r="K701">
            <v>42997.435363603661</v>
          </cell>
          <cell r="L701">
            <v>4299.7435363603663</v>
          </cell>
          <cell r="M701">
            <v>3817.9479121852805</v>
          </cell>
          <cell r="N701" t="str">
            <v>Si Compra</v>
          </cell>
          <cell r="O701">
            <v>10</v>
          </cell>
          <cell r="P701">
            <v>201362.46903999263</v>
          </cell>
          <cell r="Q701">
            <v>20136.246903999265</v>
          </cell>
          <cell r="R701">
            <v>24647.894689455705</v>
          </cell>
          <cell r="T701"/>
          <cell r="U701"/>
          <cell r="V701">
            <v>0.21353251958319966</v>
          </cell>
          <cell r="W701">
            <v>1.6418082639224152E-4</v>
          </cell>
          <cell r="X701">
            <v>10</v>
          </cell>
          <cell r="Y701" t="str">
            <v>Potenciar</v>
          </cell>
        </row>
        <row r="702">
          <cell r="A702" t="str">
            <v>C988</v>
          </cell>
          <cell r="B702" t="str">
            <v>C988 - FARMACIA EL BAUTISTA C.A.</v>
          </cell>
          <cell r="C702" t="str">
            <v>INDEPENDIENTE</v>
          </cell>
          <cell r="D702">
            <v>3</v>
          </cell>
          <cell r="E702"/>
          <cell r="F702" t="str">
            <v>CARACAS</v>
          </cell>
          <cell r="G702" t="str">
            <v>WILLIAM ARAQUE</v>
          </cell>
          <cell r="H702"/>
          <cell r="I702" t="str">
            <v>C3</v>
          </cell>
          <cell r="J702" t="str">
            <v>Inactivo</v>
          </cell>
          <cell r="K702">
            <v>42874.063028256744</v>
          </cell>
          <cell r="L702">
            <v>4763.7847809174164</v>
          </cell>
          <cell r="M702">
            <v>5618.3718333333336</v>
          </cell>
          <cell r="N702" t="str">
            <v>Si Compra</v>
          </cell>
          <cell r="O702">
            <v>9</v>
          </cell>
          <cell r="P702">
            <v>48926.861894820264</v>
          </cell>
          <cell r="Q702">
            <v>5436.3179883133625</v>
          </cell>
          <cell r="R702">
            <v>6140.1788666666662</v>
          </cell>
          <cell r="T702"/>
          <cell r="U702"/>
          <cell r="V702">
            <v>0.87628883946051106</v>
          </cell>
          <cell r="W702">
            <v>1.8189971459271103E-4</v>
          </cell>
          <cell r="X702">
            <v>9</v>
          </cell>
          <cell r="Y702" t="str">
            <v>Proteger</v>
          </cell>
        </row>
        <row r="703">
          <cell r="A703" t="str">
            <v>9656</v>
          </cell>
          <cell r="B703" t="str">
            <v>ROMAHIN</v>
          </cell>
          <cell r="C703" t="str">
            <v>GRUPO</v>
          </cell>
          <cell r="D703">
            <v>4</v>
          </cell>
          <cell r="E703"/>
          <cell r="F703" t="str">
            <v>ESTE</v>
          </cell>
          <cell r="H703"/>
          <cell r="I703"/>
          <cell r="J703" t="str">
            <v>Activo</v>
          </cell>
          <cell r="K703">
            <v>42860.450517976074</v>
          </cell>
          <cell r="L703">
            <v>4286.0450517976078</v>
          </cell>
          <cell r="M703">
            <v>2171.9698666666668</v>
          </cell>
          <cell r="N703" t="str">
            <v>Si Compra</v>
          </cell>
          <cell r="O703">
            <v>10</v>
          </cell>
          <cell r="P703">
            <v>478954.33355122607</v>
          </cell>
          <cell r="Q703">
            <v>47895.433355122608</v>
          </cell>
          <cell r="R703">
            <v>50346.359966666671</v>
          </cell>
          <cell r="S703"/>
          <cell r="T703"/>
          <cell r="U703"/>
          <cell r="V703">
            <v>8.9487551350011921E-2</v>
          </cell>
          <cell r="W703">
            <v>1.6365776530805908E-4</v>
          </cell>
          <cell r="X703">
            <v>10</v>
          </cell>
          <cell r="Y703" t="str">
            <v>Conquistar</v>
          </cell>
        </row>
        <row r="704">
          <cell r="A704" t="str">
            <v>D026</v>
          </cell>
          <cell r="B704" t="str">
            <v>D026 - MORA FARMACIA SAN LUIS CA</v>
          </cell>
          <cell r="C704" t="str">
            <v>INDEPENDIENTE</v>
          </cell>
          <cell r="D704">
            <v>3</v>
          </cell>
          <cell r="E704"/>
          <cell r="F704" t="str">
            <v>CENTRO OESTE</v>
          </cell>
          <cell r="G704" t="str">
            <v>LUIS PLACERES</v>
          </cell>
          <cell r="H704" t="str">
            <v>HECTOR</v>
          </cell>
          <cell r="I704" t="str">
            <v>E</v>
          </cell>
          <cell r="J704" t="str">
            <v>Activo</v>
          </cell>
          <cell r="K704">
            <v>42810.544519330928</v>
          </cell>
          <cell r="L704">
            <v>4281.0544519330924</v>
          </cell>
          <cell r="M704">
            <v>2653.0412666666666</v>
          </cell>
          <cell r="N704" t="str">
            <v>Si Compra</v>
          </cell>
          <cell r="O704">
            <v>10</v>
          </cell>
          <cell r="P704">
            <v>171727.55301081639</v>
          </cell>
          <cell r="Q704">
            <v>17172.755301081641</v>
          </cell>
          <cell r="R704">
            <v>18503.482199999999</v>
          </cell>
          <cell r="T704"/>
          <cell r="U704"/>
          <cell r="V704">
            <v>0.24929339391818192</v>
          </cell>
          <cell r="W704">
            <v>1.6346720491695196E-4</v>
          </cell>
          <cell r="X704">
            <v>10</v>
          </cell>
          <cell r="Y704" t="str">
            <v>Potenciar</v>
          </cell>
        </row>
        <row r="705">
          <cell r="A705" t="str">
            <v>E210</v>
          </cell>
          <cell r="B705" t="str">
            <v>E210 - FARMACIA FARMA MEDI-SALUD, C.A.</v>
          </cell>
          <cell r="C705" t="str">
            <v>INDEPENDIENTE</v>
          </cell>
          <cell r="D705">
            <v>3</v>
          </cell>
          <cell r="F705" t="str">
            <v>MARACAIBO</v>
          </cell>
          <cell r="G705">
            <v>0</v>
          </cell>
          <cell r="H705"/>
          <cell r="I705" t="str">
            <v>B</v>
          </cell>
          <cell r="J705" t="str">
            <v>Activo</v>
          </cell>
          <cell r="K705">
            <v>42741.603476010314</v>
          </cell>
          <cell r="L705">
            <v>6105.9433537157593</v>
          </cell>
          <cell r="M705">
            <v>4054.9439464278403</v>
          </cell>
          <cell r="N705" t="str">
            <v>Si Compra</v>
          </cell>
          <cell r="O705">
            <v>7</v>
          </cell>
          <cell r="P705">
            <v>0</v>
          </cell>
          <cell r="Q705">
            <v>0</v>
          </cell>
          <cell r="R705">
            <v>0</v>
          </cell>
          <cell r="V705">
            <v>0</v>
          </cell>
          <cell r="W705">
            <v>2.3314851624053911E-4</v>
          </cell>
          <cell r="X705">
            <v>0</v>
          </cell>
          <cell r="Y705" t="str">
            <v>Conquistar</v>
          </cell>
        </row>
        <row r="706">
          <cell r="A706" t="str">
            <v>D534</v>
          </cell>
          <cell r="B706" t="str">
            <v>D534 - I FARMACIA  ROSA BLANCA, C.A.</v>
          </cell>
          <cell r="C706" t="str">
            <v>INDEPENDIENTE</v>
          </cell>
          <cell r="D706">
            <v>3</v>
          </cell>
          <cell r="E706"/>
          <cell r="F706" t="str">
            <v>ANDES</v>
          </cell>
          <cell r="G706" t="str">
            <v>MARIA GABRIELA FORTUL</v>
          </cell>
          <cell r="H706"/>
          <cell r="I706" t="str">
            <v>3</v>
          </cell>
          <cell r="J706" t="str">
            <v>Activo</v>
          </cell>
          <cell r="K706">
            <v>42652.254991222508</v>
          </cell>
          <cell r="L706">
            <v>4265.2254991222508</v>
          </cell>
          <cell r="M706">
            <v>4827.364013310721</v>
          </cell>
          <cell r="N706" t="str">
            <v>Si Compra</v>
          </cell>
          <cell r="O706">
            <v>10</v>
          </cell>
          <cell r="P706">
            <v>50733.438426276785</v>
          </cell>
          <cell r="Q706">
            <v>5073.3438426276789</v>
          </cell>
          <cell r="R706">
            <v>5219.7467056386959</v>
          </cell>
          <cell r="T706"/>
          <cell r="U706"/>
          <cell r="V706">
            <v>0.84071287723189825</v>
          </cell>
          <cell r="W706">
            <v>1.6286279432096379E-4</v>
          </cell>
          <cell r="X706">
            <v>10</v>
          </cell>
          <cell r="Y706" t="str">
            <v>Proteger</v>
          </cell>
        </row>
        <row r="707">
          <cell r="A707" t="str">
            <v>7872</v>
          </cell>
          <cell r="B707" t="str">
            <v>7872 - PHARMAHORIZON 2902, C.A.</v>
          </cell>
          <cell r="C707" t="str">
            <v>INDEPENDIENTE</v>
          </cell>
          <cell r="D707">
            <v>3</v>
          </cell>
          <cell r="E707"/>
          <cell r="F707" t="str">
            <v>CARACAS</v>
          </cell>
          <cell r="G707" t="str">
            <v>JHON TORRES</v>
          </cell>
          <cell r="H707"/>
          <cell r="I707" t="str">
            <v>C4</v>
          </cell>
          <cell r="J707" t="str">
            <v>Activo</v>
          </cell>
          <cell r="K707">
            <v>42569.150111948111</v>
          </cell>
          <cell r="L707">
            <v>4256.9150111948111</v>
          </cell>
          <cell r="M707">
            <v>5621.7670091899899</v>
          </cell>
          <cell r="N707" t="str">
            <v>Si Compra</v>
          </cell>
          <cell r="O707">
            <v>10</v>
          </cell>
          <cell r="P707">
            <v>87212.581021195365</v>
          </cell>
          <cell r="Q707">
            <v>8721.2581021195365</v>
          </cell>
          <cell r="R707">
            <v>9311.8513310292983</v>
          </cell>
          <cell r="T707"/>
          <cell r="U707"/>
          <cell r="V707">
            <v>0.48810790385394609</v>
          </cell>
          <cell r="W707">
            <v>1.6254546777250535E-4</v>
          </cell>
          <cell r="X707">
            <v>10</v>
          </cell>
          <cell r="Y707" t="str">
            <v>Potenciar</v>
          </cell>
        </row>
        <row r="708">
          <cell r="A708" t="str">
            <v>C750</v>
          </cell>
          <cell r="B708" t="str">
            <v>VIDA Y SALUD (LA SALLE)</v>
          </cell>
          <cell r="C708" t="str">
            <v>GRUPO</v>
          </cell>
          <cell r="D708">
            <v>6</v>
          </cell>
          <cell r="E708"/>
          <cell r="F708" t="str">
            <v>CENTRO OESTE</v>
          </cell>
          <cell r="H708"/>
          <cell r="I708"/>
          <cell r="J708" t="str">
            <v>Activo</v>
          </cell>
          <cell r="K708">
            <v>42564.56536859709</v>
          </cell>
          <cell r="L708">
            <v>4256.4565368597086</v>
          </cell>
          <cell r="M708">
            <v>5236.2864436439822</v>
          </cell>
          <cell r="N708" t="str">
            <v>Si Compra</v>
          </cell>
          <cell r="O708">
            <v>10</v>
          </cell>
          <cell r="P708">
            <v>99857.850799999986</v>
          </cell>
          <cell r="Q708">
            <v>9985.7850799999978</v>
          </cell>
          <cell r="R708">
            <v>11699.671699999999</v>
          </cell>
          <cell r="S708"/>
          <cell r="T708"/>
          <cell r="U708"/>
          <cell r="V708">
            <v>0.42625156687827587</v>
          </cell>
          <cell r="W708">
            <v>1.6252796145042352E-4</v>
          </cell>
          <cell r="X708">
            <v>10</v>
          </cell>
          <cell r="Y708" t="str">
            <v>Potenciar</v>
          </cell>
        </row>
        <row r="709">
          <cell r="A709" t="str">
            <v>B074</v>
          </cell>
          <cell r="B709" t="str">
            <v>B074 - FARMACIA LA MIRANDA 247, C.A.</v>
          </cell>
          <cell r="C709" t="str">
            <v>INDEPENDIENTE</v>
          </cell>
          <cell r="D709">
            <v>3</v>
          </cell>
          <cell r="E709"/>
          <cell r="F709" t="str">
            <v>CENTRO OESTE</v>
          </cell>
          <cell r="G709">
            <v>0</v>
          </cell>
          <cell r="H709"/>
          <cell r="I709" t="str">
            <v>Y</v>
          </cell>
          <cell r="J709" t="str">
            <v>Activo</v>
          </cell>
          <cell r="K709">
            <v>42498.291678312089</v>
          </cell>
          <cell r="L709">
            <v>4249.8291678312089</v>
          </cell>
          <cell r="M709">
            <v>3378.1087914760915</v>
          </cell>
          <cell r="N709" t="str">
            <v>Si Compra</v>
          </cell>
          <cell r="O709">
            <v>10</v>
          </cell>
          <cell r="P709">
            <v>0</v>
          </cell>
          <cell r="Q709">
            <v>0</v>
          </cell>
          <cell r="R709">
            <v>0</v>
          </cell>
          <cell r="T709"/>
          <cell r="U709"/>
          <cell r="V709">
            <v>0</v>
          </cell>
          <cell r="W709">
            <v>1.6227490288665009E-4</v>
          </cell>
          <cell r="X709">
            <v>0</v>
          </cell>
          <cell r="Y709" t="str">
            <v>Conquistar</v>
          </cell>
        </row>
        <row r="710">
          <cell r="A710" t="str">
            <v>+236</v>
          </cell>
          <cell r="B710" t="str">
            <v>+236 - FARMACIA PARACOTOS 30, S.A</v>
          </cell>
          <cell r="C710" t="str">
            <v>INDEPENDIENTE</v>
          </cell>
          <cell r="D710">
            <v>3</v>
          </cell>
          <cell r="E710"/>
          <cell r="F710" t="str">
            <v>CARACAS</v>
          </cell>
          <cell r="G710" t="str">
            <v>RAMON SERRANO</v>
          </cell>
          <cell r="H710"/>
          <cell r="I710" t="str">
            <v>C6</v>
          </cell>
          <cell r="J710" t="str">
            <v>Inactivo</v>
          </cell>
          <cell r="K710">
            <v>42497.448481785184</v>
          </cell>
          <cell r="L710">
            <v>4249.7448481785186</v>
          </cell>
          <cell r="M710">
            <v>4036.0536272617305</v>
          </cell>
          <cell r="N710" t="str">
            <v>Si Compra</v>
          </cell>
          <cell r="O710">
            <v>10</v>
          </cell>
          <cell r="P710">
            <v>77828.728965499045</v>
          </cell>
          <cell r="Q710">
            <v>7782.8728965499049</v>
          </cell>
          <cell r="R710">
            <v>6701.2498551663493</v>
          </cell>
          <cell r="T710"/>
          <cell r="U710"/>
          <cell r="V710">
            <v>0.54603806392140897</v>
          </cell>
          <cell r="W710">
            <v>1.6227168323642148E-4</v>
          </cell>
          <cell r="X710">
            <v>10</v>
          </cell>
          <cell r="Y710" t="str">
            <v>Potenciar</v>
          </cell>
        </row>
        <row r="711">
          <cell r="A711" t="str">
            <v>1575</v>
          </cell>
          <cell r="B711" t="str">
            <v>MULTI FARMACIA NIEVES ORTIZ</v>
          </cell>
          <cell r="C711" t="str">
            <v>GRUPO</v>
          </cell>
          <cell r="D711">
            <v>4</v>
          </cell>
          <cell r="E711"/>
          <cell r="F711" t="str">
            <v>ESTE</v>
          </cell>
          <cell r="H711"/>
          <cell r="I711"/>
          <cell r="J711" t="str">
            <v>Activo</v>
          </cell>
          <cell r="K711">
            <v>42384.813358134779</v>
          </cell>
          <cell r="L711">
            <v>5298.1016697668474</v>
          </cell>
          <cell r="M711">
            <v>6370.3290999999999</v>
          </cell>
          <cell r="N711" t="str">
            <v>Si Compra</v>
          </cell>
          <cell r="O711">
            <v>8</v>
          </cell>
          <cell r="P711">
            <v>89324.402600000016</v>
          </cell>
          <cell r="Q711">
            <v>11165.550325000002</v>
          </cell>
          <cell r="R711">
            <v>13359.223750000001</v>
          </cell>
          <cell r="S711"/>
          <cell r="T711"/>
          <cell r="U711"/>
          <cell r="V711">
            <v>0.47450430256932691</v>
          </cell>
          <cell r="W711">
            <v>2.0230199850215737E-4</v>
          </cell>
          <cell r="X711">
            <v>8</v>
          </cell>
          <cell r="Y711" t="str">
            <v>Potenciar</v>
          </cell>
        </row>
        <row r="712">
          <cell r="A712" t="str">
            <v>7468</v>
          </cell>
          <cell r="B712" t="str">
            <v>7468 - FARMACIA SAN MARCOS N°2, C.A</v>
          </cell>
          <cell r="C712" t="str">
            <v>INDEPENDIENTE</v>
          </cell>
          <cell r="D712">
            <v>3</v>
          </cell>
          <cell r="E712"/>
          <cell r="F712" t="str">
            <v>MARACAIBO</v>
          </cell>
          <cell r="G712">
            <v>0</v>
          </cell>
          <cell r="H712"/>
          <cell r="I712" t="str">
            <v>Q</v>
          </cell>
          <cell r="J712" t="str">
            <v>Activo</v>
          </cell>
          <cell r="K712">
            <v>42342.121755407876</v>
          </cell>
          <cell r="L712">
            <v>4234.2121755407879</v>
          </cell>
          <cell r="M712">
            <v>6119.8590767784381</v>
          </cell>
          <cell r="N712" t="str">
            <v>Si Compra</v>
          </cell>
          <cell r="O712">
            <v>10</v>
          </cell>
          <cell r="P712">
            <v>0</v>
          </cell>
          <cell r="Q712">
            <v>0</v>
          </cell>
          <cell r="R712">
            <v>0</v>
          </cell>
          <cell r="T712"/>
          <cell r="U712"/>
          <cell r="V712">
            <v>0</v>
          </cell>
          <cell r="W712">
            <v>1.6167858576254251E-4</v>
          </cell>
          <cell r="X712">
            <v>0</v>
          </cell>
          <cell r="Y712" t="str">
            <v>Conquistar</v>
          </cell>
        </row>
        <row r="713">
          <cell r="A713" t="str">
            <v>3603</v>
          </cell>
          <cell r="B713" t="str">
            <v>PAEZ EL MERCADO</v>
          </cell>
          <cell r="C713" t="str">
            <v>GRUPO</v>
          </cell>
          <cell r="D713">
            <v>9</v>
          </cell>
          <cell r="E713"/>
          <cell r="F713" t="str">
            <v>CENTRO ESTE</v>
          </cell>
          <cell r="H713"/>
          <cell r="I713"/>
          <cell r="J713" t="str">
            <v>Activo</v>
          </cell>
          <cell r="K713">
            <v>42316.44473629594</v>
          </cell>
          <cell r="L713">
            <v>5289.5555920369925</v>
          </cell>
          <cell r="M713">
            <v>3441.6625333333336</v>
          </cell>
          <cell r="N713" t="str">
            <v>Si Compra</v>
          </cell>
          <cell r="O713">
            <v>7</v>
          </cell>
          <cell r="P713">
            <v>193236.63090829147</v>
          </cell>
          <cell r="Q713">
            <v>24154.578863536433</v>
          </cell>
          <cell r="R713">
            <v>24549.980299999999</v>
          </cell>
          <cell r="S713"/>
          <cell r="T713"/>
          <cell r="U713"/>
          <cell r="V713">
            <v>0.21898769678083954</v>
          </cell>
          <cell r="W713">
            <v>2.0197567622450645E-4</v>
          </cell>
          <cell r="X713">
            <v>8</v>
          </cell>
          <cell r="Y713" t="str">
            <v>Potenciar</v>
          </cell>
        </row>
        <row r="714">
          <cell r="A714" t="str">
            <v>444</v>
          </cell>
          <cell r="B714" t="str">
            <v>444 - FARMACIA SANTA ROSA LOS PINOS, C.A.</v>
          </cell>
          <cell r="C714" t="str">
            <v>INDEPENDIENTE</v>
          </cell>
          <cell r="D714">
            <v>2</v>
          </cell>
          <cell r="E714"/>
          <cell r="F714" t="str">
            <v>CENTRO OESTE</v>
          </cell>
          <cell r="G714" t="str">
            <v>LUIS PLACERES</v>
          </cell>
          <cell r="H714"/>
          <cell r="I714" t="str">
            <v>E</v>
          </cell>
          <cell r="J714" t="str">
            <v>Activo</v>
          </cell>
          <cell r="K714">
            <v>42310.316065386258</v>
          </cell>
          <cell r="L714">
            <v>4701.1462294873618</v>
          </cell>
          <cell r="M714">
            <v>2609.3049089777951</v>
          </cell>
          <cell r="N714" t="str">
            <v>Si Compra</v>
          </cell>
          <cell r="O714">
            <v>9</v>
          </cell>
          <cell r="P714">
            <v>60291.505408020872</v>
          </cell>
          <cell r="Q714">
            <v>6699.0561564467635</v>
          </cell>
          <cell r="R714">
            <v>2798.9432356599177</v>
          </cell>
          <cell r="T714"/>
          <cell r="U714"/>
          <cell r="V714">
            <v>0.70176247514558676</v>
          </cell>
          <cell r="W714">
            <v>1.7950793260598709E-4</v>
          </cell>
          <cell r="X714">
            <v>9</v>
          </cell>
          <cell r="Y714" t="str">
            <v>Proteger</v>
          </cell>
        </row>
        <row r="715">
          <cell r="A715" t="str">
            <v>0121</v>
          </cell>
          <cell r="B715" t="str">
            <v>FARMASOLA</v>
          </cell>
          <cell r="C715" t="str">
            <v>GRUPO</v>
          </cell>
          <cell r="D715">
            <v>4</v>
          </cell>
          <cell r="E715"/>
          <cell r="F715" t="str">
            <v>ESTE</v>
          </cell>
          <cell r="H715"/>
          <cell r="I715"/>
          <cell r="J715" t="str">
            <v>Activo</v>
          </cell>
          <cell r="K715">
            <v>42260.248462015668</v>
          </cell>
          <cell r="L715">
            <v>4226.024846201567</v>
          </cell>
          <cell r="M715">
            <v>6527.4739561295137</v>
          </cell>
          <cell r="N715" t="str">
            <v>Si Compra</v>
          </cell>
          <cell r="O715">
            <v>10</v>
          </cell>
          <cell r="P715">
            <v>275357.98018017603</v>
          </cell>
          <cell r="Q715">
            <v>27535.798018017602</v>
          </cell>
          <cell r="R715">
            <v>11620.924490971627</v>
          </cell>
          <cell r="S715"/>
          <cell r="T715"/>
          <cell r="U715"/>
          <cell r="V715">
            <v>0.15347384678796439</v>
          </cell>
          <cell r="W715">
            <v>1.6136596188498061E-4</v>
          </cell>
          <cell r="X715">
            <v>10</v>
          </cell>
          <cell r="Y715" t="str">
            <v>Conquistar</v>
          </cell>
        </row>
        <row r="716">
          <cell r="A716" t="str">
            <v>A754</v>
          </cell>
          <cell r="B716" t="str">
            <v>CARMENCITA</v>
          </cell>
          <cell r="C716" t="str">
            <v>GRUPO</v>
          </cell>
          <cell r="D716">
            <v>4</v>
          </cell>
          <cell r="E716"/>
          <cell r="F716" t="str">
            <v>ESTE</v>
          </cell>
          <cell r="H716"/>
          <cell r="I716"/>
          <cell r="J716" t="str">
            <v>Suspendido</v>
          </cell>
          <cell r="K716">
            <v>42010.440163071275</v>
          </cell>
          <cell r="L716">
            <v>4667.8266847856976</v>
          </cell>
          <cell r="M716">
            <v>5220.7773132214579</v>
          </cell>
          <cell r="N716" t="str">
            <v>Si Compra</v>
          </cell>
          <cell r="O716">
            <v>9</v>
          </cell>
          <cell r="P716">
            <v>345356.07470759348</v>
          </cell>
          <cell r="Q716">
            <v>38372.897189732612</v>
          </cell>
          <cell r="R716">
            <v>15790.742688153288</v>
          </cell>
          <cell r="S716"/>
          <cell r="T716"/>
          <cell r="U716"/>
          <cell r="V716">
            <v>0.12164384309336597</v>
          </cell>
          <cell r="W716">
            <v>1.7823566361183145E-4</v>
          </cell>
          <cell r="X716">
            <v>9</v>
          </cell>
          <cell r="Y716" t="str">
            <v>Conquistar</v>
          </cell>
        </row>
        <row r="717">
          <cell r="A717" t="str">
            <v>7002</v>
          </cell>
          <cell r="B717" t="str">
            <v>7002 - JHONNY JOSE CRESPO RODRIGUEZ</v>
          </cell>
          <cell r="C717" t="str">
            <v>INDEPENDIENTE</v>
          </cell>
          <cell r="D717">
            <v>3</v>
          </cell>
          <cell r="E717"/>
          <cell r="F717" t="str">
            <v>ESTE</v>
          </cell>
          <cell r="G717" t="str">
            <v>CARLOS BLONDELL</v>
          </cell>
          <cell r="H717"/>
          <cell r="I717" t="str">
            <v>A5</v>
          </cell>
          <cell r="J717" t="str">
            <v>Inactivo</v>
          </cell>
          <cell r="K717">
            <v>41878.394887887873</v>
          </cell>
          <cell r="L717">
            <v>4187.8394887887871</v>
          </cell>
          <cell r="M717">
            <v>4289.2124934797102</v>
          </cell>
          <cell r="N717" t="str">
            <v>Si Compra</v>
          </cell>
          <cell r="O717">
            <v>10</v>
          </cell>
          <cell r="P717">
            <v>60270.886872407602</v>
          </cell>
          <cell r="Q717">
            <v>6027.08868724076</v>
          </cell>
          <cell r="R717">
            <v>4911.1096656719501</v>
          </cell>
          <cell r="T717"/>
          <cell r="U717"/>
          <cell r="V717">
            <v>0.69483621464777334</v>
          </cell>
          <cell r="W717">
            <v>1.5990789735552727E-4</v>
          </cell>
          <cell r="X717">
            <v>10</v>
          </cell>
          <cell r="Y717" t="str">
            <v>Proteger</v>
          </cell>
        </row>
        <row r="718">
          <cell r="A718" t="str">
            <v>B707</v>
          </cell>
          <cell r="B718" t="str">
            <v>B707 - FARMACIA FARMASTORE, CA</v>
          </cell>
          <cell r="C718" t="str">
            <v>INDEPENDIENTE</v>
          </cell>
          <cell r="D718">
            <v>3</v>
          </cell>
          <cell r="E718"/>
          <cell r="F718" t="str">
            <v>MARACAIBO</v>
          </cell>
          <cell r="G718" t="str">
            <v>MARIA FUSELLA</v>
          </cell>
          <cell r="H718" t="str">
            <v>VICTOR</v>
          </cell>
          <cell r="I718" t="str">
            <v xml:space="preserve">Z </v>
          </cell>
          <cell r="J718" t="str">
            <v>Activo</v>
          </cell>
          <cell r="K718">
            <v>41874.162454777434</v>
          </cell>
          <cell r="L718">
            <v>4187.4162454777434</v>
          </cell>
          <cell r="M718">
            <v>3061.6455000000001</v>
          </cell>
          <cell r="N718" t="str">
            <v>Si Compra</v>
          </cell>
          <cell r="O718">
            <v>10</v>
          </cell>
          <cell r="P718">
            <v>256786.36533714665</v>
          </cell>
          <cell r="Q718">
            <v>25678.636533714664</v>
          </cell>
          <cell r="R718">
            <v>23677.064133333333</v>
          </cell>
          <cell r="T718"/>
          <cell r="U718"/>
          <cell r="V718">
            <v>0.16307003839475245</v>
          </cell>
          <cell r="W718">
            <v>1.5989173629010918E-4</v>
          </cell>
          <cell r="X718">
            <v>10</v>
          </cell>
          <cell r="Y718" t="str">
            <v>Conquistar</v>
          </cell>
        </row>
        <row r="719">
          <cell r="A719" t="str">
            <v>4340</v>
          </cell>
          <cell r="B719" t="str">
            <v>ENVIAMED</v>
          </cell>
          <cell r="C719" t="str">
            <v>CADENA</v>
          </cell>
          <cell r="D719">
            <v>7</v>
          </cell>
          <cell r="E719"/>
          <cell r="F719" t="str">
            <v>CARACAS</v>
          </cell>
          <cell r="H719"/>
          <cell r="I719"/>
          <cell r="J719" t="str">
            <v>Inactivo</v>
          </cell>
          <cell r="K719">
            <v>41725.105979294123</v>
          </cell>
          <cell r="L719">
            <v>13908.368659764708</v>
          </cell>
          <cell r="M719">
            <v>22424.747014576911</v>
          </cell>
          <cell r="N719" t="str">
            <v>Si Compra</v>
          </cell>
          <cell r="O719">
            <v>2</v>
          </cell>
          <cell r="P719">
            <v>439473.82140994852</v>
          </cell>
          <cell r="Q719">
            <v>146491.27380331617</v>
          </cell>
          <cell r="R719">
            <v>108744.2958523221</v>
          </cell>
          <cell r="S719"/>
          <cell r="T719"/>
          <cell r="U719"/>
          <cell r="V719">
            <v>9.4943325282559318E-2</v>
          </cell>
          <cell r="W719">
            <v>5.3107527019182214E-4</v>
          </cell>
          <cell r="X719">
            <v>3</v>
          </cell>
          <cell r="Y719" t="str">
            <v>Conquistar</v>
          </cell>
        </row>
        <row r="720">
          <cell r="A720" t="str">
            <v>8662</v>
          </cell>
          <cell r="B720" t="str">
            <v>8662 - FANY MARIA ARAUJO VILLARREAL  FARMACIA  MI BIENESTAR</v>
          </cell>
          <cell r="C720" t="str">
            <v>INDEPENDIENTE</v>
          </cell>
          <cell r="D720">
            <v>3</v>
          </cell>
          <cell r="E720"/>
          <cell r="F720" t="str">
            <v>ANDES</v>
          </cell>
          <cell r="G720">
            <v>0</v>
          </cell>
          <cell r="H720"/>
          <cell r="I720" t="str">
            <v>G1</v>
          </cell>
          <cell r="J720" t="str">
            <v>Activo</v>
          </cell>
          <cell r="K720">
            <v>41721.198222712701</v>
          </cell>
          <cell r="L720">
            <v>4172.1198222712701</v>
          </cell>
          <cell r="M720">
            <v>2552.4137638643419</v>
          </cell>
          <cell r="N720" t="str">
            <v>Si Compra</v>
          </cell>
          <cell r="O720">
            <v>10</v>
          </cell>
          <cell r="P720">
            <v>0</v>
          </cell>
          <cell r="Q720">
            <v>0</v>
          </cell>
          <cell r="R720">
            <v>0</v>
          </cell>
          <cell r="T720"/>
          <cell r="U720"/>
          <cell r="V720">
            <v>0</v>
          </cell>
          <cell r="W720">
            <v>1.5930765973260126E-4</v>
          </cell>
          <cell r="X720">
            <v>0</v>
          </cell>
          <cell r="Y720" t="str">
            <v>Conquistar</v>
          </cell>
        </row>
        <row r="721">
          <cell r="A721" t="str">
            <v>C992</v>
          </cell>
          <cell r="B721" t="str">
            <v>C992 - FARMACIA VIRGEN DEL VALLE P.M., C.A.</v>
          </cell>
          <cell r="C721" t="str">
            <v>INDEPENDIENTE</v>
          </cell>
          <cell r="D721">
            <v>3</v>
          </cell>
          <cell r="E721"/>
          <cell r="F721" t="str">
            <v>CARACAS</v>
          </cell>
          <cell r="G721" t="str">
            <v>MAIRUBI QUIJADA</v>
          </cell>
          <cell r="H721"/>
          <cell r="I721" t="str">
            <v>C7</v>
          </cell>
          <cell r="J721" t="str">
            <v>Activo</v>
          </cell>
          <cell r="K721">
            <v>41658.455544713463</v>
          </cell>
          <cell r="L721">
            <v>4165.8455544713461</v>
          </cell>
          <cell r="M721">
            <v>5237.6696999999995</v>
          </cell>
          <cell r="N721" t="str">
            <v>Si Compra</v>
          </cell>
          <cell r="O721">
            <v>10</v>
          </cell>
          <cell r="P721">
            <v>44083.242598587574</v>
          </cell>
          <cell r="Q721">
            <v>4408.3242598587576</v>
          </cell>
          <cell r="R721">
            <v>4888.1533000000009</v>
          </cell>
          <cell r="T721"/>
          <cell r="U721"/>
          <cell r="V721">
            <v>0.94499526552632029</v>
          </cell>
          <cell r="W721">
            <v>1.5906808393844363E-4</v>
          </cell>
          <cell r="X721">
            <v>10</v>
          </cell>
          <cell r="Y721" t="str">
            <v>Proteger</v>
          </cell>
        </row>
        <row r="722">
          <cell r="A722" t="str">
            <v>B603</v>
          </cell>
          <cell r="B722" t="str">
            <v>B603 - FARMAPLUS, C.A.</v>
          </cell>
          <cell r="C722" t="str">
            <v>INDEPENDIENTE</v>
          </cell>
          <cell r="D722">
            <v>3</v>
          </cell>
          <cell r="E722"/>
          <cell r="F722" t="str">
            <v>ANDES</v>
          </cell>
          <cell r="G722" t="str">
            <v>ANYERSSON TORRES</v>
          </cell>
          <cell r="H722"/>
          <cell r="I722" t="str">
            <v>4</v>
          </cell>
          <cell r="J722" t="str">
            <v>Activo</v>
          </cell>
          <cell r="K722">
            <v>41648.636199999994</v>
          </cell>
          <cell r="L722">
            <v>4164.8636199999992</v>
          </cell>
          <cell r="M722">
            <v>5151.1621333333333</v>
          </cell>
          <cell r="N722" t="str">
            <v>Si Compra</v>
          </cell>
          <cell r="O722">
            <v>10</v>
          </cell>
          <cell r="P722">
            <v>54542.789199999999</v>
          </cell>
          <cell r="Q722">
            <v>5454.2789199999997</v>
          </cell>
          <cell r="R722">
            <v>7329.4060666666674</v>
          </cell>
          <cell r="T722"/>
          <cell r="U722"/>
          <cell r="V722">
            <v>0.76359564317990536</v>
          </cell>
          <cell r="W722">
            <v>1.5903058988522731E-4</v>
          </cell>
          <cell r="X722">
            <v>10</v>
          </cell>
          <cell r="Y722" t="str">
            <v>Proteger</v>
          </cell>
        </row>
        <row r="723">
          <cell r="A723" t="str">
            <v>D068</v>
          </cell>
          <cell r="B723" t="str">
            <v>D068 - FARMAHOGAR, C.A.</v>
          </cell>
          <cell r="C723" t="str">
            <v>INDEPENDIENTE</v>
          </cell>
          <cell r="D723">
            <v>1</v>
          </cell>
          <cell r="E723"/>
          <cell r="F723" t="str">
            <v>ANDES</v>
          </cell>
          <cell r="G723" t="str">
            <v>ANYERSSON TORRES</v>
          </cell>
          <cell r="H723" t="str">
            <v>VICTOR</v>
          </cell>
          <cell r="I723" t="str">
            <v>4</v>
          </cell>
          <cell r="J723" t="str">
            <v>Inactivo</v>
          </cell>
          <cell r="K723">
            <v>41569.644366271939</v>
          </cell>
          <cell r="L723">
            <v>5196.2055457839924</v>
          </cell>
          <cell r="M723">
            <v>19340.079666271937</v>
          </cell>
          <cell r="N723" t="str">
            <v>Si Compra</v>
          </cell>
          <cell r="O723">
            <v>8</v>
          </cell>
          <cell r="P723">
            <v>834738.5152682683</v>
          </cell>
          <cell r="Q723">
            <v>104342.31440853354</v>
          </cell>
          <cell r="R723">
            <v>51409.975968268176</v>
          </cell>
          <cell r="T723"/>
          <cell r="U723"/>
          <cell r="V723">
            <v>4.9799600241175267E-2</v>
          </cell>
          <cell r="W723">
            <v>1.9841121066790609E-4</v>
          </cell>
          <cell r="X723">
            <v>8</v>
          </cell>
          <cell r="Y723" t="str">
            <v>Conquistar</v>
          </cell>
        </row>
        <row r="724">
          <cell r="A724" t="str">
            <v>9607</v>
          </cell>
          <cell r="B724" t="str">
            <v>9607 - FARMA VIDA, C.A.</v>
          </cell>
          <cell r="C724" t="str">
            <v>INDEPENDIENTE</v>
          </cell>
          <cell r="D724">
            <v>3</v>
          </cell>
          <cell r="E724"/>
          <cell r="F724" t="str">
            <v>ESTE</v>
          </cell>
          <cell r="G724" t="str">
            <v>CARLOS BLONDELL</v>
          </cell>
          <cell r="H724"/>
          <cell r="I724" t="str">
            <v>A3</v>
          </cell>
          <cell r="J724" t="str">
            <v>Activo</v>
          </cell>
          <cell r="K724">
            <v>41551.377716254327</v>
          </cell>
          <cell r="L724">
            <v>4155.1377716254328</v>
          </cell>
          <cell r="M724">
            <v>3954.9419927940012</v>
          </cell>
          <cell r="N724" t="str">
            <v>Si Compra</v>
          </cell>
          <cell r="O724">
            <v>10</v>
          </cell>
          <cell r="P724">
            <v>2558.6705166576785</v>
          </cell>
          <cell r="Q724">
            <v>284.29672407307538</v>
          </cell>
          <cell r="R724">
            <v>54.482602798041995</v>
          </cell>
          <cell r="T724"/>
          <cell r="U724"/>
          <cell r="V724">
            <v>14.615496485838507</v>
          </cell>
          <cell r="W724">
            <v>1.5865921940463963E-4</v>
          </cell>
          <cell r="X724">
            <v>4</v>
          </cell>
          <cell r="Y724" t="str">
            <v>Proteger</v>
          </cell>
        </row>
        <row r="725">
          <cell r="A725" t="str">
            <v>C968</v>
          </cell>
          <cell r="B725" t="str">
            <v>C968 - FARMASALUD LG F.P.</v>
          </cell>
          <cell r="C725" t="str">
            <v>INDEPENDIENTE</v>
          </cell>
          <cell r="D725">
            <v>3</v>
          </cell>
          <cell r="E725"/>
          <cell r="F725" t="str">
            <v>ANDES</v>
          </cell>
          <cell r="G725" t="str">
            <v>JESUS CONTRERAS</v>
          </cell>
          <cell r="H725"/>
          <cell r="I725" t="str">
            <v>G2</v>
          </cell>
          <cell r="J725" t="str">
            <v>Activo</v>
          </cell>
          <cell r="K725">
            <v>41526.103802400139</v>
          </cell>
          <cell r="L725">
            <v>4152.6103802400139</v>
          </cell>
          <cell r="M725">
            <v>1773.3231834554008</v>
          </cell>
          <cell r="N725" t="str">
            <v>Si Compra</v>
          </cell>
          <cell r="O725">
            <v>10</v>
          </cell>
          <cell r="P725">
            <v>111345.7350094298</v>
          </cell>
          <cell r="Q725">
            <v>11134.573500942981</v>
          </cell>
          <cell r="R725">
            <v>7097.2454163067841</v>
          </cell>
          <cell r="T725"/>
          <cell r="U725"/>
          <cell r="V725">
            <v>0.37294741283878829</v>
          </cell>
          <cell r="W725">
            <v>1.5856271383337341E-4</v>
          </cell>
          <cell r="X725">
            <v>10</v>
          </cell>
          <cell r="Y725" t="str">
            <v>Potenciar</v>
          </cell>
        </row>
        <row r="726">
          <cell r="A726" t="str">
            <v>0427</v>
          </cell>
          <cell r="B726" t="str">
            <v>HADDAD</v>
          </cell>
          <cell r="C726" t="e">
            <v>#N/A</v>
          </cell>
          <cell r="D726">
            <v>9</v>
          </cell>
          <cell r="E726">
            <v>8</v>
          </cell>
          <cell r="F726" t="str">
            <v>ESTE</v>
          </cell>
          <cell r="G726" t="str">
            <v>CARLOS BLONDELL</v>
          </cell>
          <cell r="H726" t="str">
            <v>HECTOR</v>
          </cell>
          <cell r="I726" t="str">
            <v>A3</v>
          </cell>
          <cell r="J726" t="str">
            <v>Activo</v>
          </cell>
          <cell r="K726">
            <v>41380.691399999996</v>
          </cell>
          <cell r="L726">
            <v>4138.0691399999996</v>
          </cell>
          <cell r="M726">
            <v>7279.8027666666667</v>
          </cell>
          <cell r="N726" t="str">
            <v>Si Compra</v>
          </cell>
          <cell r="O726">
            <v>10</v>
          </cell>
          <cell r="P726">
            <v>1606635.6432</v>
          </cell>
          <cell r="Q726">
            <v>160663.56432</v>
          </cell>
          <cell r="R726">
            <v>101856.17589999999</v>
          </cell>
          <cell r="S726">
            <v>26000</v>
          </cell>
          <cell r="T726">
            <v>0</v>
          </cell>
          <cell r="U726">
            <v>3</v>
          </cell>
          <cell r="V726">
            <v>2.5756114384205015E-2</v>
          </cell>
          <cell r="W726">
            <v>1.5800747308024825E-4</v>
          </cell>
          <cell r="X726">
            <v>10</v>
          </cell>
          <cell r="Y726" t="str">
            <v>Conquistar</v>
          </cell>
        </row>
        <row r="727">
          <cell r="A727" t="str">
            <v>C991</v>
          </cell>
          <cell r="B727" t="str">
            <v>C991 - FARMA + 1006, C.A.</v>
          </cell>
          <cell r="C727" t="str">
            <v>INDEPENDIENTE</v>
          </cell>
          <cell r="D727">
            <v>3</v>
          </cell>
          <cell r="E727"/>
          <cell r="F727" t="str">
            <v>CARACAS</v>
          </cell>
          <cell r="G727" t="str">
            <v>MAIRUBI QUIJADA</v>
          </cell>
          <cell r="H727" t="str">
            <v>VICTOR</v>
          </cell>
          <cell r="I727" t="str">
            <v>C7</v>
          </cell>
          <cell r="J727" t="str">
            <v>Activo</v>
          </cell>
          <cell r="K727">
            <v>41239.159693571848</v>
          </cell>
          <cell r="L727">
            <v>4123.9159693571846</v>
          </cell>
          <cell r="M727">
            <v>3710.7096999999999</v>
          </cell>
          <cell r="N727" t="str">
            <v>Si Compra</v>
          </cell>
          <cell r="O727">
            <v>10</v>
          </cell>
          <cell r="P727">
            <v>47788.556012676861</v>
          </cell>
          <cell r="Q727">
            <v>4778.8556012676863</v>
          </cell>
          <cell r="R727">
            <v>3255.5630999999998</v>
          </cell>
          <cell r="T727"/>
          <cell r="U727"/>
          <cell r="V727">
            <v>0.8629505290478402</v>
          </cell>
          <cell r="W727">
            <v>1.5746705032420298E-4</v>
          </cell>
          <cell r="X727">
            <v>10</v>
          </cell>
          <cell r="Y727" t="str">
            <v>Proteger</v>
          </cell>
        </row>
        <row r="728">
          <cell r="A728" t="str">
            <v>7041</v>
          </cell>
          <cell r="B728" t="str">
            <v>7041 - FARMACIA PLAZA MAYOR ARAURE,C.A</v>
          </cell>
          <cell r="C728" t="str">
            <v>INDEPENDIENTE</v>
          </cell>
          <cell r="D728">
            <v>3</v>
          </cell>
          <cell r="E728"/>
          <cell r="F728" t="str">
            <v>CENTRO OESTE</v>
          </cell>
          <cell r="G728" t="str">
            <v>SORALI SILVA</v>
          </cell>
          <cell r="H728"/>
          <cell r="I728" t="str">
            <v>C</v>
          </cell>
          <cell r="J728" t="str">
            <v>Inactivo</v>
          </cell>
          <cell r="K728">
            <v>41235.78097052384</v>
          </cell>
          <cell r="L728">
            <v>4123.5780970523838</v>
          </cell>
          <cell r="M728">
            <v>2414.9025983060505</v>
          </cell>
          <cell r="N728" t="str">
            <v>Si Compra</v>
          </cell>
          <cell r="O728">
            <v>10</v>
          </cell>
          <cell r="P728">
            <v>48050.079608987071</v>
          </cell>
          <cell r="Q728">
            <v>4805.0079608987071</v>
          </cell>
          <cell r="R728">
            <v>2969.0001498018955</v>
          </cell>
          <cell r="T728"/>
          <cell r="U728"/>
          <cell r="V728">
            <v>0.85818340585665298</v>
          </cell>
          <cell r="W728">
            <v>1.5745414905375552E-4</v>
          </cell>
          <cell r="X728">
            <v>10</v>
          </cell>
          <cell r="Y728" t="str">
            <v>Proteger</v>
          </cell>
        </row>
        <row r="729">
          <cell r="A729" t="str">
            <v>4813</v>
          </cell>
          <cell r="B729" t="str">
            <v>4813 - FARMACIA SAN JORGE, C.A</v>
          </cell>
          <cell r="C729" t="str">
            <v>INDEPENDIENTE</v>
          </cell>
          <cell r="D729">
            <v>3</v>
          </cell>
          <cell r="E729"/>
          <cell r="F729" t="str">
            <v>CENTRO ESTE</v>
          </cell>
          <cell r="G729" t="str">
            <v>MARCOS CRUCES</v>
          </cell>
          <cell r="H729"/>
          <cell r="I729" t="str">
            <v>AV</v>
          </cell>
          <cell r="J729" t="str">
            <v>Inactivo</v>
          </cell>
          <cell r="K729">
            <v>41194.915815664353</v>
          </cell>
          <cell r="L729">
            <v>5149.3644769580442</v>
          </cell>
          <cell r="M729">
            <v>6113.6192333333338</v>
          </cell>
          <cell r="N729" t="str">
            <v>Si Compra</v>
          </cell>
          <cell r="O729">
            <v>8</v>
          </cell>
          <cell r="P729">
            <v>65132.770125617099</v>
          </cell>
          <cell r="Q729">
            <v>8141.5962657021373</v>
          </cell>
          <cell r="R729">
            <v>7453.8981333333331</v>
          </cell>
          <cell r="T729"/>
          <cell r="U729"/>
          <cell r="V729">
            <v>0.6324760291357876</v>
          </cell>
          <cell r="W729">
            <v>1.966226376230473E-4</v>
          </cell>
          <cell r="X729">
            <v>8</v>
          </cell>
          <cell r="Y729" t="str">
            <v>Proteger</v>
          </cell>
        </row>
        <row r="730">
          <cell r="A730" t="str">
            <v>D359</v>
          </cell>
          <cell r="B730" t="str">
            <v>D359 - COMERCIALIZADORA THIAGO C.A.</v>
          </cell>
          <cell r="C730" t="str">
            <v>INDEPENDIENTE</v>
          </cell>
          <cell r="D730">
            <v>3</v>
          </cell>
          <cell r="E730"/>
          <cell r="F730" t="str">
            <v>ESTE</v>
          </cell>
          <cell r="G730" t="str">
            <v>CARLOS BLONDELL</v>
          </cell>
          <cell r="H730"/>
          <cell r="I730" t="str">
            <v>A5</v>
          </cell>
          <cell r="J730" t="str">
            <v>Activo</v>
          </cell>
          <cell r="K730">
            <v>41145.179304245656</v>
          </cell>
          <cell r="L730">
            <v>4114.5179304245657</v>
          </cell>
          <cell r="M730">
            <v>2755.9836434270633</v>
          </cell>
          <cell r="N730" t="str">
            <v>Si Compra</v>
          </cell>
          <cell r="O730">
            <v>10</v>
          </cell>
          <cell r="P730">
            <v>135144.30885183826</v>
          </cell>
          <cell r="Q730">
            <v>13514.430885183825</v>
          </cell>
          <cell r="R730">
            <v>12912.538299784443</v>
          </cell>
          <cell r="T730"/>
          <cell r="U730"/>
          <cell r="V730">
            <v>0.30445365886146225</v>
          </cell>
          <cell r="W730">
            <v>1.5710819687506683E-4</v>
          </cell>
          <cell r="X730">
            <v>10</v>
          </cell>
          <cell r="Y730" t="str">
            <v>Potenciar</v>
          </cell>
        </row>
        <row r="731">
          <cell r="A731" t="str">
            <v>9576</v>
          </cell>
          <cell r="B731" t="str">
            <v>GRUPO BIENESTAR (BQTO)</v>
          </cell>
          <cell r="C731" t="str">
            <v>GRUPO</v>
          </cell>
          <cell r="D731">
            <v>6</v>
          </cell>
          <cell r="E731"/>
          <cell r="F731" t="str">
            <v>CENTRO OESTE</v>
          </cell>
          <cell r="H731"/>
          <cell r="I731"/>
          <cell r="J731" t="str">
            <v>Activo</v>
          </cell>
          <cell r="K731">
            <v>41084.192342145936</v>
          </cell>
          <cell r="L731">
            <v>4108.4192342145934</v>
          </cell>
          <cell r="M731">
            <v>3776.6577666666667</v>
          </cell>
          <cell r="N731" t="str">
            <v>Si Compra</v>
          </cell>
          <cell r="O731">
            <v>10</v>
          </cell>
          <cell r="P731">
            <v>139843.95846171369</v>
          </cell>
          <cell r="Q731">
            <v>13984.395846171368</v>
          </cell>
          <cell r="R731">
            <v>12347.566633333334</v>
          </cell>
          <cell r="S731"/>
          <cell r="T731"/>
          <cell r="U731"/>
          <cell r="V731">
            <v>0.29378596540081436</v>
          </cell>
          <cell r="W731">
            <v>1.5687532508278405E-4</v>
          </cell>
          <cell r="X731">
            <v>10</v>
          </cell>
          <cell r="Y731" t="str">
            <v>Potenciar</v>
          </cell>
        </row>
        <row r="732">
          <cell r="A732" t="str">
            <v>D890</v>
          </cell>
          <cell r="B732" t="str">
            <v>D890 - FARMAVIDA 2024, C.A</v>
          </cell>
          <cell r="C732" t="str">
            <v>INDEPENDIENTE</v>
          </cell>
          <cell r="D732">
            <v>1</v>
          </cell>
          <cell r="E732"/>
          <cell r="F732" t="str">
            <v>CENTRO ESTE</v>
          </cell>
          <cell r="G732" t="str">
            <v>MARCOS CRUCES</v>
          </cell>
          <cell r="H732"/>
          <cell r="I732" t="str">
            <v>AV</v>
          </cell>
          <cell r="J732" t="str">
            <v>Activo</v>
          </cell>
          <cell r="K732">
            <v>41069.322234562635</v>
          </cell>
          <cell r="L732">
            <v>5133.6652793203293</v>
          </cell>
          <cell r="M732">
            <v>4334.0267999999996</v>
          </cell>
          <cell r="N732" t="str">
            <v>Si Compra</v>
          </cell>
          <cell r="O732">
            <v>8</v>
          </cell>
          <cell r="P732">
            <v>94674.861113680483</v>
          </cell>
          <cell r="Q732">
            <v>11834.35763921006</v>
          </cell>
          <cell r="R732">
            <v>4078.8253</v>
          </cell>
          <cell r="T732"/>
          <cell r="U732"/>
          <cell r="V732">
            <v>0.43379331906543594</v>
          </cell>
          <cell r="W732">
            <v>1.9602318158106277E-4</v>
          </cell>
          <cell r="X732">
            <v>8</v>
          </cell>
          <cell r="Y732" t="str">
            <v>Potenciar</v>
          </cell>
        </row>
        <row r="733">
          <cell r="A733" t="str">
            <v>D892</v>
          </cell>
          <cell r="B733" t="str">
            <v>D892 - FARMACIA J&amp;M, C.A</v>
          </cell>
          <cell r="C733" t="str">
            <v>INDEPENDIENTE</v>
          </cell>
          <cell r="D733">
            <v>3</v>
          </cell>
          <cell r="E733"/>
          <cell r="F733" t="str">
            <v>MARACAIBO</v>
          </cell>
          <cell r="G733" t="str">
            <v>JOEL JIMENEZ</v>
          </cell>
          <cell r="H733" t="str">
            <v>VICTOR</v>
          </cell>
          <cell r="I733" t="str">
            <v>D</v>
          </cell>
          <cell r="J733" t="str">
            <v>Inactivo</v>
          </cell>
          <cell r="K733">
            <v>40928.549036184209</v>
          </cell>
          <cell r="L733">
            <v>4547.6165595760231</v>
          </cell>
          <cell r="M733">
            <v>5905.0266264114171</v>
          </cell>
          <cell r="N733" t="str">
            <v>Si Compra</v>
          </cell>
          <cell r="O733">
            <v>9</v>
          </cell>
          <cell r="P733">
            <v>79123.774786775291</v>
          </cell>
          <cell r="Q733">
            <v>8791.5305318639221</v>
          </cell>
          <cell r="R733">
            <v>10896.936132142468</v>
          </cell>
          <cell r="T733"/>
          <cell r="U733"/>
          <cell r="V733">
            <v>0.51727245251480314</v>
          </cell>
          <cell r="W733">
            <v>1.7364557642855134E-4</v>
          </cell>
          <cell r="X733">
            <v>9</v>
          </cell>
          <cell r="Y733" t="str">
            <v>Potenciar</v>
          </cell>
        </row>
        <row r="734">
          <cell r="A734" t="str">
            <v>7065</v>
          </cell>
          <cell r="B734" t="str">
            <v>7065 - FARMACIA 60, C.A</v>
          </cell>
          <cell r="C734" t="str">
            <v>INDEPENDIENTE</v>
          </cell>
          <cell r="D734">
            <v>3</v>
          </cell>
          <cell r="E734"/>
          <cell r="F734" t="str">
            <v>CARACAS</v>
          </cell>
          <cell r="G734" t="str">
            <v>RAMON SERRANO</v>
          </cell>
          <cell r="H734"/>
          <cell r="I734" t="str">
            <v>CB</v>
          </cell>
          <cell r="J734" t="str">
            <v>Activo</v>
          </cell>
          <cell r="K734">
            <v>40901.452401496979</v>
          </cell>
          <cell r="L734">
            <v>4090.1452401496981</v>
          </cell>
          <cell r="M734">
            <v>4611.9406490828114</v>
          </cell>
          <cell r="N734" t="str">
            <v>Si Compra</v>
          </cell>
          <cell r="O734">
            <v>10</v>
          </cell>
          <cell r="P734">
            <v>49000.036788237769</v>
          </cell>
          <cell r="Q734">
            <v>4900.0036788237767</v>
          </cell>
          <cell r="R734">
            <v>5138.0487838225608</v>
          </cell>
          <cell r="T734"/>
          <cell r="U734"/>
          <cell r="V734">
            <v>0.83472289170434233</v>
          </cell>
          <cell r="W734">
            <v>1.5617755336182204E-4</v>
          </cell>
          <cell r="X734">
            <v>10</v>
          </cell>
          <cell r="Y734" t="str">
            <v>Proteger</v>
          </cell>
        </row>
        <row r="735">
          <cell r="A735" t="str">
            <v>D996</v>
          </cell>
          <cell r="B735" t="str">
            <v>D996 - FARMACIA DIVINO NIÑO COLON, C.A.</v>
          </cell>
          <cell r="C735" t="str">
            <v>INDEPENDIENTE</v>
          </cell>
          <cell r="D735">
            <v>3</v>
          </cell>
          <cell r="F735" t="str">
            <v>ANDES</v>
          </cell>
          <cell r="G735">
            <v>0</v>
          </cell>
          <cell r="H735"/>
          <cell r="I735" t="str">
            <v>G2</v>
          </cell>
          <cell r="J735" t="str">
            <v>Activo</v>
          </cell>
          <cell r="K735">
            <v>40864.877898976498</v>
          </cell>
          <cell r="L735">
            <v>4086.4877898976497</v>
          </cell>
          <cell r="M735">
            <v>1488.1911547787361</v>
          </cell>
          <cell r="N735" t="str">
            <v>Si Compra</v>
          </cell>
          <cell r="O735">
            <v>10</v>
          </cell>
          <cell r="P735">
            <v>0</v>
          </cell>
          <cell r="Q735">
            <v>0</v>
          </cell>
          <cell r="R735">
            <v>0</v>
          </cell>
          <cell r="V735">
            <v>0</v>
          </cell>
          <cell r="W735">
            <v>1.5603789777543837E-4</v>
          </cell>
          <cell r="X735">
            <v>0</v>
          </cell>
          <cell r="Y735" t="str">
            <v>Conquistar</v>
          </cell>
        </row>
        <row r="736">
          <cell r="A736" t="str">
            <v>8691</v>
          </cell>
          <cell r="B736" t="str">
            <v>8691 - FARMACIA EL CLUB, C.A.</v>
          </cell>
          <cell r="C736" t="str">
            <v>INDEPENDIENTE</v>
          </cell>
          <cell r="D736">
            <v>3</v>
          </cell>
          <cell r="E736"/>
          <cell r="F736" t="str">
            <v>ANDES</v>
          </cell>
          <cell r="G736" t="str">
            <v>LUCIA DUGARTE</v>
          </cell>
          <cell r="H736"/>
          <cell r="I736" t="str">
            <v>6</v>
          </cell>
          <cell r="J736" t="str">
            <v>Activo</v>
          </cell>
          <cell r="K736">
            <v>40847.298506941523</v>
          </cell>
          <cell r="L736">
            <v>4084.7298506941524</v>
          </cell>
          <cell r="M736">
            <v>3889.3633629788724</v>
          </cell>
          <cell r="N736" t="str">
            <v>Si Compra</v>
          </cell>
          <cell r="O736">
            <v>10</v>
          </cell>
          <cell r="P736">
            <v>41446.40573367336</v>
          </cell>
          <cell r="Q736">
            <v>4144.6405733673364</v>
          </cell>
          <cell r="R736">
            <v>3673.5791682148579</v>
          </cell>
          <cell r="T736"/>
          <cell r="U736"/>
          <cell r="V736">
            <v>0.98554501370802605</v>
          </cell>
          <cell r="W736">
            <v>1.5597077286235068E-4</v>
          </cell>
          <cell r="X736">
            <v>10</v>
          </cell>
          <cell r="Y736" t="str">
            <v>Proteger</v>
          </cell>
        </row>
        <row r="737">
          <cell r="A737" t="str">
            <v>8827</v>
          </cell>
          <cell r="B737" t="str">
            <v>GRUPO BENJAMIN CHARLES</v>
          </cell>
          <cell r="C737" t="str">
            <v>GRUPO</v>
          </cell>
          <cell r="D737">
            <v>3</v>
          </cell>
          <cell r="E737"/>
          <cell r="F737" t="str">
            <v>ANDES</v>
          </cell>
          <cell r="H737"/>
          <cell r="I737"/>
          <cell r="J737" t="str">
            <v>Activo</v>
          </cell>
          <cell r="K737">
            <v>40837.211489726476</v>
          </cell>
          <cell r="L737">
            <v>5833.8873556752105</v>
          </cell>
          <cell r="M737">
            <v>6164.459796882591</v>
          </cell>
          <cell r="N737" t="str">
            <v>Si Compra</v>
          </cell>
          <cell r="O737">
            <v>7</v>
          </cell>
          <cell r="P737">
            <v>0</v>
          </cell>
          <cell r="Q737">
            <v>0</v>
          </cell>
          <cell r="R737">
            <v>0</v>
          </cell>
          <cell r="S737"/>
          <cell r="T737"/>
          <cell r="U737"/>
          <cell r="V737">
            <v>0</v>
          </cell>
          <cell r="W737">
            <v>2.2276036676010001E-4</v>
          </cell>
          <cell r="X737">
            <v>0</v>
          </cell>
          <cell r="Y737" t="str">
            <v>Conquistar</v>
          </cell>
        </row>
        <row r="738">
          <cell r="A738" t="str">
            <v>D496</v>
          </cell>
          <cell r="B738" t="str">
            <v>D496 - SUPER PANADERIA LA NUEVA SABANA , S.A.</v>
          </cell>
          <cell r="C738" t="str">
            <v>INDEPENDIENTE</v>
          </cell>
          <cell r="D738">
            <v>3</v>
          </cell>
          <cell r="E738"/>
          <cell r="F738" t="str">
            <v>MARACAIBO</v>
          </cell>
          <cell r="G738">
            <v>0</v>
          </cell>
          <cell r="H738"/>
          <cell r="I738" t="str">
            <v>Q</v>
          </cell>
          <cell r="J738" t="str">
            <v>Inactivo</v>
          </cell>
          <cell r="K738">
            <v>40729.524054497626</v>
          </cell>
          <cell r="L738">
            <v>4525.5026727219583</v>
          </cell>
          <cell r="M738">
            <v>5480.536132849862</v>
          </cell>
          <cell r="N738" t="str">
            <v>Si Compra</v>
          </cell>
          <cell r="O738">
            <v>9</v>
          </cell>
          <cell r="P738">
            <v>0</v>
          </cell>
          <cell r="Q738">
            <v>0</v>
          </cell>
          <cell r="R738">
            <v>0</v>
          </cell>
          <cell r="T738"/>
          <cell r="U738"/>
          <cell r="V738">
            <v>0</v>
          </cell>
          <cell r="W738">
            <v>1.7280118276001219E-4</v>
          </cell>
          <cell r="X738">
            <v>0</v>
          </cell>
          <cell r="Y738" t="str">
            <v>Conquistar</v>
          </cell>
        </row>
        <row r="739">
          <cell r="A739" t="str">
            <v>2479</v>
          </cell>
          <cell r="B739" t="str">
            <v>GRUPO AUTOMERCADOS PLAZAS</v>
          </cell>
          <cell r="C739" t="str">
            <v>CADENA</v>
          </cell>
          <cell r="D739">
            <v>15</v>
          </cell>
          <cell r="E739"/>
          <cell r="F739" t="str">
            <v>CARACAS</v>
          </cell>
          <cell r="H739"/>
          <cell r="I739"/>
          <cell r="J739" t="str">
            <v>Inactivo</v>
          </cell>
          <cell r="K739">
            <v>40672.599844035583</v>
          </cell>
          <cell r="L739">
            <v>4067.2599844035585</v>
          </cell>
          <cell r="M739">
            <v>4537.9393167972985</v>
          </cell>
          <cell r="N739" t="str">
            <v>Si Compra</v>
          </cell>
          <cell r="O739">
            <v>9</v>
          </cell>
          <cell r="P739">
            <v>0</v>
          </cell>
          <cell r="Q739">
            <v>0</v>
          </cell>
          <cell r="R739">
            <v>0</v>
          </cell>
          <cell r="S739"/>
          <cell r="T739"/>
          <cell r="U739"/>
          <cell r="V739">
            <v>0</v>
          </cell>
          <cell r="W739">
            <v>1.5530370584770277E-4</v>
          </cell>
          <cell r="X739">
            <v>0</v>
          </cell>
          <cell r="Y739" t="str">
            <v>Conquistar</v>
          </cell>
        </row>
        <row r="740">
          <cell r="A740" t="str">
            <v>7209</v>
          </cell>
          <cell r="B740" t="str">
            <v>7209 - FARMACIA SAN AGUSTIN C.A.</v>
          </cell>
          <cell r="C740" t="str">
            <v>INDEPENDIENTE</v>
          </cell>
          <cell r="D740">
            <v>3</v>
          </cell>
          <cell r="E740"/>
          <cell r="F740" t="str">
            <v>CARACAS</v>
          </cell>
          <cell r="G740" t="str">
            <v>JHON TORRES</v>
          </cell>
          <cell r="H740"/>
          <cell r="I740" t="str">
            <v>C4</v>
          </cell>
          <cell r="J740" t="str">
            <v>Activo</v>
          </cell>
          <cell r="K740">
            <v>40658.856126294966</v>
          </cell>
          <cell r="L740">
            <v>4065.8856126294968</v>
          </cell>
          <cell r="M740">
            <v>3869.5958550279938</v>
          </cell>
          <cell r="N740" t="str">
            <v>Si Compra</v>
          </cell>
          <cell r="O740">
            <v>10</v>
          </cell>
          <cell r="P740">
            <v>113663.09786938901</v>
          </cell>
          <cell r="Q740">
            <v>11366.3097869389</v>
          </cell>
          <cell r="R740">
            <v>11392.5494457806</v>
          </cell>
          <cell r="T740"/>
          <cell r="U740"/>
          <cell r="V740">
            <v>0.35771377772068397</v>
          </cell>
          <cell r="W740">
            <v>1.5525122702152917E-4</v>
          </cell>
          <cell r="X740">
            <v>10</v>
          </cell>
          <cell r="Y740" t="str">
            <v>Potenciar</v>
          </cell>
        </row>
        <row r="741">
          <cell r="A741" t="str">
            <v>386</v>
          </cell>
          <cell r="B741" t="str">
            <v>386 - GRUPO MEDICO SANTA PAULA, S.A (GMSP S.A.)</v>
          </cell>
          <cell r="C741" t="str">
            <v>INDEPENDIENTE</v>
          </cell>
          <cell r="D741">
            <v>3</v>
          </cell>
          <cell r="E741"/>
          <cell r="F741" t="str">
            <v>CARACAS</v>
          </cell>
          <cell r="G741">
            <v>0</v>
          </cell>
          <cell r="H741"/>
          <cell r="I741" t="str">
            <v>C8</v>
          </cell>
          <cell r="J741" t="str">
            <v>Inactivo</v>
          </cell>
          <cell r="K741">
            <v>40608.261594582509</v>
          </cell>
          <cell r="L741">
            <v>5076.0326993228136</v>
          </cell>
          <cell r="M741">
            <v>5562.8535430653164</v>
          </cell>
          <cell r="N741" t="str">
            <v>Si Compra</v>
          </cell>
          <cell r="O741">
            <v>8</v>
          </cell>
          <cell r="P741">
            <v>0</v>
          </cell>
          <cell r="Q741">
            <v>0</v>
          </cell>
          <cell r="R741">
            <v>0</v>
          </cell>
          <cell r="T741"/>
          <cell r="U741"/>
          <cell r="V741">
            <v>0</v>
          </cell>
          <cell r="W741">
            <v>1.9382254693132303E-4</v>
          </cell>
          <cell r="X741">
            <v>0</v>
          </cell>
          <cell r="Y741" t="str">
            <v>Conquistar</v>
          </cell>
        </row>
        <row r="742">
          <cell r="A742" t="str">
            <v>9838</v>
          </cell>
          <cell r="B742" t="str">
            <v>9838 - FARMACIA LA GANADERA 2016, C.A</v>
          </cell>
          <cell r="C742" t="str">
            <v>INDEPENDIENTE</v>
          </cell>
          <cell r="D742">
            <v>3</v>
          </cell>
          <cell r="E742"/>
          <cell r="F742" t="str">
            <v>CENTRO ESTE</v>
          </cell>
          <cell r="G742" t="str">
            <v>MARCOS CRUCES</v>
          </cell>
          <cell r="H742"/>
          <cell r="I742" t="str">
            <v>$</v>
          </cell>
          <cell r="J742" t="str">
            <v>Permiso</v>
          </cell>
          <cell r="K742">
            <v>40600.685448710261</v>
          </cell>
          <cell r="L742">
            <v>4060.068544871026</v>
          </cell>
          <cell r="M742">
            <v>5208.0132455427256</v>
          </cell>
          <cell r="N742" t="str">
            <v>Si Compra</v>
          </cell>
          <cell r="O742">
            <v>10</v>
          </cell>
          <cell r="P742">
            <v>98741.881644047273</v>
          </cell>
          <cell r="Q742">
            <v>9874.188164404728</v>
          </cell>
          <cell r="R742">
            <v>8088.8428332674157</v>
          </cell>
          <cell r="T742"/>
          <cell r="U742"/>
          <cell r="V742">
            <v>0.41117998535890671</v>
          </cell>
          <cell r="W742">
            <v>1.5502910889199679E-4</v>
          </cell>
          <cell r="X742">
            <v>10</v>
          </cell>
          <cell r="Y742" t="str">
            <v>Potenciar</v>
          </cell>
        </row>
        <row r="743">
          <cell r="A743" t="str">
            <v>0878</v>
          </cell>
          <cell r="B743" t="str">
            <v>0878 - FARMACIA NUESTRA SEÑORA DE LA SOLEDAD C A</v>
          </cell>
          <cell r="C743" t="str">
            <v>INDEPENDIENTE</v>
          </cell>
          <cell r="D743">
            <v>3</v>
          </cell>
          <cell r="E743"/>
          <cell r="F743" t="str">
            <v>ESTE</v>
          </cell>
          <cell r="G743" t="str">
            <v>IRAIDA RODRIGUEZ</v>
          </cell>
          <cell r="H743"/>
          <cell r="I743" t="str">
            <v>AB</v>
          </cell>
          <cell r="J743" t="str">
            <v>Activo</v>
          </cell>
          <cell r="K743">
            <v>40551.778545349218</v>
          </cell>
          <cell r="L743">
            <v>4055.1778545349216</v>
          </cell>
          <cell r="M743">
            <v>3510.0649213221132</v>
          </cell>
          <cell r="N743" t="str">
            <v>Si Compra</v>
          </cell>
          <cell r="O743">
            <v>10</v>
          </cell>
          <cell r="P743">
            <v>61893.76526386154</v>
          </cell>
          <cell r="Q743">
            <v>6189.3765263861542</v>
          </cell>
          <cell r="R743">
            <v>6334.5774623835177</v>
          </cell>
          <cell r="T743"/>
          <cell r="U743"/>
          <cell r="V743">
            <v>0.65518357741642419</v>
          </cell>
          <cell r="W743">
            <v>1.5484236343282694E-4</v>
          </cell>
          <cell r="X743">
            <v>10</v>
          </cell>
          <cell r="Y743" t="str">
            <v>Proteger</v>
          </cell>
        </row>
        <row r="744">
          <cell r="A744" t="str">
            <v>9801</v>
          </cell>
          <cell r="B744" t="str">
            <v>9801 - TU FARMACIA Y ALGO +, C.A</v>
          </cell>
          <cell r="C744" t="str">
            <v>INDEPENDIENTE</v>
          </cell>
          <cell r="D744">
            <v>1</v>
          </cell>
          <cell r="E744"/>
          <cell r="F744" t="str">
            <v>ESTE</v>
          </cell>
          <cell r="G744" t="str">
            <v>CARMEN ALCALA</v>
          </cell>
          <cell r="H744"/>
          <cell r="I744" t="str">
            <v>A0</v>
          </cell>
          <cell r="J744" t="str">
            <v>Suspendido</v>
          </cell>
          <cell r="K744">
            <v>40450.336385409122</v>
          </cell>
          <cell r="L744">
            <v>5778.6194836298746</v>
          </cell>
          <cell r="M744">
            <v>8776.1193999999996</v>
          </cell>
          <cell r="N744" t="str">
            <v>Si Compra</v>
          </cell>
          <cell r="O744">
            <v>7</v>
          </cell>
          <cell r="P744">
            <v>108319.08357951467</v>
          </cell>
          <cell r="Q744">
            <v>15474.154797073525</v>
          </cell>
          <cell r="R744">
            <v>10728.5064</v>
          </cell>
          <cell r="T744"/>
          <cell r="U744"/>
          <cell r="V744">
            <v>0.37343684093962459</v>
          </cell>
          <cell r="W744">
            <v>2.2065002579938663E-4</v>
          </cell>
          <cell r="X744">
            <v>7</v>
          </cell>
          <cell r="Y744" t="str">
            <v>Potenciar</v>
          </cell>
        </row>
        <row r="745">
          <cell r="A745" t="str">
            <v>B314</v>
          </cell>
          <cell r="B745" t="str">
            <v>B314 - FARMACIA LA MANO DE DIOS 2021, C.A.</v>
          </cell>
          <cell r="C745" t="str">
            <v>INDEPENDIENTE</v>
          </cell>
          <cell r="D745">
            <v>3</v>
          </cell>
          <cell r="E745"/>
          <cell r="F745" t="str">
            <v>CENTRO OESTE</v>
          </cell>
          <cell r="G745" t="str">
            <v>LUIS PLACERES</v>
          </cell>
          <cell r="H745"/>
          <cell r="I745" t="str">
            <v>E</v>
          </cell>
          <cell r="J745" t="str">
            <v>Activo</v>
          </cell>
          <cell r="K745">
            <v>40388.755090428174</v>
          </cell>
          <cell r="L745">
            <v>4038.8755090428176</v>
          </cell>
          <cell r="M745">
            <v>4986.01012995575</v>
          </cell>
          <cell r="N745" t="str">
            <v>Si Compra</v>
          </cell>
          <cell r="O745">
            <v>10</v>
          </cell>
          <cell r="P745">
            <v>117404.33183021272</v>
          </cell>
          <cell r="Q745">
            <v>11740.433183021272</v>
          </cell>
          <cell r="R745">
            <v>14867.251047242195</v>
          </cell>
          <cell r="T745"/>
          <cell r="U745"/>
          <cell r="V745">
            <v>0.34401418125557248</v>
          </cell>
          <cell r="W745">
            <v>1.5421987687464232E-4</v>
          </cell>
          <cell r="X745">
            <v>10</v>
          </cell>
          <cell r="Y745" t="str">
            <v>Potenciar</v>
          </cell>
        </row>
        <row r="746">
          <cell r="A746" t="str">
            <v>D810</v>
          </cell>
          <cell r="B746" t="str">
            <v>D810 - FARMACIA CHIRICA VIEJA C.A.</v>
          </cell>
          <cell r="C746" t="str">
            <v>INDEPENDIENTE</v>
          </cell>
          <cell r="D746">
            <v>3</v>
          </cell>
          <cell r="E746"/>
          <cell r="F746" t="str">
            <v>ESTE</v>
          </cell>
          <cell r="G746">
            <v>0</v>
          </cell>
          <cell r="H746"/>
          <cell r="I746" t="str">
            <v>A4</v>
          </cell>
          <cell r="J746" t="str">
            <v>Activo</v>
          </cell>
          <cell r="K746">
            <v>40221.096509376053</v>
          </cell>
          <cell r="L746">
            <v>4022.1096509376052</v>
          </cell>
          <cell r="M746">
            <v>3461.1551999999997</v>
          </cell>
          <cell r="N746" t="str">
            <v>Si Compra</v>
          </cell>
          <cell r="O746">
            <v>10</v>
          </cell>
          <cell r="P746">
            <v>0</v>
          </cell>
          <cell r="Q746">
            <v>0</v>
          </cell>
          <cell r="R746">
            <v>0</v>
          </cell>
          <cell r="T746"/>
          <cell r="U746"/>
          <cell r="V746">
            <v>0</v>
          </cell>
          <cell r="W746">
            <v>1.5357969161344909E-4</v>
          </cell>
          <cell r="X746">
            <v>0</v>
          </cell>
          <cell r="Y746" t="str">
            <v>Conquistar</v>
          </cell>
        </row>
        <row r="747">
          <cell r="A747" t="str">
            <v>C034</v>
          </cell>
          <cell r="B747" t="str">
            <v>C034 - FARMA EXPRESS BOCONO, C.A. (PYME)</v>
          </cell>
          <cell r="C747" t="str">
            <v>INDEPENDIENTE</v>
          </cell>
          <cell r="D747">
            <v>3</v>
          </cell>
          <cell r="E747"/>
          <cell r="F747" t="str">
            <v>ANDES</v>
          </cell>
          <cell r="G747" t="str">
            <v>MILAGRO BRICEñO</v>
          </cell>
          <cell r="H747" t="str">
            <v>VICTOR</v>
          </cell>
          <cell r="I747" t="str">
            <v>G</v>
          </cell>
          <cell r="J747" t="str">
            <v>Inactivo</v>
          </cell>
          <cell r="K747">
            <v>40058.966686061605</v>
          </cell>
          <cell r="L747">
            <v>4005.8966686061603</v>
          </cell>
          <cell r="M747">
            <v>4222.5993174996256</v>
          </cell>
          <cell r="N747" t="str">
            <v>Si Compra</v>
          </cell>
          <cell r="O747">
            <v>10</v>
          </cell>
          <cell r="P747">
            <v>53215.591207607446</v>
          </cell>
          <cell r="Q747">
            <v>5321.5591207607449</v>
          </cell>
          <cell r="R747">
            <v>4724.8319514420409</v>
          </cell>
          <cell r="T747"/>
          <cell r="U747"/>
          <cell r="V747">
            <v>0.75276748368314594</v>
          </cell>
          <cell r="W747">
            <v>1.5296061728612011E-4</v>
          </cell>
          <cell r="X747">
            <v>10</v>
          </cell>
          <cell r="Y747" t="str">
            <v>Proteger</v>
          </cell>
        </row>
        <row r="748">
          <cell r="A748" t="str">
            <v>9753</v>
          </cell>
          <cell r="B748" t="str">
            <v>9753 - FARMACIA ECOLOGICA 2012, C.A</v>
          </cell>
          <cell r="C748" t="str">
            <v>INDEPENDIENTE</v>
          </cell>
          <cell r="D748">
            <v>3</v>
          </cell>
          <cell r="E748"/>
          <cell r="F748" t="str">
            <v>ESTE</v>
          </cell>
          <cell r="G748" t="str">
            <v>ADOLFO GONZALEZ</v>
          </cell>
          <cell r="H748"/>
          <cell r="I748" t="str">
            <v>A8</v>
          </cell>
          <cell r="J748" t="str">
            <v>Inactivo</v>
          </cell>
          <cell r="K748">
            <v>39946.159123929472</v>
          </cell>
          <cell r="L748">
            <v>3994.6159123929474</v>
          </cell>
          <cell r="M748">
            <v>5100.7785660373256</v>
          </cell>
          <cell r="N748" t="str">
            <v>Si Compra</v>
          </cell>
          <cell r="O748">
            <v>10</v>
          </cell>
          <cell r="P748">
            <v>69247.975425420984</v>
          </cell>
          <cell r="Q748">
            <v>6924.7975425420982</v>
          </cell>
          <cell r="R748">
            <v>6888.1572951807875</v>
          </cell>
          <cell r="T748"/>
          <cell r="U748"/>
          <cell r="V748">
            <v>0.57685670777409048</v>
          </cell>
          <cell r="W748">
            <v>1.5252987441465515E-4</v>
          </cell>
          <cell r="X748">
            <v>10</v>
          </cell>
          <cell r="Y748" t="str">
            <v>Potenciar</v>
          </cell>
        </row>
        <row r="749">
          <cell r="A749" t="str">
            <v>D619</v>
          </cell>
          <cell r="B749" t="str">
            <v>FARMA PLUS</v>
          </cell>
          <cell r="C749" t="str">
            <v>GRUPO</v>
          </cell>
          <cell r="D749">
            <v>6</v>
          </cell>
          <cell r="E749"/>
          <cell r="F749" t="str">
            <v>MARACAIBO</v>
          </cell>
          <cell r="H749"/>
          <cell r="I749"/>
          <cell r="J749" t="str">
            <v>Inactivo</v>
          </cell>
          <cell r="K749">
            <v>39906.405876265984</v>
          </cell>
          <cell r="L749">
            <v>4434.0450973628867</v>
          </cell>
          <cell r="M749">
            <v>5335.8815279901291</v>
          </cell>
          <cell r="N749" t="str">
            <v>Si Compra</v>
          </cell>
          <cell r="O749">
            <v>9</v>
          </cell>
          <cell r="P749">
            <v>0</v>
          </cell>
          <cell r="Q749">
            <v>0</v>
          </cell>
          <cell r="R749">
            <v>0</v>
          </cell>
          <cell r="S749"/>
          <cell r="T749"/>
          <cell r="U749"/>
          <cell r="V749">
            <v>0</v>
          </cell>
          <cell r="W749">
            <v>1.693089790563947E-4</v>
          </cell>
          <cell r="X749">
            <v>0</v>
          </cell>
          <cell r="Y749" t="str">
            <v>Conquistar</v>
          </cell>
        </row>
        <row r="750">
          <cell r="A750" t="str">
            <v>4431</v>
          </cell>
          <cell r="B750" t="str">
            <v>NILSO PUENTES</v>
          </cell>
          <cell r="C750" t="str">
            <v>GRUPO</v>
          </cell>
          <cell r="D750">
            <v>5</v>
          </cell>
          <cell r="E750"/>
          <cell r="F750" t="str">
            <v>ANDES</v>
          </cell>
          <cell r="H750"/>
          <cell r="I750"/>
          <cell r="J750" t="str">
            <v>Activo</v>
          </cell>
          <cell r="K750">
            <v>39888.43215445074</v>
          </cell>
          <cell r="L750">
            <v>3988.8432154450738</v>
          </cell>
          <cell r="M750">
            <v>5976.8148181502447</v>
          </cell>
          <cell r="N750" t="str">
            <v>Si Compra</v>
          </cell>
          <cell r="O750">
            <v>10</v>
          </cell>
          <cell r="P750">
            <v>145623.2340115534</v>
          </cell>
          <cell r="Q750">
            <v>14562.32340115534</v>
          </cell>
          <cell r="R750">
            <v>13565.681503851136</v>
          </cell>
          <cell r="S750"/>
          <cell r="T750"/>
          <cell r="U750"/>
          <cell r="V750">
            <v>0.27391530221946647</v>
          </cell>
          <cell r="W750">
            <v>1.5230945053416108E-4</v>
          </cell>
          <cell r="X750">
            <v>10</v>
          </cell>
          <cell r="Y750" t="str">
            <v>Potenciar</v>
          </cell>
        </row>
        <row r="751">
          <cell r="A751" t="str">
            <v>1292</v>
          </cell>
          <cell r="B751" t="str">
            <v>1292 - FARMACIA FARMAECONOMIA PAEZ, COMPAÑIA ANONIMA</v>
          </cell>
          <cell r="C751" t="str">
            <v>INDEPENDIENTE</v>
          </cell>
          <cell r="D751">
            <v>3</v>
          </cell>
          <cell r="E751"/>
          <cell r="F751" t="str">
            <v>ESTE</v>
          </cell>
          <cell r="G751" t="str">
            <v>JOSE RAMIREZ</v>
          </cell>
          <cell r="H751"/>
          <cell r="I751" t="str">
            <v>A4</v>
          </cell>
          <cell r="J751" t="str">
            <v>Activo</v>
          </cell>
          <cell r="K751">
            <v>39800.084552528489</v>
          </cell>
          <cell r="L751">
            <v>3980.0084552528488</v>
          </cell>
          <cell r="M751">
            <v>3259.0983186600056</v>
          </cell>
          <cell r="N751" t="str">
            <v>Si Compra</v>
          </cell>
          <cell r="O751">
            <v>10</v>
          </cell>
          <cell r="P751">
            <v>78639.669501634882</v>
          </cell>
          <cell r="Q751">
            <v>7863.966950163488</v>
          </cell>
          <cell r="R751">
            <v>6997.7713071604785</v>
          </cell>
          <cell r="T751"/>
          <cell r="U751"/>
          <cell r="V751">
            <v>0.50610696617565343</v>
          </cell>
          <cell r="W751">
            <v>1.5197210524436165E-4</v>
          </cell>
          <cell r="X751">
            <v>10</v>
          </cell>
          <cell r="Y751" t="str">
            <v>Potenciar</v>
          </cell>
        </row>
        <row r="752">
          <cell r="A752" t="str">
            <v>A553</v>
          </cell>
          <cell r="B752" t="str">
            <v>A553 - FARMACIA MIL REMEDIOS, C.A.</v>
          </cell>
          <cell r="C752" t="str">
            <v>INDEPENDIENTE</v>
          </cell>
          <cell r="D752">
            <v>3</v>
          </cell>
          <cell r="E752"/>
          <cell r="F752" t="str">
            <v>ANDES</v>
          </cell>
          <cell r="G752" t="str">
            <v>ANYERSSON TORRES</v>
          </cell>
          <cell r="H752" t="str">
            <v>VICTOR</v>
          </cell>
          <cell r="I752" t="str">
            <v>4</v>
          </cell>
          <cell r="J752" t="str">
            <v>Activo</v>
          </cell>
          <cell r="K752">
            <v>39545.066535922437</v>
          </cell>
          <cell r="L752">
            <v>3954.5066535922438</v>
          </cell>
          <cell r="M752">
            <v>6620.3849671005182</v>
          </cell>
          <cell r="N752" t="str">
            <v>Si Compra</v>
          </cell>
          <cell r="O752">
            <v>10</v>
          </cell>
          <cell r="P752">
            <v>235529.67532219947</v>
          </cell>
          <cell r="Q752">
            <v>23552.967532219947</v>
          </cell>
          <cell r="R752">
            <v>21178.490809377778</v>
          </cell>
          <cell r="T752"/>
          <cell r="U752"/>
          <cell r="V752">
            <v>0.16789844626510714</v>
          </cell>
          <cell r="W752">
            <v>1.5099834789448181E-4</v>
          </cell>
          <cell r="X752">
            <v>10</v>
          </cell>
          <cell r="Y752" t="str">
            <v>Conquistar</v>
          </cell>
        </row>
        <row r="753">
          <cell r="A753" t="str">
            <v>C885</v>
          </cell>
          <cell r="B753" t="str">
            <v>C885 - FARMACIA HOSPITAL C.S C.A</v>
          </cell>
          <cell r="C753" t="str">
            <v>INDEPENDIENTE</v>
          </cell>
          <cell r="D753">
            <v>3</v>
          </cell>
          <cell r="E753"/>
          <cell r="F753" t="str">
            <v>ANDES</v>
          </cell>
          <cell r="G753" t="str">
            <v>RAYNE ANDREINA NAVA</v>
          </cell>
          <cell r="H753" t="str">
            <v>VICTOR</v>
          </cell>
          <cell r="I753" t="str">
            <v>G1</v>
          </cell>
          <cell r="J753" t="str">
            <v>Activo</v>
          </cell>
          <cell r="K753">
            <v>39487.07805818729</v>
          </cell>
          <cell r="L753">
            <v>3948.707805818729</v>
          </cell>
          <cell r="M753">
            <v>3185.252169435626</v>
          </cell>
          <cell r="N753" t="str">
            <v>Si Compra</v>
          </cell>
          <cell r="O753">
            <v>10</v>
          </cell>
          <cell r="P753">
            <v>105139.55595438895</v>
          </cell>
          <cell r="Q753">
            <v>10513.955595438896</v>
          </cell>
          <cell r="R753">
            <v>9114.0566499712186</v>
          </cell>
          <cell r="T753"/>
          <cell r="U753"/>
          <cell r="V753">
            <v>0.37556824070397776</v>
          </cell>
          <cell r="W753">
            <v>1.5077692547439385E-4</v>
          </cell>
          <cell r="X753">
            <v>10</v>
          </cell>
          <cell r="Y753" t="str">
            <v>Potenciar</v>
          </cell>
        </row>
        <row r="754">
          <cell r="A754" t="str">
            <v>E451</v>
          </cell>
          <cell r="B754" t="str">
            <v>E451 - VEN MEDICAL GLOBAL C.A.</v>
          </cell>
          <cell r="C754" t="e">
            <v>#N/A</v>
          </cell>
          <cell r="D754">
            <v>3</v>
          </cell>
          <cell r="F754" t="str">
            <v>CARACAS</v>
          </cell>
          <cell r="G754">
            <v>0</v>
          </cell>
          <cell r="H754"/>
          <cell r="I754" t="str">
            <v>C2</v>
          </cell>
          <cell r="J754" t="str">
            <v>Activo</v>
          </cell>
          <cell r="K754">
            <v>39419.471746316151</v>
          </cell>
          <cell r="L754">
            <v>7883.8943492632297</v>
          </cell>
          <cell r="M754">
            <v>3672.7222075408249</v>
          </cell>
          <cell r="N754" t="str">
            <v>Si Compra</v>
          </cell>
          <cell r="O754">
            <v>5</v>
          </cell>
          <cell r="P754">
            <v>0</v>
          </cell>
          <cell r="Q754">
            <v>0</v>
          </cell>
          <cell r="R754">
            <v>0</v>
          </cell>
          <cell r="V754">
            <v>0</v>
          </cell>
          <cell r="W754">
            <v>3.0103755689271335E-4</v>
          </cell>
          <cell r="X754">
            <v>0</v>
          </cell>
          <cell r="Y754" t="str">
            <v>Conquistar</v>
          </cell>
        </row>
        <row r="755">
          <cell r="A755" t="str">
            <v>D457</v>
          </cell>
          <cell r="B755" t="str">
            <v>FARMARKET PORTUGUESA</v>
          </cell>
          <cell r="C755" t="e">
            <v>#N/A</v>
          </cell>
          <cell r="D755">
            <v>5</v>
          </cell>
          <cell r="E755">
            <v>0</v>
          </cell>
          <cell r="F755" t="str">
            <v>CENTRO OESTE</v>
          </cell>
          <cell r="G755" t="str">
            <v/>
          </cell>
          <cell r="H755" t="str">
            <v>HECTOR</v>
          </cell>
          <cell r="I755">
            <v>0</v>
          </cell>
          <cell r="J755" t="str">
            <v>Inactivo</v>
          </cell>
          <cell r="K755">
            <v>39389.874134738886</v>
          </cell>
          <cell r="L755">
            <v>3938.9874134738884</v>
          </cell>
          <cell r="M755">
            <v>4580.4360115796271</v>
          </cell>
          <cell r="N755" t="str">
            <v>Si Compra</v>
          </cell>
          <cell r="O755">
            <v>10</v>
          </cell>
          <cell r="P755">
            <v>161489.39966275406</v>
          </cell>
          <cell r="Q755">
            <v>16148.939966275406</v>
          </cell>
          <cell r="R755">
            <v>7424.1136875846896</v>
          </cell>
          <cell r="S755">
            <v>10000</v>
          </cell>
          <cell r="T755">
            <v>0</v>
          </cell>
          <cell r="U755">
            <v>0</v>
          </cell>
          <cell r="V755">
            <v>0.24391615930828042</v>
          </cell>
          <cell r="W755">
            <v>1.5040576332610823E-4</v>
          </cell>
          <cell r="X755">
            <v>10</v>
          </cell>
          <cell r="Y755" t="str">
            <v>Potenciar</v>
          </cell>
        </row>
        <row r="756">
          <cell r="A756" t="str">
            <v>7602</v>
          </cell>
          <cell r="B756" t="str">
            <v>7602 - FARMACIA MONTE VERDE, COMPAÑIA ANONIMA</v>
          </cell>
          <cell r="C756" t="str">
            <v>INDEPENDIENTE</v>
          </cell>
          <cell r="D756">
            <v>3</v>
          </cell>
          <cell r="E756"/>
          <cell r="F756" t="str">
            <v>MARACAIBO</v>
          </cell>
          <cell r="G756" t="str">
            <v>JOEL JIMENEZ</v>
          </cell>
          <cell r="H756"/>
          <cell r="I756" t="str">
            <v>D</v>
          </cell>
          <cell r="J756" t="str">
            <v>Activo</v>
          </cell>
          <cell r="K756">
            <v>39314.291701099683</v>
          </cell>
          <cell r="L756">
            <v>3931.4291701099683</v>
          </cell>
          <cell r="M756">
            <v>4997.0111333333325</v>
          </cell>
          <cell r="N756" t="str">
            <v>Si Compra</v>
          </cell>
          <cell r="O756">
            <v>10</v>
          </cell>
          <cell r="P756">
            <v>59792.942652864745</v>
          </cell>
          <cell r="Q756">
            <v>5979.2942652864749</v>
          </cell>
          <cell r="R756">
            <v>5317.5772666666662</v>
          </cell>
          <cell r="T756"/>
          <cell r="U756"/>
          <cell r="V756">
            <v>0.6575072233748992</v>
          </cell>
          <cell r="W756">
            <v>1.5011716038245161E-4</v>
          </cell>
          <cell r="X756">
            <v>10</v>
          </cell>
          <cell r="Y756" t="str">
            <v>Proteger</v>
          </cell>
        </row>
        <row r="757">
          <cell r="A757" t="str">
            <v>H108</v>
          </cell>
          <cell r="B757" t="str">
            <v>H108 - FARMACIA EL KIOSKO, C. A.</v>
          </cell>
          <cell r="C757" t="str">
            <v>INDEPENDIENTE</v>
          </cell>
          <cell r="D757">
            <v>3</v>
          </cell>
          <cell r="F757" t="str">
            <v>CENTRO OESTE</v>
          </cell>
          <cell r="G757" t="str">
            <v>YAMILEX LAMEDA</v>
          </cell>
          <cell r="H757"/>
          <cell r="I757" t="str">
            <v>Y1</v>
          </cell>
          <cell r="J757" t="str">
            <v>Activo</v>
          </cell>
          <cell r="K757">
            <v>39192.43999737491</v>
          </cell>
          <cell r="L757">
            <v>3919.2439997374909</v>
          </cell>
          <cell r="M757">
            <v>3321.2000715823415</v>
          </cell>
          <cell r="N757" t="str">
            <v>Si Compra</v>
          </cell>
          <cell r="O757">
            <v>10</v>
          </cell>
          <cell r="P757">
            <v>44563.148144494087</v>
          </cell>
          <cell r="Q757">
            <v>4456.3148144494089</v>
          </cell>
          <cell r="R757">
            <v>3262.2887084891772</v>
          </cell>
          <cell r="V757">
            <v>0.87948095296802442</v>
          </cell>
          <cell r="W757">
            <v>1.4965188348289564E-4</v>
          </cell>
          <cell r="X757">
            <v>10</v>
          </cell>
          <cell r="Y757" t="str">
            <v>Proteger</v>
          </cell>
        </row>
        <row r="758">
          <cell r="A758" t="str">
            <v>D969</v>
          </cell>
          <cell r="B758" t="str">
            <v>D969 - FARMASOL 1, C.A</v>
          </cell>
          <cell r="C758" t="str">
            <v>INDEPENDIENTE</v>
          </cell>
          <cell r="D758">
            <v>3</v>
          </cell>
          <cell r="F758" t="str">
            <v>CENTRO OESTE</v>
          </cell>
          <cell r="G758" t="str">
            <v>SORALI SILVA</v>
          </cell>
          <cell r="H758" t="str">
            <v>HECTOR</v>
          </cell>
          <cell r="I758" t="str">
            <v>C</v>
          </cell>
          <cell r="J758" t="str">
            <v>Inactivo</v>
          </cell>
          <cell r="K758">
            <v>39047.487671853843</v>
          </cell>
          <cell r="L758">
            <v>3904.7487671853842</v>
          </cell>
          <cell r="M758">
            <v>3811.6975148813858</v>
          </cell>
          <cell r="N758" t="str">
            <v>Si Compra</v>
          </cell>
          <cell r="O758">
            <v>10</v>
          </cell>
          <cell r="P758">
            <v>52852.014769871748</v>
          </cell>
          <cell r="Q758">
            <v>5285.2014769871748</v>
          </cell>
          <cell r="R758">
            <v>6645.5134032241804</v>
          </cell>
          <cell r="V758">
            <v>0.73880793082107499</v>
          </cell>
          <cell r="W758">
            <v>1.4909839948111097E-4</v>
          </cell>
          <cell r="X758">
            <v>10</v>
          </cell>
          <cell r="Y758" t="str">
            <v>Proteger</v>
          </cell>
        </row>
        <row r="759">
          <cell r="A759" t="str">
            <v>8341</v>
          </cell>
          <cell r="B759" t="str">
            <v>8341 - ECOFARMACIA. C.A</v>
          </cell>
          <cell r="C759" t="str">
            <v>INDEPENDIENTE</v>
          </cell>
          <cell r="D759">
            <v>3</v>
          </cell>
          <cell r="E759"/>
          <cell r="F759" t="str">
            <v>ANDES</v>
          </cell>
          <cell r="G759" t="str">
            <v>JESUS CONTRERAS</v>
          </cell>
          <cell r="H759"/>
          <cell r="I759" t="str">
            <v>G2</v>
          </cell>
          <cell r="J759" t="str">
            <v>Inactivo</v>
          </cell>
          <cell r="K759">
            <v>39036.215732526834</v>
          </cell>
          <cell r="L759">
            <v>3903.6215732526834</v>
          </cell>
          <cell r="M759">
            <v>3810.2591164724945</v>
          </cell>
          <cell r="N759" t="str">
            <v>Si Compra</v>
          </cell>
          <cell r="O759">
            <v>10</v>
          </cell>
          <cell r="P759">
            <v>51752.9381184464</v>
          </cell>
          <cell r="Q759">
            <v>5175.29381184464</v>
          </cell>
          <cell r="R759">
            <v>3928.5367704783662</v>
          </cell>
          <cell r="T759"/>
          <cell r="U759"/>
          <cell r="V759">
            <v>0.75428018488892479</v>
          </cell>
          <cell r="W759">
            <v>1.4905535886024365E-4</v>
          </cell>
          <cell r="X759">
            <v>9</v>
          </cell>
          <cell r="Y759" t="str">
            <v>Proteger</v>
          </cell>
        </row>
        <row r="760">
          <cell r="A760" t="str">
            <v>C734</v>
          </cell>
          <cell r="B760" t="str">
            <v>C734 - EXPENDIO DE MEDICINAS LA PLAZA, C.A</v>
          </cell>
          <cell r="C760" t="str">
            <v>INDEPENDIENTE</v>
          </cell>
          <cell r="D760">
            <v>3</v>
          </cell>
          <cell r="E760"/>
          <cell r="F760" t="str">
            <v>CENTRO OESTE</v>
          </cell>
          <cell r="G760">
            <v>0</v>
          </cell>
          <cell r="H760"/>
          <cell r="I760" t="str">
            <v>C</v>
          </cell>
          <cell r="J760" t="str">
            <v>Activo</v>
          </cell>
          <cell r="K760">
            <v>39021.480775737393</v>
          </cell>
          <cell r="L760">
            <v>3902.1480775737391</v>
          </cell>
          <cell r="M760">
            <v>5152.3904064750723</v>
          </cell>
          <cell r="N760" t="str">
            <v>Si Compra</v>
          </cell>
          <cell r="O760">
            <v>10</v>
          </cell>
          <cell r="P760">
            <v>0</v>
          </cell>
          <cell r="Q760">
            <v>0</v>
          </cell>
          <cell r="R760">
            <v>0</v>
          </cell>
          <cell r="T760"/>
          <cell r="U760"/>
          <cell r="V760">
            <v>0</v>
          </cell>
          <cell r="W760">
            <v>1.4899909510027547E-4</v>
          </cell>
          <cell r="X760">
            <v>0</v>
          </cell>
          <cell r="Y760" t="str">
            <v>Conquistar</v>
          </cell>
        </row>
        <row r="761">
          <cell r="A761" t="str">
            <v>D700</v>
          </cell>
          <cell r="B761" t="str">
            <v>MARIANELLA PUMILIA</v>
          </cell>
          <cell r="C761" t="str">
            <v>GRUPO</v>
          </cell>
          <cell r="D761">
            <v>6</v>
          </cell>
          <cell r="E761"/>
          <cell r="F761" t="str">
            <v>CENTRO OESTE</v>
          </cell>
          <cell r="H761"/>
          <cell r="I761"/>
          <cell r="J761" t="str">
            <v>Activo</v>
          </cell>
          <cell r="K761">
            <v>38879.926596876045</v>
          </cell>
          <cell r="L761">
            <v>3887.9926596876044</v>
          </cell>
          <cell r="M761">
            <v>3549.7641875929971</v>
          </cell>
          <cell r="N761" t="str">
            <v>Si Compra</v>
          </cell>
          <cell r="O761">
            <v>10</v>
          </cell>
          <cell r="P761">
            <v>115334.01630414014</v>
          </cell>
          <cell r="Q761">
            <v>11533.401630414013</v>
          </cell>
          <cell r="R761">
            <v>19057.004377200916</v>
          </cell>
          <cell r="S761"/>
          <cell r="T761"/>
          <cell r="U761"/>
          <cell r="V761">
            <v>0.33710719389454208</v>
          </cell>
          <cell r="W761">
            <v>1.4845858653579483E-4</v>
          </cell>
          <cell r="X761">
            <v>10</v>
          </cell>
          <cell r="Y761" t="str">
            <v>Potenciar</v>
          </cell>
        </row>
        <row r="762">
          <cell r="A762" t="str">
            <v>4717</v>
          </cell>
          <cell r="B762" t="str">
            <v>4717 - FLOR EVEDIA MARIN DE SANTORIO (FCIA TARI - TARI)</v>
          </cell>
          <cell r="C762" t="e">
            <v>#N/A</v>
          </cell>
          <cell r="D762">
            <v>3</v>
          </cell>
          <cell r="E762"/>
          <cell r="F762" t="str">
            <v>ESTE</v>
          </cell>
          <cell r="G762" t="str">
            <v>ADOLFO GONZALEZ</v>
          </cell>
          <cell r="H762"/>
          <cell r="I762" t="str">
            <v>A8</v>
          </cell>
          <cell r="J762" t="str">
            <v>Activo</v>
          </cell>
          <cell r="K762">
            <v>38748.496760497692</v>
          </cell>
          <cell r="L762">
            <v>3874.8496760497692</v>
          </cell>
          <cell r="M762">
            <v>3386.4605220189146</v>
          </cell>
          <cell r="N762" t="str">
            <v>Si Compra</v>
          </cell>
          <cell r="O762">
            <v>10</v>
          </cell>
          <cell r="P762">
            <v>1131996.64310835</v>
          </cell>
          <cell r="Q762">
            <v>113199.664310835</v>
          </cell>
          <cell r="R762">
            <v>110518.09721104613</v>
          </cell>
          <cell r="T762"/>
          <cell r="U762"/>
          <cell r="V762">
            <v>3.4230222321241323E-2</v>
          </cell>
          <cell r="W762">
            <v>1.4795673662389378E-4</v>
          </cell>
          <cell r="X762">
            <v>10</v>
          </cell>
          <cell r="Y762" t="str">
            <v>Conquistar</v>
          </cell>
        </row>
        <row r="763">
          <cell r="A763" t="str">
            <v>D787</v>
          </cell>
          <cell r="B763" t="str">
            <v>D787 - FARMAPRO PLUS, C.A.</v>
          </cell>
          <cell r="C763" t="str">
            <v>INDEPENDIENTE</v>
          </cell>
          <cell r="D763">
            <v>3</v>
          </cell>
          <cell r="E763"/>
          <cell r="F763" t="str">
            <v>CARACAS</v>
          </cell>
          <cell r="G763" t="str">
            <v>WILLIAM ARAQUE</v>
          </cell>
          <cell r="H763"/>
          <cell r="I763" t="str">
            <v>C3</v>
          </cell>
          <cell r="J763" t="str">
            <v>Activo</v>
          </cell>
          <cell r="K763">
            <v>38666.168870550238</v>
          </cell>
          <cell r="L763">
            <v>3866.6168870550237</v>
          </cell>
          <cell r="M763">
            <v>1545.2229</v>
          </cell>
          <cell r="N763" t="str">
            <v>Si Compra</v>
          </cell>
          <cell r="O763">
            <v>8</v>
          </cell>
          <cell r="P763">
            <v>732153.61136058671</v>
          </cell>
          <cell r="Q763">
            <v>73215.361136058666</v>
          </cell>
          <cell r="R763">
            <v>108620.46546666666</v>
          </cell>
          <cell r="T763"/>
          <cell r="U763"/>
          <cell r="V763">
            <v>5.2811552481036791E-2</v>
          </cell>
          <cell r="W763">
            <v>1.4764237692098593E-4</v>
          </cell>
          <cell r="X763">
            <v>10</v>
          </cell>
          <cell r="Y763" t="str">
            <v>Conquistar</v>
          </cell>
        </row>
        <row r="764">
          <cell r="A764" t="str">
            <v>B705</v>
          </cell>
          <cell r="B764" t="str">
            <v>FARMASURCA</v>
          </cell>
          <cell r="C764" t="str">
            <v>GRUPO</v>
          </cell>
          <cell r="D764">
            <v>4</v>
          </cell>
          <cell r="E764"/>
          <cell r="F764" t="str">
            <v>CENTRO ESTE</v>
          </cell>
          <cell r="H764"/>
          <cell r="I764"/>
          <cell r="J764" t="str">
            <v>Inactivo</v>
          </cell>
          <cell r="K764">
            <v>38523.660799999998</v>
          </cell>
          <cell r="L764">
            <v>9630.9151999999995</v>
          </cell>
          <cell r="M764">
            <v>5730.82215</v>
          </cell>
          <cell r="N764" t="str">
            <v>Si Compra</v>
          </cell>
          <cell r="O764">
            <v>4</v>
          </cell>
          <cell r="P764">
            <v>88827.540700000012</v>
          </cell>
          <cell r="Q764">
            <v>22206.885175000003</v>
          </cell>
          <cell r="R764">
            <v>17536.018550000001</v>
          </cell>
          <cell r="S764"/>
          <cell r="T764"/>
          <cell r="U764"/>
          <cell r="V764">
            <v>0.43369050292754524</v>
          </cell>
          <cell r="W764">
            <v>3.6774556507341341E-4</v>
          </cell>
          <cell r="X764">
            <v>4</v>
          </cell>
          <cell r="Y764" t="str">
            <v>Potenciar</v>
          </cell>
        </row>
        <row r="765">
          <cell r="A765" t="str">
            <v>-10</v>
          </cell>
          <cell r="B765" t="str">
            <v>-10 - FARMACIA GUILLE MAR C.A.</v>
          </cell>
          <cell r="C765" t="str">
            <v>INDEPENDIENTE</v>
          </cell>
          <cell r="D765">
            <v>3</v>
          </cell>
          <cell r="E765"/>
          <cell r="F765" t="str">
            <v>CARACAS</v>
          </cell>
          <cell r="G765" t="str">
            <v>RAMON SERRANO</v>
          </cell>
          <cell r="H765"/>
          <cell r="I765" t="str">
            <v>CB</v>
          </cell>
          <cell r="J765" t="str">
            <v>Activo</v>
          </cell>
          <cell r="K765">
            <v>38496.067553715882</v>
          </cell>
          <cell r="L765">
            <v>3849.6067553715884</v>
          </cell>
          <cell r="M765">
            <v>2483.6910685746107</v>
          </cell>
          <cell r="N765" t="str">
            <v>Si Compra</v>
          </cell>
          <cell r="O765">
            <v>10</v>
          </cell>
          <cell r="P765">
            <v>59964.299629320354</v>
          </cell>
          <cell r="Q765">
            <v>5996.4299629320358</v>
          </cell>
          <cell r="R765">
            <v>4759.4373202633133</v>
          </cell>
          <cell r="T765"/>
          <cell r="U765"/>
          <cell r="V765">
            <v>0.64198310981177054</v>
          </cell>
          <cell r="W765">
            <v>1.4699286435047775E-4</v>
          </cell>
          <cell r="X765">
            <v>10</v>
          </cell>
          <cell r="Y765" t="str">
            <v>Proteger</v>
          </cell>
        </row>
        <row r="766">
          <cell r="A766" t="str">
            <v>B649</v>
          </cell>
          <cell r="B766" t="str">
            <v>FACITODO WILSON MARTINEZ</v>
          </cell>
          <cell r="C766" t="e">
            <v>#N/A</v>
          </cell>
          <cell r="D766">
            <v>3</v>
          </cell>
          <cell r="E766">
            <v>4</v>
          </cell>
          <cell r="F766" t="str">
            <v>CENTRO ESTE</v>
          </cell>
          <cell r="G766" t="str">
            <v>LAURA FLORES</v>
          </cell>
          <cell r="H766" t="str">
            <v>HECTOR</v>
          </cell>
          <cell r="I766">
            <v>0</v>
          </cell>
          <cell r="J766" t="str">
            <v>Inactivo</v>
          </cell>
          <cell r="K766">
            <v>38449.122496134638</v>
          </cell>
          <cell r="L766">
            <v>3844.9122496134637</v>
          </cell>
          <cell r="M766">
            <v>1496.6724321937115</v>
          </cell>
          <cell r="N766" t="str">
            <v>Si Compra</v>
          </cell>
          <cell r="O766">
            <v>10</v>
          </cell>
          <cell r="P766">
            <v>453808.76490248938</v>
          </cell>
          <cell r="Q766">
            <v>45380.876490248935</v>
          </cell>
          <cell r="R766">
            <v>56463.083991129824</v>
          </cell>
          <cell r="S766">
            <v>10000</v>
          </cell>
          <cell r="T766">
            <v>0</v>
          </cell>
          <cell r="U766">
            <v>4</v>
          </cell>
          <cell r="V766">
            <v>8.4725385382092094E-2</v>
          </cell>
          <cell r="W766">
            <v>1.468136099767333E-4</v>
          </cell>
          <cell r="X766">
            <v>10</v>
          </cell>
          <cell r="Y766" t="str">
            <v>Conquistar</v>
          </cell>
        </row>
        <row r="767">
          <cell r="A767" t="str">
            <v>B215</v>
          </cell>
          <cell r="B767" t="str">
            <v>B215 - FARMA TALIN, C.A.</v>
          </cell>
          <cell r="C767" t="str">
            <v>INDEPENDIENTE</v>
          </cell>
          <cell r="D767">
            <v>3</v>
          </cell>
          <cell r="E767"/>
          <cell r="F767" t="str">
            <v>ESTE</v>
          </cell>
          <cell r="G767" t="str">
            <v>JOSE RAMIREZ</v>
          </cell>
          <cell r="H767"/>
          <cell r="I767" t="str">
            <v>A2</v>
          </cell>
          <cell r="J767" t="str">
            <v>Activo</v>
          </cell>
          <cell r="K767">
            <v>38419.75140088192</v>
          </cell>
          <cell r="L767">
            <v>3841.9751400881919</v>
          </cell>
          <cell r="M767">
            <v>2870.6451402195821</v>
          </cell>
          <cell r="N767" t="str">
            <v>Si Compra</v>
          </cell>
          <cell r="O767">
            <v>10</v>
          </cell>
          <cell r="P767">
            <v>98441.589121289449</v>
          </cell>
          <cell r="Q767">
            <v>9844.1589121289453</v>
          </cell>
          <cell r="R767">
            <v>6217.7052866200129</v>
          </cell>
          <cell r="T767"/>
          <cell r="U767"/>
          <cell r="V767">
            <v>0.39027967492017129</v>
          </cell>
          <cell r="W767">
            <v>1.467014597833588E-4</v>
          </cell>
          <cell r="X767">
            <v>10</v>
          </cell>
          <cell r="Y767" t="str">
            <v>Potenciar</v>
          </cell>
        </row>
        <row r="768">
          <cell r="A768" t="str">
            <v>L109</v>
          </cell>
          <cell r="B768" t="str">
            <v>L109 - MIGUEL EMILIO GUTIERREZ QUIÑONEZ (FCIA DON MIGUEL)</v>
          </cell>
          <cell r="C768" t="e">
            <v>#N/A</v>
          </cell>
          <cell r="D768">
            <v>3</v>
          </cell>
          <cell r="F768" t="str">
            <v>CENTRO OESTE</v>
          </cell>
          <cell r="G768" t="str">
            <v>LUIS PLACERES</v>
          </cell>
          <cell r="H768"/>
          <cell r="I768" t="str">
            <v>E</v>
          </cell>
          <cell r="J768" t="str">
            <v>Activo</v>
          </cell>
          <cell r="K768">
            <v>38347.354557066996</v>
          </cell>
          <cell r="L768">
            <v>3834.7354557066997</v>
          </cell>
          <cell r="M768">
            <v>3397.671352355665</v>
          </cell>
          <cell r="N768" t="str">
            <v>Si Compra</v>
          </cell>
          <cell r="O768">
            <v>10</v>
          </cell>
          <cell r="P768">
            <v>48581.902160513768</v>
          </cell>
          <cell r="Q768">
            <v>4858.1902160513764</v>
          </cell>
          <cell r="R768">
            <v>3618.013520171256</v>
          </cell>
          <cell r="V768">
            <v>0.78933415226040349</v>
          </cell>
          <cell r="W768">
            <v>1.4642502065285694E-4</v>
          </cell>
          <cell r="X768">
            <v>10</v>
          </cell>
          <cell r="Y768" t="str">
            <v>Proteger</v>
          </cell>
        </row>
        <row r="769">
          <cell r="A769" t="str">
            <v>5512</v>
          </cell>
          <cell r="B769" t="str">
            <v>FRANJAMAR</v>
          </cell>
          <cell r="C769" t="str">
            <v>CADENA</v>
          </cell>
          <cell r="D769">
            <v>7</v>
          </cell>
          <cell r="E769"/>
          <cell r="F769" t="str">
            <v>MARACAIBO</v>
          </cell>
          <cell r="H769"/>
          <cell r="I769"/>
          <cell r="J769" t="str">
            <v>Activo</v>
          </cell>
          <cell r="K769">
            <v>38334.924330792855</v>
          </cell>
          <cell r="L769">
            <v>3833.4924330792855</v>
          </cell>
          <cell r="M769">
            <v>4795.4698464142648</v>
          </cell>
          <cell r="N769" t="str">
            <v>Si Compra</v>
          </cell>
          <cell r="O769">
            <v>10</v>
          </cell>
          <cell r="P769">
            <v>101633.70435025929</v>
          </cell>
          <cell r="Q769">
            <v>10163.370435025929</v>
          </cell>
          <cell r="R769">
            <v>17062.694494814164</v>
          </cell>
          <cell r="S769"/>
          <cell r="T769"/>
          <cell r="U769"/>
          <cell r="V769">
            <v>0.37718712090508444</v>
          </cell>
          <cell r="W769">
            <v>1.463775572447566E-4</v>
          </cell>
          <cell r="X769">
            <v>10</v>
          </cell>
          <cell r="Y769" t="str">
            <v>Potenciar</v>
          </cell>
        </row>
        <row r="770">
          <cell r="A770" t="str">
            <v>Z130</v>
          </cell>
          <cell r="B770" t="str">
            <v>Z130 - FARMACIA PUEBLO NUEVO C.A.</v>
          </cell>
          <cell r="C770" t="str">
            <v>INDEPENDIENTE</v>
          </cell>
          <cell r="D770">
            <v>3</v>
          </cell>
          <cell r="F770" t="str">
            <v>MARACAIBO</v>
          </cell>
          <cell r="G770" t="str">
            <v>MARIA FUSELLA</v>
          </cell>
          <cell r="H770"/>
          <cell r="I770" t="str">
            <v>Z</v>
          </cell>
          <cell r="J770" t="str">
            <v>Activo</v>
          </cell>
          <cell r="K770">
            <v>38317.17430954575</v>
          </cell>
          <cell r="L770">
            <v>3831.7174309545749</v>
          </cell>
          <cell r="M770">
            <v>3709.5775149532951</v>
          </cell>
          <cell r="N770" t="str">
            <v>Si Compra</v>
          </cell>
          <cell r="O770">
            <v>10</v>
          </cell>
          <cell r="P770">
            <v>48514.007825604443</v>
          </cell>
          <cell r="Q770">
            <v>4851.400782560444</v>
          </cell>
          <cell r="R770">
            <v>4061.1110265115803</v>
          </cell>
          <cell r="V770">
            <v>0.78981671535541398</v>
          </cell>
          <cell r="W770">
            <v>1.4630978080339014E-4</v>
          </cell>
          <cell r="X770">
            <v>10</v>
          </cell>
          <cell r="Y770" t="str">
            <v>Proteger</v>
          </cell>
        </row>
        <row r="771">
          <cell r="A771">
            <v>0</v>
          </cell>
          <cell r="B771" t="str">
            <v>S300 - FARMACIA TOVAR; C.A.</v>
          </cell>
          <cell r="C771" t="e">
            <v>#N/A</v>
          </cell>
          <cell r="D771">
            <v>0</v>
          </cell>
          <cell r="E771"/>
          <cell r="F771" t="str">
            <v>ANDES</v>
          </cell>
          <cell r="G771" t="str">
            <v>ZULAY PARRA</v>
          </cell>
          <cell r="H771"/>
          <cell r="I771" t="str">
            <v>5</v>
          </cell>
          <cell r="J771" t="str">
            <v>Activo</v>
          </cell>
          <cell r="K771">
            <v>38262.769605637208</v>
          </cell>
          <cell r="L771">
            <v>4251.4188450708007</v>
          </cell>
          <cell r="M771">
            <v>2444.8772852612683</v>
          </cell>
          <cell r="N771" t="str">
            <v>Si Compra</v>
          </cell>
          <cell r="O771">
            <v>9</v>
          </cell>
          <cell r="P771">
            <v>132601.94733307484</v>
          </cell>
          <cell r="Q771">
            <v>14733.549703674982</v>
          </cell>
          <cell r="R771">
            <v>10124.961182524972</v>
          </cell>
          <cell r="T771"/>
          <cell r="U771"/>
          <cell r="V771">
            <v>0.28855360253139617</v>
          </cell>
          <cell r="W771">
            <v>1.6233560290763646E-4</v>
          </cell>
          <cell r="X771">
            <v>9</v>
          </cell>
          <cell r="Y771" t="str">
            <v>Potenciar</v>
          </cell>
        </row>
        <row r="772">
          <cell r="A772" t="str">
            <v>B486</v>
          </cell>
          <cell r="B772" t="str">
            <v>B486 - UNICO MUNDO PASTILLA EL GRANDE 11.11, C.A.</v>
          </cell>
          <cell r="C772" t="str">
            <v>INDEPENDIENTE</v>
          </cell>
          <cell r="D772">
            <v>3</v>
          </cell>
          <cell r="E772"/>
          <cell r="F772" t="str">
            <v>CARACAS</v>
          </cell>
          <cell r="G772" t="str">
            <v>RAMON SERRANO</v>
          </cell>
          <cell r="H772" t="str">
            <v>VICTOR</v>
          </cell>
          <cell r="I772" t="str">
            <v>C6</v>
          </cell>
          <cell r="J772" t="str">
            <v>Activo</v>
          </cell>
          <cell r="K772">
            <v>38118.952091523643</v>
          </cell>
          <cell r="L772">
            <v>3811.8952091523643</v>
          </cell>
          <cell r="M772">
            <v>1775.6283234381538</v>
          </cell>
          <cell r="N772" t="str">
            <v>Si Compra</v>
          </cell>
          <cell r="O772">
            <v>10</v>
          </cell>
          <cell r="P772">
            <v>202925.93332775746</v>
          </cell>
          <cell r="Q772">
            <v>20292.593332775745</v>
          </cell>
          <cell r="R772">
            <v>21455.118082842244</v>
          </cell>
          <cell r="T772"/>
          <cell r="U772"/>
          <cell r="V772">
            <v>0.18784662692646342</v>
          </cell>
          <cell r="W772">
            <v>1.4555289176363775E-4</v>
          </cell>
          <cell r="X772">
            <v>10</v>
          </cell>
          <cell r="Y772" t="str">
            <v>Conquistar</v>
          </cell>
        </row>
        <row r="773">
          <cell r="A773" t="str">
            <v>C591</v>
          </cell>
          <cell r="B773" t="str">
            <v>C591 - FARMACIA FLOR ORIENTAL,C.A.</v>
          </cell>
          <cell r="C773" t="str">
            <v>INDEPENDIENTE</v>
          </cell>
          <cell r="D773">
            <v>3</v>
          </cell>
          <cell r="E773"/>
          <cell r="F773" t="str">
            <v>CARACAS</v>
          </cell>
          <cell r="G773" t="str">
            <v>WILLIAM ARAQUE</v>
          </cell>
          <cell r="H773"/>
          <cell r="I773" t="str">
            <v>C3</v>
          </cell>
          <cell r="J773" t="str">
            <v>Inactivo</v>
          </cell>
          <cell r="K773">
            <v>38117.792059257903</v>
          </cell>
          <cell r="L773">
            <v>3811.7792059257904</v>
          </cell>
          <cell r="M773">
            <v>4985.3693333333331</v>
          </cell>
          <cell r="N773" t="str">
            <v>Si Compra</v>
          </cell>
          <cell r="O773">
            <v>10</v>
          </cell>
          <cell r="P773">
            <v>50179.448599868774</v>
          </cell>
          <cell r="Q773">
            <v>5017.9448599868774</v>
          </cell>
          <cell r="R773">
            <v>5701.5463333333328</v>
          </cell>
          <cell r="T773"/>
          <cell r="U773"/>
          <cell r="V773">
            <v>0.7596295519946703</v>
          </cell>
          <cell r="W773">
            <v>1.4554846231210373E-4</v>
          </cell>
          <cell r="X773">
            <v>10</v>
          </cell>
          <cell r="Y773" t="str">
            <v>Proteger</v>
          </cell>
        </row>
        <row r="774">
          <cell r="A774" t="str">
            <v>C499</v>
          </cell>
          <cell r="B774" t="str">
            <v>C499 - FARMAKACTUS C.A</v>
          </cell>
          <cell r="C774" t="str">
            <v>INDEPENDIENTE</v>
          </cell>
          <cell r="D774">
            <v>3</v>
          </cell>
          <cell r="E774"/>
          <cell r="F774" t="str">
            <v>CENTRO OESTE</v>
          </cell>
          <cell r="G774" t="str">
            <v>LUIS PLACERES</v>
          </cell>
          <cell r="H774"/>
          <cell r="I774" t="str">
            <v>E</v>
          </cell>
          <cell r="J774" t="str">
            <v>Inactivo</v>
          </cell>
          <cell r="K774">
            <v>37971.004836323053</v>
          </cell>
          <cell r="L774">
            <v>3797.1004836323054</v>
          </cell>
          <cell r="M774">
            <v>1997.4209333333336</v>
          </cell>
          <cell r="N774" t="str">
            <v>Si Compra</v>
          </cell>
          <cell r="O774">
            <v>10</v>
          </cell>
          <cell r="P774">
            <v>67337.539726790288</v>
          </cell>
          <cell r="Q774">
            <v>6733.7539726790292</v>
          </cell>
          <cell r="R774">
            <v>6950.3157333333338</v>
          </cell>
          <cell r="T774"/>
          <cell r="U774"/>
          <cell r="V774">
            <v>0.56389058748483289</v>
          </cell>
          <cell r="W774">
            <v>1.4498797196281965E-4</v>
          </cell>
          <cell r="X774">
            <v>10</v>
          </cell>
          <cell r="Y774" t="str">
            <v>Potenciar</v>
          </cell>
        </row>
        <row r="775">
          <cell r="A775" t="str">
            <v>D713</v>
          </cell>
          <cell r="B775" t="str">
            <v>D713 - FARMA MARKET PENTAGONO 2021, C.A</v>
          </cell>
          <cell r="C775" t="str">
            <v>INDEPENDIENTE</v>
          </cell>
          <cell r="D775">
            <v>3</v>
          </cell>
          <cell r="E775"/>
          <cell r="F775" t="str">
            <v>CENTRO ESTE</v>
          </cell>
          <cell r="G775" t="str">
            <v>MARCOS CRUCES</v>
          </cell>
          <cell r="H775"/>
          <cell r="I775" t="str">
            <v>$</v>
          </cell>
          <cell r="J775" t="str">
            <v>Activo</v>
          </cell>
          <cell r="K775">
            <v>37924.793840310573</v>
          </cell>
          <cell r="L775">
            <v>3792.4793840310572</v>
          </cell>
          <cell r="M775">
            <v>2201.3429729663981</v>
          </cell>
          <cell r="N775" t="str">
            <v>Si Compra</v>
          </cell>
          <cell r="O775">
            <v>10</v>
          </cell>
          <cell r="P775">
            <v>404119.00694495294</v>
          </cell>
          <cell r="Q775">
            <v>40411.900694495293</v>
          </cell>
          <cell r="R775">
            <v>39973.77609980222</v>
          </cell>
          <cell r="T775"/>
          <cell r="U775"/>
          <cell r="V775">
            <v>9.3845607824817059E-2</v>
          </cell>
          <cell r="W775">
            <v>1.4481152051985382E-4</v>
          </cell>
          <cell r="X775">
            <v>10</v>
          </cell>
          <cell r="Y775" t="str">
            <v>Conquistar</v>
          </cell>
        </row>
        <row r="776">
          <cell r="A776" t="str">
            <v>5723</v>
          </cell>
          <cell r="B776" t="str">
            <v>5723 - FARMACIAS FARMAHOGAR. C.A.</v>
          </cell>
          <cell r="C776" t="str">
            <v>INDEPENDIENTE</v>
          </cell>
          <cell r="D776">
            <v>3</v>
          </cell>
          <cell r="E776"/>
          <cell r="F776" t="str">
            <v>ESTE</v>
          </cell>
          <cell r="G776" t="str">
            <v>CARLOS BLONDELL</v>
          </cell>
          <cell r="H776"/>
          <cell r="I776" t="str">
            <v>A3</v>
          </cell>
          <cell r="J776" t="str">
            <v>Activo</v>
          </cell>
          <cell r="K776">
            <v>37837.404331454927</v>
          </cell>
          <cell r="L776">
            <v>3783.7404331454927</v>
          </cell>
          <cell r="M776">
            <v>1576.3728333333331</v>
          </cell>
          <cell r="N776" t="str">
            <v>Si Compra</v>
          </cell>
          <cell r="O776">
            <v>10</v>
          </cell>
          <cell r="P776">
            <v>258346.49489569786</v>
          </cell>
          <cell r="Q776">
            <v>25834.649489569787</v>
          </cell>
          <cell r="R776">
            <v>16884.945533333332</v>
          </cell>
          <cell r="T776"/>
          <cell r="U776"/>
          <cell r="V776">
            <v>0.14645990976858814</v>
          </cell>
          <cell r="W776">
            <v>1.444778335996782E-4</v>
          </cell>
          <cell r="X776">
            <v>10</v>
          </cell>
          <cell r="Y776" t="str">
            <v>Conquistar</v>
          </cell>
        </row>
        <row r="777">
          <cell r="A777" t="str">
            <v>D782</v>
          </cell>
          <cell r="B777" t="str">
            <v>D782 - FARMALISTO, C.A</v>
          </cell>
          <cell r="C777" t="str">
            <v>INDEPENDIENTE</v>
          </cell>
          <cell r="D777">
            <v>3</v>
          </cell>
          <cell r="E777"/>
          <cell r="F777" t="str">
            <v>CENTRO ESTE</v>
          </cell>
          <cell r="G777" t="str">
            <v>KARLA SALAZAR</v>
          </cell>
          <cell r="H777" t="str">
            <v>HECTOR</v>
          </cell>
          <cell r="I777" t="str">
            <v>O</v>
          </cell>
          <cell r="J777" t="str">
            <v>Activo</v>
          </cell>
          <cell r="K777">
            <v>37816.531108922136</v>
          </cell>
          <cell r="L777">
            <v>3781.6531108922136</v>
          </cell>
          <cell r="M777">
            <v>2593.6072464725589</v>
          </cell>
          <cell r="N777" t="str">
            <v>Si Compra</v>
          </cell>
          <cell r="O777">
            <v>10</v>
          </cell>
          <cell r="P777">
            <v>1074617.2567624962</v>
          </cell>
          <cell r="Q777">
            <v>107461.72567624963</v>
          </cell>
          <cell r="R777">
            <v>97899.92942907261</v>
          </cell>
          <cell r="T777"/>
          <cell r="U777"/>
          <cell r="V777">
            <v>3.5190697777227359E-2</v>
          </cell>
          <cell r="W777">
            <v>1.4439813156870998E-4</v>
          </cell>
          <cell r="X777">
            <v>10</v>
          </cell>
          <cell r="Y777" t="str">
            <v>Conquistar</v>
          </cell>
        </row>
        <row r="778">
          <cell r="A778" t="str">
            <v>8944</v>
          </cell>
          <cell r="B778" t="str">
            <v>8944 - FARMA GUARIBE, C.A</v>
          </cell>
          <cell r="C778" t="str">
            <v>INDEPENDIENTE</v>
          </cell>
          <cell r="D778">
            <v>3</v>
          </cell>
          <cell r="E778"/>
          <cell r="F778" t="str">
            <v>ESTE</v>
          </cell>
          <cell r="G778" t="str">
            <v>PEDRO VIRE</v>
          </cell>
          <cell r="H778"/>
          <cell r="I778" t="str">
            <v>A7</v>
          </cell>
          <cell r="J778" t="str">
            <v>Activo</v>
          </cell>
          <cell r="K778">
            <v>37802.053453819302</v>
          </cell>
          <cell r="L778">
            <v>3780.2053453819303</v>
          </cell>
          <cell r="M778">
            <v>5000.7596951482965</v>
          </cell>
          <cell r="N778" t="str">
            <v>Si Compra</v>
          </cell>
          <cell r="O778">
            <v>10</v>
          </cell>
          <cell r="P778">
            <v>78903.217997999061</v>
          </cell>
          <cell r="Q778">
            <v>7890.3217997999063</v>
          </cell>
          <cell r="R778">
            <v>6969.3753265060195</v>
          </cell>
          <cell r="T778"/>
          <cell r="U778"/>
          <cell r="V778">
            <v>0.4790939382824404</v>
          </cell>
          <cell r="W778">
            <v>1.443428502860264E-4</v>
          </cell>
          <cell r="X778">
            <v>10</v>
          </cell>
          <cell r="Y778" t="str">
            <v>Potenciar</v>
          </cell>
        </row>
        <row r="779">
          <cell r="A779" t="str">
            <v>B026</v>
          </cell>
          <cell r="B779" t="str">
            <v>B026 - FARMACIA DR JOSE GREGORIO HERNANDEZ 2021, C.A.</v>
          </cell>
          <cell r="C779" t="str">
            <v>INDEPENDIENTE</v>
          </cell>
          <cell r="D779">
            <v>3</v>
          </cell>
          <cell r="E779"/>
          <cell r="F779" t="str">
            <v>CENTRO OESTE</v>
          </cell>
          <cell r="G779" t="str">
            <v>JOSE LUIS GARCIA</v>
          </cell>
          <cell r="H779"/>
          <cell r="I779" t="str">
            <v>Y</v>
          </cell>
          <cell r="J779" t="str">
            <v>Activo</v>
          </cell>
          <cell r="K779">
            <v>37766.884358483556</v>
          </cell>
          <cell r="L779">
            <v>3776.6884358483558</v>
          </cell>
          <cell r="M779">
            <v>4368.6651231925316</v>
          </cell>
          <cell r="N779" t="str">
            <v>Si Compra</v>
          </cell>
          <cell r="O779">
            <v>10</v>
          </cell>
          <cell r="P779">
            <v>101004.02257674932</v>
          </cell>
          <cell r="Q779">
            <v>10100.402257674932</v>
          </cell>
          <cell r="R779">
            <v>7280.1777120721772</v>
          </cell>
          <cell r="T779"/>
          <cell r="U779"/>
          <cell r="V779">
            <v>0.37391465602061402</v>
          </cell>
          <cell r="W779">
            <v>1.44208561087453E-4</v>
          </cell>
          <cell r="X779">
            <v>10</v>
          </cell>
          <cell r="Y779" t="str">
            <v>Potenciar</v>
          </cell>
        </row>
        <row r="780">
          <cell r="A780" t="str">
            <v>0404</v>
          </cell>
          <cell r="B780" t="str">
            <v>0404 - FARMACIA FARMADENTRO,C.A.</v>
          </cell>
          <cell r="C780" t="str">
            <v>INDEPENDIENTE</v>
          </cell>
          <cell r="D780">
            <v>3</v>
          </cell>
          <cell r="E780"/>
          <cell r="F780" t="str">
            <v>CARACAS</v>
          </cell>
          <cell r="G780" t="str">
            <v>WILLIAM ARAQUE</v>
          </cell>
          <cell r="H780"/>
          <cell r="I780" t="str">
            <v>C3</v>
          </cell>
          <cell r="J780" t="str">
            <v>Activo</v>
          </cell>
          <cell r="K780">
            <v>37684.654820314958</v>
          </cell>
          <cell r="L780">
            <v>3768.4654820314959</v>
          </cell>
          <cell r="M780">
            <v>5684.2854971963943</v>
          </cell>
          <cell r="N780" t="str">
            <v>Si Compra</v>
          </cell>
          <cell r="O780">
            <v>10</v>
          </cell>
          <cell r="P780">
            <v>279339.17564273416</v>
          </cell>
          <cell r="Q780">
            <v>27933.917564273415</v>
          </cell>
          <cell r="R780">
            <v>21399.488268630983</v>
          </cell>
          <cell r="T780"/>
          <cell r="U780"/>
          <cell r="V780">
            <v>0.13490644387277931</v>
          </cell>
          <cell r="W780">
            <v>1.4389457692964898E-4</v>
          </cell>
          <cell r="X780">
            <v>10</v>
          </cell>
          <cell r="Y780" t="str">
            <v>Conquistar</v>
          </cell>
        </row>
        <row r="781">
          <cell r="A781" t="str">
            <v>A542</v>
          </cell>
          <cell r="B781" t="str">
            <v>FARMASOL ARAGUA</v>
          </cell>
          <cell r="C781" t="str">
            <v>GRUPO</v>
          </cell>
          <cell r="D781">
            <v>9</v>
          </cell>
          <cell r="E781"/>
          <cell r="F781" t="str">
            <v>CENTRO ESTE</v>
          </cell>
          <cell r="H781"/>
          <cell r="I781"/>
          <cell r="J781" t="str">
            <v>Activo</v>
          </cell>
          <cell r="K781">
            <v>37680.450989861172</v>
          </cell>
          <cell r="L781">
            <v>3768.0450989861174</v>
          </cell>
          <cell r="M781">
            <v>6388.0717745634893</v>
          </cell>
          <cell r="N781" t="str">
            <v>Si Compra</v>
          </cell>
          <cell r="O781">
            <v>10</v>
          </cell>
          <cell r="P781">
            <v>283339.98214853357</v>
          </cell>
          <cell r="Q781">
            <v>28333.998214853356</v>
          </cell>
          <cell r="R781">
            <v>54187.057837849941</v>
          </cell>
          <cell r="S781"/>
          <cell r="T781"/>
          <cell r="U781"/>
          <cell r="V781">
            <v>0.13298670630291839</v>
          </cell>
          <cell r="W781">
            <v>1.4387852508022871E-4</v>
          </cell>
          <cell r="X781">
            <v>10</v>
          </cell>
          <cell r="Y781" t="str">
            <v>Conquistar</v>
          </cell>
        </row>
        <row r="782">
          <cell r="A782" t="str">
            <v>D053</v>
          </cell>
          <cell r="B782" t="str">
            <v>D053 - FARMACIA LA COLON; C.A.</v>
          </cell>
          <cell r="C782" t="str">
            <v>INDEPENDIENTE</v>
          </cell>
          <cell r="D782">
            <v>3</v>
          </cell>
          <cell r="E782"/>
          <cell r="F782" t="str">
            <v>ANDES</v>
          </cell>
          <cell r="G782" t="str">
            <v>ZULAY PARRA</v>
          </cell>
          <cell r="H782"/>
          <cell r="I782" t="str">
            <v>5</v>
          </cell>
          <cell r="J782" t="str">
            <v>Bloqueado</v>
          </cell>
          <cell r="K782">
            <v>37659.207767238469</v>
          </cell>
          <cell r="L782">
            <v>3765.9207767238468</v>
          </cell>
          <cell r="M782">
            <v>2679.2348941279292</v>
          </cell>
          <cell r="N782" t="str">
            <v>Si Compra</v>
          </cell>
          <cell r="O782">
            <v>10</v>
          </cell>
          <cell r="P782">
            <v>54500.673533382338</v>
          </cell>
          <cell r="Q782">
            <v>5450.0673533382342</v>
          </cell>
          <cell r="R782">
            <v>3026.0557628072997</v>
          </cell>
          <cell r="T782"/>
          <cell r="U782"/>
          <cell r="V782">
            <v>0.69098609844099879</v>
          </cell>
          <cell r="W782">
            <v>1.4379741024591507E-4</v>
          </cell>
          <cell r="X782">
            <v>10</v>
          </cell>
          <cell r="Y782" t="str">
            <v>Proteger</v>
          </cell>
        </row>
        <row r="783">
          <cell r="A783" t="str">
            <v>D841</v>
          </cell>
          <cell r="B783" t="str">
            <v>D841 - FARMACIA VIDA &amp; SALUD RD, C.A</v>
          </cell>
          <cell r="C783" t="str">
            <v>INDEPENDIENTE</v>
          </cell>
          <cell r="D783">
            <v>3</v>
          </cell>
          <cell r="E783"/>
          <cell r="F783" t="str">
            <v>ANDES</v>
          </cell>
          <cell r="G783" t="str">
            <v>RAYNE ANDREINA NAVA</v>
          </cell>
          <cell r="H783"/>
          <cell r="I783" t="str">
            <v>G1</v>
          </cell>
          <cell r="J783" t="str">
            <v>Inactivo</v>
          </cell>
          <cell r="K783">
            <v>37658.406785357271</v>
          </cell>
          <cell r="L783">
            <v>3765.840678535727</v>
          </cell>
          <cell r="M783">
            <v>3727.876210920133</v>
          </cell>
          <cell r="N783" t="str">
            <v>Si Compra</v>
          </cell>
          <cell r="O783">
            <v>10</v>
          </cell>
          <cell r="P783">
            <v>56732.120230687055</v>
          </cell>
          <cell r="Q783">
            <v>5673.2120230687051</v>
          </cell>
          <cell r="R783">
            <v>5896.8320450286556</v>
          </cell>
          <cell r="T783"/>
          <cell r="U783"/>
          <cell r="V783">
            <v>0.66379339661956449</v>
          </cell>
          <cell r="W783">
            <v>1.4379435178751937E-4</v>
          </cell>
          <cell r="X783">
            <v>10</v>
          </cell>
          <cell r="Y783" t="str">
            <v>Proteger</v>
          </cell>
        </row>
        <row r="784">
          <cell r="A784" t="str">
            <v>3068</v>
          </cell>
          <cell r="B784" t="str">
            <v>CARDENAS</v>
          </cell>
          <cell r="C784" t="str">
            <v>CADENA</v>
          </cell>
          <cell r="D784">
            <v>9</v>
          </cell>
          <cell r="E784"/>
          <cell r="F784" t="str">
            <v>ANDES</v>
          </cell>
          <cell r="H784"/>
          <cell r="I784"/>
          <cell r="J784" t="str">
            <v>Inactivo</v>
          </cell>
          <cell r="K784">
            <v>37599.372395620907</v>
          </cell>
          <cell r="L784">
            <v>3759.9372395620908</v>
          </cell>
          <cell r="M784">
            <v>2362.3139851990736</v>
          </cell>
          <cell r="N784" t="str">
            <v>Si Compra</v>
          </cell>
          <cell r="O784">
            <v>10</v>
          </cell>
          <cell r="P784">
            <v>366889.69273499143</v>
          </cell>
          <cell r="Q784">
            <v>36688.96927349914</v>
          </cell>
          <cell r="R784">
            <v>19087.858883865785</v>
          </cell>
          <cell r="S784"/>
          <cell r="T784"/>
          <cell r="U784"/>
          <cell r="V784">
            <v>0.10248140828196926</v>
          </cell>
          <cell r="W784">
            <v>1.4356893567117395E-4</v>
          </cell>
          <cell r="X784">
            <v>10</v>
          </cell>
          <cell r="Y784" t="str">
            <v>Conquistar</v>
          </cell>
        </row>
        <row r="785">
          <cell r="A785" t="str">
            <v>Q180</v>
          </cell>
          <cell r="B785" t="str">
            <v>Q180 - CREA DESARROLLOS, S.A</v>
          </cell>
          <cell r="C785" t="str">
            <v>INDEPENDIENTE</v>
          </cell>
          <cell r="D785">
            <v>2</v>
          </cell>
          <cell r="F785" t="str">
            <v>MARACAIBO</v>
          </cell>
          <cell r="G785" t="str">
            <v>ADRIANA ALBORNOZ</v>
          </cell>
          <cell r="H785" t="str">
            <v>VICTOR</v>
          </cell>
          <cell r="I785" t="str">
            <v>Q</v>
          </cell>
          <cell r="J785" t="str">
            <v>Activo</v>
          </cell>
          <cell r="K785">
            <v>37598.25425371559</v>
          </cell>
          <cell r="L785">
            <v>4699.7817817144487</v>
          </cell>
          <cell r="M785">
            <v>5555.8424289623435</v>
          </cell>
          <cell r="N785" t="str">
            <v>Si Compra</v>
          </cell>
          <cell r="O785">
            <v>8</v>
          </cell>
          <cell r="P785">
            <v>1235552.7052771957</v>
          </cell>
          <cell r="Q785">
            <v>154444.08815964946</v>
          </cell>
          <cell r="R785">
            <v>53131.939914009316</v>
          </cell>
          <cell r="V785">
            <v>3.0430311951184986E-2</v>
          </cell>
          <cell r="W785">
            <v>1.7945583271653288E-4</v>
          </cell>
          <cell r="X785">
            <v>8</v>
          </cell>
          <cell r="Y785" t="str">
            <v>Conquistar</v>
          </cell>
        </row>
        <row r="786">
          <cell r="A786" t="str">
            <v>B458</v>
          </cell>
          <cell r="B786" t="str">
            <v>B458 - FARMAHEALTH 24/07, C.A</v>
          </cell>
          <cell r="C786" t="str">
            <v>INDEPENDIENTE</v>
          </cell>
          <cell r="D786">
            <v>3</v>
          </cell>
          <cell r="E786"/>
          <cell r="F786" t="str">
            <v>CENTRO ESTE</v>
          </cell>
          <cell r="G786" t="str">
            <v>MARCOS CRUCES</v>
          </cell>
          <cell r="H786"/>
          <cell r="I786" t="str">
            <v>$</v>
          </cell>
          <cell r="J786" t="str">
            <v>Activo</v>
          </cell>
          <cell r="K786">
            <v>37465.009869366608</v>
          </cell>
          <cell r="L786">
            <v>3746.5009869366609</v>
          </cell>
          <cell r="M786">
            <v>3670.9092042232533</v>
          </cell>
          <cell r="N786" t="str">
            <v>Si Compra</v>
          </cell>
          <cell r="O786">
            <v>10</v>
          </cell>
          <cell r="P786">
            <v>41804.263210105913</v>
          </cell>
          <cell r="Q786">
            <v>4180.426321010591</v>
          </cell>
          <cell r="R786">
            <v>3717.4638704035156</v>
          </cell>
          <cell r="T786"/>
          <cell r="U786"/>
          <cell r="V786">
            <v>0.89620069802616886</v>
          </cell>
          <cell r="W786">
            <v>1.4305588761586474E-4</v>
          </cell>
          <cell r="X786">
            <v>10</v>
          </cell>
          <cell r="Y786" t="str">
            <v>Proteger</v>
          </cell>
        </row>
        <row r="787">
          <cell r="A787" t="str">
            <v>B546</v>
          </cell>
          <cell r="B787" t="str">
            <v>B546 - FARMA GRUPO EXPERTS, C.A.</v>
          </cell>
          <cell r="C787" t="str">
            <v>INDEPENDIENTE</v>
          </cell>
          <cell r="D787">
            <v>3</v>
          </cell>
          <cell r="E787"/>
          <cell r="F787" t="str">
            <v>CARACAS</v>
          </cell>
          <cell r="G787" t="str">
            <v>MAIRUBI QUIJADA</v>
          </cell>
          <cell r="H787" t="str">
            <v>VICTOR</v>
          </cell>
          <cell r="I787" t="str">
            <v>C2</v>
          </cell>
          <cell r="J787" t="str">
            <v>Inactivo</v>
          </cell>
          <cell r="K787">
            <v>37364.247358575973</v>
          </cell>
          <cell r="L787">
            <v>3736.4247358575972</v>
          </cell>
          <cell r="M787">
            <v>4774.6812796007371</v>
          </cell>
          <cell r="N787" t="str">
            <v>Si Compra</v>
          </cell>
          <cell r="O787">
            <v>10</v>
          </cell>
          <cell r="P787">
            <v>37366.765309328643</v>
          </cell>
          <cell r="Q787">
            <v>3736.6765309328644</v>
          </cell>
          <cell r="R787">
            <v>4423.5724323849217</v>
          </cell>
          <cell r="T787"/>
          <cell r="U787"/>
          <cell r="V787">
            <v>0.99993261523356847</v>
          </cell>
          <cell r="W787">
            <v>1.4267113740574016E-4</v>
          </cell>
          <cell r="X787">
            <v>10</v>
          </cell>
          <cell r="Y787" t="str">
            <v>Proteger</v>
          </cell>
        </row>
        <row r="788">
          <cell r="A788" t="str">
            <v>6745</v>
          </cell>
          <cell r="B788" t="str">
            <v>6745 - FARMACIA MEDINLARK, C.A.</v>
          </cell>
          <cell r="C788" t="str">
            <v>INDEPENDIENTE</v>
          </cell>
          <cell r="D788">
            <v>3</v>
          </cell>
          <cell r="E788"/>
          <cell r="F788" t="str">
            <v>CENTRO OESTE</v>
          </cell>
          <cell r="G788" t="str">
            <v>SORALI SILVA</v>
          </cell>
          <cell r="H788"/>
          <cell r="I788" t="str">
            <v>L</v>
          </cell>
          <cell r="J788" t="str">
            <v>Activo</v>
          </cell>
          <cell r="K788">
            <v>37294.192048528603</v>
          </cell>
          <cell r="L788">
            <v>3729.4192048528603</v>
          </cell>
          <cell r="M788">
            <v>2847.855410063672</v>
          </cell>
          <cell r="N788" t="str">
            <v>Si Compra</v>
          </cell>
          <cell r="O788">
            <v>10</v>
          </cell>
          <cell r="P788">
            <v>53938.347713140247</v>
          </cell>
          <cell r="Q788">
            <v>5393.8347713140247</v>
          </cell>
          <cell r="R788">
            <v>3771.2137221049602</v>
          </cell>
          <cell r="T788"/>
          <cell r="U788"/>
          <cell r="V788">
            <v>0.69142258948809321</v>
          </cell>
          <cell r="W788">
            <v>1.4240363915614743E-4</v>
          </cell>
          <cell r="X788">
            <v>10</v>
          </cell>
          <cell r="Y788" t="str">
            <v>Proteger</v>
          </cell>
        </row>
        <row r="789">
          <cell r="A789" t="str">
            <v>1136</v>
          </cell>
          <cell r="B789" t="str">
            <v>NUEVA CASARAPA</v>
          </cell>
          <cell r="C789" t="e">
            <v>#N/A</v>
          </cell>
          <cell r="D789">
            <v>0</v>
          </cell>
          <cell r="E789"/>
          <cell r="F789" t="str">
            <v>CARACAS</v>
          </cell>
          <cell r="H789"/>
          <cell r="I789"/>
          <cell r="J789" t="str">
            <v>Inactivo</v>
          </cell>
          <cell r="K789">
            <v>37242.996878594553</v>
          </cell>
          <cell r="L789">
            <v>6207.1661464324252</v>
          </cell>
          <cell r="M789">
            <v>0</v>
          </cell>
          <cell r="N789" t="str">
            <v>No Compra</v>
          </cell>
          <cell r="O789">
            <v>5</v>
          </cell>
          <cell r="P789">
            <v>70099.142399532371</v>
          </cell>
          <cell r="Q789">
            <v>11683.190399922061</v>
          </cell>
          <cell r="R789">
            <v>0</v>
          </cell>
          <cell r="S789"/>
          <cell r="T789"/>
          <cell r="U789"/>
          <cell r="V789">
            <v>0.53129033542702797</v>
          </cell>
          <cell r="W789">
            <v>2.3701359368467437E-4</v>
          </cell>
          <cell r="X789">
            <v>6</v>
          </cell>
          <cell r="Y789" t="str">
            <v>Potenciar</v>
          </cell>
        </row>
        <row r="790">
          <cell r="A790" t="str">
            <v>D489</v>
          </cell>
          <cell r="B790" t="str">
            <v>D489 - FARMASALUD 1, C.A.</v>
          </cell>
          <cell r="C790" t="str">
            <v>INDEPENDIENTE</v>
          </cell>
          <cell r="D790">
            <v>3</v>
          </cell>
          <cell r="E790"/>
          <cell r="F790" t="str">
            <v>ANDES</v>
          </cell>
          <cell r="G790">
            <v>0</v>
          </cell>
          <cell r="H790"/>
          <cell r="I790" t="str">
            <v>4</v>
          </cell>
          <cell r="J790" t="str">
            <v>Activo</v>
          </cell>
          <cell r="K790">
            <v>37216.397813190328</v>
          </cell>
          <cell r="L790">
            <v>3721.6397813190329</v>
          </cell>
          <cell r="M790">
            <v>8415.496071610698</v>
          </cell>
          <cell r="N790" t="str">
            <v>Si Compra</v>
          </cell>
          <cell r="O790">
            <v>10</v>
          </cell>
          <cell r="P790">
            <v>0</v>
          </cell>
          <cell r="Q790">
            <v>0</v>
          </cell>
          <cell r="R790">
            <v>0</v>
          </cell>
          <cell r="T790"/>
          <cell r="U790"/>
          <cell r="V790">
            <v>0</v>
          </cell>
          <cell r="W790">
            <v>1.4210659069875962E-4</v>
          </cell>
          <cell r="X790">
            <v>0</v>
          </cell>
          <cell r="Y790" t="str">
            <v>Conquistar</v>
          </cell>
        </row>
        <row r="791">
          <cell r="A791" t="str">
            <v>4469</v>
          </cell>
          <cell r="B791" t="str">
            <v>4469 - FARMACIA SAN JOSE,C.A</v>
          </cell>
          <cell r="C791" t="str">
            <v>INDEPENDIENTE</v>
          </cell>
          <cell r="D791">
            <v>3</v>
          </cell>
          <cell r="E791"/>
          <cell r="F791" t="str">
            <v>MARACAIBO</v>
          </cell>
          <cell r="G791" t="str">
            <v>MARIA FUSELLA</v>
          </cell>
          <cell r="H791"/>
          <cell r="I791" t="str">
            <v>BZ</v>
          </cell>
          <cell r="J791" t="str">
            <v>Activo</v>
          </cell>
          <cell r="K791">
            <v>37183.247426360627</v>
          </cell>
          <cell r="L791">
            <v>4131.4719362622918</v>
          </cell>
          <cell r="M791">
            <v>4846.3598635194467</v>
          </cell>
          <cell r="N791" t="str">
            <v>Si Compra</v>
          </cell>
          <cell r="O791">
            <v>9</v>
          </cell>
          <cell r="P791">
            <v>50469.577951378982</v>
          </cell>
          <cell r="Q791">
            <v>5607.7308834865535</v>
          </cell>
          <cell r="R791">
            <v>5291.1824138915517</v>
          </cell>
          <cell r="T791"/>
          <cell r="U791"/>
          <cell r="V791">
            <v>0.73674575725959024</v>
          </cell>
          <cell r="W791">
            <v>1.5775556634386377E-4</v>
          </cell>
          <cell r="X791">
            <v>9</v>
          </cell>
          <cell r="Y791" t="str">
            <v>Proteger</v>
          </cell>
        </row>
        <row r="792">
          <cell r="A792" t="str">
            <v>C838</v>
          </cell>
          <cell r="B792" t="str">
            <v>C838 - MORA FARMACIA SAN ROMAN C.A</v>
          </cell>
          <cell r="C792" t="str">
            <v>INDEPENDIENTE</v>
          </cell>
          <cell r="D792">
            <v>3</v>
          </cell>
          <cell r="E792"/>
          <cell r="F792" t="str">
            <v>CENTRO OESTE</v>
          </cell>
          <cell r="G792" t="str">
            <v>LUIS PLACERES</v>
          </cell>
          <cell r="H792"/>
          <cell r="I792" t="str">
            <v>E</v>
          </cell>
          <cell r="J792" t="str">
            <v>Inactivo</v>
          </cell>
          <cell r="K792">
            <v>37136.429428301279</v>
          </cell>
          <cell r="L792">
            <v>3713.642942830128</v>
          </cell>
          <cell r="M792">
            <v>1676.9684543689521</v>
          </cell>
          <cell r="N792" t="str">
            <v>Si Compra</v>
          </cell>
          <cell r="O792">
            <v>10</v>
          </cell>
          <cell r="P792">
            <v>101051.22315159226</v>
          </cell>
          <cell r="Q792">
            <v>10105.122315159226</v>
          </cell>
          <cell r="R792">
            <v>12024.259042393867</v>
          </cell>
          <cell r="T792"/>
          <cell r="U792"/>
          <cell r="V792">
            <v>0.36750103828620628</v>
          </cell>
          <cell r="W792">
            <v>1.4180124049809506E-4</v>
          </cell>
          <cell r="X792">
            <v>10</v>
          </cell>
          <cell r="Y792" t="str">
            <v>Potenciar</v>
          </cell>
        </row>
        <row r="793">
          <cell r="A793" t="str">
            <v>C677</v>
          </cell>
          <cell r="B793" t="str">
            <v>JAPABRELL FARMA</v>
          </cell>
          <cell r="C793" t="str">
            <v>GRUPO</v>
          </cell>
          <cell r="D793">
            <v>6</v>
          </cell>
          <cell r="E793"/>
          <cell r="F793" t="str">
            <v>CARACAS</v>
          </cell>
          <cell r="H793"/>
          <cell r="I793"/>
          <cell r="J793" t="str">
            <v>Inactivo</v>
          </cell>
          <cell r="K793">
            <v>36964.830351586657</v>
          </cell>
          <cell r="L793">
            <v>4107.2033723985178</v>
          </cell>
          <cell r="M793">
            <v>8828.8022997262015</v>
          </cell>
          <cell r="N793" t="str">
            <v>Si Compra</v>
          </cell>
          <cell r="O793">
            <v>9</v>
          </cell>
          <cell r="P793">
            <v>215087.15420660441</v>
          </cell>
          <cell r="Q793">
            <v>26885.894275825551</v>
          </cell>
          <cell r="R793">
            <v>25910.968644671982</v>
          </cell>
          <cell r="S793"/>
          <cell r="T793"/>
          <cell r="U793"/>
          <cell r="V793">
            <v>0.1527642461977361</v>
          </cell>
          <cell r="W793">
            <v>1.5682889877943502E-4</v>
          </cell>
          <cell r="X793">
            <v>8</v>
          </cell>
          <cell r="Y793" t="str">
            <v>Conquistar</v>
          </cell>
        </row>
        <row r="794">
          <cell r="A794" t="str">
            <v>D908</v>
          </cell>
          <cell r="B794" t="str">
            <v>D908 - FARMACIA ORIENTE I, C.A.</v>
          </cell>
          <cell r="C794" t="str">
            <v>INDEPENDIENTE</v>
          </cell>
          <cell r="D794">
            <v>3</v>
          </cell>
          <cell r="E794"/>
          <cell r="F794" t="str">
            <v>ESTE</v>
          </cell>
          <cell r="G794">
            <v>0</v>
          </cell>
          <cell r="H794"/>
          <cell r="I794" t="str">
            <v>A5</v>
          </cell>
          <cell r="J794" t="str">
            <v>Activo</v>
          </cell>
          <cell r="K794">
            <v>36919.547201503097</v>
          </cell>
          <cell r="L794">
            <v>3691.9547201503096</v>
          </cell>
          <cell r="M794">
            <v>2549.0660666666668</v>
          </cell>
          <cell r="N794" t="str">
            <v>Si Compra</v>
          </cell>
          <cell r="O794">
            <v>10</v>
          </cell>
          <cell r="P794">
            <v>0</v>
          </cell>
          <cell r="Q794">
            <v>0</v>
          </cell>
          <cell r="R794">
            <v>0</v>
          </cell>
          <cell r="T794"/>
          <cell r="U794"/>
          <cell r="V794">
            <v>0</v>
          </cell>
          <cell r="W794">
            <v>1.4097310033288753E-4</v>
          </cell>
          <cell r="X794">
            <v>0</v>
          </cell>
          <cell r="Y794" t="str">
            <v>Conquistar</v>
          </cell>
        </row>
        <row r="795">
          <cell r="A795" t="str">
            <v>C962</v>
          </cell>
          <cell r="B795" t="str">
            <v>C962 - FARMAVISTA, C.A.</v>
          </cell>
          <cell r="C795" t="str">
            <v>INDEPENDIENTE</v>
          </cell>
          <cell r="D795">
            <v>3</v>
          </cell>
          <cell r="E795"/>
          <cell r="F795" t="str">
            <v>CENTRO ESTE</v>
          </cell>
          <cell r="G795" t="str">
            <v>MARCOS CRUCES</v>
          </cell>
          <cell r="H795"/>
          <cell r="I795" t="str">
            <v>$</v>
          </cell>
          <cell r="J795" t="str">
            <v>Activo</v>
          </cell>
          <cell r="K795">
            <v>36893.143157591789</v>
          </cell>
          <cell r="L795">
            <v>3689.314315759179</v>
          </cell>
          <cell r="M795">
            <v>2643.7126573333094</v>
          </cell>
          <cell r="N795" t="str">
            <v>Si Compra</v>
          </cell>
          <cell r="O795">
            <v>10</v>
          </cell>
          <cell r="P795">
            <v>745950.64417649806</v>
          </cell>
          <cell r="Q795">
            <v>74595.064417649803</v>
          </cell>
          <cell r="R795">
            <v>62200.16230699655</v>
          </cell>
          <cell r="T795"/>
          <cell r="U795"/>
          <cell r="V795">
            <v>4.9457887657326789E-2</v>
          </cell>
          <cell r="W795">
            <v>1.4087227948827676E-4</v>
          </cell>
          <cell r="X795">
            <v>10</v>
          </cell>
          <cell r="Y795" t="str">
            <v>Conquistar</v>
          </cell>
        </row>
        <row r="796">
          <cell r="A796" t="str">
            <v>Y118</v>
          </cell>
          <cell r="B796" t="str">
            <v>Y118 - FUNDACIÓN HIGEA</v>
          </cell>
          <cell r="C796" t="str">
            <v>INDEPENDIENTE</v>
          </cell>
          <cell r="D796">
            <v>3</v>
          </cell>
          <cell r="F796" t="str">
            <v>CENTRO OESTE</v>
          </cell>
          <cell r="G796" t="str">
            <v>JOSE LUIS GARCIA</v>
          </cell>
          <cell r="H796"/>
          <cell r="I796" t="str">
            <v xml:space="preserve">Y </v>
          </cell>
          <cell r="J796" t="str">
            <v>Activo</v>
          </cell>
          <cell r="K796">
            <v>36878.070638876045</v>
          </cell>
          <cell r="L796">
            <v>4097.5634043195605</v>
          </cell>
          <cell r="M796">
            <v>4851.1968018214402</v>
          </cell>
          <cell r="N796" t="str">
            <v>Si Compra</v>
          </cell>
          <cell r="O796">
            <v>9</v>
          </cell>
          <cell r="P796">
            <v>211708.42304784909</v>
          </cell>
          <cell r="Q796">
            <v>23523.158116427676</v>
          </cell>
          <cell r="R796">
            <v>19371.013966194969</v>
          </cell>
          <cell r="V796">
            <v>0.17419274163948159</v>
          </cell>
          <cell r="W796">
            <v>1.5646080754045435E-4</v>
          </cell>
          <cell r="X796">
            <v>9</v>
          </cell>
          <cell r="Y796" t="str">
            <v>Conquistar</v>
          </cell>
        </row>
        <row r="797">
          <cell r="A797" t="str">
            <v>0899</v>
          </cell>
          <cell r="B797" t="str">
            <v>0899 - FARMACIA ESPAÑA, C.A.</v>
          </cell>
          <cell r="C797" t="str">
            <v>INDEPENDIENTE</v>
          </cell>
          <cell r="D797">
            <v>3</v>
          </cell>
          <cell r="E797"/>
          <cell r="F797" t="str">
            <v>ESTE</v>
          </cell>
          <cell r="G797" t="str">
            <v>IRAIDA RODRIGUEZ</v>
          </cell>
          <cell r="H797"/>
          <cell r="I797" t="str">
            <v>AB</v>
          </cell>
          <cell r="J797" t="str">
            <v>Activo</v>
          </cell>
          <cell r="K797">
            <v>36857.663854317245</v>
          </cell>
          <cell r="L797">
            <v>3685.7663854317243</v>
          </cell>
          <cell r="M797">
            <v>3562.9724932456779</v>
          </cell>
          <cell r="N797" t="str">
            <v>Si Compra</v>
          </cell>
          <cell r="O797">
            <v>10</v>
          </cell>
          <cell r="P797">
            <v>53038.873776308705</v>
          </cell>
          <cell r="Q797">
            <v>5303.8873776308701</v>
          </cell>
          <cell r="R797">
            <v>4429.7312670876636</v>
          </cell>
          <cell r="T797"/>
          <cell r="U797"/>
          <cell r="V797">
            <v>0.69491792019876464</v>
          </cell>
          <cell r="W797">
            <v>1.4073680579590006E-4</v>
          </cell>
          <cell r="X797">
            <v>10</v>
          </cell>
          <cell r="Y797" t="str">
            <v>Proteger</v>
          </cell>
        </row>
        <row r="798">
          <cell r="A798" t="str">
            <v>C831</v>
          </cell>
          <cell r="B798" t="str">
            <v>C831 - FARMAVIT18, C.A.</v>
          </cell>
          <cell r="C798" t="str">
            <v>INDEPENDIENTE</v>
          </cell>
          <cell r="D798">
            <v>3</v>
          </cell>
          <cell r="E798"/>
          <cell r="F798" t="str">
            <v>MARACAIBO</v>
          </cell>
          <cell r="G798" t="str">
            <v>MARIA FUSELLA</v>
          </cell>
          <cell r="H798" t="str">
            <v>VICTOR</v>
          </cell>
          <cell r="I798" t="str">
            <v>BZ</v>
          </cell>
          <cell r="J798" t="str">
            <v>Activo</v>
          </cell>
          <cell r="K798">
            <v>36832.238704787451</v>
          </cell>
          <cell r="L798">
            <v>3683.2238704787451</v>
          </cell>
          <cell r="M798">
            <v>2889.8136366008016</v>
          </cell>
          <cell r="N798" t="str">
            <v>Si Compra</v>
          </cell>
          <cell r="O798">
            <v>10</v>
          </cell>
          <cell r="P798">
            <v>153106.94052026683</v>
          </cell>
          <cell r="Q798">
            <v>15310.694052026683</v>
          </cell>
          <cell r="R798">
            <v>10522.690339586414</v>
          </cell>
          <cell r="T798"/>
          <cell r="U798"/>
          <cell r="V798">
            <v>0.24056544125060059</v>
          </cell>
          <cell r="W798">
            <v>1.4063972274837297E-4</v>
          </cell>
          <cell r="X798">
            <v>10</v>
          </cell>
          <cell r="Y798" t="str">
            <v>Potenciar</v>
          </cell>
        </row>
        <row r="799">
          <cell r="A799" t="str">
            <v>2897</v>
          </cell>
          <cell r="B799" t="str">
            <v>VICTOR HUGO URDANETA</v>
          </cell>
          <cell r="C799" t="str">
            <v>GRUPO</v>
          </cell>
          <cell r="D799">
            <v>9</v>
          </cell>
          <cell r="E799"/>
          <cell r="F799" t="str">
            <v>ANDES</v>
          </cell>
          <cell r="H799"/>
          <cell r="I799"/>
          <cell r="J799" t="str">
            <v>Activo</v>
          </cell>
          <cell r="K799">
            <v>36731.374715240119</v>
          </cell>
          <cell r="L799">
            <v>3673.1374715240117</v>
          </cell>
          <cell r="M799">
            <v>2705.5682464461015</v>
          </cell>
          <cell r="N799" t="str">
            <v>Si Compra</v>
          </cell>
          <cell r="O799">
            <v>10</v>
          </cell>
          <cell r="P799">
            <v>840451.23563851858</v>
          </cell>
          <cell r="Q799">
            <v>84045.123563851856</v>
          </cell>
          <cell r="R799">
            <v>87035.646950949507</v>
          </cell>
          <cell r="S799"/>
          <cell r="T799"/>
          <cell r="U799"/>
          <cell r="V799">
            <v>4.3704349708444508E-2</v>
          </cell>
          <cell r="W799">
            <v>1.402545850531346E-4</v>
          </cell>
          <cell r="X799">
            <v>10</v>
          </cell>
          <cell r="Y799" t="str">
            <v>Conquistar</v>
          </cell>
        </row>
        <row r="800">
          <cell r="A800" t="str">
            <v>C462</v>
          </cell>
          <cell r="B800" t="str">
            <v>C462 - FARMANUEVA EL CARMEN, C.A</v>
          </cell>
          <cell r="C800" t="str">
            <v>INDEPENDIENTE</v>
          </cell>
          <cell r="D800">
            <v>3</v>
          </cell>
          <cell r="E800"/>
          <cell r="F800" t="str">
            <v>ANDES</v>
          </cell>
          <cell r="G800" t="str">
            <v>MILAGRO BRICEñO</v>
          </cell>
          <cell r="H800"/>
          <cell r="I800" t="str">
            <v>G</v>
          </cell>
          <cell r="J800" t="str">
            <v>Activo</v>
          </cell>
          <cell r="K800">
            <v>36731.318223412301</v>
          </cell>
          <cell r="L800">
            <v>3673.13182234123</v>
          </cell>
          <cell r="M800">
            <v>2376.2025309825276</v>
          </cell>
          <cell r="N800" t="str">
            <v>Si Compra</v>
          </cell>
          <cell r="O800">
            <v>10</v>
          </cell>
          <cell r="P800">
            <v>50589.773264558346</v>
          </cell>
          <cell r="Q800">
            <v>5058.9773264558344</v>
          </cell>
          <cell r="R800">
            <v>2779.279591238665</v>
          </cell>
          <cell r="T800"/>
          <cell r="U800"/>
          <cell r="V800">
            <v>0.72606212388670943</v>
          </cell>
          <cell r="W800">
            <v>1.4025436934550235E-4</v>
          </cell>
          <cell r="X800">
            <v>10</v>
          </cell>
          <cell r="Y800" t="str">
            <v>Proteger</v>
          </cell>
        </row>
        <row r="801">
          <cell r="A801" t="str">
            <v>2229</v>
          </cell>
          <cell r="B801" t="str">
            <v>2229 - FARMACIA SAN MIGUEL C.A</v>
          </cell>
          <cell r="C801" t="str">
            <v>INDEPENDIENTE</v>
          </cell>
          <cell r="D801">
            <v>3</v>
          </cell>
          <cell r="E801"/>
          <cell r="F801" t="str">
            <v>CARACAS</v>
          </cell>
          <cell r="G801" t="str">
            <v>WILLIAM ARAQUE</v>
          </cell>
          <cell r="H801"/>
          <cell r="I801" t="str">
            <v>C3</v>
          </cell>
          <cell r="J801" t="str">
            <v>Inactivo</v>
          </cell>
          <cell r="K801">
            <v>36724.562949189894</v>
          </cell>
          <cell r="L801">
            <v>3672.4562949189894</v>
          </cell>
          <cell r="M801">
            <v>2521.8843287808018</v>
          </cell>
          <cell r="N801" t="str">
            <v>Si Compra</v>
          </cell>
          <cell r="O801">
            <v>10</v>
          </cell>
          <cell r="P801">
            <v>69209.525363747118</v>
          </cell>
          <cell r="Q801">
            <v>6920.9525363747116</v>
          </cell>
          <cell r="R801">
            <v>6090.7928087807595</v>
          </cell>
          <cell r="T801"/>
          <cell r="U801"/>
          <cell r="V801">
            <v>0.53062873580154213</v>
          </cell>
          <cell r="W801">
            <v>1.402285750976603E-4</v>
          </cell>
          <cell r="X801">
            <v>10</v>
          </cell>
          <cell r="Y801" t="str">
            <v>Potenciar</v>
          </cell>
        </row>
        <row r="802">
          <cell r="A802" t="str">
            <v>C774</v>
          </cell>
          <cell r="B802" t="str">
            <v>C774 - FARMACIA SAN FRANCISCO DE ASIS C.A.</v>
          </cell>
          <cell r="C802" t="str">
            <v>INDEPENDIENTE</v>
          </cell>
          <cell r="D802">
            <v>3</v>
          </cell>
          <cell r="E802"/>
          <cell r="F802" t="str">
            <v>ESTE</v>
          </cell>
          <cell r="G802" t="str">
            <v>ADOLFO GONZALEZ</v>
          </cell>
          <cell r="H802"/>
          <cell r="I802" t="str">
            <v>A8</v>
          </cell>
          <cell r="J802" t="str">
            <v>Activo</v>
          </cell>
          <cell r="K802">
            <v>36723.520066841207</v>
          </cell>
          <cell r="L802">
            <v>3672.3520066841206</v>
          </cell>
          <cell r="M802">
            <v>3273.0923868262671</v>
          </cell>
          <cell r="N802" t="str">
            <v>Si Compra</v>
          </cell>
          <cell r="O802">
            <v>10</v>
          </cell>
          <cell r="P802">
            <v>155501.50149271658</v>
          </cell>
          <cell r="Q802">
            <v>15550.150149271658</v>
          </cell>
          <cell r="R802">
            <v>19543.946215882475</v>
          </cell>
          <cell r="T802"/>
          <cell r="U802"/>
          <cell r="V802">
            <v>0.23616183582999856</v>
          </cell>
          <cell r="W802">
            <v>1.4022459296978709E-4</v>
          </cell>
          <cell r="X802">
            <v>9</v>
          </cell>
          <cell r="Y802" t="str">
            <v>Potenciar</v>
          </cell>
        </row>
        <row r="803">
          <cell r="A803" t="str">
            <v>C617</v>
          </cell>
          <cell r="B803" t="str">
            <v>C617 - FARMA EZE 1, C.A.</v>
          </cell>
          <cell r="C803" t="str">
            <v>INDEPENDIENTE</v>
          </cell>
          <cell r="D803">
            <v>3</v>
          </cell>
          <cell r="E803"/>
          <cell r="F803" t="str">
            <v>CARACAS</v>
          </cell>
          <cell r="G803" t="str">
            <v>JHON TORRES</v>
          </cell>
          <cell r="H803" t="str">
            <v>VICTOR</v>
          </cell>
          <cell r="I803" t="str">
            <v>C4</v>
          </cell>
          <cell r="J803" t="str">
            <v>Activo</v>
          </cell>
          <cell r="K803">
            <v>36707.093795189307</v>
          </cell>
          <cell r="L803">
            <v>3670.7093795189307</v>
          </cell>
          <cell r="M803">
            <v>3331.6652611987374</v>
          </cell>
          <cell r="N803" t="str">
            <v>Si Compra</v>
          </cell>
          <cell r="O803">
            <v>10</v>
          </cell>
          <cell r="P803">
            <v>1450191.4754332781</v>
          </cell>
          <cell r="Q803">
            <v>145019.14754332782</v>
          </cell>
          <cell r="R803">
            <v>155965.34411214569</v>
          </cell>
          <cell r="T803"/>
          <cell r="U803"/>
          <cell r="V803">
            <v>2.5311894613242167E-2</v>
          </cell>
          <cell r="W803">
            <v>1.4016187111599404E-4</v>
          </cell>
          <cell r="X803">
            <v>10</v>
          </cell>
          <cell r="Y803" t="str">
            <v>Conquistar</v>
          </cell>
        </row>
        <row r="804">
          <cell r="A804" t="str">
            <v>7021</v>
          </cell>
          <cell r="B804" t="str">
            <v>7021 - FARMALUC 2099,C.A.</v>
          </cell>
          <cell r="C804" t="str">
            <v>INDEPENDIENTE</v>
          </cell>
          <cell r="D804">
            <v>2</v>
          </cell>
          <cell r="E804"/>
          <cell r="F804" t="str">
            <v>CARACAS</v>
          </cell>
          <cell r="G804" t="str">
            <v>MAIRE ACOSTA FERNANDEZ</v>
          </cell>
          <cell r="H804"/>
          <cell r="I804" t="str">
            <v>C9</v>
          </cell>
          <cell r="J804" t="str">
            <v>Activo</v>
          </cell>
          <cell r="K804">
            <v>36619.517364572705</v>
          </cell>
          <cell r="L804">
            <v>5231.359623510386</v>
          </cell>
          <cell r="M804">
            <v>4400.4540056046271</v>
          </cell>
          <cell r="N804" t="str">
            <v>Si Compra</v>
          </cell>
          <cell r="O804">
            <v>7</v>
          </cell>
          <cell r="P804">
            <v>51513.480775288575</v>
          </cell>
          <cell r="Q804">
            <v>7359.0686821840818</v>
          </cell>
          <cell r="R804">
            <v>10329.374362901681</v>
          </cell>
          <cell r="T804"/>
          <cell r="U804"/>
          <cell r="V804">
            <v>0.71087250974776639</v>
          </cell>
          <cell r="W804">
            <v>1.9975352922327322E-4</v>
          </cell>
          <cell r="X804">
            <v>7</v>
          </cell>
          <cell r="Y804" t="str">
            <v>Proteger</v>
          </cell>
        </row>
        <row r="805">
          <cell r="A805" t="str">
            <v>D470</v>
          </cell>
          <cell r="B805" t="str">
            <v>DERVIS BERMUDEZ</v>
          </cell>
          <cell r="C805" t="str">
            <v>GRUPO</v>
          </cell>
          <cell r="D805">
            <v>6</v>
          </cell>
          <cell r="E805">
            <v>0</v>
          </cell>
          <cell r="F805" t="str">
            <v>ESTE</v>
          </cell>
          <cell r="G805" t="str">
            <v>JOSE RAMIREZ</v>
          </cell>
          <cell r="H805" t="str">
            <v>HECTOR</v>
          </cell>
          <cell r="I805" t="str">
            <v>A4</v>
          </cell>
          <cell r="J805" t="str">
            <v>Activo</v>
          </cell>
          <cell r="K805">
            <v>36550.441661263874</v>
          </cell>
          <cell r="L805">
            <v>3655.0441661263876</v>
          </cell>
          <cell r="M805">
            <v>4595.6314600517371</v>
          </cell>
          <cell r="N805" t="str">
            <v>Si Compra</v>
          </cell>
          <cell r="O805">
            <v>10</v>
          </cell>
          <cell r="P805">
            <v>226730.81714354665</v>
          </cell>
          <cell r="Q805">
            <v>22673.081714354666</v>
          </cell>
          <cell r="R805">
            <v>24654.5046</v>
          </cell>
          <cell r="S805">
            <v>20000</v>
          </cell>
          <cell r="T805">
            <v>4</v>
          </cell>
          <cell r="U805">
            <v>4</v>
          </cell>
          <cell r="V805">
            <v>0.16120632440592866</v>
          </cell>
          <cell r="W805">
            <v>1.3956371272383665E-4</v>
          </cell>
          <cell r="X805">
            <v>10</v>
          </cell>
          <cell r="Y805" t="str">
            <v>Conquistar</v>
          </cell>
        </row>
        <row r="806">
          <cell r="A806" t="str">
            <v>M146</v>
          </cell>
          <cell r="B806" t="str">
            <v>M146 - FARMACIA FARMAQUIN VALENCIA C.A.</v>
          </cell>
          <cell r="C806" t="str">
            <v>INDEPENDIENTE</v>
          </cell>
          <cell r="D806">
            <v>3</v>
          </cell>
          <cell r="F806" t="str">
            <v>CENTRO ESTE</v>
          </cell>
          <cell r="G806" t="str">
            <v>ELIANA PERAZA</v>
          </cell>
          <cell r="H806"/>
          <cell r="I806" t="str">
            <v>M</v>
          </cell>
          <cell r="J806" t="str">
            <v>Activo</v>
          </cell>
          <cell r="K806">
            <v>36483.996080280725</v>
          </cell>
          <cell r="L806">
            <v>3648.3996080280726</v>
          </cell>
          <cell r="M806">
            <v>3454.740323346346</v>
          </cell>
          <cell r="N806" t="str">
            <v>Si Compra</v>
          </cell>
          <cell r="O806">
            <v>10</v>
          </cell>
          <cell r="P806">
            <v>45497.364065575908</v>
          </cell>
          <cell r="Q806">
            <v>4549.7364065575912</v>
          </cell>
          <cell r="R806">
            <v>4216.7178472601436</v>
          </cell>
          <cell r="V806">
            <v>0.80189252343709172</v>
          </cell>
          <cell r="W806">
            <v>1.3930999781494325E-4</v>
          </cell>
          <cell r="X806">
            <v>10</v>
          </cell>
          <cell r="Y806" t="str">
            <v>Proteger</v>
          </cell>
        </row>
        <row r="807">
          <cell r="A807">
            <v>0</v>
          </cell>
          <cell r="B807" t="str">
            <v>D840 - FARMACIA LUCIA´S, C.A.</v>
          </cell>
          <cell r="C807" t="str">
            <v>INDEPENDIENTE</v>
          </cell>
          <cell r="D807">
            <v>0</v>
          </cell>
          <cell r="E807"/>
          <cell r="F807" t="str">
            <v>ANDES</v>
          </cell>
          <cell r="G807" t="str">
            <v>RAYNE ANDREINA NAVA</v>
          </cell>
          <cell r="H807" t="str">
            <v>VICTOR</v>
          </cell>
          <cell r="I807" t="str">
            <v>G1</v>
          </cell>
          <cell r="J807" t="str">
            <v>Inactivo</v>
          </cell>
          <cell r="K807">
            <v>36476.092836904863</v>
          </cell>
          <cell r="L807">
            <v>3647.6092836904863</v>
          </cell>
          <cell r="M807">
            <v>3329.6650419372622</v>
          </cell>
          <cell r="N807" t="str">
            <v>Si Compra</v>
          </cell>
          <cell r="O807">
            <v>10</v>
          </cell>
          <cell r="P807">
            <v>185224.07992674178</v>
          </cell>
          <cell r="Q807">
            <v>18522.407992674176</v>
          </cell>
          <cell r="R807">
            <v>25622.687759724755</v>
          </cell>
          <cell r="T807"/>
          <cell r="U807"/>
          <cell r="V807">
            <v>0.19692953989206791</v>
          </cell>
          <cell r="W807">
            <v>1.3927982017719216E-4</v>
          </cell>
          <cell r="X807">
            <v>10</v>
          </cell>
          <cell r="Y807" t="str">
            <v>Conquistar</v>
          </cell>
        </row>
        <row r="808">
          <cell r="A808" t="str">
            <v>3668</v>
          </cell>
          <cell r="B808" t="str">
            <v>3668 - FARMACIA LA FUNDACION,C.A</v>
          </cell>
          <cell r="C808" t="str">
            <v>INDEPENDIENTE</v>
          </cell>
          <cell r="D808">
            <v>3</v>
          </cell>
          <cell r="E808"/>
          <cell r="F808" t="str">
            <v>CENTRO ESTE</v>
          </cell>
          <cell r="G808" t="str">
            <v>LAURA FLORES</v>
          </cell>
          <cell r="H808"/>
          <cell r="I808" t="str">
            <v>-</v>
          </cell>
          <cell r="J808" t="str">
            <v>Activo</v>
          </cell>
          <cell r="K808">
            <v>36471.973730447076</v>
          </cell>
          <cell r="L808">
            <v>3647.1973730447075</v>
          </cell>
          <cell r="M808">
            <v>3325.8450123428133</v>
          </cell>
          <cell r="N808" t="str">
            <v>Si Compra</v>
          </cell>
          <cell r="O808">
            <v>10</v>
          </cell>
          <cell r="P808">
            <v>75392.594923614335</v>
          </cell>
          <cell r="Q808">
            <v>7539.2594923614333</v>
          </cell>
          <cell r="R808">
            <v>7015.6733456577376</v>
          </cell>
          <cell r="T808"/>
          <cell r="U808"/>
          <cell r="V808">
            <v>0.48376068985819443</v>
          </cell>
          <cell r="W808">
            <v>1.3926409183673375E-4</v>
          </cell>
          <cell r="X808">
            <v>10</v>
          </cell>
          <cell r="Y808" t="str">
            <v>Potenciar</v>
          </cell>
        </row>
        <row r="809">
          <cell r="A809" t="str">
            <v>9910</v>
          </cell>
          <cell r="B809" t="str">
            <v>9910 - FARMACIA BOLIVARIANA C.A</v>
          </cell>
          <cell r="C809" t="str">
            <v>INDEPENDIENTE</v>
          </cell>
          <cell r="D809">
            <v>3</v>
          </cell>
          <cell r="E809"/>
          <cell r="F809" t="str">
            <v>CENTRO ESTE</v>
          </cell>
          <cell r="G809" t="str">
            <v>MARCOS CRUCES</v>
          </cell>
          <cell r="H809"/>
          <cell r="I809" t="str">
            <v>$</v>
          </cell>
          <cell r="J809" t="str">
            <v>Activo</v>
          </cell>
          <cell r="K809">
            <v>36460.894492288113</v>
          </cell>
          <cell r="L809">
            <v>3646.0894492288112</v>
          </cell>
          <cell r="M809">
            <v>3409.1438346778086</v>
          </cell>
          <cell r="N809" t="str">
            <v>Si Compra</v>
          </cell>
          <cell r="O809">
            <v>10</v>
          </cell>
          <cell r="P809">
            <v>49131.830837442161</v>
          </cell>
          <cell r="Q809">
            <v>4913.1830837442158</v>
          </cell>
          <cell r="R809">
            <v>4597.8797668110974</v>
          </cell>
          <cell r="T809"/>
          <cell r="U809"/>
          <cell r="V809">
            <v>0.74210331410044184</v>
          </cell>
          <cell r="W809">
            <v>1.3922178702340353E-4</v>
          </cell>
          <cell r="X809">
            <v>10</v>
          </cell>
          <cell r="Y809" t="str">
            <v>Proteger</v>
          </cell>
        </row>
        <row r="810">
          <cell r="A810" t="str">
            <v>1370</v>
          </cell>
          <cell r="B810" t="str">
            <v>1370 - FARMACIA CIUDAD DE MARACAIBO, C.A.</v>
          </cell>
          <cell r="C810" t="str">
            <v>INDEPENDIENTE</v>
          </cell>
          <cell r="D810">
            <v>3</v>
          </cell>
          <cell r="E810"/>
          <cell r="F810" t="str">
            <v>MARACAIBO</v>
          </cell>
          <cell r="G810" t="str">
            <v>JOEL JIMENEZ</v>
          </cell>
          <cell r="H810"/>
          <cell r="I810" t="str">
            <v>D</v>
          </cell>
          <cell r="J810" t="str">
            <v>Activo</v>
          </cell>
          <cell r="K810">
            <v>36381.401350911481</v>
          </cell>
          <cell r="L810">
            <v>3638.1401350911483</v>
          </cell>
          <cell r="M810">
            <v>3535.6580695056637</v>
          </cell>
          <cell r="N810" t="str">
            <v>Si Compra</v>
          </cell>
          <cell r="O810">
            <v>10</v>
          </cell>
          <cell r="P810">
            <v>78576.553154258741</v>
          </cell>
          <cell r="Q810">
            <v>7857.6553154258745</v>
          </cell>
          <cell r="R810">
            <v>7086.459840719338</v>
          </cell>
          <cell r="T810"/>
          <cell r="U810"/>
          <cell r="V810">
            <v>0.46300581904488464</v>
          </cell>
          <cell r="W810">
            <v>1.3891825148614734E-4</v>
          </cell>
          <cell r="X810">
            <v>10</v>
          </cell>
          <cell r="Y810" t="str">
            <v>Potenciar</v>
          </cell>
        </row>
        <row r="811">
          <cell r="A811" t="str">
            <v>C102</v>
          </cell>
          <cell r="B811" t="str">
            <v>FARMACIAS MAELO</v>
          </cell>
          <cell r="C811" t="str">
            <v>GRUPO</v>
          </cell>
          <cell r="D811">
            <v>6</v>
          </cell>
          <cell r="E811"/>
          <cell r="F811" t="str">
            <v>CENTRO OESTE</v>
          </cell>
          <cell r="H811"/>
          <cell r="I811"/>
          <cell r="J811" t="str">
            <v>Inactivo</v>
          </cell>
          <cell r="K811">
            <v>36337.825542931154</v>
          </cell>
          <cell r="L811">
            <v>4542.2281928663942</v>
          </cell>
          <cell r="M811">
            <v>3589.1952833846358</v>
          </cell>
          <cell r="N811" t="str">
            <v>Si Compra</v>
          </cell>
          <cell r="O811">
            <v>8</v>
          </cell>
          <cell r="P811">
            <v>62871.110610999916</v>
          </cell>
          <cell r="Q811">
            <v>7858.8888263749895</v>
          </cell>
          <cell r="R811">
            <v>5388.0285490727856</v>
          </cell>
          <cell r="S811"/>
          <cell r="T811"/>
          <cell r="U811"/>
          <cell r="V811">
            <v>0.57797333608058599</v>
          </cell>
          <cell r="W811">
            <v>1.7343982776195992E-4</v>
          </cell>
          <cell r="X811">
            <v>8</v>
          </cell>
          <cell r="Y811" t="str">
            <v>Potenciar</v>
          </cell>
        </row>
        <row r="812">
          <cell r="A812" t="str">
            <v>A736</v>
          </cell>
          <cell r="B812" t="str">
            <v>A736 - FARMACIA ANIER, C.A.</v>
          </cell>
          <cell r="C812" t="str">
            <v>INDEPENDIENTE</v>
          </cell>
          <cell r="D812">
            <v>3</v>
          </cell>
          <cell r="E812"/>
          <cell r="F812" t="str">
            <v>CENTRO ESTE</v>
          </cell>
          <cell r="G812" t="str">
            <v>KARLA SALAZAR</v>
          </cell>
          <cell r="H812"/>
          <cell r="I812" t="str">
            <v>H</v>
          </cell>
          <cell r="J812" t="str">
            <v>Activo</v>
          </cell>
          <cell r="K812">
            <v>36314.740725817901</v>
          </cell>
          <cell r="L812">
            <v>3631.4740725817901</v>
          </cell>
          <cell r="M812">
            <v>2100.1540195564849</v>
          </cell>
          <cell r="N812" t="str">
            <v>Si Compra</v>
          </cell>
          <cell r="O812">
            <v>10</v>
          </cell>
          <cell r="P812">
            <v>46223.488365788471</v>
          </cell>
          <cell r="Q812">
            <v>4622.3488365788471</v>
          </cell>
          <cell r="R812">
            <v>3356.3181471534845</v>
          </cell>
          <cell r="T812"/>
          <cell r="U812"/>
          <cell r="V812">
            <v>0.78563392789488473</v>
          </cell>
          <cell r="W812">
            <v>1.3866371545572746E-4</v>
          </cell>
          <cell r="X812">
            <v>10</v>
          </cell>
          <cell r="Y812" t="str">
            <v>Proteger</v>
          </cell>
        </row>
        <row r="813">
          <cell r="A813" t="str">
            <v>E220</v>
          </cell>
          <cell r="B813" t="str">
            <v>E220 - FARMACIA MI CHINITA M &amp; V, C.A.</v>
          </cell>
          <cell r="C813" t="str">
            <v>INDEPENDIENTE</v>
          </cell>
          <cell r="D813">
            <v>3</v>
          </cell>
          <cell r="F813" t="str">
            <v>MARACAIBO</v>
          </cell>
          <cell r="G813">
            <v>0</v>
          </cell>
          <cell r="H813"/>
          <cell r="I813" t="str">
            <v>D</v>
          </cell>
          <cell r="J813" t="str">
            <v>Activo</v>
          </cell>
          <cell r="K813">
            <v>36299.341993270114</v>
          </cell>
          <cell r="L813">
            <v>4537.4177491587643</v>
          </cell>
          <cell r="M813">
            <v>3980.7304333333327</v>
          </cell>
          <cell r="N813" t="str">
            <v>Si Compra</v>
          </cell>
          <cell r="O813">
            <v>8</v>
          </cell>
          <cell r="P813">
            <v>0</v>
          </cell>
          <cell r="Q813">
            <v>0</v>
          </cell>
          <cell r="R813">
            <v>0</v>
          </cell>
          <cell r="V813">
            <v>0</v>
          </cell>
          <cell r="W813">
            <v>1.732561464292122E-4</v>
          </cell>
          <cell r="X813">
            <v>0</v>
          </cell>
          <cell r="Y813" t="str">
            <v>Conquistar</v>
          </cell>
        </row>
        <row r="814">
          <cell r="A814" t="str">
            <v>A819</v>
          </cell>
          <cell r="B814" t="str">
            <v>A819 - FARMACIA WOLGREENS, C.A.</v>
          </cell>
          <cell r="C814" t="str">
            <v>INDEPENDIENTE</v>
          </cell>
          <cell r="D814">
            <v>3</v>
          </cell>
          <cell r="E814"/>
          <cell r="F814" t="str">
            <v>ANDES</v>
          </cell>
          <cell r="G814" t="str">
            <v>ZULAY PARRA</v>
          </cell>
          <cell r="H814"/>
          <cell r="I814" t="str">
            <v>5</v>
          </cell>
          <cell r="J814" t="str">
            <v>Activo</v>
          </cell>
          <cell r="K814">
            <v>36243.344142355614</v>
          </cell>
          <cell r="L814">
            <v>3624.3344142355613</v>
          </cell>
          <cell r="M814">
            <v>3271.2290136121333</v>
          </cell>
          <cell r="N814" t="str">
            <v>Si Compra</v>
          </cell>
          <cell r="O814">
            <v>10</v>
          </cell>
          <cell r="P814">
            <v>58927.033179891703</v>
          </cell>
          <cell r="Q814">
            <v>5892.7033179891705</v>
          </cell>
          <cell r="R814">
            <v>3902.6676948902746</v>
          </cell>
          <cell r="T814"/>
          <cell r="U814"/>
          <cell r="V814">
            <v>0.61505462241264364</v>
          </cell>
          <cell r="W814">
            <v>1.383910957058448E-4</v>
          </cell>
          <cell r="X814">
            <v>10</v>
          </cell>
          <cell r="Y814" t="str">
            <v>Proteger</v>
          </cell>
        </row>
        <row r="815">
          <cell r="A815" t="str">
            <v>8763</v>
          </cell>
          <cell r="B815" t="str">
            <v>8763 - FARMACIA SAN LUIS REDENTOR  DE LUIS ENRIQUE CUELLAR HERNANDEZ</v>
          </cell>
          <cell r="C815" t="str">
            <v>INDEPENDIENTE</v>
          </cell>
          <cell r="D815">
            <v>2</v>
          </cell>
          <cell r="E815"/>
          <cell r="F815" t="str">
            <v>ANDES</v>
          </cell>
          <cell r="G815" t="str">
            <v>ANYERSSON TORRES</v>
          </cell>
          <cell r="H815"/>
          <cell r="I815" t="str">
            <v>4</v>
          </cell>
          <cell r="J815" t="str">
            <v>Activo</v>
          </cell>
          <cell r="K815">
            <v>36212.977433773383</v>
          </cell>
          <cell r="L815">
            <v>9053.2443584433458</v>
          </cell>
          <cell r="M815">
            <v>8217.0295499999993</v>
          </cell>
          <cell r="N815" t="str">
            <v>Si Compra</v>
          </cell>
          <cell r="O815">
            <v>4</v>
          </cell>
          <cell r="P815">
            <v>38197.067078514992</v>
          </cell>
          <cell r="Q815">
            <v>9549.2667696287481</v>
          </cell>
          <cell r="R815">
            <v>8776.0882000000001</v>
          </cell>
          <cell r="T815"/>
          <cell r="U815"/>
          <cell r="V815">
            <v>0.94805649238295531</v>
          </cell>
          <cell r="W815">
            <v>3.4568785968995352E-4</v>
          </cell>
          <cell r="X815">
            <v>4</v>
          </cell>
          <cell r="Y815" t="str">
            <v>Proteger</v>
          </cell>
        </row>
        <row r="816">
          <cell r="A816" t="str">
            <v>-144</v>
          </cell>
          <cell r="B816" t="str">
            <v>-144 - FARMACIA POPULAR GRACIAS ELEGUA,C.A.</v>
          </cell>
          <cell r="C816" t="str">
            <v>INDEPENDIENTE</v>
          </cell>
          <cell r="D816">
            <v>2</v>
          </cell>
          <cell r="E816"/>
          <cell r="F816" t="str">
            <v>CARACAS</v>
          </cell>
          <cell r="G816" t="str">
            <v>RAMON SERRANO</v>
          </cell>
          <cell r="H816"/>
          <cell r="I816" t="str">
            <v>C6</v>
          </cell>
          <cell r="J816" t="str">
            <v>Suspendido</v>
          </cell>
          <cell r="K816">
            <v>35885.813313166342</v>
          </cell>
          <cell r="L816">
            <v>5126.5447590237627</v>
          </cell>
          <cell r="M816">
            <v>6362.6147000000001</v>
          </cell>
          <cell r="N816" t="str">
            <v>Si Compra</v>
          </cell>
          <cell r="O816">
            <v>7</v>
          </cell>
          <cell r="P816">
            <v>33343.536122784441</v>
          </cell>
          <cell r="Q816">
            <v>4763.3623032549203</v>
          </cell>
          <cell r="R816">
            <v>4715.8274000000001</v>
          </cell>
          <cell r="T816"/>
          <cell r="U816"/>
          <cell r="V816">
            <v>1.0762449783676271</v>
          </cell>
          <cell r="W816">
            <v>1.9575129259588329E-4</v>
          </cell>
          <cell r="X816">
            <v>7</v>
          </cell>
          <cell r="Y816" t="str">
            <v>Proteger</v>
          </cell>
        </row>
        <row r="817">
          <cell r="A817">
            <v>0</v>
          </cell>
          <cell r="B817" t="str">
            <v>S363 - FARMACIA RIO II 13 C.A</v>
          </cell>
          <cell r="C817" t="e">
            <v>#N/A</v>
          </cell>
          <cell r="D817">
            <v>0</v>
          </cell>
          <cell r="E817"/>
          <cell r="F817" t="str">
            <v>CARACAS</v>
          </cell>
          <cell r="G817" t="str">
            <v>MAIRE ACOSTA FERNANDEZ</v>
          </cell>
          <cell r="H817"/>
          <cell r="I817" t="str">
            <v>C9</v>
          </cell>
          <cell r="J817" t="str">
            <v>Permiso</v>
          </cell>
          <cell r="K817">
            <v>35845.916774713187</v>
          </cell>
          <cell r="L817">
            <v>4480.7395968391484</v>
          </cell>
          <cell r="M817">
            <v>5304.8508000000002</v>
          </cell>
          <cell r="N817" t="str">
            <v>Si Compra</v>
          </cell>
          <cell r="O817">
            <v>8</v>
          </cell>
          <cell r="P817">
            <v>60987.417539467962</v>
          </cell>
          <cell r="Q817">
            <v>7623.4271924334953</v>
          </cell>
          <cell r="R817">
            <v>7041.6318666666675</v>
          </cell>
          <cell r="T817"/>
          <cell r="U817"/>
          <cell r="V817">
            <v>0.58775921691577659</v>
          </cell>
          <cell r="W817">
            <v>1.7109195551700334E-4</v>
          </cell>
          <cell r="X817">
            <v>8</v>
          </cell>
          <cell r="Y817" t="str">
            <v>Potenciar</v>
          </cell>
        </row>
        <row r="818">
          <cell r="A818" t="str">
            <v>D871</v>
          </cell>
          <cell r="B818" t="str">
            <v>D871 - 3MARJ SALUD 2020, C.A</v>
          </cell>
          <cell r="C818" t="str">
            <v>INDEPENDIENTE</v>
          </cell>
          <cell r="D818">
            <v>3</v>
          </cell>
          <cell r="E818"/>
          <cell r="F818" t="str">
            <v>CARACAS</v>
          </cell>
          <cell r="G818" t="str">
            <v>RAMON SERRANO</v>
          </cell>
          <cell r="H818"/>
          <cell r="I818" t="str">
            <v>CB</v>
          </cell>
          <cell r="J818" t="str">
            <v>Activo</v>
          </cell>
          <cell r="K818">
            <v>35744.009826941656</v>
          </cell>
          <cell r="L818">
            <v>3574.4009826941656</v>
          </cell>
          <cell r="M818">
            <v>3126.7682778898343</v>
          </cell>
          <cell r="N818" t="str">
            <v>Si Compra</v>
          </cell>
          <cell r="O818">
            <v>10</v>
          </cell>
          <cell r="P818">
            <v>62847.538181066557</v>
          </cell>
          <cell r="Q818">
            <v>6284.7538181066557</v>
          </cell>
          <cell r="R818">
            <v>3054.3983961893045</v>
          </cell>
          <cell r="T818"/>
          <cell r="U818"/>
          <cell r="V818">
            <v>0.56874160645658978</v>
          </cell>
          <cell r="W818">
            <v>1.3648444430076906E-4</v>
          </cell>
          <cell r="X818">
            <v>10</v>
          </cell>
          <cell r="Y818" t="str">
            <v>Potenciar</v>
          </cell>
        </row>
        <row r="819">
          <cell r="A819" t="str">
            <v>0464</v>
          </cell>
          <cell r="B819" t="str">
            <v>0464 - FARMACIA PAEZ TACHIRA,C.A.</v>
          </cell>
          <cell r="C819" t="str">
            <v>INDEPENDIENTE</v>
          </cell>
          <cell r="D819">
            <v>3</v>
          </cell>
          <cell r="E819"/>
          <cell r="F819" t="str">
            <v>ANDES</v>
          </cell>
          <cell r="G819" t="str">
            <v>ANYERSSON TORRES</v>
          </cell>
          <cell r="H819"/>
          <cell r="I819" t="str">
            <v>4</v>
          </cell>
          <cell r="J819" t="str">
            <v>Activo</v>
          </cell>
          <cell r="K819">
            <v>35705.15439548553</v>
          </cell>
          <cell r="L819">
            <v>3570.5154395485529</v>
          </cell>
          <cell r="M819">
            <v>3255.1114970737599</v>
          </cell>
          <cell r="N819" t="str">
            <v>Si Compra</v>
          </cell>
          <cell r="O819">
            <v>10</v>
          </cell>
          <cell r="P819">
            <v>37303.182488195125</v>
          </cell>
          <cell r="Q819">
            <v>4144.7980542439027</v>
          </cell>
          <cell r="R819">
            <v>3245.6839511306171</v>
          </cell>
          <cell r="T819"/>
          <cell r="U819"/>
          <cell r="V819">
            <v>0.86144497097817929</v>
          </cell>
          <cell r="W819">
            <v>1.3633607924614784E-4</v>
          </cell>
          <cell r="X819">
            <v>9</v>
          </cell>
          <cell r="Y819" t="str">
            <v>Proteger</v>
          </cell>
        </row>
        <row r="820">
          <cell r="A820" t="str">
            <v>E317</v>
          </cell>
          <cell r="B820" t="str">
            <v>E317 - FARMABIO24, C.A.</v>
          </cell>
          <cell r="C820" t="e">
            <v>#N/A</v>
          </cell>
          <cell r="D820">
            <v>3</v>
          </cell>
          <cell r="F820" t="str">
            <v>CENTRO ESTE</v>
          </cell>
          <cell r="G820">
            <v>0</v>
          </cell>
          <cell r="H820"/>
          <cell r="I820" t="str">
            <v>AV</v>
          </cell>
          <cell r="J820" t="str">
            <v>Activo</v>
          </cell>
          <cell r="K820">
            <v>35680.121406551858</v>
          </cell>
          <cell r="L820">
            <v>7136.0242813103714</v>
          </cell>
          <cell r="M820">
            <v>5922.4967875077382</v>
          </cell>
          <cell r="N820" t="str">
            <v>Si Compra</v>
          </cell>
          <cell r="O820">
            <v>5</v>
          </cell>
          <cell r="P820">
            <v>0</v>
          </cell>
          <cell r="Q820">
            <v>0</v>
          </cell>
          <cell r="R820">
            <v>0</v>
          </cell>
          <cell r="V820">
            <v>0</v>
          </cell>
          <cell r="W820">
            <v>2.7248098723868752E-4</v>
          </cell>
          <cell r="X820">
            <v>0</v>
          </cell>
          <cell r="Y820" t="str">
            <v>Conquistar</v>
          </cell>
        </row>
        <row r="821">
          <cell r="A821" t="str">
            <v>8000</v>
          </cell>
          <cell r="B821" t="str">
            <v>8000 - FARMACIA FARMA 40, C.A.</v>
          </cell>
          <cell r="C821" t="str">
            <v>INDEPENDIENTE</v>
          </cell>
          <cell r="D821">
            <v>3</v>
          </cell>
          <cell r="E821"/>
          <cell r="F821" t="str">
            <v>MARACAIBO</v>
          </cell>
          <cell r="G821" t="str">
            <v>YENNIFER LUZARDO</v>
          </cell>
          <cell r="H821"/>
          <cell r="I821" t="str">
            <v>B</v>
          </cell>
          <cell r="J821" t="str">
            <v>Activo</v>
          </cell>
          <cell r="K821">
            <v>35653.079528522743</v>
          </cell>
          <cell r="L821">
            <v>3565.3079528522744</v>
          </cell>
          <cell r="M821">
            <v>3183.4421874361069</v>
          </cell>
          <cell r="N821" t="str">
            <v>Si Compra</v>
          </cell>
          <cell r="O821">
            <v>10</v>
          </cell>
          <cell r="P821">
            <v>205855.74849386289</v>
          </cell>
          <cell r="Q821">
            <v>20585.574849386288</v>
          </cell>
          <cell r="R821">
            <v>14034.608118839338</v>
          </cell>
          <cell r="T821"/>
          <cell r="U821"/>
          <cell r="V821">
            <v>0.17319448103527532</v>
          </cell>
          <cell r="W821">
            <v>1.3613723727755328E-4</v>
          </cell>
          <cell r="X821">
            <v>10</v>
          </cell>
          <cell r="Y821" t="str">
            <v>Conquistar</v>
          </cell>
        </row>
        <row r="822">
          <cell r="A822" t="str">
            <v>8610</v>
          </cell>
          <cell r="B822" t="str">
            <v>CORPORACION GLOBAL</v>
          </cell>
          <cell r="C822" t="str">
            <v>GRUPO</v>
          </cell>
          <cell r="D822">
            <v>6</v>
          </cell>
          <cell r="E822"/>
          <cell r="F822" t="str">
            <v>ESTE</v>
          </cell>
          <cell r="H822"/>
          <cell r="I822"/>
          <cell r="J822" t="str">
            <v>Activo</v>
          </cell>
          <cell r="K822">
            <v>35622.606330963965</v>
          </cell>
          <cell r="L822">
            <v>3562.2606330963963</v>
          </cell>
          <cell r="M822">
            <v>1730.0949000000001</v>
          </cell>
          <cell r="N822" t="str">
            <v>Si Compra</v>
          </cell>
          <cell r="O822">
            <v>10</v>
          </cell>
          <cell r="P822">
            <v>261137.94075007801</v>
          </cell>
          <cell r="Q822">
            <v>26113.794075007801</v>
          </cell>
          <cell r="R822">
            <v>11367.444166666668</v>
          </cell>
          <cell r="S822"/>
          <cell r="T822"/>
          <cell r="U822"/>
          <cell r="V822">
            <v>0.13641298628856297</v>
          </cell>
          <cell r="W822">
            <v>1.3602087883162026E-4</v>
          </cell>
          <cell r="X822">
            <v>10</v>
          </cell>
          <cell r="Y822" t="str">
            <v>Conquistar</v>
          </cell>
        </row>
        <row r="823">
          <cell r="A823" t="str">
            <v>5543</v>
          </cell>
          <cell r="B823" t="str">
            <v>ROTARIA MILENIUM</v>
          </cell>
          <cell r="C823" t="str">
            <v>GRUPO</v>
          </cell>
          <cell r="D823">
            <v>6</v>
          </cell>
          <cell r="E823"/>
          <cell r="F823" t="str">
            <v>ANDES</v>
          </cell>
          <cell r="H823"/>
          <cell r="I823"/>
          <cell r="J823" t="str">
            <v>Activo</v>
          </cell>
          <cell r="K823">
            <v>35586.323136915409</v>
          </cell>
          <cell r="L823">
            <v>3558.6323136915407</v>
          </cell>
          <cell r="M823">
            <v>6549.7343995402725</v>
          </cell>
          <cell r="N823" t="str">
            <v>Si Compra</v>
          </cell>
          <cell r="O823">
            <v>10</v>
          </cell>
          <cell r="P823">
            <v>124893.45627902851</v>
          </cell>
          <cell r="Q823">
            <v>12489.345627902851</v>
          </cell>
          <cell r="R823">
            <v>11635.917630063339</v>
          </cell>
          <cell r="S823"/>
          <cell r="T823"/>
          <cell r="U823"/>
          <cell r="V823">
            <v>0.28493344805360221</v>
          </cell>
          <cell r="W823">
            <v>1.3588233557357087E-4</v>
          </cell>
          <cell r="X823">
            <v>10</v>
          </cell>
          <cell r="Y823" t="str">
            <v>Potenciar</v>
          </cell>
        </row>
        <row r="824">
          <cell r="A824" t="str">
            <v>E175</v>
          </cell>
          <cell r="B824" t="str">
            <v>FARMA 99 PLUS</v>
          </cell>
          <cell r="C824" t="str">
            <v>GRUPO</v>
          </cell>
          <cell r="D824">
            <v>4</v>
          </cell>
          <cell r="E824">
            <v>0</v>
          </cell>
          <cell r="F824" t="str">
            <v>MARACAIBO</v>
          </cell>
          <cell r="G824" t="str">
            <v/>
          </cell>
          <cell r="H824" t="str">
            <v>VICTOR</v>
          </cell>
          <cell r="I824">
            <v>0</v>
          </cell>
          <cell r="J824" t="str">
            <v>Activo</v>
          </cell>
          <cell r="K824">
            <v>35569.446885088844</v>
          </cell>
          <cell r="L824">
            <v>4446.1808606361055</v>
          </cell>
          <cell r="M824">
            <v>2843.5904061378064</v>
          </cell>
          <cell r="N824" t="str">
            <v>Si Compra</v>
          </cell>
          <cell r="O824">
            <v>8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1.6977236940194637E-4</v>
          </cell>
          <cell r="X824">
            <v>0</v>
          </cell>
          <cell r="Y824" t="str">
            <v>Conquistar</v>
          </cell>
        </row>
        <row r="825">
          <cell r="A825" t="str">
            <v>9366</v>
          </cell>
          <cell r="B825" t="str">
            <v>GRUPO ABUL MARACAIBO</v>
          </cell>
          <cell r="C825" t="str">
            <v>GRUPO</v>
          </cell>
          <cell r="D825">
            <v>6</v>
          </cell>
          <cell r="E825"/>
          <cell r="F825" t="str">
            <v>MARACAIBO</v>
          </cell>
          <cell r="H825"/>
          <cell r="I825"/>
          <cell r="J825" t="str">
            <v>Activo</v>
          </cell>
          <cell r="K825">
            <v>35520.360154513721</v>
          </cell>
          <cell r="L825">
            <v>3552.0360154513719</v>
          </cell>
          <cell r="M825">
            <v>4238.6444768519832</v>
          </cell>
          <cell r="N825" t="str">
            <v>Si Compra</v>
          </cell>
          <cell r="O825">
            <v>10</v>
          </cell>
          <cell r="P825">
            <v>0</v>
          </cell>
          <cell r="Q825">
            <v>0</v>
          </cell>
          <cell r="R825">
            <v>0</v>
          </cell>
          <cell r="S825"/>
          <cell r="T825"/>
          <cell r="U825"/>
          <cell r="V825">
            <v>0</v>
          </cell>
          <cell r="W825">
            <v>1.3563046341258207E-4</v>
          </cell>
          <cell r="X825">
            <v>0</v>
          </cell>
          <cell r="Y825" t="str">
            <v>Conquistar</v>
          </cell>
        </row>
        <row r="826">
          <cell r="A826" t="str">
            <v>E360</v>
          </cell>
          <cell r="B826" t="str">
            <v>E360 - FARMACIA FARMACOS OJEDA, C.A</v>
          </cell>
          <cell r="C826" t="e">
            <v>#N/A</v>
          </cell>
          <cell r="D826">
            <v>3</v>
          </cell>
          <cell r="F826" t="str">
            <v>MARACAIBO</v>
          </cell>
          <cell r="G826">
            <v>0</v>
          </cell>
          <cell r="H826"/>
          <cell r="I826" t="str">
            <v>S</v>
          </cell>
          <cell r="J826" t="str">
            <v>Activo</v>
          </cell>
          <cell r="K826">
            <v>35486.096441980553</v>
          </cell>
          <cell r="L826">
            <v>5914.3494069967592</v>
          </cell>
          <cell r="M826">
            <v>5232.2985333333336</v>
          </cell>
          <cell r="N826" t="str">
            <v>Si Compra</v>
          </cell>
          <cell r="O826">
            <v>6</v>
          </cell>
          <cell r="P826">
            <v>0</v>
          </cell>
          <cell r="Q826">
            <v>0</v>
          </cell>
          <cell r="R826">
            <v>0</v>
          </cell>
          <cell r="V826">
            <v>0</v>
          </cell>
          <cell r="W826">
            <v>2.2583271885912056E-4</v>
          </cell>
          <cell r="X826">
            <v>0</v>
          </cell>
          <cell r="Y826" t="str">
            <v>Conquistar</v>
          </cell>
        </row>
        <row r="827">
          <cell r="A827" t="str">
            <v>C974</v>
          </cell>
          <cell r="B827" t="str">
            <v>C974 - EXPENDIO DE MEDICINA LA PASTOREÑA C.A</v>
          </cell>
          <cell r="C827" t="str">
            <v>INDEPENDIENTE</v>
          </cell>
          <cell r="D827">
            <v>3</v>
          </cell>
          <cell r="E827"/>
          <cell r="F827" t="str">
            <v>CENTRO OESTE</v>
          </cell>
          <cell r="G827">
            <v>0</v>
          </cell>
          <cell r="H827"/>
          <cell r="I827" t="str">
            <v xml:space="preserve">A </v>
          </cell>
          <cell r="J827" t="str">
            <v>Activo</v>
          </cell>
          <cell r="K827">
            <v>35477.538387268374</v>
          </cell>
          <cell r="L827">
            <v>3547.7538387268373</v>
          </cell>
          <cell r="M827">
            <v>2829.1293840487901</v>
          </cell>
          <cell r="N827" t="str">
            <v>Si Compra</v>
          </cell>
          <cell r="O827">
            <v>10</v>
          </cell>
          <cell r="P827">
            <v>0</v>
          </cell>
          <cell r="Q827">
            <v>0</v>
          </cell>
          <cell r="R827">
            <v>0</v>
          </cell>
          <cell r="T827"/>
          <cell r="U827"/>
          <cell r="V827">
            <v>0</v>
          </cell>
          <cell r="W827">
            <v>1.3546695335495972E-4</v>
          </cell>
          <cell r="X827">
            <v>0</v>
          </cell>
          <cell r="Y827" t="str">
            <v>Conquistar</v>
          </cell>
        </row>
        <row r="828">
          <cell r="A828" t="str">
            <v>A866</v>
          </cell>
          <cell r="B828" t="str">
            <v>PRADA</v>
          </cell>
          <cell r="C828" t="str">
            <v>GRUPO</v>
          </cell>
          <cell r="D828">
            <v>2</v>
          </cell>
          <cell r="E828">
            <v>0</v>
          </cell>
          <cell r="F828" t="str">
            <v>ANDES</v>
          </cell>
          <cell r="G828" t="str">
            <v/>
          </cell>
          <cell r="H828" t="str">
            <v>VICTOR</v>
          </cell>
          <cell r="I828">
            <v>0</v>
          </cell>
          <cell r="J828" t="str">
            <v>Activo</v>
          </cell>
          <cell r="K828">
            <v>35400.462552893776</v>
          </cell>
          <cell r="L828">
            <v>5057.2089361276821</v>
          </cell>
          <cell r="M828">
            <v>3979.1014457782362</v>
          </cell>
          <cell r="N828" t="str">
            <v>Si Compra</v>
          </cell>
          <cell r="O828">
            <v>7</v>
          </cell>
          <cell r="P828">
            <v>323599.58322366176</v>
          </cell>
          <cell r="Q828">
            <v>46228.511889094538</v>
          </cell>
          <cell r="R828">
            <v>8348.6947</v>
          </cell>
          <cell r="S828">
            <v>0</v>
          </cell>
          <cell r="T828">
            <v>0</v>
          </cell>
          <cell r="U828">
            <v>0</v>
          </cell>
          <cell r="V828">
            <v>0.10939588425991914</v>
          </cell>
          <cell r="W828">
            <v>1.9310378290015372E-4</v>
          </cell>
          <cell r="X828">
            <v>7</v>
          </cell>
          <cell r="Y828" t="str">
            <v>Conquistar</v>
          </cell>
        </row>
        <row r="829">
          <cell r="A829" t="str">
            <v>B261</v>
          </cell>
          <cell r="B829" t="str">
            <v>B261 - FARMACARLOS, C.A.</v>
          </cell>
          <cell r="C829" t="str">
            <v>INDEPENDIENTE</v>
          </cell>
          <cell r="D829">
            <v>3</v>
          </cell>
          <cell r="E829"/>
          <cell r="F829" t="str">
            <v>CENTRO OESTE</v>
          </cell>
          <cell r="G829" t="str">
            <v>LUIS PLACERES</v>
          </cell>
          <cell r="H829"/>
          <cell r="I829" t="str">
            <v>E</v>
          </cell>
          <cell r="J829" t="str">
            <v>Activo</v>
          </cell>
          <cell r="K829">
            <v>35323.805701233228</v>
          </cell>
          <cell r="L829">
            <v>3532.3805701233227</v>
          </cell>
          <cell r="M829">
            <v>3416.0222906764466</v>
          </cell>
          <cell r="N829" t="str">
            <v>Si Compra</v>
          </cell>
          <cell r="O829">
            <v>10</v>
          </cell>
          <cell r="P829">
            <v>41235.84455957613</v>
          </cell>
          <cell r="Q829">
            <v>4123.5844559576126</v>
          </cell>
          <cell r="R829">
            <v>3411.6620873669003</v>
          </cell>
          <cell r="T829"/>
          <cell r="U829"/>
          <cell r="V829">
            <v>0.85662864623031088</v>
          </cell>
          <cell r="W829">
            <v>1.348799425431913E-4</v>
          </cell>
          <cell r="X829">
            <v>10</v>
          </cell>
          <cell r="Y829" t="str">
            <v>Proteger</v>
          </cell>
        </row>
        <row r="830">
          <cell r="A830" t="str">
            <v>4265</v>
          </cell>
          <cell r="B830" t="str">
            <v>4265 - FARMACIA YEMAYA, C.A.</v>
          </cell>
          <cell r="C830" t="str">
            <v>INDEPENDIENTE</v>
          </cell>
          <cell r="D830">
            <v>3</v>
          </cell>
          <cell r="E830"/>
          <cell r="F830" t="str">
            <v>ESTE</v>
          </cell>
          <cell r="G830" t="str">
            <v>PEDRO VIRE</v>
          </cell>
          <cell r="H830"/>
          <cell r="I830" t="str">
            <v>A7</v>
          </cell>
          <cell r="J830" t="str">
            <v>Activo</v>
          </cell>
          <cell r="K830">
            <v>35283.956374314941</v>
          </cell>
          <cell r="L830">
            <v>3528.3956374314939</v>
          </cell>
          <cell r="M830">
            <v>5888.2415666666666</v>
          </cell>
          <cell r="N830" t="str">
            <v>Si Compra</v>
          </cell>
          <cell r="O830">
            <v>9</v>
          </cell>
          <cell r="P830">
            <v>108380.15441287</v>
          </cell>
          <cell r="Q830">
            <v>10838.015441287</v>
          </cell>
          <cell r="R830">
            <v>23768.091866666669</v>
          </cell>
          <cell r="T830"/>
          <cell r="U830"/>
          <cell r="V830">
            <v>0.32555735471553282</v>
          </cell>
          <cell r="W830">
            <v>1.3472778241156266E-4</v>
          </cell>
          <cell r="X830">
            <v>9</v>
          </cell>
          <cell r="Y830" t="str">
            <v>Potenciar</v>
          </cell>
        </row>
        <row r="831">
          <cell r="A831" t="str">
            <v>Z4</v>
          </cell>
          <cell r="B831" t="str">
            <v>Z4 - OVIEDO QUERO,NEYLA C(FARMACIA NUEVA INDEPENDENCIA)</v>
          </cell>
          <cell r="C831" t="str">
            <v>INDEPENDIENTE</v>
          </cell>
          <cell r="D831">
            <v>3</v>
          </cell>
          <cell r="F831" t="str">
            <v>MARACAIBO</v>
          </cell>
          <cell r="G831" t="str">
            <v>MARIA FUSELLA</v>
          </cell>
          <cell r="H831"/>
          <cell r="I831" t="str">
            <v>BZ</v>
          </cell>
          <cell r="J831" t="str">
            <v>Activo</v>
          </cell>
          <cell r="K831">
            <v>35266.314733778279</v>
          </cell>
          <cell r="L831">
            <v>3526.6314733778281</v>
          </cell>
          <cell r="M831">
            <v>2731.5754333333334</v>
          </cell>
          <cell r="N831" t="str">
            <v>Si Compra</v>
          </cell>
          <cell r="O831">
            <v>10</v>
          </cell>
          <cell r="P831">
            <v>56504.704958596289</v>
          </cell>
          <cell r="Q831">
            <v>5650.4704958596285</v>
          </cell>
          <cell r="R831">
            <v>4798.1911666666665</v>
          </cell>
          <cell r="V831">
            <v>0.62413058805668675</v>
          </cell>
          <cell r="W831">
            <v>1.3466041980963699E-4</v>
          </cell>
          <cell r="X831">
            <v>10</v>
          </cell>
          <cell r="Y831" t="str">
            <v>Proteger</v>
          </cell>
        </row>
        <row r="832">
          <cell r="A832" t="str">
            <v>A5</v>
          </cell>
          <cell r="B832" t="str">
            <v>A5 - FARMACIA SAN JERONIMO C.A.</v>
          </cell>
          <cell r="C832" t="str">
            <v>INDEPENDIENTE</v>
          </cell>
          <cell r="D832">
            <v>3</v>
          </cell>
          <cell r="E832"/>
          <cell r="F832" t="str">
            <v>CENTRO ESTE</v>
          </cell>
          <cell r="G832" t="str">
            <v>WILLIBETTI GONZALEZ</v>
          </cell>
          <cell r="H832"/>
          <cell r="I832" t="str">
            <v>AG</v>
          </cell>
          <cell r="J832" t="str">
            <v>Activo</v>
          </cell>
          <cell r="K832">
            <v>35251.171965814305</v>
          </cell>
          <cell r="L832">
            <v>3525.1171965814306</v>
          </cell>
          <cell r="M832">
            <v>5604.8840700139444</v>
          </cell>
          <cell r="N832" t="str">
            <v>Si Compra</v>
          </cell>
          <cell r="O832">
            <v>10</v>
          </cell>
          <cell r="P832">
            <v>82986.882253953008</v>
          </cell>
          <cell r="Q832">
            <v>8298.6882253953008</v>
          </cell>
          <cell r="R832">
            <v>8193.7495818982843</v>
          </cell>
          <cell r="T832"/>
          <cell r="U832"/>
          <cell r="V832">
            <v>0.42478004967026156</v>
          </cell>
          <cell r="W832">
            <v>1.346025988689886E-4</v>
          </cell>
          <cell r="X832">
            <v>10</v>
          </cell>
          <cell r="Y832" t="str">
            <v>Potenciar</v>
          </cell>
        </row>
        <row r="833">
          <cell r="A833" t="str">
            <v>D784</v>
          </cell>
          <cell r="B833" t="str">
            <v>D784 - FARMACIA LEIVA C.A.</v>
          </cell>
          <cell r="C833" t="str">
            <v>INDEPENDIENTE</v>
          </cell>
          <cell r="D833">
            <v>3</v>
          </cell>
          <cell r="E833"/>
          <cell r="F833" t="str">
            <v>ESTE</v>
          </cell>
          <cell r="G833" t="str">
            <v>CARLOS BLONDELL</v>
          </cell>
          <cell r="H833"/>
          <cell r="I833" t="str">
            <v>A5</v>
          </cell>
          <cell r="J833" t="str">
            <v>Activo</v>
          </cell>
          <cell r="K833">
            <v>35216.755969793143</v>
          </cell>
          <cell r="L833">
            <v>3521.6755969793144</v>
          </cell>
          <cell r="M833">
            <v>3057.3497666666667</v>
          </cell>
          <cell r="N833" t="str">
            <v>Si Compra</v>
          </cell>
          <cell r="O833">
            <v>10</v>
          </cell>
          <cell r="P833">
            <v>42626.325791691459</v>
          </cell>
          <cell r="Q833">
            <v>4262.6325791691461</v>
          </cell>
          <cell r="R833">
            <v>3792.7257333333341</v>
          </cell>
          <cell r="T833"/>
          <cell r="U833"/>
          <cell r="V833">
            <v>0.82617385654799835</v>
          </cell>
          <cell r="W833">
            <v>1.3447118529466529E-4</v>
          </cell>
          <cell r="X833">
            <v>10</v>
          </cell>
          <cell r="Y833" t="str">
            <v>Proteger</v>
          </cell>
        </row>
        <row r="834">
          <cell r="A834" t="str">
            <v>2656</v>
          </cell>
          <cell r="B834" t="str">
            <v>2656 - FARMACIA BERMUDEZ, C.A.</v>
          </cell>
          <cell r="C834" t="str">
            <v>INDEPENDIENTE</v>
          </cell>
          <cell r="D834">
            <v>3</v>
          </cell>
          <cell r="E834"/>
          <cell r="F834" t="str">
            <v>ESTE</v>
          </cell>
          <cell r="G834" t="str">
            <v>CARLOS BLONDELL</v>
          </cell>
          <cell r="H834"/>
          <cell r="I834" t="str">
            <v>A5</v>
          </cell>
          <cell r="J834" t="str">
            <v>Activo</v>
          </cell>
          <cell r="K834">
            <v>35195.696850046312</v>
          </cell>
          <cell r="L834">
            <v>3519.5696850046311</v>
          </cell>
          <cell r="M834">
            <v>2535.1200666666664</v>
          </cell>
          <cell r="N834" t="str">
            <v>Si Compra</v>
          </cell>
          <cell r="O834">
            <v>10</v>
          </cell>
          <cell r="P834">
            <v>54570.344584677645</v>
          </cell>
          <cell r="Q834">
            <v>5457.0344584677641</v>
          </cell>
          <cell r="R834">
            <v>4499.9340333333339</v>
          </cell>
          <cell r="T834"/>
          <cell r="U834"/>
          <cell r="V834">
            <v>0.64496013572779642</v>
          </cell>
          <cell r="W834">
            <v>1.3439077343628606E-4</v>
          </cell>
          <cell r="X834">
            <v>10</v>
          </cell>
          <cell r="Y834" t="str">
            <v>Proteger</v>
          </cell>
        </row>
        <row r="835">
          <cell r="A835" t="str">
            <v>C027</v>
          </cell>
          <cell r="B835" t="str">
            <v>C027 - FARMACIA MAR, C.A.</v>
          </cell>
          <cell r="C835" t="str">
            <v>INDEPENDIENTE</v>
          </cell>
          <cell r="D835">
            <v>3</v>
          </cell>
          <cell r="E835"/>
          <cell r="F835" t="str">
            <v>ESTE</v>
          </cell>
          <cell r="G835" t="str">
            <v>IRAIDA RODRIGUEZ</v>
          </cell>
          <cell r="H835" t="str">
            <v>HECTOR</v>
          </cell>
          <cell r="I835" t="str">
            <v>AB</v>
          </cell>
          <cell r="J835" t="str">
            <v>Inactivo</v>
          </cell>
          <cell r="K835">
            <v>35146.099865393138</v>
          </cell>
          <cell r="L835">
            <v>3514.6099865393139</v>
          </cell>
          <cell r="M835">
            <v>4263.2903896268926</v>
          </cell>
          <cell r="N835" t="str">
            <v>Si Compra</v>
          </cell>
          <cell r="O835">
            <v>10</v>
          </cell>
          <cell r="P835">
            <v>401515.03976900794</v>
          </cell>
          <cell r="Q835">
            <v>40151.503976900793</v>
          </cell>
          <cell r="R835">
            <v>41447.857146296825</v>
          </cell>
          <cell r="T835"/>
          <cell r="U835"/>
          <cell r="V835">
            <v>8.7533707045227324E-2</v>
          </cell>
          <cell r="W835">
            <v>1.3420139298003184E-4</v>
          </cell>
          <cell r="X835">
            <v>10</v>
          </cell>
          <cell r="Y835" t="str">
            <v>Conquistar</v>
          </cell>
        </row>
        <row r="836">
          <cell r="A836" t="str">
            <v>D081</v>
          </cell>
          <cell r="B836" t="str">
            <v>D081 - FARMA DOLIMAR, C.A.</v>
          </cell>
          <cell r="C836" t="str">
            <v>INDEPENDIENTE</v>
          </cell>
          <cell r="D836">
            <v>3</v>
          </cell>
          <cell r="E836"/>
          <cell r="F836" t="str">
            <v>CENTRO OESTE</v>
          </cell>
          <cell r="G836">
            <v>0</v>
          </cell>
          <cell r="H836"/>
          <cell r="I836" t="str">
            <v>E</v>
          </cell>
          <cell r="J836" t="str">
            <v>Activo</v>
          </cell>
          <cell r="K836">
            <v>35082.306799999998</v>
          </cell>
          <cell r="L836">
            <v>3508.2306799999997</v>
          </cell>
          <cell r="M836">
            <v>3568.1275999999998</v>
          </cell>
          <cell r="N836" t="str">
            <v>Si Compra</v>
          </cell>
          <cell r="O836">
            <v>10</v>
          </cell>
          <cell r="P836">
            <v>0</v>
          </cell>
          <cell r="Q836">
            <v>0</v>
          </cell>
          <cell r="R836">
            <v>0</v>
          </cell>
          <cell r="T836"/>
          <cell r="U836"/>
          <cell r="V836">
            <v>0</v>
          </cell>
          <cell r="W836">
            <v>1.3395780640083774E-4</v>
          </cell>
          <cell r="X836">
            <v>0</v>
          </cell>
          <cell r="Y836" t="str">
            <v>Conquistar</v>
          </cell>
        </row>
        <row r="837">
          <cell r="A837">
            <v>0</v>
          </cell>
          <cell r="B837" t="str">
            <v>S315 - FARMACIA CIENCIAS MAUROA, C.A.</v>
          </cell>
          <cell r="C837" t="e">
            <v>#N/A</v>
          </cell>
          <cell r="D837">
            <v>0</v>
          </cell>
          <cell r="E837"/>
          <cell r="F837" t="str">
            <v>MARACAIBO</v>
          </cell>
          <cell r="G837" t="str">
            <v>MARIA FUSELLA</v>
          </cell>
          <cell r="H837"/>
          <cell r="I837" t="str">
            <v>BZ</v>
          </cell>
          <cell r="J837" t="str">
            <v>Activo</v>
          </cell>
          <cell r="K837">
            <v>35068.975899999998</v>
          </cell>
          <cell r="L837">
            <v>4383.6219874999997</v>
          </cell>
          <cell r="M837">
            <v>3055.5023666666671</v>
          </cell>
          <cell r="N837" t="str">
            <v>Si Compra</v>
          </cell>
          <cell r="O837">
            <v>8</v>
          </cell>
          <cell r="P837">
            <v>1067419.9944</v>
          </cell>
          <cell r="Q837">
            <v>133427.4993</v>
          </cell>
          <cell r="R837">
            <v>140423.60290000003</v>
          </cell>
          <cell r="T837"/>
          <cell r="U837"/>
          <cell r="V837">
            <v>3.2853961968093336E-2</v>
          </cell>
          <cell r="W837">
            <v>1.6738362984043583E-4</v>
          </cell>
          <cell r="X837">
            <v>8</v>
          </cell>
          <cell r="Y837" t="str">
            <v>Conquistar</v>
          </cell>
        </row>
        <row r="838">
          <cell r="A838" t="str">
            <v>C941</v>
          </cell>
          <cell r="B838" t="str">
            <v>C941 - FARMA TU BIENESTAR, C.A.</v>
          </cell>
          <cell r="C838" t="str">
            <v>INDEPENDIENTE</v>
          </cell>
          <cell r="D838">
            <v>3</v>
          </cell>
          <cell r="E838"/>
          <cell r="F838" t="str">
            <v>CENTRO ESTE</v>
          </cell>
          <cell r="G838" t="str">
            <v>MARCOS CRUCES</v>
          </cell>
          <cell r="H838"/>
          <cell r="I838" t="str">
            <v>$</v>
          </cell>
          <cell r="J838" t="str">
            <v>Inactivo</v>
          </cell>
          <cell r="K838">
            <v>35061.515188099918</v>
          </cell>
          <cell r="L838">
            <v>3506.151518809992</v>
          </cell>
          <cell r="M838">
            <v>2890.6170826763496</v>
          </cell>
          <cell r="N838" t="str">
            <v>Si Compra</v>
          </cell>
          <cell r="O838">
            <v>10</v>
          </cell>
          <cell r="P838">
            <v>76605.194100043387</v>
          </cell>
          <cell r="Q838">
            <v>7660.5194100043391</v>
          </cell>
          <cell r="R838">
            <v>6502.560378797617</v>
          </cell>
          <cell r="T838"/>
          <cell r="U838"/>
          <cell r="V838">
            <v>0.457691095231884</v>
          </cell>
          <cell r="W838">
            <v>1.338784159908071E-4</v>
          </cell>
          <cell r="X838">
            <v>10</v>
          </cell>
          <cell r="Y838" t="str">
            <v>Potenciar</v>
          </cell>
        </row>
        <row r="839">
          <cell r="A839" t="str">
            <v>6471</v>
          </cell>
          <cell r="B839" t="str">
            <v>6471 - FARMA MEDIC´S, C.A</v>
          </cell>
          <cell r="C839" t="str">
            <v>INDEPENDIENTE</v>
          </cell>
          <cell r="D839">
            <v>3</v>
          </cell>
          <cell r="E839"/>
          <cell r="F839" t="str">
            <v>ESTE</v>
          </cell>
          <cell r="G839" t="str">
            <v>CARMEN ALCALA</v>
          </cell>
          <cell r="H839"/>
          <cell r="I839" t="str">
            <v>A0</v>
          </cell>
          <cell r="J839" t="str">
            <v>Activo</v>
          </cell>
          <cell r="K839">
            <v>34997.174108047475</v>
          </cell>
          <cell r="L839">
            <v>3499.7174108047475</v>
          </cell>
          <cell r="M839">
            <v>1778.2505292064188</v>
          </cell>
          <cell r="N839" t="str">
            <v>Si Compra</v>
          </cell>
          <cell r="O839">
            <v>10</v>
          </cell>
          <cell r="P839">
            <v>107097.53819894412</v>
          </cell>
          <cell r="Q839">
            <v>10709.753819894413</v>
          </cell>
          <cell r="R839">
            <v>6061.4995592852274</v>
          </cell>
          <cell r="T839"/>
          <cell r="U839"/>
          <cell r="V839">
            <v>0.32677851140739395</v>
          </cell>
          <cell r="W839">
            <v>1.3363273687984039E-4</v>
          </cell>
          <cell r="X839">
            <v>10</v>
          </cell>
          <cell r="Y839" t="str">
            <v>Potenciar</v>
          </cell>
        </row>
        <row r="840">
          <cell r="A840" t="str">
            <v>9854</v>
          </cell>
          <cell r="B840" t="str">
            <v>9854 - FARMACIA LA VENCEDORA C.A</v>
          </cell>
          <cell r="C840" t="str">
            <v>INDEPENDIENTE</v>
          </cell>
          <cell r="D840">
            <v>3</v>
          </cell>
          <cell r="E840"/>
          <cell r="F840" t="str">
            <v>CENTRO OESTE</v>
          </cell>
          <cell r="G840" t="str">
            <v>YAMILEX LAMEDA</v>
          </cell>
          <cell r="H840"/>
          <cell r="I840" t="str">
            <v>Y1</v>
          </cell>
          <cell r="J840" t="str">
            <v>Activo</v>
          </cell>
          <cell r="K840">
            <v>34967.203143438681</v>
          </cell>
          <cell r="L840">
            <v>3496.7203143438683</v>
          </cell>
          <cell r="M840">
            <v>3316.8293787927541</v>
          </cell>
          <cell r="N840" t="str">
            <v>Si Compra</v>
          </cell>
          <cell r="O840">
            <v>10</v>
          </cell>
          <cell r="P840">
            <v>35752.762686003931</v>
          </cell>
          <cell r="Q840">
            <v>3575.276268600393</v>
          </cell>
          <cell r="R840">
            <v>3029.5860243814054</v>
          </cell>
          <cell r="T840"/>
          <cell r="U840"/>
          <cell r="V840">
            <v>0.97802800445200933</v>
          </cell>
          <cell r="W840">
            <v>1.3351829615341953E-4</v>
          </cell>
          <cell r="X840">
            <v>10</v>
          </cell>
          <cell r="Y840" t="str">
            <v>Proteger</v>
          </cell>
        </row>
        <row r="841">
          <cell r="A841" t="str">
            <v>6445</v>
          </cell>
          <cell r="B841" t="str">
            <v>6445 - FARMACIA VIDA PLENA,C.A</v>
          </cell>
          <cell r="C841" t="str">
            <v>INDEPENDIENTE</v>
          </cell>
          <cell r="D841">
            <v>3</v>
          </cell>
          <cell r="E841"/>
          <cell r="F841" t="str">
            <v>CENTRO OESTE</v>
          </cell>
          <cell r="G841" t="str">
            <v>DIEGO TORI</v>
          </cell>
          <cell r="H841"/>
          <cell r="I841" t="str">
            <v xml:space="preserve">A </v>
          </cell>
          <cell r="J841" t="str">
            <v>Activo</v>
          </cell>
          <cell r="K841">
            <v>34871.719612898545</v>
          </cell>
          <cell r="L841">
            <v>3487.1719612898546</v>
          </cell>
          <cell r="M841">
            <v>3517.978686746796</v>
          </cell>
          <cell r="N841" t="str">
            <v>Si Compra</v>
          </cell>
          <cell r="O841">
            <v>10</v>
          </cell>
          <cell r="P841">
            <v>100938.30066346709</v>
          </cell>
          <cell r="Q841">
            <v>10093.830066346709</v>
          </cell>
          <cell r="R841">
            <v>9050.5374327354803</v>
          </cell>
          <cell r="T841"/>
          <cell r="U841"/>
          <cell r="V841">
            <v>0.34547559631662966</v>
          </cell>
          <cell r="W841">
            <v>1.3315370313017616E-4</v>
          </cell>
          <cell r="X841">
            <v>10</v>
          </cell>
          <cell r="Y841" t="str">
            <v>Potenciar</v>
          </cell>
        </row>
        <row r="842">
          <cell r="A842" t="str">
            <v>C981</v>
          </cell>
          <cell r="B842" t="str">
            <v>C981 - FARMACIA PORTAL FARMA C.A.</v>
          </cell>
          <cell r="C842" t="str">
            <v>INDEPENDIENTE</v>
          </cell>
          <cell r="D842">
            <v>3</v>
          </cell>
          <cell r="E842"/>
          <cell r="F842" t="str">
            <v>ESTE</v>
          </cell>
          <cell r="G842" t="str">
            <v>CARLOS BLONDELL</v>
          </cell>
          <cell r="H842" t="str">
            <v>HECTOR</v>
          </cell>
          <cell r="I842" t="str">
            <v>A3</v>
          </cell>
          <cell r="J842" t="str">
            <v>Activo</v>
          </cell>
          <cell r="K842">
            <v>34846.340299999996</v>
          </cell>
          <cell r="L842">
            <v>3484.6340299999997</v>
          </cell>
          <cell r="M842">
            <v>3744.2166333333334</v>
          </cell>
          <cell r="N842" t="str">
            <v>Si Compra</v>
          </cell>
          <cell r="O842">
            <v>10</v>
          </cell>
          <cell r="P842">
            <v>597877.80310000002</v>
          </cell>
          <cell r="Q842">
            <v>59787.780310000002</v>
          </cell>
          <cell r="R842">
            <v>53071.618833333334</v>
          </cell>
          <cell r="T842"/>
          <cell r="U842"/>
          <cell r="V842">
            <v>5.8283381853819483E-2</v>
          </cell>
          <cell r="W842">
            <v>1.3305679510462265E-4</v>
          </cell>
          <cell r="X842">
            <v>10</v>
          </cell>
          <cell r="Y842" t="str">
            <v>Conquistar</v>
          </cell>
        </row>
        <row r="843">
          <cell r="A843" t="str">
            <v>B704</v>
          </cell>
          <cell r="B843" t="str">
            <v>LA ESPERANZA I MD</v>
          </cell>
          <cell r="C843" t="str">
            <v>GRUPO</v>
          </cell>
          <cell r="D843">
            <v>3</v>
          </cell>
          <cell r="E843"/>
          <cell r="F843" t="str">
            <v>ANDES</v>
          </cell>
          <cell r="H843"/>
          <cell r="I843"/>
          <cell r="J843" t="str">
            <v>Suspendido</v>
          </cell>
          <cell r="K843">
            <v>34809.851629968827</v>
          </cell>
          <cell r="L843">
            <v>5801.6419383281382</v>
          </cell>
          <cell r="M843">
            <v>2301.2994149844158</v>
          </cell>
          <cell r="N843" t="str">
            <v>Si Compra</v>
          </cell>
          <cell r="O843">
            <v>6</v>
          </cell>
          <cell r="P843">
            <v>99411.715701648835</v>
          </cell>
          <cell r="Q843">
            <v>16568.619283608139</v>
          </cell>
          <cell r="R843">
            <v>6062.0345008244167</v>
          </cell>
          <cell r="S843"/>
          <cell r="T843"/>
          <cell r="U843"/>
          <cell r="V843">
            <v>0.3501584434418073</v>
          </cell>
          <cell r="W843">
            <v>2.2152911209976129E-4</v>
          </cell>
          <cell r="X843">
            <v>6</v>
          </cell>
          <cell r="Y843" t="str">
            <v>Potenciar</v>
          </cell>
        </row>
        <row r="844">
          <cell r="A844" t="str">
            <v>E385</v>
          </cell>
          <cell r="B844" t="str">
            <v>E385 - FARMA VIDA-VITAL, C.A</v>
          </cell>
          <cell r="C844" t="e">
            <v>#N/A</v>
          </cell>
          <cell r="D844">
            <v>3</v>
          </cell>
          <cell r="F844" t="str">
            <v>ANDES</v>
          </cell>
          <cell r="G844">
            <v>0</v>
          </cell>
          <cell r="H844"/>
          <cell r="I844" t="str">
            <v>4</v>
          </cell>
          <cell r="J844" t="str">
            <v>Activo</v>
          </cell>
          <cell r="K844">
            <v>34721.343399999998</v>
          </cell>
          <cell r="L844">
            <v>6944.2686799999992</v>
          </cell>
          <cell r="M844">
            <v>8108.483666666667</v>
          </cell>
          <cell r="N844" t="str">
            <v>Si Compra</v>
          </cell>
          <cell r="O844">
            <v>5</v>
          </cell>
          <cell r="P844">
            <v>0</v>
          </cell>
          <cell r="Q844">
            <v>0</v>
          </cell>
          <cell r="R844">
            <v>0</v>
          </cell>
          <cell r="V844">
            <v>0</v>
          </cell>
          <cell r="W844">
            <v>2.6515901726018796E-4</v>
          </cell>
          <cell r="X844">
            <v>0</v>
          </cell>
          <cell r="Y844" t="str">
            <v>Conquistar</v>
          </cell>
        </row>
        <row r="845">
          <cell r="A845" t="str">
            <v>8506</v>
          </cell>
          <cell r="B845" t="str">
            <v>8506 - FARMACIA   CENTRO CLINICO MRM, C.A</v>
          </cell>
          <cell r="C845" t="str">
            <v>INDEPENDIENTE</v>
          </cell>
          <cell r="D845">
            <v>3</v>
          </cell>
          <cell r="E845"/>
          <cell r="F845" t="str">
            <v>ANDES</v>
          </cell>
          <cell r="G845">
            <v>0</v>
          </cell>
          <cell r="H845"/>
          <cell r="I845" t="str">
            <v>6</v>
          </cell>
          <cell r="J845" t="str">
            <v>Activo</v>
          </cell>
          <cell r="K845">
            <v>34705.608958310098</v>
          </cell>
          <cell r="L845">
            <v>3470.5608958310099</v>
          </cell>
          <cell r="M845">
            <v>1651.0616863074647</v>
          </cell>
          <cell r="N845" t="str">
            <v>Si Compra</v>
          </cell>
          <cell r="O845">
            <v>9</v>
          </cell>
          <cell r="P845">
            <v>0</v>
          </cell>
          <cell r="Q845">
            <v>0</v>
          </cell>
          <cell r="R845">
            <v>0</v>
          </cell>
          <cell r="T845"/>
          <cell r="U845"/>
          <cell r="V845">
            <v>0</v>
          </cell>
          <cell r="W845">
            <v>1.3251942845048274E-4</v>
          </cell>
          <cell r="X845">
            <v>0</v>
          </cell>
          <cell r="Y845" t="str">
            <v>Conquistar</v>
          </cell>
        </row>
        <row r="846">
          <cell r="A846" t="str">
            <v>9152</v>
          </cell>
          <cell r="B846" t="str">
            <v>GALA</v>
          </cell>
          <cell r="C846" t="str">
            <v>CADENA</v>
          </cell>
          <cell r="D846">
            <v>12</v>
          </cell>
          <cell r="E846"/>
          <cell r="F846" t="str">
            <v>CENTRO ESTE</v>
          </cell>
          <cell r="H846"/>
          <cell r="I846"/>
          <cell r="J846" t="str">
            <v>Activo</v>
          </cell>
          <cell r="K846">
            <v>34682.00635587117</v>
          </cell>
          <cell r="L846">
            <v>3468.2006355871172</v>
          </cell>
          <cell r="M846">
            <v>4193.3003384778085</v>
          </cell>
          <cell r="N846" t="str">
            <v>Si Compra</v>
          </cell>
          <cell r="O846">
            <v>10</v>
          </cell>
          <cell r="P846">
            <v>332738.4774084423</v>
          </cell>
          <cell r="Q846">
            <v>33273.847740844227</v>
          </cell>
          <cell r="R846">
            <v>29363.888721217867</v>
          </cell>
          <cell r="S846"/>
          <cell r="T846"/>
          <cell r="U846"/>
          <cell r="V846">
            <v>0.10423202818620345</v>
          </cell>
          <cell r="W846">
            <v>1.3242930459214883E-4</v>
          </cell>
          <cell r="X846">
            <v>10</v>
          </cell>
          <cell r="Y846" t="str">
            <v>Conquistar</v>
          </cell>
        </row>
        <row r="847">
          <cell r="A847" t="str">
            <v>B946</v>
          </cell>
          <cell r="B847" t="str">
            <v>B946 - FARMA BAHIA EXPRESS C.A</v>
          </cell>
          <cell r="C847" t="str">
            <v>INDEPENDIENTE</v>
          </cell>
          <cell r="D847">
            <v>3</v>
          </cell>
          <cell r="E847"/>
          <cell r="F847" t="str">
            <v>CARACAS</v>
          </cell>
          <cell r="G847" t="str">
            <v>MAIRE ACOSTA FERNANDEZ</v>
          </cell>
          <cell r="H847"/>
          <cell r="I847" t="str">
            <v>C9</v>
          </cell>
          <cell r="J847" t="str">
            <v>Inactivo</v>
          </cell>
          <cell r="K847">
            <v>34629.625298190011</v>
          </cell>
          <cell r="L847">
            <v>4947.0893283128589</v>
          </cell>
          <cell r="M847">
            <v>5148.8893821362126</v>
          </cell>
          <cell r="N847" t="str">
            <v>Si Compra</v>
          </cell>
          <cell r="O847">
            <v>7</v>
          </cell>
          <cell r="P847">
            <v>143741.81919755758</v>
          </cell>
          <cell r="Q847">
            <v>20534.545599651083</v>
          </cell>
          <cell r="R847">
            <v>20403.16974024045</v>
          </cell>
          <cell r="T847"/>
          <cell r="U847"/>
          <cell r="V847">
            <v>0.24091545168629971</v>
          </cell>
          <cell r="W847">
            <v>1.8889899067007314E-4</v>
          </cell>
          <cell r="X847">
            <v>7</v>
          </cell>
          <cell r="Y847" t="str">
            <v>Potenciar</v>
          </cell>
        </row>
        <row r="848">
          <cell r="A848" t="str">
            <v>D539</v>
          </cell>
          <cell r="B848" t="str">
            <v>D539 - FARMACIA PARIA C.A.</v>
          </cell>
          <cell r="C848" t="str">
            <v>INDEPENDIENTE</v>
          </cell>
          <cell r="D848">
            <v>3</v>
          </cell>
          <cell r="E848"/>
          <cell r="F848" t="str">
            <v>ESTE</v>
          </cell>
          <cell r="G848" t="str">
            <v>CARLOS BLONDELL</v>
          </cell>
          <cell r="H848"/>
          <cell r="I848" t="str">
            <v>A5</v>
          </cell>
          <cell r="J848" t="str">
            <v>Activo</v>
          </cell>
          <cell r="K848">
            <v>34557.377839435248</v>
          </cell>
          <cell r="L848">
            <v>3455.7377839435248</v>
          </cell>
          <cell r="M848">
            <v>3374.8251131450816</v>
          </cell>
          <cell r="N848" t="str">
            <v>Si Compra</v>
          </cell>
          <cell r="O848">
            <v>10</v>
          </cell>
          <cell r="P848">
            <v>191205.65027224884</v>
          </cell>
          <cell r="Q848">
            <v>19120.565027224882</v>
          </cell>
          <cell r="R848">
            <v>14380.278990749604</v>
          </cell>
          <cell r="T848"/>
          <cell r="U848"/>
          <cell r="V848">
            <v>0.18073408285911324</v>
          </cell>
          <cell r="W848">
            <v>1.3195342474844521E-4</v>
          </cell>
          <cell r="X848">
            <v>10</v>
          </cell>
          <cell r="Y848" t="str">
            <v>Conquistar</v>
          </cell>
        </row>
        <row r="849">
          <cell r="A849" t="str">
            <v>2704</v>
          </cell>
          <cell r="B849" t="str">
            <v>2704 - FARMACIA LA MORITA SUR C.A.</v>
          </cell>
          <cell r="C849" t="str">
            <v>INDEPENDIENTE</v>
          </cell>
          <cell r="D849">
            <v>1</v>
          </cell>
          <cell r="E849"/>
          <cell r="F849" t="str">
            <v>ANDES</v>
          </cell>
          <cell r="G849" t="str">
            <v>ANYERSSON TORRES</v>
          </cell>
          <cell r="H849"/>
          <cell r="I849" t="str">
            <v>4</v>
          </cell>
          <cell r="J849" t="str">
            <v>Activo</v>
          </cell>
          <cell r="K849">
            <v>34531.323098665212</v>
          </cell>
          <cell r="L849">
            <v>4933.0461569521731</v>
          </cell>
          <cell r="M849">
            <v>5501.4153999999999</v>
          </cell>
          <cell r="N849" t="str">
            <v>Si Compra</v>
          </cell>
          <cell r="O849">
            <v>7</v>
          </cell>
          <cell r="P849">
            <v>52423.135952850957</v>
          </cell>
          <cell r="Q849">
            <v>7489.0194218358511</v>
          </cell>
          <cell r="R849">
            <v>6975.5792000000001</v>
          </cell>
          <cell r="T849"/>
          <cell r="U849"/>
          <cell r="V849">
            <v>0.65870388085372211</v>
          </cell>
          <cell r="W849">
            <v>1.8836276811175822E-4</v>
          </cell>
          <cell r="X849">
            <v>7</v>
          </cell>
          <cell r="Y849" t="str">
            <v>Proteger</v>
          </cell>
        </row>
        <row r="850">
          <cell r="A850" t="str">
            <v>1458</v>
          </cell>
          <cell r="B850" t="str">
            <v>1458 - ADMINISTRADORA DE FARMACIA GALENUSS,C.A (FARMACIA LOS MOLINOS)</v>
          </cell>
          <cell r="C850" t="str">
            <v>INDEPENDIENTE</v>
          </cell>
          <cell r="D850">
            <v>3</v>
          </cell>
          <cell r="E850"/>
          <cell r="F850" t="str">
            <v>CARACAS</v>
          </cell>
          <cell r="G850" t="str">
            <v>WILLIAM ARAQUE</v>
          </cell>
          <cell r="H850"/>
          <cell r="I850" t="str">
            <v>C3</v>
          </cell>
          <cell r="J850" t="str">
            <v>Activo</v>
          </cell>
          <cell r="K850">
            <v>34462.152577574714</v>
          </cell>
          <cell r="L850">
            <v>3829.1280641749681</v>
          </cell>
          <cell r="M850">
            <v>4386.5023333333329</v>
          </cell>
          <cell r="N850" t="str">
            <v>Si Compra</v>
          </cell>
          <cell r="O850">
            <v>9</v>
          </cell>
          <cell r="P850">
            <v>56363.102066252097</v>
          </cell>
          <cell r="Q850">
            <v>6262.5668962502332</v>
          </cell>
          <cell r="R850">
            <v>5602.8958999999995</v>
          </cell>
          <cell r="T850"/>
          <cell r="U850"/>
          <cell r="V850">
            <v>0.61143108370909249</v>
          </cell>
          <cell r="W850">
            <v>1.4621090877204373E-4</v>
          </cell>
          <cell r="X850">
            <v>9</v>
          </cell>
          <cell r="Y850" t="str">
            <v>Proteger</v>
          </cell>
        </row>
        <row r="851">
          <cell r="A851" t="str">
            <v>R32</v>
          </cell>
          <cell r="B851" t="str">
            <v>R32 - FARMACIA EL PALITO, C.A</v>
          </cell>
          <cell r="C851" t="str">
            <v>INDEPENDIENTE</v>
          </cell>
          <cell r="D851">
            <v>3</v>
          </cell>
          <cell r="F851" t="str">
            <v>CENTRO ESTE</v>
          </cell>
          <cell r="G851" t="str">
            <v>ELIANA PERAZA</v>
          </cell>
          <cell r="H851"/>
          <cell r="I851" t="str">
            <v>I</v>
          </cell>
          <cell r="J851" t="str">
            <v>Activo</v>
          </cell>
          <cell r="K851">
            <v>34454.969444895389</v>
          </cell>
          <cell r="L851">
            <v>3445.4969444895387</v>
          </cell>
          <cell r="M851">
            <v>3513.8084482984636</v>
          </cell>
          <cell r="N851" t="str">
            <v>Si Compra</v>
          </cell>
          <cell r="O851">
            <v>10</v>
          </cell>
          <cell r="P851">
            <v>38846.236217127349</v>
          </cell>
          <cell r="Q851">
            <v>3884.6236217127348</v>
          </cell>
          <cell r="R851">
            <v>3488.8146057091149</v>
          </cell>
          <cell r="V851">
            <v>0.88695772873110812</v>
          </cell>
          <cell r="W851">
            <v>1.3156238991804484E-4</v>
          </cell>
          <cell r="X851">
            <v>10</v>
          </cell>
          <cell r="Y851" t="str">
            <v>Proteger</v>
          </cell>
        </row>
        <row r="852">
          <cell r="A852" t="str">
            <v>9465</v>
          </cell>
          <cell r="B852" t="str">
            <v>9465 - FARMACIA EL GRAN PASO, SRL</v>
          </cell>
          <cell r="C852" t="str">
            <v>INDEPENDIENTE</v>
          </cell>
          <cell r="D852">
            <v>3</v>
          </cell>
          <cell r="E852"/>
          <cell r="F852" t="str">
            <v>CARACAS</v>
          </cell>
          <cell r="G852" t="str">
            <v>MAIRE ACOSTA FERNANDEZ</v>
          </cell>
          <cell r="H852"/>
          <cell r="I852" t="str">
            <v>C9</v>
          </cell>
          <cell r="J852" t="str">
            <v>Activo</v>
          </cell>
          <cell r="K852">
            <v>34421.944879721887</v>
          </cell>
          <cell r="L852">
            <v>3442.1944879721887</v>
          </cell>
          <cell r="M852">
            <v>3764.1404333333335</v>
          </cell>
          <cell r="N852" t="str">
            <v>Si Compra</v>
          </cell>
          <cell r="O852">
            <v>10</v>
          </cell>
          <cell r="P852">
            <v>37519.758919256325</v>
          </cell>
          <cell r="Q852">
            <v>3751.9758919256324</v>
          </cell>
          <cell r="R852">
            <v>3608.4519</v>
          </cell>
          <cell r="T852"/>
          <cell r="U852"/>
          <cell r="V852">
            <v>0.91743512941538274</v>
          </cell>
          <cell r="W852">
            <v>1.3143628936447511E-4</v>
          </cell>
          <cell r="X852">
            <v>10</v>
          </cell>
          <cell r="Y852" t="str">
            <v>Proteger</v>
          </cell>
        </row>
        <row r="853">
          <cell r="A853" t="str">
            <v>A690</v>
          </cell>
          <cell r="B853" t="str">
            <v>UROFARMA</v>
          </cell>
          <cell r="C853" t="e">
            <v>#N/A</v>
          </cell>
          <cell r="D853">
            <v>3</v>
          </cell>
          <cell r="E853"/>
          <cell r="F853" t="str">
            <v>ANDES</v>
          </cell>
          <cell r="G853" t="str">
            <v>ANYERSSON TORRES</v>
          </cell>
          <cell r="H853"/>
          <cell r="I853" t="str">
            <v>4</v>
          </cell>
          <cell r="J853" t="str">
            <v>Activo</v>
          </cell>
          <cell r="K853">
            <v>34361.969076718669</v>
          </cell>
          <cell r="L853">
            <v>3436.1969076718669</v>
          </cell>
          <cell r="M853">
            <v>3643.3201482621321</v>
          </cell>
          <cell r="N853" t="str">
            <v>Si Compra</v>
          </cell>
          <cell r="O853">
            <v>10</v>
          </cell>
          <cell r="P853">
            <v>101615.61121558709</v>
          </cell>
          <cell r="Q853">
            <v>10161.561121558709</v>
          </cell>
          <cell r="R853">
            <v>11081.233953120724</v>
          </cell>
          <cell r="T853"/>
          <cell r="U853"/>
          <cell r="V853">
            <v>0.33815639807368297</v>
          </cell>
          <cell r="W853">
            <v>1.3120727856842792E-4</v>
          </cell>
          <cell r="X853">
            <v>10</v>
          </cell>
          <cell r="Y853" t="str">
            <v>Potenciar</v>
          </cell>
        </row>
        <row r="854">
          <cell r="A854" t="str">
            <v>8199</v>
          </cell>
          <cell r="B854" t="str">
            <v>8199 - FARMACIA MUNDO SALUD EXPRESS, C.A.</v>
          </cell>
          <cell r="C854" t="str">
            <v>INDEPENDIENTE</v>
          </cell>
          <cell r="D854">
            <v>3</v>
          </cell>
          <cell r="E854"/>
          <cell r="F854" t="str">
            <v>ESTE</v>
          </cell>
          <cell r="G854" t="str">
            <v>IRAIDA RODRIGUEZ</v>
          </cell>
          <cell r="H854"/>
          <cell r="I854" t="str">
            <v>AB</v>
          </cell>
          <cell r="J854" t="str">
            <v>Activo</v>
          </cell>
          <cell r="K854">
            <v>34351.962870805546</v>
          </cell>
          <cell r="L854">
            <v>3435.1962870805546</v>
          </cell>
          <cell r="M854">
            <v>2158.3872056675168</v>
          </cell>
          <cell r="N854" t="str">
            <v>Si Compra</v>
          </cell>
          <cell r="O854">
            <v>10</v>
          </cell>
          <cell r="P854">
            <v>128491.27940454221</v>
          </cell>
          <cell r="Q854">
            <v>12849.12794045422</v>
          </cell>
          <cell r="R854">
            <v>12266.377196627853</v>
          </cell>
          <cell r="T854"/>
          <cell r="U854"/>
          <cell r="V854">
            <v>0.26734859385010679</v>
          </cell>
          <cell r="W854">
            <v>1.3116907100693093E-4</v>
          </cell>
          <cell r="X854">
            <v>10</v>
          </cell>
          <cell r="Y854" t="str">
            <v>Potenciar</v>
          </cell>
        </row>
        <row r="855">
          <cell r="A855" t="str">
            <v>D059</v>
          </cell>
          <cell r="B855" t="str">
            <v>D059 - FARMACIA  SAN MIGUEL GG, C.A.</v>
          </cell>
          <cell r="C855" t="str">
            <v>INDEPENDIENTE</v>
          </cell>
          <cell r="D855">
            <v>3</v>
          </cell>
          <cell r="E855"/>
          <cell r="F855" t="str">
            <v>ANDES</v>
          </cell>
          <cell r="G855" t="str">
            <v>ZULAY PARRA</v>
          </cell>
          <cell r="H855"/>
          <cell r="I855" t="str">
            <v>5</v>
          </cell>
          <cell r="J855" t="str">
            <v>Activo</v>
          </cell>
          <cell r="K855">
            <v>34244.455107659895</v>
          </cell>
          <cell r="L855">
            <v>3424.4455107659896</v>
          </cell>
          <cell r="M855">
            <v>4256.9966333333332</v>
          </cell>
          <cell r="N855" t="str">
            <v>Si Compra</v>
          </cell>
          <cell r="O855">
            <v>10</v>
          </cell>
          <cell r="P855">
            <v>93062.655855003322</v>
          </cell>
          <cell r="Q855">
            <v>9306.2655855003322</v>
          </cell>
          <cell r="R855">
            <v>7142.6048666666657</v>
          </cell>
          <cell r="T855"/>
          <cell r="U855"/>
          <cell r="V855">
            <v>0.36797203768840014</v>
          </cell>
          <cell r="W855">
            <v>1.3075856481632741E-4</v>
          </cell>
          <cell r="X855">
            <v>10</v>
          </cell>
          <cell r="Y855" t="str">
            <v>Potenciar</v>
          </cell>
        </row>
        <row r="856">
          <cell r="A856" t="str">
            <v>2452</v>
          </cell>
          <cell r="B856" t="str">
            <v>2452 - FARMACLINICO, C.A.</v>
          </cell>
          <cell r="C856" t="str">
            <v>INDEPENDIENTE</v>
          </cell>
          <cell r="D856">
            <v>3</v>
          </cell>
          <cell r="E856"/>
          <cell r="F856" t="str">
            <v>ANDES</v>
          </cell>
          <cell r="G856" t="str">
            <v>MARIA GABRIELA FORTUL</v>
          </cell>
          <cell r="H856"/>
          <cell r="I856" t="str">
            <v>3</v>
          </cell>
          <cell r="J856" t="str">
            <v>Activo</v>
          </cell>
          <cell r="K856">
            <v>34236.314558770246</v>
          </cell>
          <cell r="L856">
            <v>3423.6314558770246</v>
          </cell>
          <cell r="M856">
            <v>2830.7264851164896</v>
          </cell>
          <cell r="N856" t="str">
            <v>Si Compra</v>
          </cell>
          <cell r="O856">
            <v>10</v>
          </cell>
          <cell r="P856">
            <v>186563.51697148033</v>
          </cell>
          <cell r="Q856">
            <v>18656.351697148035</v>
          </cell>
          <cell r="R856">
            <v>13832.766562853911</v>
          </cell>
          <cell r="T856"/>
          <cell r="U856"/>
          <cell r="V856">
            <v>0.18351023348259399</v>
          </cell>
          <cell r="W856">
            <v>1.3072748105440795E-4</v>
          </cell>
          <cell r="X856">
            <v>10</v>
          </cell>
          <cell r="Y856" t="str">
            <v>Conquistar</v>
          </cell>
        </row>
        <row r="857">
          <cell r="A857" t="str">
            <v>B291</v>
          </cell>
          <cell r="B857" t="str">
            <v>B291 - FARMACIA FARMAMED, C.A.</v>
          </cell>
          <cell r="C857" t="str">
            <v>INDEPENDIENTE</v>
          </cell>
          <cell r="D857">
            <v>3</v>
          </cell>
          <cell r="E857"/>
          <cell r="F857" t="str">
            <v>ANDES</v>
          </cell>
          <cell r="G857" t="str">
            <v>ZULAY PARRA</v>
          </cell>
          <cell r="H857"/>
          <cell r="I857" t="str">
            <v>5</v>
          </cell>
          <cell r="J857" t="str">
            <v>Activo</v>
          </cell>
          <cell r="K857">
            <v>34225.887656750296</v>
          </cell>
          <cell r="L857">
            <v>3802.8764063055883</v>
          </cell>
          <cell r="M857">
            <v>4166.4385117125921</v>
          </cell>
          <cell r="N857" t="str">
            <v>Si Compra</v>
          </cell>
          <cell r="O857">
            <v>9</v>
          </cell>
          <cell r="P857">
            <v>82250.690148783193</v>
          </cell>
          <cell r="Q857">
            <v>9138.9655720870214</v>
          </cell>
          <cell r="R857">
            <v>8011.8666083799253</v>
          </cell>
          <cell r="T857"/>
          <cell r="U857"/>
          <cell r="V857">
            <v>0.41611672309179559</v>
          </cell>
          <cell r="W857">
            <v>1.4520851901397703E-4</v>
          </cell>
          <cell r="X857">
            <v>9</v>
          </cell>
          <cell r="Y857" t="str">
            <v>Potenciar</v>
          </cell>
        </row>
        <row r="858">
          <cell r="A858" t="str">
            <v>D029</v>
          </cell>
          <cell r="B858" t="str">
            <v>D029 - MULTY  DROGUERIA  PLUS DC, C.A.</v>
          </cell>
          <cell r="C858" t="str">
            <v>INDEPENDIENTE</v>
          </cell>
          <cell r="D858">
            <v>3</v>
          </cell>
          <cell r="E858"/>
          <cell r="F858" t="str">
            <v>ANDES</v>
          </cell>
          <cell r="G858" t="str">
            <v>JESUS CONTRERAS</v>
          </cell>
          <cell r="H858" t="str">
            <v>VICTOR</v>
          </cell>
          <cell r="I858" t="str">
            <v>G2</v>
          </cell>
          <cell r="J858" t="str">
            <v>Activo</v>
          </cell>
          <cell r="K858">
            <v>34219.483167772472</v>
          </cell>
          <cell r="L858">
            <v>3421.9483167772473</v>
          </cell>
          <cell r="M858">
            <v>2161.973566666667</v>
          </cell>
          <cell r="N858" t="str">
            <v>Si Compra</v>
          </cell>
          <cell r="O858">
            <v>10</v>
          </cell>
          <cell r="P858">
            <v>74967.525105820518</v>
          </cell>
          <cell r="Q858">
            <v>7496.7525105820514</v>
          </cell>
          <cell r="R858">
            <v>6336.1439666666674</v>
          </cell>
          <cell r="T858"/>
          <cell r="U858"/>
          <cell r="V858">
            <v>0.456457420989554</v>
          </cell>
          <cell r="W858">
            <v>1.3066321229837687E-4</v>
          </cell>
          <cell r="X858">
            <v>10</v>
          </cell>
          <cell r="Y858" t="str">
            <v>Potenciar</v>
          </cell>
        </row>
        <row r="859">
          <cell r="A859" t="str">
            <v>C482</v>
          </cell>
          <cell r="B859" t="str">
            <v>C482 - FARMACIA LOS AVIADORES, C.A</v>
          </cell>
          <cell r="C859" t="str">
            <v>INDEPENDIENTE</v>
          </cell>
          <cell r="D859">
            <v>3</v>
          </cell>
          <cell r="E859"/>
          <cell r="F859" t="str">
            <v>CENTRO ESTE</v>
          </cell>
          <cell r="G859" t="str">
            <v>MARCOS CRUCES</v>
          </cell>
          <cell r="H859"/>
          <cell r="I859" t="str">
            <v>$</v>
          </cell>
          <cell r="J859" t="str">
            <v>Activo</v>
          </cell>
          <cell r="K859">
            <v>34197.537470295239</v>
          </cell>
          <cell r="L859">
            <v>3419.7537470295238</v>
          </cell>
          <cell r="M859">
            <v>3067.775696584165</v>
          </cell>
          <cell r="N859" t="str">
            <v>Si Compra</v>
          </cell>
          <cell r="O859">
            <v>10</v>
          </cell>
          <cell r="P859">
            <v>415018.09571097966</v>
          </cell>
          <cell r="Q859">
            <v>41501.809571097969</v>
          </cell>
          <cell r="R859">
            <v>34966.45383861749</v>
          </cell>
          <cell r="T859"/>
          <cell r="U859"/>
          <cell r="V859">
            <v>8.24001117631038E-2</v>
          </cell>
          <cell r="W859">
            <v>1.3057941514356758E-4</v>
          </cell>
          <cell r="X859">
            <v>10</v>
          </cell>
          <cell r="Y859" t="str">
            <v>Conquistar</v>
          </cell>
        </row>
        <row r="860">
          <cell r="A860" t="str">
            <v>C066</v>
          </cell>
          <cell r="B860" t="str">
            <v>C066 - DANIELA BORRACHIA CALDERA (EXPENDIO DE MEDICINAS NOVA VIDA DANIELA BORRACHIA, F.P)</v>
          </cell>
          <cell r="C860" t="str">
            <v>INDEPENDIENTE</v>
          </cell>
          <cell r="D860">
            <v>3</v>
          </cell>
          <cell r="E860"/>
          <cell r="F860" t="str">
            <v>CENTRO OESTE</v>
          </cell>
          <cell r="G860">
            <v>0</v>
          </cell>
          <cell r="H860"/>
          <cell r="I860" t="str">
            <v>A</v>
          </cell>
          <cell r="J860" t="str">
            <v>Activo</v>
          </cell>
          <cell r="K860">
            <v>34107.708356965268</v>
          </cell>
          <cell r="L860">
            <v>3410.7708356965268</v>
          </cell>
          <cell r="M860">
            <v>4090.236718988423</v>
          </cell>
          <cell r="N860" t="str">
            <v>Si Compra</v>
          </cell>
          <cell r="O860">
            <v>10</v>
          </cell>
          <cell r="P860">
            <v>0</v>
          </cell>
          <cell r="Q860">
            <v>0</v>
          </cell>
          <cell r="R860">
            <v>0</v>
          </cell>
          <cell r="T860"/>
          <cell r="U860"/>
          <cell r="V860">
            <v>0</v>
          </cell>
          <cell r="W860">
            <v>1.3023641287062082E-4</v>
          </cell>
          <cell r="X860">
            <v>0</v>
          </cell>
          <cell r="Y860" t="str">
            <v>Conquistar</v>
          </cell>
        </row>
        <row r="861">
          <cell r="A861" t="str">
            <v>5208</v>
          </cell>
          <cell r="B861" t="str">
            <v>FARMA CAGUA</v>
          </cell>
          <cell r="C861" t="str">
            <v>GRUPO</v>
          </cell>
          <cell r="D861">
            <v>9</v>
          </cell>
          <cell r="E861">
            <v>0</v>
          </cell>
          <cell r="F861" t="str">
            <v>CENTRO ESTE</v>
          </cell>
          <cell r="G861" t="str">
            <v>MACOS CRUCES</v>
          </cell>
          <cell r="H861" t="str">
            <v>HECTOR</v>
          </cell>
          <cell r="I861">
            <v>0</v>
          </cell>
          <cell r="J861" t="str">
            <v>Activo</v>
          </cell>
          <cell r="K861">
            <v>34094.86803916582</v>
          </cell>
          <cell r="L861">
            <v>3409.4868039165822</v>
          </cell>
          <cell r="M861">
            <v>2420.9702192962218</v>
          </cell>
          <cell r="N861" t="str">
            <v>Si Compra</v>
          </cell>
          <cell r="O861">
            <v>10</v>
          </cell>
          <cell r="P861">
            <v>171822.27505018492</v>
          </cell>
          <cell r="Q861">
            <v>17182.227505018491</v>
          </cell>
          <cell r="R861">
            <v>12627.210366131805</v>
          </cell>
          <cell r="S861">
            <v>30000</v>
          </cell>
          <cell r="T861">
            <v>0</v>
          </cell>
          <cell r="U861">
            <v>0</v>
          </cell>
          <cell r="V861">
            <v>0.1984310126798611</v>
          </cell>
          <cell r="W861">
            <v>1.3018738357457968E-4</v>
          </cell>
          <cell r="X861">
            <v>10</v>
          </cell>
          <cell r="Y861" t="str">
            <v>Conquistar</v>
          </cell>
        </row>
        <row r="862">
          <cell r="A862" t="str">
            <v>0535</v>
          </cell>
          <cell r="B862" t="str">
            <v>0535 - INVERSIONES IMQY,C.A. (FARMACIA LA CARLOTA)</v>
          </cell>
          <cell r="C862" t="str">
            <v>INDEPENDIENTE</v>
          </cell>
          <cell r="D862">
            <v>3</v>
          </cell>
          <cell r="E862"/>
          <cell r="F862" t="str">
            <v>CARACAS</v>
          </cell>
          <cell r="G862" t="str">
            <v>MAIRUBI QUIJADA</v>
          </cell>
          <cell r="H862"/>
          <cell r="I862" t="str">
            <v>C1</v>
          </cell>
          <cell r="J862" t="str">
            <v>Activo</v>
          </cell>
          <cell r="K862">
            <v>34094.267383879494</v>
          </cell>
          <cell r="L862">
            <v>3409.4267383879496</v>
          </cell>
          <cell r="M862">
            <v>3674.1955264272583</v>
          </cell>
          <cell r="N862" t="str">
            <v>Si Compra</v>
          </cell>
          <cell r="O862">
            <v>10</v>
          </cell>
          <cell r="P862">
            <v>45602.47853458771</v>
          </cell>
          <cell r="Q862">
            <v>4560.2478534587708</v>
          </cell>
          <cell r="R862">
            <v>4156.2309796806376</v>
          </cell>
          <cell r="T862"/>
          <cell r="U862"/>
          <cell r="V862">
            <v>0.74764066514543326</v>
          </cell>
          <cell r="W862">
            <v>1.3018509004054791E-4</v>
          </cell>
          <cell r="X862">
            <v>10</v>
          </cell>
          <cell r="Y862" t="str">
            <v>Proteger</v>
          </cell>
        </row>
        <row r="863">
          <cell r="A863" t="str">
            <v>J29</v>
          </cell>
          <cell r="B863" t="str">
            <v>J29 - FARMACIA YUMARE, C.A.</v>
          </cell>
          <cell r="C863" t="str">
            <v>INDEPENDIENTE</v>
          </cell>
          <cell r="D863">
            <v>2</v>
          </cell>
          <cell r="F863" t="str">
            <v>CENTRO OESTE</v>
          </cell>
          <cell r="G863" t="str">
            <v>JOSE LUIS GARCIA</v>
          </cell>
          <cell r="H863"/>
          <cell r="I863" t="str">
            <v>Y</v>
          </cell>
          <cell r="J863" t="str">
            <v>Activo</v>
          </cell>
          <cell r="K863">
            <v>34069.752674079522</v>
          </cell>
          <cell r="L863">
            <v>3785.5280748977248</v>
          </cell>
          <cell r="M863">
            <v>4899.5943499999994</v>
          </cell>
          <cell r="N863" t="str">
            <v>Si Compra</v>
          </cell>
          <cell r="O863">
            <v>9</v>
          </cell>
          <cell r="P863">
            <v>52046.975090768683</v>
          </cell>
          <cell r="Q863">
            <v>5782.9972323076317</v>
          </cell>
          <cell r="R863">
            <v>6089.3770499999991</v>
          </cell>
          <cell r="V863">
            <v>0.65459621072430596</v>
          </cell>
          <cell r="W863">
            <v>1.4454609267087459E-4</v>
          </cell>
          <cell r="X863">
            <v>9</v>
          </cell>
          <cell r="Y863" t="str">
            <v>Proteger</v>
          </cell>
        </row>
        <row r="864">
          <cell r="A864" t="str">
            <v>A596</v>
          </cell>
          <cell r="B864" t="str">
            <v>A596 - FARMAVENTURA, C.A</v>
          </cell>
          <cell r="C864" t="str">
            <v>INDEPENDIENTE</v>
          </cell>
          <cell r="D864">
            <v>3</v>
          </cell>
          <cell r="E864"/>
          <cell r="F864" t="str">
            <v>CENTRO ESTE</v>
          </cell>
          <cell r="G864" t="str">
            <v>KARLA SALAZAR</v>
          </cell>
          <cell r="H864" t="str">
            <v>HECTOR</v>
          </cell>
          <cell r="I864" t="str">
            <v>O</v>
          </cell>
          <cell r="J864" t="str">
            <v>Activo</v>
          </cell>
          <cell r="K864">
            <v>33981.238949078121</v>
          </cell>
          <cell r="L864">
            <v>3398.123894907812</v>
          </cell>
          <cell r="M864">
            <v>1576.9404549630326</v>
          </cell>
          <cell r="N864" t="str">
            <v>Si Compra</v>
          </cell>
          <cell r="O864">
            <v>10</v>
          </cell>
          <cell r="P864">
            <v>87033.905518772241</v>
          </cell>
          <cell r="Q864">
            <v>8703.3905518772244</v>
          </cell>
          <cell r="R864">
            <v>3537.4325919464304</v>
          </cell>
          <cell r="T864"/>
          <cell r="U864"/>
          <cell r="V864">
            <v>0.39043679295477263</v>
          </cell>
          <cell r="W864">
            <v>1.2975350379186622E-4</v>
          </cell>
          <cell r="X864">
            <v>10</v>
          </cell>
          <cell r="Y864" t="str">
            <v>Potenciar</v>
          </cell>
        </row>
        <row r="865">
          <cell r="A865" t="str">
            <v>4338</v>
          </cell>
          <cell r="B865" t="str">
            <v>4338 - FARMACIA LA COOPERATIVA DEL NORTE,C.A</v>
          </cell>
          <cell r="C865" t="str">
            <v>INDEPENDIENTE</v>
          </cell>
          <cell r="D865">
            <v>3</v>
          </cell>
          <cell r="E865"/>
          <cell r="F865" t="str">
            <v>CENTRO ESTE</v>
          </cell>
          <cell r="G865" t="str">
            <v>LAURA FLORES</v>
          </cell>
          <cell r="H865"/>
          <cell r="I865" t="str">
            <v>+</v>
          </cell>
          <cell r="J865" t="str">
            <v>Activo</v>
          </cell>
          <cell r="K865">
            <v>33966.784488022189</v>
          </cell>
          <cell r="L865">
            <v>3396.678448802219</v>
          </cell>
          <cell r="M865">
            <v>4536.3428458638546</v>
          </cell>
          <cell r="N865" t="str">
            <v>Si Compra</v>
          </cell>
          <cell r="O865">
            <v>10</v>
          </cell>
          <cell r="P865">
            <v>141922.55821438585</v>
          </cell>
          <cell r="Q865">
            <v>14192.255821438584</v>
          </cell>
          <cell r="R865">
            <v>11735.801613498576</v>
          </cell>
          <cell r="T865"/>
          <cell r="U865"/>
          <cell r="V865">
            <v>0.23933323155514527</v>
          </cell>
          <cell r="W865">
            <v>1.2969831107301802E-4</v>
          </cell>
          <cell r="X865">
            <v>10</v>
          </cell>
          <cell r="Y865" t="str">
            <v>Potenciar</v>
          </cell>
        </row>
        <row r="866">
          <cell r="A866" t="str">
            <v>S33</v>
          </cell>
          <cell r="B866" t="str">
            <v>S33 - FARMACIA EL LUCERO, C.A.</v>
          </cell>
          <cell r="C866" t="str">
            <v>INDEPENDIENTE</v>
          </cell>
          <cell r="D866">
            <v>3</v>
          </cell>
          <cell r="F866" t="str">
            <v>MARACAIBO</v>
          </cell>
          <cell r="G866" t="str">
            <v>JOEL JIMENEZ</v>
          </cell>
          <cell r="H866"/>
          <cell r="I866" t="str">
            <v>S1</v>
          </cell>
          <cell r="J866" t="str">
            <v>Activo</v>
          </cell>
          <cell r="K866">
            <v>33964.943430498279</v>
          </cell>
          <cell r="L866">
            <v>3396.4943430498279</v>
          </cell>
          <cell r="M866">
            <v>2369.5428110128414</v>
          </cell>
          <cell r="N866" t="str">
            <v>Si Compra</v>
          </cell>
          <cell r="O866">
            <v>10</v>
          </cell>
          <cell r="P866">
            <v>69411.216507710968</v>
          </cell>
          <cell r="Q866">
            <v>6941.1216507710969</v>
          </cell>
          <cell r="R866">
            <v>6009.7527469171282</v>
          </cell>
          <cell r="V866">
            <v>0.4893293208126539</v>
          </cell>
          <cell r="W866">
            <v>1.2969128120383732E-4</v>
          </cell>
          <cell r="X866">
            <v>10</v>
          </cell>
          <cell r="Y866" t="str">
            <v>Potenciar</v>
          </cell>
        </row>
        <row r="867">
          <cell r="A867" t="str">
            <v>N23</v>
          </cell>
          <cell r="B867" t="str">
            <v>N23 - FARMACIA CAPITAL C.A.</v>
          </cell>
          <cell r="C867" t="str">
            <v>INDEPENDIENTE</v>
          </cell>
          <cell r="D867">
            <v>3</v>
          </cell>
          <cell r="F867" t="str">
            <v>CENTRO OESTE</v>
          </cell>
          <cell r="G867" t="str">
            <v>DIEGO TORI</v>
          </cell>
          <cell r="H867" t="str">
            <v>HECTOR</v>
          </cell>
          <cell r="I867" t="str">
            <v xml:space="preserve">A </v>
          </cell>
          <cell r="J867" t="str">
            <v>Activo</v>
          </cell>
          <cell r="K867">
            <v>33818.167969373833</v>
          </cell>
          <cell r="L867">
            <v>3381.8167969373835</v>
          </cell>
          <cell r="M867">
            <v>1704.9087392824702</v>
          </cell>
          <cell r="N867" t="str">
            <v>Si Compra</v>
          </cell>
          <cell r="O867">
            <v>10</v>
          </cell>
          <cell r="P867">
            <v>113782.3105235374</v>
          </cell>
          <cell r="Q867">
            <v>11378.23105235374</v>
          </cell>
          <cell r="R867">
            <v>10870.544129714477</v>
          </cell>
          <cell r="V867">
            <v>0.29721815116751465</v>
          </cell>
          <cell r="W867">
            <v>1.2913083576569122E-4</v>
          </cell>
          <cell r="X867">
            <v>10</v>
          </cell>
          <cell r="Y867" t="str">
            <v>Potenciar</v>
          </cell>
        </row>
        <row r="868">
          <cell r="A868" t="str">
            <v>1240</v>
          </cell>
          <cell r="B868" t="str">
            <v>1240 - FARMACIA CAUJARO, C.A.</v>
          </cell>
          <cell r="C868" t="str">
            <v>INDEPENDIENTE</v>
          </cell>
          <cell r="D868">
            <v>2</v>
          </cell>
          <cell r="E868"/>
          <cell r="F868" t="str">
            <v>ESTE</v>
          </cell>
          <cell r="G868" t="str">
            <v>JOSE RAMIREZ</v>
          </cell>
          <cell r="H868"/>
          <cell r="I868" t="str">
            <v>A2</v>
          </cell>
          <cell r="J868" t="str">
            <v>Activo</v>
          </cell>
          <cell r="K868">
            <v>33807.646296895451</v>
          </cell>
          <cell r="L868">
            <v>3756.4051440994945</v>
          </cell>
          <cell r="M868">
            <v>1793.006829312762</v>
          </cell>
          <cell r="N868" t="str">
            <v>Si Compra</v>
          </cell>
          <cell r="O868">
            <v>9</v>
          </cell>
          <cell r="P868">
            <v>54903.54549444576</v>
          </cell>
          <cell r="Q868">
            <v>6100.3939438273064</v>
          </cell>
          <cell r="R868">
            <v>2620.6681406281</v>
          </cell>
          <cell r="T868"/>
          <cell r="U868"/>
          <cell r="V868">
            <v>0.61576435533321894</v>
          </cell>
          <cell r="W868">
            <v>1.4343406661513806E-4</v>
          </cell>
          <cell r="X868">
            <v>9</v>
          </cell>
          <cell r="Y868" t="str">
            <v>Proteger</v>
          </cell>
        </row>
        <row r="869">
          <cell r="A869" t="str">
            <v>2651</v>
          </cell>
          <cell r="B869" t="str">
            <v>2651 - FARMACIA LA SALUD PLUS, C.A.</v>
          </cell>
          <cell r="C869" t="str">
            <v>INDEPENDIENTE</v>
          </cell>
          <cell r="D869">
            <v>3</v>
          </cell>
          <cell r="E869"/>
          <cell r="F869" t="str">
            <v>ANDES</v>
          </cell>
          <cell r="G869" t="str">
            <v>LUCIA DUGARTE</v>
          </cell>
          <cell r="H869"/>
          <cell r="I869" t="str">
            <v>6</v>
          </cell>
          <cell r="J869" t="str">
            <v>Activo</v>
          </cell>
          <cell r="K869">
            <v>33804.456690600746</v>
          </cell>
          <cell r="L869">
            <v>3380.4456690600746</v>
          </cell>
          <cell r="M869">
            <v>4119.1848639385344</v>
          </cell>
          <cell r="N869" t="str">
            <v>Si Compra</v>
          </cell>
          <cell r="O869">
            <v>10</v>
          </cell>
          <cell r="P869">
            <v>64291.844359510833</v>
          </cell>
          <cell r="Q869">
            <v>6429.1844359510833</v>
          </cell>
          <cell r="R869">
            <v>7064.9313591985592</v>
          </cell>
          <cell r="T869"/>
          <cell r="U869"/>
          <cell r="V869">
            <v>0.52579696581064062</v>
          </cell>
          <cell r="W869">
            <v>1.2907848080403306E-4</v>
          </cell>
          <cell r="X869">
            <v>10</v>
          </cell>
          <cell r="Y869" t="str">
            <v>Potenciar</v>
          </cell>
        </row>
        <row r="870">
          <cell r="A870" t="str">
            <v>A688</v>
          </cell>
          <cell r="B870" t="str">
            <v>A688 - FARMACIA B&amp;S, C.A</v>
          </cell>
          <cell r="C870" t="str">
            <v>INDEPENDIENTE</v>
          </cell>
          <cell r="D870">
            <v>3</v>
          </cell>
          <cell r="E870"/>
          <cell r="F870" t="str">
            <v>ANDES</v>
          </cell>
          <cell r="G870" t="str">
            <v>LUCIA DUGARTE</v>
          </cell>
          <cell r="H870" t="str">
            <v>VICTOR</v>
          </cell>
          <cell r="I870" t="str">
            <v>6</v>
          </cell>
          <cell r="J870" t="str">
            <v>Activo</v>
          </cell>
          <cell r="K870">
            <v>33778.743456816585</v>
          </cell>
          <cell r="L870">
            <v>3377.8743456816583</v>
          </cell>
          <cell r="M870">
            <v>3611.2736895217445</v>
          </cell>
          <cell r="N870" t="str">
            <v>Si Compra</v>
          </cell>
          <cell r="O870">
            <v>10</v>
          </cell>
          <cell r="P870">
            <v>69247.731433830719</v>
          </cell>
          <cell r="Q870">
            <v>6924.7731433830722</v>
          </cell>
          <cell r="R870">
            <v>7842.4786224975751</v>
          </cell>
          <cell r="T870"/>
          <cell r="U870"/>
          <cell r="V870">
            <v>0.48779566864358104</v>
          </cell>
          <cell r="W870">
            <v>1.2898029773948048E-4</v>
          </cell>
          <cell r="X870">
            <v>10</v>
          </cell>
          <cell r="Y870" t="str">
            <v>Potenciar</v>
          </cell>
        </row>
        <row r="871">
          <cell r="A871" t="str">
            <v>D574</v>
          </cell>
          <cell r="B871" t="str">
            <v>D574 - FARMACIA FARMARIO 2024, C.A.</v>
          </cell>
          <cell r="C871" t="str">
            <v>INDEPENDIENTE</v>
          </cell>
          <cell r="D871">
            <v>3</v>
          </cell>
          <cell r="E871"/>
          <cell r="F871" t="str">
            <v>CARACAS</v>
          </cell>
          <cell r="G871">
            <v>0</v>
          </cell>
          <cell r="H871"/>
          <cell r="I871" t="str">
            <v>CF</v>
          </cell>
          <cell r="J871" t="str">
            <v>Activo</v>
          </cell>
          <cell r="K871">
            <v>33742.992774084712</v>
          </cell>
          <cell r="L871">
            <v>4217.8740967605891</v>
          </cell>
          <cell r="M871">
            <v>5024.6454580282361</v>
          </cell>
          <cell r="N871" t="str">
            <v>Si Compra</v>
          </cell>
          <cell r="O871">
            <v>8</v>
          </cell>
          <cell r="P871">
            <v>0</v>
          </cell>
          <cell r="Q871">
            <v>0</v>
          </cell>
          <cell r="R871">
            <v>0</v>
          </cell>
          <cell r="T871"/>
          <cell r="U871"/>
          <cell r="V871">
            <v>0</v>
          </cell>
          <cell r="W871">
            <v>1.6105473476931206E-4</v>
          </cell>
          <cell r="X871">
            <v>0</v>
          </cell>
          <cell r="Y871" t="str">
            <v>Conquistar</v>
          </cell>
        </row>
        <row r="872">
          <cell r="A872" t="str">
            <v>A047</v>
          </cell>
          <cell r="B872" t="str">
            <v>GRATITUD</v>
          </cell>
          <cell r="C872" t="str">
            <v>GRUPO</v>
          </cell>
          <cell r="D872">
            <v>6</v>
          </cell>
          <cell r="E872">
            <v>4</v>
          </cell>
          <cell r="F872" t="str">
            <v>CENTRO OESTE</v>
          </cell>
          <cell r="G872" t="str">
            <v/>
          </cell>
          <cell r="H872" t="str">
            <v>HECTOR</v>
          </cell>
          <cell r="I872">
            <v>0</v>
          </cell>
          <cell r="J872" t="str">
            <v>Activo</v>
          </cell>
          <cell r="K872">
            <v>33714.224929154247</v>
          </cell>
          <cell r="L872">
            <v>3371.4224929154248</v>
          </cell>
          <cell r="M872">
            <v>3931.9206624174963</v>
          </cell>
          <cell r="N872" t="str">
            <v>Si Compra</v>
          </cell>
          <cell r="O872">
            <v>10</v>
          </cell>
          <cell r="P872">
            <v>25943.638599999998</v>
          </cell>
          <cell r="Q872">
            <v>4323.9397666666664</v>
          </cell>
          <cell r="R872">
            <v>5285.0865666666659</v>
          </cell>
          <cell r="S872">
            <v>24999.78</v>
          </cell>
          <cell r="T872">
            <v>5</v>
          </cell>
          <cell r="U872">
            <v>5</v>
          </cell>
          <cell r="V872">
            <v>0.77971079035507951</v>
          </cell>
          <cell r="W872">
            <v>1.2873394106495707E-4</v>
          </cell>
          <cell r="X872">
            <v>6</v>
          </cell>
          <cell r="Y872" t="str">
            <v>Proteger</v>
          </cell>
        </row>
        <row r="873">
          <cell r="A873" t="str">
            <v>2541</v>
          </cell>
          <cell r="B873" t="str">
            <v>2541 - FARMACIA NUEVA BOLIVIA,C.A</v>
          </cell>
          <cell r="C873" t="str">
            <v>INDEPENDIENTE</v>
          </cell>
          <cell r="D873">
            <v>3</v>
          </cell>
          <cell r="E873"/>
          <cell r="F873" t="str">
            <v>ANDES</v>
          </cell>
          <cell r="G873" t="str">
            <v>RAYNE ANDREINA NAVA</v>
          </cell>
          <cell r="H873"/>
          <cell r="I873" t="str">
            <v>G1</v>
          </cell>
          <cell r="J873" t="str">
            <v>Activo</v>
          </cell>
          <cell r="K873">
            <v>33657.290290404839</v>
          </cell>
          <cell r="L873">
            <v>3365.729029040484</v>
          </cell>
          <cell r="M873">
            <v>4616.3399756510144</v>
          </cell>
          <cell r="N873" t="str">
            <v>Si Compra</v>
          </cell>
          <cell r="O873">
            <v>10</v>
          </cell>
          <cell r="P873">
            <v>99197.670499786953</v>
          </cell>
          <cell r="Q873">
            <v>9919.7670499786946</v>
          </cell>
          <cell r="R873">
            <v>10230.302172796688</v>
          </cell>
          <cell r="T873"/>
          <cell r="U873"/>
          <cell r="V873">
            <v>0.33929516813075894</v>
          </cell>
          <cell r="W873">
            <v>1.2851654260941721E-4</v>
          </cell>
          <cell r="X873">
            <v>10</v>
          </cell>
          <cell r="Y873" t="str">
            <v>Potenciar</v>
          </cell>
        </row>
        <row r="874">
          <cell r="A874" t="str">
            <v>D283</v>
          </cell>
          <cell r="B874" t="str">
            <v>D283 - FARMACIA PRODUMED, C.A</v>
          </cell>
          <cell r="C874" t="str">
            <v>INDEPENDIENTE</v>
          </cell>
          <cell r="D874">
            <v>3</v>
          </cell>
          <cell r="E874"/>
          <cell r="F874" t="str">
            <v>MARACAIBO</v>
          </cell>
          <cell r="G874" t="str">
            <v>MARIA FUSELLA</v>
          </cell>
          <cell r="H874"/>
          <cell r="I874" t="str">
            <v>Z</v>
          </cell>
          <cell r="J874" t="str">
            <v>Activo</v>
          </cell>
          <cell r="K874">
            <v>33634.710095179151</v>
          </cell>
          <cell r="L874">
            <v>3363.4710095179153</v>
          </cell>
          <cell r="M874">
            <v>3115.3972232088563</v>
          </cell>
          <cell r="N874" t="str">
            <v>Si Compra</v>
          </cell>
          <cell r="O874">
            <v>10</v>
          </cell>
          <cell r="P874">
            <v>84059.83963916701</v>
          </cell>
          <cell r="Q874">
            <v>8405.9839639167003</v>
          </cell>
          <cell r="R874">
            <v>6058.2077485177688</v>
          </cell>
          <cell r="T874"/>
          <cell r="U874"/>
          <cell r="V874">
            <v>0.4001281734483268</v>
          </cell>
          <cell r="W874">
            <v>1.284303226969759E-4</v>
          </cell>
          <cell r="X874">
            <v>10</v>
          </cell>
          <cell r="Y874" t="str">
            <v>Potenciar</v>
          </cell>
        </row>
        <row r="875">
          <cell r="A875" t="str">
            <v>8258</v>
          </cell>
          <cell r="B875" t="str">
            <v>8258 - FARMACIA SUCRE CAGUA,C.A</v>
          </cell>
          <cell r="C875" t="str">
            <v>INDEPENDIENTE</v>
          </cell>
          <cell r="D875">
            <v>3</v>
          </cell>
          <cell r="E875"/>
          <cell r="F875" t="str">
            <v>CENTRO ESTE</v>
          </cell>
          <cell r="G875" t="str">
            <v>MARCOS CRUCES</v>
          </cell>
          <cell r="H875"/>
          <cell r="I875" t="str">
            <v>$</v>
          </cell>
          <cell r="J875" t="str">
            <v>Activo</v>
          </cell>
          <cell r="K875">
            <v>33599.630240233062</v>
          </cell>
          <cell r="L875">
            <v>3733.2922489147845</v>
          </cell>
          <cell r="M875">
            <v>3002.9016333333334</v>
          </cell>
          <cell r="N875" t="str">
            <v>Si Compra</v>
          </cell>
          <cell r="O875">
            <v>9</v>
          </cell>
          <cell r="P875">
            <v>72259.832501973069</v>
          </cell>
          <cell r="Q875">
            <v>8028.8702779970081</v>
          </cell>
          <cell r="R875">
            <v>8197.914366666666</v>
          </cell>
          <cell r="T875"/>
          <cell r="U875"/>
          <cell r="V875">
            <v>0.46498350573004182</v>
          </cell>
          <cell r="W875">
            <v>1.4255152694744543E-4</v>
          </cell>
          <cell r="X875">
            <v>9</v>
          </cell>
          <cell r="Y875" t="str">
            <v>Potenciar</v>
          </cell>
        </row>
        <row r="876">
          <cell r="A876" t="str">
            <v>D743</v>
          </cell>
          <cell r="B876" t="str">
            <v>D743 - FARMA LIFE CENTRAL LBA, C.A</v>
          </cell>
          <cell r="C876" t="str">
            <v>INDEPENDIENTE</v>
          </cell>
          <cell r="D876">
            <v>3</v>
          </cell>
          <cell r="E876"/>
          <cell r="F876" t="str">
            <v>CENTRO ESTE</v>
          </cell>
          <cell r="G876" t="str">
            <v>KARLA SALAZAR</v>
          </cell>
          <cell r="H876"/>
          <cell r="I876" t="str">
            <v>O</v>
          </cell>
          <cell r="J876" t="str">
            <v>Inactivo</v>
          </cell>
          <cell r="K876">
            <v>33550.458683284523</v>
          </cell>
          <cell r="L876">
            <v>3355.0458683284523</v>
          </cell>
          <cell r="M876">
            <v>2756.9562369660111</v>
          </cell>
          <cell r="N876" t="str">
            <v>Si Compra</v>
          </cell>
          <cell r="O876">
            <v>10</v>
          </cell>
          <cell r="P876">
            <v>95976.813043066562</v>
          </cell>
          <cell r="Q876">
            <v>9597.6813043066559</v>
          </cell>
          <cell r="R876">
            <v>9203.2997615787845</v>
          </cell>
          <cell r="T876"/>
          <cell r="U876"/>
          <cell r="V876">
            <v>0.34956837614757863</v>
          </cell>
          <cell r="W876">
            <v>1.2810861824384746E-4</v>
          </cell>
          <cell r="X876">
            <v>10</v>
          </cell>
          <cell r="Y876" t="str">
            <v>Potenciar</v>
          </cell>
        </row>
        <row r="877">
          <cell r="A877" t="str">
            <v>5672</v>
          </cell>
          <cell r="B877" t="str">
            <v>DIGENCA</v>
          </cell>
          <cell r="C877" t="str">
            <v>GRUPO</v>
          </cell>
          <cell r="D877">
            <v>9</v>
          </cell>
          <cell r="E877"/>
          <cell r="F877" t="str">
            <v>CENTRO OESTE</v>
          </cell>
          <cell r="H877"/>
          <cell r="I877"/>
          <cell r="J877" t="str">
            <v>Activo</v>
          </cell>
          <cell r="K877">
            <v>33507.074897501858</v>
          </cell>
          <cell r="L877">
            <v>3350.7074897501857</v>
          </cell>
          <cell r="M877">
            <v>3289.016424494117</v>
          </cell>
          <cell r="N877" t="str">
            <v>Si Compra</v>
          </cell>
          <cell r="O877">
            <v>10</v>
          </cell>
          <cell r="P877">
            <v>4905947.9663457433</v>
          </cell>
          <cell r="Q877">
            <v>490594.7966345743</v>
          </cell>
          <cell r="R877">
            <v>563940.08894376084</v>
          </cell>
          <cell r="S877"/>
          <cell r="T877"/>
          <cell r="U877"/>
          <cell r="V877">
            <v>6.8298879497615261E-3</v>
          </cell>
          <cell r="W877">
            <v>1.2794296218223379E-4</v>
          </cell>
          <cell r="X877">
            <v>10</v>
          </cell>
          <cell r="Y877" t="str">
            <v>Conquistar</v>
          </cell>
        </row>
        <row r="878">
          <cell r="A878" t="str">
            <v>3531</v>
          </cell>
          <cell r="B878" t="str">
            <v>3531 - FARMACIA JOSEABEL, C.A.</v>
          </cell>
          <cell r="C878" t="str">
            <v>INDEPENDIENTE</v>
          </cell>
          <cell r="D878">
            <v>3</v>
          </cell>
          <cell r="E878"/>
          <cell r="F878" t="str">
            <v>CARACAS</v>
          </cell>
          <cell r="G878" t="str">
            <v>MAIRE ACOSTA FERNANDEZ</v>
          </cell>
          <cell r="H878"/>
          <cell r="I878" t="str">
            <v>C9</v>
          </cell>
          <cell r="J878" t="str">
            <v>Activo</v>
          </cell>
          <cell r="K878">
            <v>33497.468282912516</v>
          </cell>
          <cell r="L878">
            <v>3349.7468282912514</v>
          </cell>
          <cell r="M878">
            <v>3024.1118999999999</v>
          </cell>
          <cell r="N878" t="str">
            <v>Si Compra</v>
          </cell>
          <cell r="O878">
            <v>10</v>
          </cell>
          <cell r="P878">
            <v>51448.955069472497</v>
          </cell>
          <cell r="Q878">
            <v>5144.8955069472495</v>
          </cell>
          <cell r="R878">
            <v>4990.7751333333335</v>
          </cell>
          <cell r="T878"/>
          <cell r="U878"/>
          <cell r="V878">
            <v>0.65108160579122065</v>
          </cell>
          <cell r="W878">
            <v>1.2790628041484996E-4</v>
          </cell>
          <cell r="X878">
            <v>10</v>
          </cell>
          <cell r="Y878" t="str">
            <v>Proteger</v>
          </cell>
        </row>
        <row r="879">
          <cell r="A879" t="str">
            <v>9765</v>
          </cell>
          <cell r="B879" t="str">
            <v>9765 - FARMACIA MEDEPHARMA, C.A.</v>
          </cell>
          <cell r="C879" t="str">
            <v>INDEPENDIENTE</v>
          </cell>
          <cell r="D879">
            <v>3</v>
          </cell>
          <cell r="E879"/>
          <cell r="F879" t="str">
            <v>ANDES</v>
          </cell>
          <cell r="G879" t="str">
            <v>LUCIA DUGARTE</v>
          </cell>
          <cell r="H879"/>
          <cell r="I879" t="str">
            <v>6</v>
          </cell>
          <cell r="J879" t="str">
            <v>Inactivo</v>
          </cell>
          <cell r="K879">
            <v>33461.743730551701</v>
          </cell>
          <cell r="L879">
            <v>3346.1743730551702</v>
          </cell>
          <cell r="M879">
            <v>2126.4786666666669</v>
          </cell>
          <cell r="N879" t="str">
            <v>Si Compra</v>
          </cell>
          <cell r="O879">
            <v>10</v>
          </cell>
          <cell r="P879">
            <v>47387.292697860947</v>
          </cell>
          <cell r="Q879">
            <v>4738.7292697860948</v>
          </cell>
          <cell r="R879">
            <v>2585.4786333333336</v>
          </cell>
          <cell r="T879"/>
          <cell r="U879"/>
          <cell r="V879">
            <v>0.70613326538618981</v>
          </cell>
          <cell r="W879">
            <v>1.2776987026667501E-4</v>
          </cell>
          <cell r="X879">
            <v>10</v>
          </cell>
          <cell r="Y879" t="str">
            <v>Proteger</v>
          </cell>
        </row>
        <row r="880">
          <cell r="A880" t="str">
            <v>7423</v>
          </cell>
          <cell r="B880" t="str">
            <v>7423 - INVERSIONES FARMA DIL, C.A</v>
          </cell>
          <cell r="C880" t="str">
            <v>INDEPENDIENTE</v>
          </cell>
          <cell r="D880">
            <v>3</v>
          </cell>
          <cell r="E880"/>
          <cell r="F880" t="str">
            <v>CARACAS</v>
          </cell>
          <cell r="G880" t="str">
            <v>MAIRUBI QUIJADA</v>
          </cell>
          <cell r="H880"/>
          <cell r="I880" t="str">
            <v>C1</v>
          </cell>
          <cell r="J880" t="str">
            <v>Activo</v>
          </cell>
          <cell r="K880">
            <v>33395.492653523237</v>
          </cell>
          <cell r="L880">
            <v>3339.5492653523238</v>
          </cell>
          <cell r="M880">
            <v>3511.1994291070355</v>
          </cell>
          <cell r="N880" t="str">
            <v>Si Compra</v>
          </cell>
          <cell r="O880">
            <v>10</v>
          </cell>
          <cell r="P880">
            <v>33726.967960026246</v>
          </cell>
          <cell r="Q880">
            <v>3372.6967960026245</v>
          </cell>
          <cell r="R880">
            <v>3234.8286521663244</v>
          </cell>
          <cell r="T880"/>
          <cell r="U880"/>
          <cell r="V880">
            <v>0.99017180237204017</v>
          </cell>
          <cell r="W880">
            <v>1.275168980490549E-4</v>
          </cell>
          <cell r="X880">
            <v>10</v>
          </cell>
          <cell r="Y880" t="str">
            <v>Proteger</v>
          </cell>
        </row>
        <row r="881">
          <cell r="A881" t="str">
            <v>A959</v>
          </cell>
          <cell r="B881" t="str">
            <v>A959 - FARMA SOLUCIONES SANTO DOMINGO, C.A.</v>
          </cell>
          <cell r="C881" t="str">
            <v>INDEPENDIENTE</v>
          </cell>
          <cell r="D881">
            <v>1</v>
          </cell>
          <cell r="E881"/>
          <cell r="F881" t="str">
            <v>ANDES</v>
          </cell>
          <cell r="G881" t="str">
            <v>LUCIA DUGARTE</v>
          </cell>
          <cell r="H881"/>
          <cell r="I881" t="str">
            <v>6</v>
          </cell>
          <cell r="J881" t="str">
            <v>Activo</v>
          </cell>
          <cell r="K881">
            <v>33305.135492489528</v>
          </cell>
          <cell r="L881">
            <v>6661.0270984979052</v>
          </cell>
          <cell r="M881">
            <v>4281.1763144593097</v>
          </cell>
          <cell r="N881" t="str">
            <v>Si Compra</v>
          </cell>
          <cell r="O881">
            <v>5</v>
          </cell>
          <cell r="P881">
            <v>35058.86001326143</v>
          </cell>
          <cell r="Q881">
            <v>7011.7720026522857</v>
          </cell>
          <cell r="R881">
            <v>4574.1740672251772</v>
          </cell>
          <cell r="T881"/>
          <cell r="U881"/>
          <cell r="V881">
            <v>0.94997770834224116</v>
          </cell>
          <cell r="W881">
            <v>2.5434375897177787E-4</v>
          </cell>
          <cell r="X881">
            <v>5</v>
          </cell>
          <cell r="Y881" t="str">
            <v>Proteger</v>
          </cell>
        </row>
        <row r="882">
          <cell r="A882" t="str">
            <v>9007</v>
          </cell>
          <cell r="B882" t="str">
            <v>GRUPO ASAV</v>
          </cell>
          <cell r="C882" t="str">
            <v>INDEPENDIENTE</v>
          </cell>
          <cell r="D882">
            <v>3</v>
          </cell>
          <cell r="E882"/>
          <cell r="F882" t="str">
            <v>CENTRO OESTE</v>
          </cell>
          <cell r="H882"/>
          <cell r="I882"/>
          <cell r="J882" t="str">
            <v>Suspendido</v>
          </cell>
          <cell r="K882">
            <v>33234.384824222099</v>
          </cell>
          <cell r="L882">
            <v>3323.4384824222097</v>
          </cell>
          <cell r="M882">
            <v>3500.5502051712169</v>
          </cell>
          <cell r="N882" t="str">
            <v>Si Compra</v>
          </cell>
          <cell r="O882">
            <v>10</v>
          </cell>
          <cell r="P882">
            <v>58571.603540316108</v>
          </cell>
          <cell r="Q882">
            <v>5857.160354031611</v>
          </cell>
          <cell r="R882">
            <v>4311.6061583232486</v>
          </cell>
          <cell r="S882"/>
          <cell r="T882"/>
          <cell r="U882"/>
          <cell r="V882">
            <v>0.5674146312444075</v>
          </cell>
          <cell r="W882">
            <v>1.2690172608986145E-4</v>
          </cell>
          <cell r="X882">
            <v>10</v>
          </cell>
          <cell r="Y882" t="str">
            <v>Potenciar</v>
          </cell>
        </row>
        <row r="883">
          <cell r="A883" t="str">
            <v>0435</v>
          </cell>
          <cell r="B883" t="str">
            <v>0435 - FARMACIA EL TERMINAL, C.A</v>
          </cell>
          <cell r="C883" t="str">
            <v>INDEPENDIENTE</v>
          </cell>
          <cell r="D883">
            <v>3</v>
          </cell>
          <cell r="E883"/>
          <cell r="F883" t="str">
            <v>CENTRO OESTE</v>
          </cell>
          <cell r="G883" t="str">
            <v>LUIS PLACERES</v>
          </cell>
          <cell r="H883"/>
          <cell r="I883" t="str">
            <v>E</v>
          </cell>
          <cell r="J883" t="str">
            <v>Activo</v>
          </cell>
          <cell r="K883">
            <v>33223.266805682782</v>
          </cell>
          <cell r="L883">
            <v>3322.3266805682783</v>
          </cell>
          <cell r="M883">
            <v>3069.1942611258564</v>
          </cell>
          <cell r="N883" t="str">
            <v>Si Compra</v>
          </cell>
          <cell r="O883">
            <v>10</v>
          </cell>
          <cell r="P883">
            <v>53206.883775262053</v>
          </cell>
          <cell r="Q883">
            <v>5320.6883775262049</v>
          </cell>
          <cell r="R883">
            <v>5009.2318232813559</v>
          </cell>
          <cell r="T883"/>
          <cell r="U883"/>
          <cell r="V883">
            <v>0.62441670040314545</v>
          </cell>
          <cell r="W883">
            <v>1.2685927319805074E-4</v>
          </cell>
          <cell r="X883">
            <v>10</v>
          </cell>
          <cell r="Y883" t="str">
            <v>Proteger</v>
          </cell>
        </row>
        <row r="884">
          <cell r="A884" t="str">
            <v>B828</v>
          </cell>
          <cell r="B884" t="str">
            <v>B828 - MEDIEXPRESS FARMACIA VARGAS 2021, C.A.</v>
          </cell>
          <cell r="C884" t="str">
            <v>INDEPENDIENTE</v>
          </cell>
          <cell r="D884">
            <v>3</v>
          </cell>
          <cell r="E884"/>
          <cell r="F884" t="str">
            <v>CARACAS</v>
          </cell>
          <cell r="G884" t="str">
            <v>JHON TORRES</v>
          </cell>
          <cell r="H884"/>
          <cell r="I884" t="str">
            <v>C4</v>
          </cell>
          <cell r="J884" t="str">
            <v>Inactivo</v>
          </cell>
          <cell r="K884">
            <v>33185.072120241181</v>
          </cell>
          <cell r="L884">
            <v>5530.8453533735301</v>
          </cell>
          <cell r="M884">
            <v>3116.3807245340508</v>
          </cell>
          <cell r="N884" t="str">
            <v>Si Compra</v>
          </cell>
          <cell r="O884">
            <v>6</v>
          </cell>
          <cell r="P884">
            <v>76887.532907319313</v>
          </cell>
          <cell r="Q884">
            <v>12814.588817886552</v>
          </cell>
          <cell r="R884">
            <v>11758.04998011896</v>
          </cell>
          <cell r="T884"/>
          <cell r="U884"/>
          <cell r="V884">
            <v>0.43160537040826458</v>
          </cell>
          <cell r="W884">
            <v>2.1118905187847691E-4</v>
          </cell>
          <cell r="X884">
            <v>6</v>
          </cell>
          <cell r="Y884" t="str">
            <v>Potenciar</v>
          </cell>
        </row>
        <row r="885">
          <cell r="A885" t="str">
            <v>D475</v>
          </cell>
          <cell r="B885" t="str">
            <v>D475 - INVERSIONES CARCORD C.A.</v>
          </cell>
          <cell r="C885" t="str">
            <v>INDEPENDIENTE</v>
          </cell>
          <cell r="D885">
            <v>3</v>
          </cell>
          <cell r="E885"/>
          <cell r="F885" t="str">
            <v>ESTE</v>
          </cell>
          <cell r="G885" t="str">
            <v>CARLOS BLONDELL</v>
          </cell>
          <cell r="H885"/>
          <cell r="I885" t="str">
            <v>A3</v>
          </cell>
          <cell r="J885" t="str">
            <v>Activo</v>
          </cell>
          <cell r="K885">
            <v>33143.268619452872</v>
          </cell>
          <cell r="L885">
            <v>3314.3268619452874</v>
          </cell>
          <cell r="M885">
            <v>2750.8079812893316</v>
          </cell>
          <cell r="N885" t="str">
            <v>Si Compra</v>
          </cell>
          <cell r="O885">
            <v>9</v>
          </cell>
          <cell r="P885">
            <v>285397.92671820102</v>
          </cell>
          <cell r="Q885">
            <v>28539.792671820102</v>
          </cell>
          <cell r="R885">
            <v>13624.435946722246</v>
          </cell>
          <cell r="T885"/>
          <cell r="U885"/>
          <cell r="V885">
            <v>0.11613002589250832</v>
          </cell>
          <cell r="W885">
            <v>1.265538092043488E-4</v>
          </cell>
          <cell r="X885">
            <v>10</v>
          </cell>
          <cell r="Y885" t="str">
            <v>Conquistar</v>
          </cell>
        </row>
        <row r="886">
          <cell r="A886" t="str">
            <v>B352</v>
          </cell>
          <cell r="B886" t="str">
            <v>B352 - FARMACIA PLUSFARMA, C.A</v>
          </cell>
          <cell r="C886" t="e">
            <v>#N/A</v>
          </cell>
          <cell r="D886">
            <v>3</v>
          </cell>
          <cell r="E886"/>
          <cell r="F886" t="str">
            <v>MARACAIBO</v>
          </cell>
          <cell r="G886" t="str">
            <v>JOEL JIMENEZ</v>
          </cell>
          <cell r="H886"/>
          <cell r="I886" t="str">
            <v>S</v>
          </cell>
          <cell r="J886" t="str">
            <v>Activo</v>
          </cell>
          <cell r="K886">
            <v>33134.453799084709</v>
          </cell>
          <cell r="L886">
            <v>5522.4089665141182</v>
          </cell>
          <cell r="M886">
            <v>5162.0283996949038</v>
          </cell>
          <cell r="N886" t="str">
            <v>Si Compra</v>
          </cell>
          <cell r="O886">
            <v>6</v>
          </cell>
          <cell r="P886">
            <v>34553.966417306219</v>
          </cell>
          <cell r="Q886">
            <v>5758.9944028843702</v>
          </cell>
          <cell r="R886">
            <v>5384.2377724354055</v>
          </cell>
          <cell r="T886"/>
          <cell r="U886"/>
          <cell r="V886">
            <v>0.95891896747603034</v>
          </cell>
          <cell r="W886">
            <v>2.108669180222062E-4</v>
          </cell>
          <cell r="X886">
            <v>6</v>
          </cell>
          <cell r="Y886" t="str">
            <v>Proteger</v>
          </cell>
        </row>
        <row r="887">
          <cell r="A887" t="str">
            <v>D765</v>
          </cell>
          <cell r="B887" t="str">
            <v>D765 - FARMACIA MARIA AUXILIADORA, S.R.L.</v>
          </cell>
          <cell r="C887" t="str">
            <v>INDEPENDIENTE</v>
          </cell>
          <cell r="D887">
            <v>3</v>
          </cell>
          <cell r="E887"/>
          <cell r="F887" t="str">
            <v>MARACAIBO</v>
          </cell>
          <cell r="G887" t="str">
            <v>YENNIFER LUZARDO</v>
          </cell>
          <cell r="H887"/>
          <cell r="I887" t="str">
            <v>B</v>
          </cell>
          <cell r="J887" t="str">
            <v>Inactivo</v>
          </cell>
          <cell r="K887">
            <v>33120.853694331905</v>
          </cell>
          <cell r="L887">
            <v>3312.0853694331904</v>
          </cell>
          <cell r="M887">
            <v>2923.5963592544667</v>
          </cell>
          <cell r="N887" t="str">
            <v>Si Compra</v>
          </cell>
          <cell r="O887">
            <v>10</v>
          </cell>
          <cell r="P887">
            <v>320603.33271021838</v>
          </cell>
          <cell r="Q887">
            <v>32060.333271021838</v>
          </cell>
          <cell r="R887">
            <v>29531.367814166824</v>
          </cell>
          <cell r="T887"/>
          <cell r="U887"/>
          <cell r="V887">
            <v>0.10330788957914118</v>
          </cell>
          <cell r="W887">
            <v>1.2646822035704291E-4</v>
          </cell>
          <cell r="X887">
            <v>10</v>
          </cell>
          <cell r="Y887" t="str">
            <v>Conquistar</v>
          </cell>
        </row>
        <row r="888">
          <cell r="A888" t="str">
            <v>D031</v>
          </cell>
          <cell r="B888" t="str">
            <v>GALLARDIN</v>
          </cell>
          <cell r="C888" t="str">
            <v>GRUPO</v>
          </cell>
          <cell r="D888">
            <v>6</v>
          </cell>
          <cell r="E888"/>
          <cell r="F888" t="str">
            <v>ANDES</v>
          </cell>
          <cell r="H888"/>
          <cell r="I888"/>
          <cell r="J888" t="str">
            <v>Activo</v>
          </cell>
          <cell r="K888">
            <v>33072.907397094263</v>
          </cell>
          <cell r="L888">
            <v>3307.2907397094264</v>
          </cell>
          <cell r="M888">
            <v>2664.8911134150362</v>
          </cell>
          <cell r="N888" t="str">
            <v>Si Compra</v>
          </cell>
          <cell r="O888">
            <v>10</v>
          </cell>
          <cell r="P888">
            <v>90161.093768058156</v>
          </cell>
          <cell r="Q888">
            <v>9016.1093768058163</v>
          </cell>
          <cell r="R888">
            <v>6337.1222333333326</v>
          </cell>
          <cell r="S888"/>
          <cell r="T888"/>
          <cell r="U888"/>
          <cell r="V888">
            <v>0.36682016615919955</v>
          </cell>
          <cell r="W888">
            <v>1.2628514286331901E-4</v>
          </cell>
          <cell r="X888">
            <v>10</v>
          </cell>
          <cell r="Y888" t="str">
            <v>Potenciar</v>
          </cell>
        </row>
        <row r="889">
          <cell r="A889" t="str">
            <v>0228</v>
          </cell>
          <cell r="B889" t="str">
            <v>0228 - OMAR EL BAHRI YONDIEH (FARMACIA CARLUC)</v>
          </cell>
          <cell r="C889" t="str">
            <v>INDEPENDIENTE</v>
          </cell>
          <cell r="D889">
            <v>3</v>
          </cell>
          <cell r="E889"/>
          <cell r="F889" t="str">
            <v>CENTRO OESTE</v>
          </cell>
          <cell r="G889" t="str">
            <v>LUIS PLACERES</v>
          </cell>
          <cell r="H889"/>
          <cell r="I889" t="str">
            <v>E</v>
          </cell>
          <cell r="J889" t="str">
            <v>Activo</v>
          </cell>
          <cell r="K889">
            <v>32936.104441343836</v>
          </cell>
          <cell r="L889">
            <v>3293.6104441343837</v>
          </cell>
          <cell r="M889">
            <v>2539.8107762680097</v>
          </cell>
          <cell r="N889" t="str">
            <v>Si Compra</v>
          </cell>
          <cell r="O889">
            <v>10</v>
          </cell>
          <cell r="P889">
            <v>46284.099989586437</v>
          </cell>
          <cell r="Q889">
            <v>4628.4099989586439</v>
          </cell>
          <cell r="R889">
            <v>3296.8249054069674</v>
          </cell>
          <cell r="T889"/>
          <cell r="U889"/>
          <cell r="V889">
            <v>0.71160732192597898</v>
          </cell>
          <cell r="W889">
            <v>1.257627763049866E-4</v>
          </cell>
          <cell r="X889">
            <v>10</v>
          </cell>
          <cell r="Y889" t="str">
            <v>Proteger</v>
          </cell>
        </row>
        <row r="890">
          <cell r="A890" t="str">
            <v>C843</v>
          </cell>
          <cell r="B890" t="str">
            <v>C843 - INVERSIONES FARMAXPRESS FB, C.A.</v>
          </cell>
          <cell r="C890" t="str">
            <v>INDEPENDIENTE</v>
          </cell>
          <cell r="D890">
            <v>3</v>
          </cell>
          <cell r="E890"/>
          <cell r="F890" t="str">
            <v>CENTRO ESTE</v>
          </cell>
          <cell r="G890" t="str">
            <v>ELIANA PERAZA</v>
          </cell>
          <cell r="H890"/>
          <cell r="I890" t="str">
            <v>I</v>
          </cell>
          <cell r="J890" t="str">
            <v>Activo</v>
          </cell>
          <cell r="K890">
            <v>32832.968362540909</v>
          </cell>
          <cell r="L890">
            <v>3283.296836254091</v>
          </cell>
          <cell r="M890">
            <v>3109.1287948062177</v>
          </cell>
          <cell r="N890" t="str">
            <v>Si Compra</v>
          </cell>
          <cell r="O890">
            <v>10</v>
          </cell>
          <cell r="P890">
            <v>71562.302615792316</v>
          </cell>
          <cell r="Q890">
            <v>7156.2302615792314</v>
          </cell>
          <cell r="R890">
            <v>6961.5019076356621</v>
          </cell>
          <cell r="T890"/>
          <cell r="U890"/>
          <cell r="V890">
            <v>0.4588025701019765</v>
          </cell>
          <cell r="W890">
            <v>1.2536896289482553E-4</v>
          </cell>
          <cell r="X890">
            <v>10</v>
          </cell>
          <cell r="Y890" t="str">
            <v>Potenciar</v>
          </cell>
        </row>
        <row r="891">
          <cell r="A891" t="str">
            <v>C846</v>
          </cell>
          <cell r="B891" t="str">
            <v>C846 - CRUZFARMA, C.A.</v>
          </cell>
          <cell r="C891" t="str">
            <v>INDEPENDIENTE</v>
          </cell>
          <cell r="D891">
            <v>3</v>
          </cell>
          <cell r="E891"/>
          <cell r="F891" t="str">
            <v>ANDES</v>
          </cell>
          <cell r="G891" t="str">
            <v>LUCIA DUGARTE</v>
          </cell>
          <cell r="H891" t="str">
            <v>VICTOR</v>
          </cell>
          <cell r="I891" t="str">
            <v>6</v>
          </cell>
          <cell r="J891" t="str">
            <v>Activo</v>
          </cell>
          <cell r="K891">
            <v>32794.96057796164</v>
          </cell>
          <cell r="L891">
            <v>3279.4960577961638</v>
          </cell>
          <cell r="M891">
            <v>2452.4659924405082</v>
          </cell>
          <cell r="N891" t="str">
            <v>Si Compra</v>
          </cell>
          <cell r="O891">
            <v>10</v>
          </cell>
          <cell r="P891">
            <v>83948.246799406101</v>
          </cell>
          <cell r="Q891">
            <v>8394.8246799406097</v>
          </cell>
          <cell r="R891">
            <v>7749.7527894144368</v>
          </cell>
          <cell r="T891"/>
          <cell r="U891"/>
          <cell r="V891">
            <v>0.39065688478670707</v>
          </cell>
          <cell r="W891">
            <v>1.2522383448358904E-4</v>
          </cell>
          <cell r="X891">
            <v>10</v>
          </cell>
          <cell r="Y891" t="str">
            <v>Potenciar</v>
          </cell>
        </row>
        <row r="892">
          <cell r="A892" t="str">
            <v>C969</v>
          </cell>
          <cell r="B892" t="str">
            <v>C969 - FARMACIA QUENIYORK, C.A</v>
          </cell>
          <cell r="C892" t="str">
            <v>INDEPENDIENTE</v>
          </cell>
          <cell r="D892">
            <v>3</v>
          </cell>
          <cell r="E892"/>
          <cell r="F892" t="str">
            <v>ANDES</v>
          </cell>
          <cell r="G892" t="str">
            <v>JESUS CONTRERAS</v>
          </cell>
          <cell r="H892"/>
          <cell r="I892" t="str">
            <v>G2</v>
          </cell>
          <cell r="J892" t="str">
            <v>Activo</v>
          </cell>
          <cell r="K892">
            <v>32774.343902502376</v>
          </cell>
          <cell r="L892">
            <v>3277.4343902502378</v>
          </cell>
          <cell r="M892">
            <v>2288.4642857803892</v>
          </cell>
          <cell r="N892" t="str">
            <v>Si Compra</v>
          </cell>
          <cell r="O892">
            <v>10</v>
          </cell>
          <cell r="P892">
            <v>98527.541095652166</v>
          </cell>
          <cell r="Q892">
            <v>9852.7541095652159</v>
          </cell>
          <cell r="R892">
            <v>7949.7639747091998</v>
          </cell>
          <cell r="T892"/>
          <cell r="U892"/>
          <cell r="V892">
            <v>0.33264144764035575</v>
          </cell>
          <cell r="W892">
            <v>1.2514511204850105E-4</v>
          </cell>
          <cell r="X892">
            <v>10</v>
          </cell>
          <cell r="Y892" t="str">
            <v>Potenciar</v>
          </cell>
        </row>
        <row r="893">
          <cell r="A893" t="str">
            <v>1012</v>
          </cell>
          <cell r="B893" t="str">
            <v>1012 - NOHELIA COROMOTO BLOHM DE GONZALEZ (FARMACIA EL MERCADO)</v>
          </cell>
          <cell r="C893" t="e">
            <v>#N/A</v>
          </cell>
          <cell r="D893">
            <v>3</v>
          </cell>
          <cell r="E893"/>
          <cell r="F893" t="str">
            <v>ESTE</v>
          </cell>
          <cell r="G893" t="str">
            <v>CARLOS BLONDELL</v>
          </cell>
          <cell r="H893"/>
          <cell r="I893" t="str">
            <v>A3</v>
          </cell>
          <cell r="J893" t="str">
            <v>Activo</v>
          </cell>
          <cell r="K893">
            <v>32765.848533174292</v>
          </cell>
          <cell r="L893">
            <v>3276.5848533174294</v>
          </cell>
          <cell r="M893">
            <v>4486.1610404843823</v>
          </cell>
          <cell r="N893" t="str">
            <v>Si Compra</v>
          </cell>
          <cell r="O893">
            <v>10</v>
          </cell>
          <cell r="P893">
            <v>72917.912486325906</v>
          </cell>
          <cell r="Q893">
            <v>7291.7912486325904</v>
          </cell>
          <cell r="R893">
            <v>6317.0518130098426</v>
          </cell>
          <cell r="T893"/>
          <cell r="U893"/>
          <cell r="V893">
            <v>0.44935253103027029</v>
          </cell>
          <cell r="W893">
            <v>1.2511267344501233E-4</v>
          </cell>
          <cell r="X893">
            <v>10</v>
          </cell>
          <cell r="Y893" t="str">
            <v>Potenciar</v>
          </cell>
        </row>
        <row r="894">
          <cell r="A894" t="str">
            <v>E314</v>
          </cell>
          <cell r="B894" t="str">
            <v>LOS ROQUES</v>
          </cell>
          <cell r="C894" t="e">
            <v>#N/A</v>
          </cell>
          <cell r="D894">
            <v>5</v>
          </cell>
          <cell r="E894"/>
          <cell r="F894" t="str">
            <v>ESTE</v>
          </cell>
          <cell r="H894"/>
          <cell r="I894"/>
          <cell r="J894" t="str">
            <v>Activo</v>
          </cell>
          <cell r="K894">
            <v>32577.843040123302</v>
          </cell>
          <cell r="L894">
            <v>4653.9775771604718</v>
          </cell>
          <cell r="M894">
            <v>5357.4086011154977</v>
          </cell>
          <cell r="N894" t="str">
            <v>Si Compra</v>
          </cell>
          <cell r="O894">
            <v>7</v>
          </cell>
          <cell r="P894">
            <v>0</v>
          </cell>
          <cell r="Q894">
            <v>0</v>
          </cell>
          <cell r="R894">
            <v>0</v>
          </cell>
          <cell r="S894"/>
          <cell r="T894"/>
          <cell r="U894"/>
          <cell r="V894">
            <v>0</v>
          </cell>
          <cell r="W894">
            <v>1.777068511569776E-4</v>
          </cell>
          <cell r="X894">
            <v>0</v>
          </cell>
          <cell r="Y894" t="str">
            <v>Conquistar</v>
          </cell>
        </row>
        <row r="895">
          <cell r="A895" t="str">
            <v>6860</v>
          </cell>
          <cell r="B895" t="str">
            <v>6860 - FARMAPLAZA PLC, C.A.</v>
          </cell>
          <cell r="C895" t="str">
            <v>INDEPENDIENTE</v>
          </cell>
          <cell r="D895">
            <v>3</v>
          </cell>
          <cell r="E895"/>
          <cell r="F895" t="str">
            <v>ESTE</v>
          </cell>
          <cell r="G895" t="str">
            <v>ALEXMAR CASTILLO</v>
          </cell>
          <cell r="H895"/>
          <cell r="I895" t="str">
            <v>A1</v>
          </cell>
          <cell r="J895" t="str">
            <v>Activo</v>
          </cell>
          <cell r="K895">
            <v>32561.764011516676</v>
          </cell>
          <cell r="L895">
            <v>3256.1764011516675</v>
          </cell>
          <cell r="M895">
            <v>2437.4258572181902</v>
          </cell>
          <cell r="N895" t="str">
            <v>Si Compra</v>
          </cell>
          <cell r="O895">
            <v>10</v>
          </cell>
          <cell r="P895">
            <v>279539.13582469104</v>
          </cell>
          <cell r="Q895">
            <v>27953.913582469104</v>
          </cell>
          <cell r="R895">
            <v>14487.204814732228</v>
          </cell>
          <cell r="T895"/>
          <cell r="U895"/>
          <cell r="V895">
            <v>0.11648373997956879</v>
          </cell>
          <cell r="W895">
            <v>1.2433339986424487E-4</v>
          </cell>
          <cell r="X895">
            <v>10</v>
          </cell>
          <cell r="Y895" t="str">
            <v>Conquistar</v>
          </cell>
        </row>
        <row r="896">
          <cell r="A896" t="str">
            <v>A461</v>
          </cell>
          <cell r="B896" t="str">
            <v>FARMACLARINES</v>
          </cell>
          <cell r="C896" t="e">
            <v>#N/A</v>
          </cell>
          <cell r="D896">
            <v>6</v>
          </cell>
          <cell r="E896">
            <v>0</v>
          </cell>
          <cell r="F896" t="str">
            <v>ESTE</v>
          </cell>
          <cell r="G896" t="str">
            <v>PEDRO VIRE</v>
          </cell>
          <cell r="H896" t="str">
            <v>HECTOR</v>
          </cell>
          <cell r="I896" t="str">
            <v>A7</v>
          </cell>
          <cell r="J896" t="str">
            <v>Activo</v>
          </cell>
          <cell r="K896">
            <v>32546.106575319314</v>
          </cell>
          <cell r="L896">
            <v>3254.6106575319313</v>
          </cell>
          <cell r="M896">
            <v>2977.0905989449698</v>
          </cell>
          <cell r="N896" t="str">
            <v>Si Compra</v>
          </cell>
          <cell r="O896">
            <v>10</v>
          </cell>
          <cell r="P896">
            <v>246522.21221425201</v>
          </cell>
          <cell r="Q896">
            <v>24652.221221425199</v>
          </cell>
          <cell r="R896">
            <v>28796.918449087956</v>
          </cell>
          <cell r="S896">
            <v>20000</v>
          </cell>
          <cell r="T896">
            <v>3</v>
          </cell>
          <cell r="U896">
            <v>3</v>
          </cell>
          <cell r="V896">
            <v>0.13202099025070224</v>
          </cell>
          <cell r="W896">
            <v>1.2427361372136615E-4</v>
          </cell>
          <cell r="X896">
            <v>10</v>
          </cell>
          <cell r="Y896" t="str">
            <v>Conquistar</v>
          </cell>
        </row>
        <row r="897">
          <cell r="A897" t="str">
            <v>D512</v>
          </cell>
          <cell r="B897" t="str">
            <v>D512 - FARMACIA VIRGINIA, C.A. (FARMAVIRGINIA)</v>
          </cell>
          <cell r="C897" t="str">
            <v>INDEPENDIENTE</v>
          </cell>
          <cell r="D897">
            <v>3</v>
          </cell>
          <cell r="E897"/>
          <cell r="F897" t="str">
            <v>ANDES</v>
          </cell>
          <cell r="G897" t="str">
            <v>LUCIA DUGARTE</v>
          </cell>
          <cell r="H897" t="str">
            <v>VICTOR</v>
          </cell>
          <cell r="I897" t="str">
            <v>6</v>
          </cell>
          <cell r="J897" t="str">
            <v>Activo</v>
          </cell>
          <cell r="K897">
            <v>32531.24985885893</v>
          </cell>
          <cell r="L897">
            <v>3253.1249858858928</v>
          </cell>
          <cell r="M897">
            <v>4010.633552521032</v>
          </cell>
          <cell r="N897" t="str">
            <v>Si Compra</v>
          </cell>
          <cell r="O897">
            <v>10</v>
          </cell>
          <cell r="P897">
            <v>74284.367768914512</v>
          </cell>
          <cell r="Q897">
            <v>7428.4367768914508</v>
          </cell>
          <cell r="R897">
            <v>6859.0254086987034</v>
          </cell>
          <cell r="T897"/>
          <cell r="U897"/>
          <cell r="V897">
            <v>0.43792860915311116</v>
          </cell>
          <cell r="W897">
            <v>1.2421688503591515E-4</v>
          </cell>
          <cell r="X897">
            <v>10</v>
          </cell>
          <cell r="Y897" t="str">
            <v>Potenciar</v>
          </cell>
        </row>
        <row r="898">
          <cell r="A898" t="str">
            <v>B857</v>
          </cell>
          <cell r="B898" t="str">
            <v>B857 - FARMACIAS MAS VIDA, C.A.</v>
          </cell>
          <cell r="C898" t="str">
            <v>INDEPENDIENTE</v>
          </cell>
          <cell r="D898">
            <v>3</v>
          </cell>
          <cell r="E898"/>
          <cell r="F898" t="str">
            <v>CENTRO OESTE</v>
          </cell>
          <cell r="G898" t="str">
            <v>YAMILEX LAMEDA</v>
          </cell>
          <cell r="H898" t="str">
            <v>HECTOR</v>
          </cell>
          <cell r="I898" t="str">
            <v>Y1</v>
          </cell>
          <cell r="J898" t="str">
            <v>Activo</v>
          </cell>
          <cell r="K898">
            <v>32504.847465933013</v>
          </cell>
          <cell r="L898">
            <v>3250.4847465933012</v>
          </cell>
          <cell r="M898">
            <v>2909.8243839093884</v>
          </cell>
          <cell r="N898" t="str">
            <v>Si Compra</v>
          </cell>
          <cell r="O898">
            <v>10</v>
          </cell>
          <cell r="P898">
            <v>119164.76506849761</v>
          </cell>
          <cell r="Q898">
            <v>11916.476506849762</v>
          </cell>
          <cell r="R898">
            <v>8801.3188561739644</v>
          </cell>
          <cell r="T898"/>
          <cell r="U898"/>
          <cell r="V898">
            <v>0.27277230351814785</v>
          </cell>
          <cell r="W898">
            <v>1.241160704954047E-4</v>
          </cell>
          <cell r="X898">
            <v>10</v>
          </cell>
          <cell r="Y898" t="str">
            <v>Potenciar</v>
          </cell>
        </row>
        <row r="899">
          <cell r="A899" t="str">
            <v>0665</v>
          </cell>
          <cell r="B899" t="str">
            <v>0665 - FARMACIA NUÑEZ,C.A</v>
          </cell>
          <cell r="C899" t="str">
            <v>INDEPENDIENTE</v>
          </cell>
          <cell r="D899">
            <v>3</v>
          </cell>
          <cell r="E899"/>
          <cell r="F899" t="str">
            <v>ESTE</v>
          </cell>
          <cell r="G899" t="str">
            <v>IRAIDA RODRIGUEZ</v>
          </cell>
          <cell r="H899"/>
          <cell r="I899" t="str">
            <v>AB</v>
          </cell>
          <cell r="J899" t="str">
            <v>Activo</v>
          </cell>
          <cell r="K899">
            <v>32483.59271814489</v>
          </cell>
          <cell r="L899">
            <v>3248.3592718144891</v>
          </cell>
          <cell r="M899">
            <v>2024.4562507395419</v>
          </cell>
          <cell r="N899" t="str">
            <v>Si Compra</v>
          </cell>
          <cell r="O899">
            <v>10</v>
          </cell>
          <cell r="P899">
            <v>288318.12588934368</v>
          </cell>
          <cell r="Q899">
            <v>28831.812588934368</v>
          </cell>
          <cell r="R899">
            <v>36344.652616203755</v>
          </cell>
          <cell r="T899"/>
          <cell r="U899"/>
          <cell r="V899">
            <v>0.11266580142315462</v>
          </cell>
          <cell r="W899">
            <v>1.2403491165355511E-4</v>
          </cell>
          <cell r="X899">
            <v>10</v>
          </cell>
          <cell r="Y899" t="str">
            <v>Conquistar</v>
          </cell>
        </row>
        <row r="900">
          <cell r="A900" t="str">
            <v>7942</v>
          </cell>
          <cell r="B900" t="str">
            <v>7942 - FARMACIA FARMA 5 SUR, C.A.</v>
          </cell>
          <cell r="C900" t="str">
            <v>INDEPENDIENTE</v>
          </cell>
          <cell r="D900">
            <v>3</v>
          </cell>
          <cell r="E900"/>
          <cell r="F900" t="str">
            <v>MARACAIBO</v>
          </cell>
          <cell r="G900" t="str">
            <v>YENNIFER LUZARDO</v>
          </cell>
          <cell r="H900"/>
          <cell r="I900" t="str">
            <v>B</v>
          </cell>
          <cell r="J900" t="str">
            <v>Activo</v>
          </cell>
          <cell r="K900">
            <v>32431.768287009174</v>
          </cell>
          <cell r="L900">
            <v>3243.1768287009172</v>
          </cell>
          <cell r="M900">
            <v>2745.1456666666668</v>
          </cell>
          <cell r="N900" t="str">
            <v>Si Compra</v>
          </cell>
          <cell r="O900">
            <v>10</v>
          </cell>
          <cell r="P900">
            <v>60121.246563435852</v>
          </cell>
          <cell r="Q900">
            <v>6012.1246563435852</v>
          </cell>
          <cell r="R900">
            <v>6321.4653666666673</v>
          </cell>
          <cell r="T900"/>
          <cell r="U900"/>
          <cell r="V900">
            <v>0.53943938525608204</v>
          </cell>
          <cell r="W900">
            <v>1.2383702594573979E-4</v>
          </cell>
          <cell r="X900">
            <v>10</v>
          </cell>
          <cell r="Y900" t="str">
            <v>Potenciar</v>
          </cell>
        </row>
        <row r="901">
          <cell r="A901" t="str">
            <v>B214</v>
          </cell>
          <cell r="B901" t="str">
            <v>B214 - FARMACIA VITAL PLUS, C.A</v>
          </cell>
          <cell r="C901" t="e">
            <v>#N/A</v>
          </cell>
          <cell r="D901">
            <v>3</v>
          </cell>
          <cell r="E901"/>
          <cell r="F901" t="str">
            <v>CENTRO OESTE</v>
          </cell>
          <cell r="G901" t="str">
            <v>SORALI SILVA</v>
          </cell>
          <cell r="H901" t="str">
            <v>HECTOR</v>
          </cell>
          <cell r="I901" t="str">
            <v>L</v>
          </cell>
          <cell r="J901" t="str">
            <v>Activo</v>
          </cell>
          <cell r="K901">
            <v>32401.551910318049</v>
          </cell>
          <cell r="L901">
            <v>3600.1724344797831</v>
          </cell>
          <cell r="M901">
            <v>6130.9535669777179</v>
          </cell>
          <cell r="N901" t="str">
            <v>Si Compra</v>
          </cell>
          <cell r="O901">
            <v>9</v>
          </cell>
          <cell r="P901">
            <v>33422.791319533695</v>
          </cell>
          <cell r="Q901">
            <v>3713.6434799481885</v>
          </cell>
          <cell r="R901">
            <v>6342.2022020094773</v>
          </cell>
          <cell r="T901"/>
          <cell r="U901"/>
          <cell r="V901">
            <v>0.96944481987000308</v>
          </cell>
          <cell r="W901">
            <v>1.374684979345986E-4</v>
          </cell>
          <cell r="X901">
            <v>9</v>
          </cell>
          <cell r="Y901" t="str">
            <v>Proteger</v>
          </cell>
        </row>
        <row r="902">
          <cell r="A902" t="str">
            <v>C461</v>
          </cell>
          <cell r="B902" t="str">
            <v>ECONOMIXFARMA</v>
          </cell>
          <cell r="C902" t="str">
            <v>GRUPO</v>
          </cell>
          <cell r="D902">
            <v>4</v>
          </cell>
          <cell r="E902"/>
          <cell r="F902" t="str">
            <v>CENTRO ESTE</v>
          </cell>
          <cell r="H902"/>
          <cell r="I902"/>
          <cell r="J902" t="str">
            <v>Inactivo</v>
          </cell>
          <cell r="K902">
            <v>32377.071054805449</v>
          </cell>
          <cell r="L902">
            <v>4625.2958649722068</v>
          </cell>
          <cell r="M902">
            <v>3746.2288393530889</v>
          </cell>
          <cell r="N902" t="str">
            <v>Si Compra</v>
          </cell>
          <cell r="O902">
            <v>7</v>
          </cell>
          <cell r="P902">
            <v>46451.547453680214</v>
          </cell>
          <cell r="Q902">
            <v>6635.935350525745</v>
          </cell>
          <cell r="R902">
            <v>5874.1176373544977</v>
          </cell>
          <cell r="S902"/>
          <cell r="T902"/>
          <cell r="U902"/>
          <cell r="V902">
            <v>0.69700737283490244</v>
          </cell>
          <cell r="W902">
            <v>1.7661167253304512E-4</v>
          </cell>
          <cell r="X902">
            <v>7</v>
          </cell>
          <cell r="Y902" t="str">
            <v>Proteger</v>
          </cell>
        </row>
        <row r="903">
          <cell r="A903" t="str">
            <v>C485</v>
          </cell>
          <cell r="B903" t="str">
            <v>C485 - FARMACIA VIDA SANA C.A.</v>
          </cell>
          <cell r="C903" t="str">
            <v>INDEPENDIENTE</v>
          </cell>
          <cell r="D903">
            <v>3</v>
          </cell>
          <cell r="E903"/>
          <cell r="F903" t="str">
            <v>ANDES</v>
          </cell>
          <cell r="G903" t="str">
            <v>LUCIA DUGARTE</v>
          </cell>
          <cell r="H903" t="str">
            <v>VICTOR</v>
          </cell>
          <cell r="I903" t="str">
            <v>6</v>
          </cell>
          <cell r="J903" t="str">
            <v>Activo</v>
          </cell>
          <cell r="K903">
            <v>32310.637963990761</v>
          </cell>
          <cell r="L903">
            <v>3231.0637963990762</v>
          </cell>
          <cell r="M903">
            <v>3232.64035020347</v>
          </cell>
          <cell r="N903" t="str">
            <v>Si Compra</v>
          </cell>
          <cell r="O903">
            <v>10</v>
          </cell>
          <cell r="P903">
            <v>52869.870756751319</v>
          </cell>
          <cell r="Q903">
            <v>5286.9870756751316</v>
          </cell>
          <cell r="R903">
            <v>4293.820241495604</v>
          </cell>
          <cell r="T903"/>
          <cell r="U903"/>
          <cell r="V903">
            <v>0.6111351796687492</v>
          </cell>
          <cell r="W903">
            <v>1.2337450355652874E-4</v>
          </cell>
          <cell r="X903">
            <v>10</v>
          </cell>
          <cell r="Y903" t="str">
            <v>Proteger</v>
          </cell>
        </row>
        <row r="904">
          <cell r="A904" t="str">
            <v>9577</v>
          </cell>
          <cell r="B904" t="str">
            <v>9577 - FARMACIA COLGUA C.A</v>
          </cell>
          <cell r="C904" t="str">
            <v>INDEPENDIENTE</v>
          </cell>
          <cell r="D904">
            <v>2</v>
          </cell>
          <cell r="E904"/>
          <cell r="F904" t="str">
            <v>MARACAIBO</v>
          </cell>
          <cell r="G904" t="str">
            <v>MARIA FUSELLA</v>
          </cell>
          <cell r="H904"/>
          <cell r="I904" t="str">
            <v>Z</v>
          </cell>
          <cell r="J904" t="str">
            <v>Inactivo</v>
          </cell>
          <cell r="K904">
            <v>32306.750294566151</v>
          </cell>
          <cell r="L904">
            <v>3230.675029456615</v>
          </cell>
          <cell r="M904">
            <v>2513.3338383124483</v>
          </cell>
          <cell r="N904" t="str">
            <v>Si Compra</v>
          </cell>
          <cell r="O904">
            <v>9</v>
          </cell>
          <cell r="P904">
            <v>90340.342828549867</v>
          </cell>
          <cell r="Q904">
            <v>9034.0342828549874</v>
          </cell>
          <cell r="R904">
            <v>8283.5174417724902</v>
          </cell>
          <cell r="T904"/>
          <cell r="U904"/>
          <cell r="V904">
            <v>0.35761155296785507</v>
          </cell>
          <cell r="W904">
            <v>1.2335965893211162E-4</v>
          </cell>
          <cell r="X904">
            <v>10</v>
          </cell>
          <cell r="Y904" t="str">
            <v>Potenciar</v>
          </cell>
        </row>
        <row r="905">
          <cell r="A905" t="str">
            <v>6427</v>
          </cell>
          <cell r="B905" t="str">
            <v>6427 - FARMACIA FARMA PLAZA. C.A</v>
          </cell>
          <cell r="C905" t="str">
            <v>INDEPENDIENTE</v>
          </cell>
          <cell r="D905">
            <v>3</v>
          </cell>
          <cell r="E905"/>
          <cell r="F905" t="str">
            <v>MARACAIBO</v>
          </cell>
          <cell r="G905" t="str">
            <v>JOEL JIMENEZ</v>
          </cell>
          <cell r="H905"/>
          <cell r="I905" t="str">
            <v>S1</v>
          </cell>
          <cell r="J905" t="str">
            <v>Activo</v>
          </cell>
          <cell r="K905">
            <v>32301.120906441272</v>
          </cell>
          <cell r="L905">
            <v>3230.1120906441274</v>
          </cell>
          <cell r="M905">
            <v>1713.9344238534079</v>
          </cell>
          <cell r="N905" t="str">
            <v>Si Compra</v>
          </cell>
          <cell r="O905">
            <v>10</v>
          </cell>
          <cell r="P905">
            <v>107868.32800452969</v>
          </cell>
          <cell r="Q905">
            <v>10786.832800452969</v>
          </cell>
          <cell r="R905">
            <v>9199.1599605121028</v>
          </cell>
          <cell r="T905"/>
          <cell r="U905"/>
          <cell r="V905">
            <v>0.29944953726440315</v>
          </cell>
          <cell r="W905">
            <v>1.2333816375253615E-4</v>
          </cell>
          <cell r="X905">
            <v>10</v>
          </cell>
          <cell r="Y905" t="str">
            <v>Potenciar</v>
          </cell>
        </row>
        <row r="906">
          <cell r="A906" t="str">
            <v>L35</v>
          </cell>
          <cell r="B906" t="str">
            <v>L35 - FARMACIA SAN PEDRO C.A</v>
          </cell>
          <cell r="C906" t="str">
            <v>INDEPENDIENTE</v>
          </cell>
          <cell r="D906">
            <v>3</v>
          </cell>
          <cell r="F906" t="str">
            <v>CENTRO OESTE</v>
          </cell>
          <cell r="G906" t="str">
            <v>SORALI SILVA</v>
          </cell>
          <cell r="H906"/>
          <cell r="I906" t="str">
            <v>L</v>
          </cell>
          <cell r="J906" t="str">
            <v>Activo</v>
          </cell>
          <cell r="K906">
            <v>32286.8302107415</v>
          </cell>
          <cell r="L906">
            <v>3228.68302107415</v>
          </cell>
          <cell r="M906">
            <v>921.78033333333326</v>
          </cell>
          <cell r="N906" t="str">
            <v>Si Compra</v>
          </cell>
          <cell r="O906">
            <v>10</v>
          </cell>
          <cell r="P906">
            <v>42306.846206893082</v>
          </cell>
          <cell r="Q906">
            <v>4230.6846206893078</v>
          </cell>
          <cell r="R906">
            <v>958.21613333333335</v>
          </cell>
          <cell r="V906">
            <v>0.76315852174017618</v>
          </cell>
          <cell r="W906">
            <v>1.232835963531118E-4</v>
          </cell>
          <cell r="X906">
            <v>10</v>
          </cell>
          <cell r="Y906" t="str">
            <v>Proteger</v>
          </cell>
        </row>
        <row r="907">
          <cell r="A907" t="str">
            <v>C696</v>
          </cell>
          <cell r="B907" t="str">
            <v>C696 - FARMACIA LOS BLAS, C.A</v>
          </cell>
          <cell r="C907" t="str">
            <v>INDEPENDIENTE</v>
          </cell>
          <cell r="D907">
            <v>3</v>
          </cell>
          <cell r="E907"/>
          <cell r="F907" t="str">
            <v>CENTRO ESTE</v>
          </cell>
          <cell r="G907" t="str">
            <v>KARLA SALAZAR</v>
          </cell>
          <cell r="H907"/>
          <cell r="I907" t="str">
            <v>H</v>
          </cell>
          <cell r="J907" t="str">
            <v>Activo</v>
          </cell>
          <cell r="K907">
            <v>32263.348428080684</v>
          </cell>
          <cell r="L907">
            <v>3226.3348428080685</v>
          </cell>
          <cell r="M907">
            <v>2922.332064598852</v>
          </cell>
          <cell r="N907" t="str">
            <v>Si Compra</v>
          </cell>
          <cell r="O907">
            <v>10</v>
          </cell>
          <cell r="P907">
            <v>86656.77353003803</v>
          </cell>
          <cell r="Q907">
            <v>8665.6773530038026</v>
          </cell>
          <cell r="R907">
            <v>7515.5850117183254</v>
          </cell>
          <cell r="T907"/>
          <cell r="U907"/>
          <cell r="V907">
            <v>0.37231190493028421</v>
          </cell>
          <cell r="W907">
            <v>1.2319393383138663E-4</v>
          </cell>
          <cell r="X907">
            <v>10</v>
          </cell>
          <cell r="Y907" t="str">
            <v>Potenciar</v>
          </cell>
        </row>
        <row r="908">
          <cell r="A908" t="str">
            <v>3069</v>
          </cell>
          <cell r="B908" t="str">
            <v>3069 - FARMACIA EL NAZARENO DE OJEDA C.A</v>
          </cell>
          <cell r="C908" t="e">
            <v>#N/A</v>
          </cell>
          <cell r="D908">
            <v>3</v>
          </cell>
          <cell r="E908"/>
          <cell r="F908" t="str">
            <v>MARACAIBO</v>
          </cell>
          <cell r="G908" t="str">
            <v>JOEL JIMENEZ</v>
          </cell>
          <cell r="H908"/>
          <cell r="I908" t="str">
            <v>S</v>
          </cell>
          <cell r="J908" t="str">
            <v>Activo</v>
          </cell>
          <cell r="K908">
            <v>32120.874456376012</v>
          </cell>
          <cell r="L908">
            <v>5353.4790760626684</v>
          </cell>
          <cell r="M908">
            <v>5454.2149331490446</v>
          </cell>
          <cell r="N908" t="str">
            <v>Si Compra</v>
          </cell>
          <cell r="O908">
            <v>6</v>
          </cell>
          <cell r="P908">
            <v>137196.72217491857</v>
          </cell>
          <cell r="Q908">
            <v>22866.120362486428</v>
          </cell>
          <cell r="R908">
            <v>22605.057644857938</v>
          </cell>
          <cell r="T908"/>
          <cell r="U908"/>
          <cell r="V908">
            <v>0.23412275415314654</v>
          </cell>
          <cell r="W908">
            <v>2.0441652190389563E-4</v>
          </cell>
          <cell r="X908">
            <v>6</v>
          </cell>
          <cell r="Y908" t="str">
            <v>Potenciar</v>
          </cell>
        </row>
        <row r="909">
          <cell r="A909" t="str">
            <v>D998</v>
          </cell>
          <cell r="B909" t="str">
            <v>D998 - FARMA 28, C.A</v>
          </cell>
          <cell r="C909" t="str">
            <v>INDEPENDIENTE</v>
          </cell>
          <cell r="D909">
            <v>3</v>
          </cell>
          <cell r="F909" t="str">
            <v>ANDES</v>
          </cell>
          <cell r="G909" t="str">
            <v>ANYERSSON TORRES</v>
          </cell>
          <cell r="H909"/>
          <cell r="I909" t="str">
            <v>4</v>
          </cell>
          <cell r="J909" t="str">
            <v>Activo</v>
          </cell>
          <cell r="K909">
            <v>32063.817982867604</v>
          </cell>
          <cell r="L909">
            <v>3206.3817982867604</v>
          </cell>
          <cell r="M909">
            <v>3368.1433909620523</v>
          </cell>
          <cell r="N909" t="str">
            <v>Si Compra</v>
          </cell>
          <cell r="O909">
            <v>10</v>
          </cell>
          <cell r="P909">
            <v>75647.265653797498</v>
          </cell>
          <cell r="Q909">
            <v>7564.7265653797494</v>
          </cell>
          <cell r="R909">
            <v>8683.8559665528737</v>
          </cell>
          <cell r="V909">
            <v>0.42385957649294093</v>
          </cell>
          <cell r="W909">
            <v>1.224320494745995E-4</v>
          </cell>
          <cell r="X909">
            <v>10</v>
          </cell>
          <cell r="Y909" t="str">
            <v>Potenciar</v>
          </cell>
        </row>
        <row r="910">
          <cell r="A910" t="str">
            <v>A257</v>
          </cell>
          <cell r="B910" t="str">
            <v>A257 - FARMACENTRO, C.A</v>
          </cell>
          <cell r="C910" t="str">
            <v>INDEPENDIENTE</v>
          </cell>
          <cell r="D910">
            <v>3</v>
          </cell>
          <cell r="E910"/>
          <cell r="F910" t="str">
            <v>CENTRO ESTE</v>
          </cell>
          <cell r="G910" t="str">
            <v>WILLIBETTI GONZALEZ</v>
          </cell>
          <cell r="H910"/>
          <cell r="I910" t="str">
            <v>AG</v>
          </cell>
          <cell r="J910" t="str">
            <v>Activo</v>
          </cell>
          <cell r="K910">
            <v>32028.399345047401</v>
          </cell>
          <cell r="L910">
            <v>3202.8399345047401</v>
          </cell>
          <cell r="M910">
            <v>3737.5401289298188</v>
          </cell>
          <cell r="N910" t="str">
            <v>Si Compra</v>
          </cell>
          <cell r="O910">
            <v>10</v>
          </cell>
          <cell r="P910">
            <v>267784.22416569659</v>
          </cell>
          <cell r="Q910">
            <v>26778.422416569658</v>
          </cell>
          <cell r="R910">
            <v>17597.381240615108</v>
          </cell>
          <cell r="T910"/>
          <cell r="U910"/>
          <cell r="V910">
            <v>0.11960525099951079</v>
          </cell>
          <cell r="W910">
            <v>1.222968074263742E-4</v>
          </cell>
          <cell r="X910">
            <v>10</v>
          </cell>
          <cell r="Y910" t="str">
            <v>Conquistar</v>
          </cell>
        </row>
        <row r="911">
          <cell r="A911" t="str">
            <v>E327</v>
          </cell>
          <cell r="B911" t="str">
            <v>E327 - FARMACIA CRUZ DE MAYO, C.A.</v>
          </cell>
          <cell r="C911" t="e">
            <v>#N/A</v>
          </cell>
          <cell r="D911">
            <v>3</v>
          </cell>
          <cell r="F911" t="str">
            <v>CARACAS</v>
          </cell>
          <cell r="G911">
            <v>0</v>
          </cell>
          <cell r="H911"/>
          <cell r="I911" t="str">
            <v>C7</v>
          </cell>
          <cell r="J911" t="str">
            <v>Activo</v>
          </cell>
          <cell r="K911">
            <v>32022.001403090642</v>
          </cell>
          <cell r="L911">
            <v>5337.0002338484401</v>
          </cell>
          <cell r="M911">
            <v>5557.0826932701575</v>
          </cell>
          <cell r="N911" t="str">
            <v>Si Compra</v>
          </cell>
          <cell r="O911">
            <v>6</v>
          </cell>
          <cell r="P911">
            <v>0</v>
          </cell>
          <cell r="Q911">
            <v>0</v>
          </cell>
          <cell r="R911">
            <v>0</v>
          </cell>
          <cell r="V911">
            <v>0</v>
          </cell>
          <cell r="W911">
            <v>2.0378729601871421E-4</v>
          </cell>
          <cell r="X911">
            <v>0</v>
          </cell>
          <cell r="Y911" t="str">
            <v>Conquistar</v>
          </cell>
        </row>
        <row r="912">
          <cell r="A912" t="str">
            <v>6053</v>
          </cell>
          <cell r="B912" t="str">
            <v>6053 - FARMACIA AMAZONIA, C.A.</v>
          </cell>
          <cell r="C912" t="str">
            <v>INDEPENDIENTE</v>
          </cell>
          <cell r="D912">
            <v>3</v>
          </cell>
          <cell r="E912"/>
          <cell r="F912" t="str">
            <v>ESTE</v>
          </cell>
          <cell r="G912" t="str">
            <v>JOSE RAMIREZ</v>
          </cell>
          <cell r="H912"/>
          <cell r="I912" t="str">
            <v>A2</v>
          </cell>
          <cell r="J912" t="str">
            <v>Activo</v>
          </cell>
          <cell r="K912">
            <v>31926.507796603266</v>
          </cell>
          <cell r="L912">
            <v>3192.6507796603264</v>
          </cell>
          <cell r="M912">
            <v>4545.679714687355</v>
          </cell>
          <cell r="N912" t="str">
            <v>Si Compra</v>
          </cell>
          <cell r="O912">
            <v>10</v>
          </cell>
          <cell r="P912">
            <v>68592.989826028759</v>
          </cell>
          <cell r="Q912">
            <v>6859.2989826028761</v>
          </cell>
          <cell r="R912">
            <v>10302.143525026842</v>
          </cell>
          <cell r="T912"/>
          <cell r="U912"/>
          <cell r="V912">
            <v>0.46544855206892022</v>
          </cell>
          <cell r="W912">
            <v>1.2190774611412431E-4</v>
          </cell>
          <cell r="X912">
            <v>10</v>
          </cell>
          <cell r="Y912" t="str">
            <v>Potenciar</v>
          </cell>
        </row>
        <row r="913">
          <cell r="A913" t="str">
            <v>E179</v>
          </cell>
          <cell r="B913" t="str">
            <v>E179 - EXPENDIO DE MEDICINAS MI REDENTOR 2022, C.A</v>
          </cell>
          <cell r="C913" t="str">
            <v>INDEPENDIENTE</v>
          </cell>
          <cell r="D913">
            <v>3</v>
          </cell>
          <cell r="F913" t="str">
            <v>ANDES</v>
          </cell>
          <cell r="G913">
            <v>0</v>
          </cell>
          <cell r="H913"/>
          <cell r="I913" t="str">
            <v>G1</v>
          </cell>
          <cell r="J913" t="str">
            <v>Activo</v>
          </cell>
          <cell r="K913">
            <v>31923.976521622313</v>
          </cell>
          <cell r="L913">
            <v>4560.5680745174732</v>
          </cell>
          <cell r="M913">
            <v>5344.0401492378824</v>
          </cell>
          <cell r="N913" t="str">
            <v>Si Compra</v>
          </cell>
          <cell r="O913">
            <v>7</v>
          </cell>
          <cell r="P913">
            <v>0</v>
          </cell>
          <cell r="Q913">
            <v>0</v>
          </cell>
          <cell r="R913">
            <v>0</v>
          </cell>
          <cell r="V913">
            <v>0</v>
          </cell>
          <cell r="W913">
            <v>1.7414011532561281E-4</v>
          </cell>
          <cell r="X913">
            <v>0</v>
          </cell>
          <cell r="Y913" t="str">
            <v>Conquistar</v>
          </cell>
        </row>
        <row r="914">
          <cell r="A914" t="str">
            <v>1911</v>
          </cell>
          <cell r="B914" t="str">
            <v>1911 - FARMATOTAL LA CRUZ, C.A.</v>
          </cell>
          <cell r="C914" t="str">
            <v>INDEPENDIENTE</v>
          </cell>
          <cell r="D914">
            <v>3</v>
          </cell>
          <cell r="E914"/>
          <cell r="F914" t="str">
            <v>CENTRO OESTE</v>
          </cell>
          <cell r="G914" t="str">
            <v>JOSE LUIS GARCIA</v>
          </cell>
          <cell r="H914"/>
          <cell r="I914" t="str">
            <v>Y</v>
          </cell>
          <cell r="J914" t="str">
            <v>Activo</v>
          </cell>
          <cell r="K914">
            <v>31921.947267586205</v>
          </cell>
          <cell r="L914">
            <v>3192.1947267586206</v>
          </cell>
          <cell r="M914">
            <v>3308.2605225287348</v>
          </cell>
          <cell r="N914" t="str">
            <v>Si Compra</v>
          </cell>
          <cell r="O914">
            <v>10</v>
          </cell>
          <cell r="P914">
            <v>34300.131942761378</v>
          </cell>
          <cell r="Q914">
            <v>3430.0131942761377</v>
          </cell>
          <cell r="R914">
            <v>3281.1702142537929</v>
          </cell>
          <cell r="T914"/>
          <cell r="U914"/>
          <cell r="V914">
            <v>0.9306654365311543</v>
          </cell>
          <cell r="W914">
            <v>1.2189033225172822E-4</v>
          </cell>
          <cell r="X914">
            <v>10</v>
          </cell>
          <cell r="Y914" t="str">
            <v>Proteger</v>
          </cell>
        </row>
        <row r="915">
          <cell r="A915" t="str">
            <v>C409</v>
          </cell>
          <cell r="B915" t="str">
            <v>C409 - FARMACIA EL SOL,C.A.</v>
          </cell>
          <cell r="C915" t="str">
            <v>INDEPENDIENTE</v>
          </cell>
          <cell r="D915">
            <v>3</v>
          </cell>
          <cell r="E915"/>
          <cell r="F915" t="str">
            <v>CENTRO OESTE</v>
          </cell>
          <cell r="G915" t="str">
            <v>SORALI SILVA</v>
          </cell>
          <cell r="H915" t="str">
            <v>HECTOR</v>
          </cell>
          <cell r="I915" t="str">
            <v>C</v>
          </cell>
          <cell r="J915" t="str">
            <v>Activo</v>
          </cell>
          <cell r="K915">
            <v>31841.562069147752</v>
          </cell>
          <cell r="L915">
            <v>3184.1562069147753</v>
          </cell>
          <cell r="M915">
            <v>2764.7965666666664</v>
          </cell>
          <cell r="N915" t="str">
            <v>Si Compra</v>
          </cell>
          <cell r="O915">
            <v>10</v>
          </cell>
          <cell r="P915">
            <v>70160.044378654813</v>
          </cell>
          <cell r="Q915">
            <v>7016.0044378654811</v>
          </cell>
          <cell r="R915">
            <v>5395.6679333333332</v>
          </cell>
          <cell r="T915"/>
          <cell r="U915"/>
          <cell r="V915">
            <v>0.45384181767757109</v>
          </cell>
          <cell r="W915">
            <v>1.2158339049583687E-4</v>
          </cell>
          <cell r="X915">
            <v>10</v>
          </cell>
          <cell r="Y915" t="str">
            <v>Potenciar</v>
          </cell>
        </row>
        <row r="916">
          <cell r="A916" t="str">
            <v>B605</v>
          </cell>
          <cell r="B916" t="str">
            <v>B605 - FARMACIA BOSQUESERINO, C.A</v>
          </cell>
          <cell r="C916" t="str">
            <v>INDEPENDIENTE</v>
          </cell>
          <cell r="D916">
            <v>1</v>
          </cell>
          <cell r="E916"/>
          <cell r="F916" t="str">
            <v>CENTRO ESTE</v>
          </cell>
          <cell r="G916" t="str">
            <v>ELIANA PERAZA</v>
          </cell>
          <cell r="H916"/>
          <cell r="I916" t="str">
            <v>M</v>
          </cell>
          <cell r="J916" t="str">
            <v>Suspendido</v>
          </cell>
          <cell r="K916">
            <v>31831.363131476028</v>
          </cell>
          <cell r="L916">
            <v>3978.9203914345035</v>
          </cell>
          <cell r="M916">
            <v>1596.2792345755154</v>
          </cell>
          <cell r="N916" t="str">
            <v>Si Compra</v>
          </cell>
          <cell r="O916">
            <v>8</v>
          </cell>
          <cell r="P916">
            <v>60240.614152686539</v>
          </cell>
          <cell r="Q916">
            <v>7530.0767690858174</v>
          </cell>
          <cell r="R916">
            <v>3473.8910325717206</v>
          </cell>
          <cell r="T916"/>
          <cell r="U916"/>
          <cell r="V916">
            <v>0.52840369540051324</v>
          </cell>
          <cell r="W916">
            <v>1.5193055876249527E-4</v>
          </cell>
          <cell r="X916">
            <v>8</v>
          </cell>
          <cell r="Y916" t="str">
            <v>Potenciar</v>
          </cell>
        </row>
        <row r="917">
          <cell r="A917" t="str">
            <v>O191</v>
          </cell>
          <cell r="B917" t="str">
            <v>O191 - FARMACIA MODERNA C A</v>
          </cell>
          <cell r="C917" t="str">
            <v>INDEPENDIENTE</v>
          </cell>
          <cell r="D917">
            <v>3</v>
          </cell>
          <cell r="F917" t="str">
            <v>CENTRO ESTE</v>
          </cell>
          <cell r="G917" t="str">
            <v>ELIANA PERAZA</v>
          </cell>
          <cell r="H917"/>
          <cell r="I917" t="str">
            <v>M</v>
          </cell>
          <cell r="J917" t="str">
            <v>Activo</v>
          </cell>
          <cell r="K917">
            <v>31671.012722693344</v>
          </cell>
          <cell r="L917">
            <v>3167.1012722693345</v>
          </cell>
          <cell r="M917">
            <v>1456.495980329644</v>
          </cell>
          <cell r="N917" t="str">
            <v>Si Compra</v>
          </cell>
          <cell r="O917">
            <v>10</v>
          </cell>
          <cell r="P917">
            <v>386672.91361711221</v>
          </cell>
          <cell r="Q917">
            <v>38667.291361711221</v>
          </cell>
          <cell r="R917">
            <v>25413.754305574501</v>
          </cell>
          <cell r="V917">
            <v>8.1906468250978484E-2</v>
          </cell>
          <cell r="W917">
            <v>1.2093216717507938E-4</v>
          </cell>
          <cell r="X917">
            <v>10</v>
          </cell>
          <cell r="Y917" t="str">
            <v>Conquistar</v>
          </cell>
        </row>
        <row r="918">
          <cell r="A918" t="str">
            <v>8700</v>
          </cell>
          <cell r="B918" t="str">
            <v>8700 - FARMACIA  SF, C.A.</v>
          </cell>
          <cell r="C918" t="str">
            <v>INDEPENDIENTE</v>
          </cell>
          <cell r="D918">
            <v>2</v>
          </cell>
          <cell r="E918"/>
          <cell r="F918" t="str">
            <v>MARACAIBO</v>
          </cell>
          <cell r="G918" t="str">
            <v>ADRIANA ALBORNOZ</v>
          </cell>
          <cell r="H918"/>
          <cell r="I918" t="str">
            <v>Q</v>
          </cell>
          <cell r="J918" t="str">
            <v>Activo</v>
          </cell>
          <cell r="K918">
            <v>31637.63236507008</v>
          </cell>
          <cell r="L918">
            <v>3515.2924850077866</v>
          </cell>
          <cell r="M918">
            <v>4026.7497520111665</v>
          </cell>
          <cell r="N918" t="str">
            <v>Si Compra</v>
          </cell>
          <cell r="O918">
            <v>9</v>
          </cell>
          <cell r="P918">
            <v>86708.463683768059</v>
          </cell>
          <cell r="Q918">
            <v>10838.557960471007</v>
          </cell>
          <cell r="R918">
            <v>15306.912322072574</v>
          </cell>
          <cell r="T918"/>
          <cell r="U918"/>
          <cell r="V918">
            <v>0.32433212036401049</v>
          </cell>
          <cell r="W918">
            <v>1.3422745340936157E-4</v>
          </cell>
          <cell r="X918">
            <v>7</v>
          </cell>
          <cell r="Y918" t="str">
            <v>Potenciar</v>
          </cell>
        </row>
        <row r="919">
          <cell r="A919" t="str">
            <v>0429</v>
          </cell>
          <cell r="B919" t="str">
            <v>0429 - CENTRO MEDICO MARACAY,C.A.</v>
          </cell>
          <cell r="C919" t="str">
            <v>INDEPENDIENTE</v>
          </cell>
          <cell r="D919">
            <v>3</v>
          </cell>
          <cell r="E919"/>
          <cell r="F919" t="str">
            <v>CENTRO ESTE</v>
          </cell>
          <cell r="G919">
            <v>0</v>
          </cell>
          <cell r="H919"/>
          <cell r="I919" t="str">
            <v>+</v>
          </cell>
          <cell r="J919" t="str">
            <v>Inactivo</v>
          </cell>
          <cell r="K919">
            <v>31624.85264786167</v>
          </cell>
          <cell r="L919">
            <v>3162.4852647861671</v>
          </cell>
          <cell r="M919">
            <v>2863.9532999491407</v>
          </cell>
          <cell r="N919" t="str">
            <v>Si Compra</v>
          </cell>
          <cell r="O919">
            <v>10</v>
          </cell>
          <cell r="P919">
            <v>0</v>
          </cell>
          <cell r="Q919">
            <v>0</v>
          </cell>
          <cell r="R919">
            <v>0</v>
          </cell>
          <cell r="T919"/>
          <cell r="U919"/>
          <cell r="V919">
            <v>0</v>
          </cell>
          <cell r="W919">
            <v>1.2075591016886251E-4</v>
          </cell>
          <cell r="X919">
            <v>0</v>
          </cell>
          <cell r="Y919" t="str">
            <v>Conquistar</v>
          </cell>
        </row>
        <row r="920">
          <cell r="A920" t="str">
            <v>D775</v>
          </cell>
          <cell r="B920" t="str">
            <v>D775 - RAPID FARMA 2024, C.A</v>
          </cell>
          <cell r="C920" t="str">
            <v>INDEPENDIENTE</v>
          </cell>
          <cell r="D920">
            <v>3</v>
          </cell>
          <cell r="E920"/>
          <cell r="F920" t="str">
            <v>CARACAS</v>
          </cell>
          <cell r="G920" t="str">
            <v>JHON TORRES</v>
          </cell>
          <cell r="H920" t="str">
            <v>VICTOR</v>
          </cell>
          <cell r="I920" t="str">
            <v>CF</v>
          </cell>
          <cell r="J920" t="str">
            <v>Inactivo</v>
          </cell>
          <cell r="K920">
            <v>31511.384148320405</v>
          </cell>
          <cell r="L920">
            <v>3151.1384148320403</v>
          </cell>
          <cell r="M920">
            <v>1775.5666234759804</v>
          </cell>
          <cell r="N920" t="str">
            <v>Si Compra</v>
          </cell>
          <cell r="O920">
            <v>10</v>
          </cell>
          <cell r="P920">
            <v>68703.547207526557</v>
          </cell>
          <cell r="Q920">
            <v>6870.3547207526553</v>
          </cell>
          <cell r="R920">
            <v>5698.9997000496742</v>
          </cell>
          <cell r="T920"/>
          <cell r="U920"/>
          <cell r="V920">
            <v>0.45865730998047061</v>
          </cell>
          <cell r="W920">
            <v>1.2032264358292231E-4</v>
          </cell>
          <cell r="X920">
            <v>10</v>
          </cell>
          <cell r="Y920" t="str">
            <v>Potenciar</v>
          </cell>
        </row>
        <row r="921">
          <cell r="A921">
            <v>0</v>
          </cell>
          <cell r="B921" t="str">
            <v>S382 - FARMACIA KATHERIN C.A.</v>
          </cell>
          <cell r="C921" t="e">
            <v>#N/A</v>
          </cell>
          <cell r="D921">
            <v>0</v>
          </cell>
          <cell r="E921"/>
          <cell r="F921" t="str">
            <v>ESTE</v>
          </cell>
          <cell r="G921" t="str">
            <v>PEDRO VIRE</v>
          </cell>
          <cell r="H921"/>
          <cell r="I921" t="str">
            <v>A7</v>
          </cell>
          <cell r="J921" t="str">
            <v>Inactivo</v>
          </cell>
          <cell r="K921">
            <v>31463.560660410574</v>
          </cell>
          <cell r="L921">
            <v>3495.951184490064</v>
          </cell>
          <cell r="M921">
            <v>5157.9020898620793</v>
          </cell>
          <cell r="N921" t="str">
            <v>Si Compra</v>
          </cell>
          <cell r="O921">
            <v>8</v>
          </cell>
          <cell r="P921">
            <v>163324.28060977824</v>
          </cell>
          <cell r="Q921">
            <v>18147.14228997536</v>
          </cell>
          <cell r="R921">
            <v>20320.729561539963</v>
          </cell>
          <cell r="T921"/>
          <cell r="U921"/>
          <cell r="V921">
            <v>0.19264472216219178</v>
          </cell>
          <cell r="W921">
            <v>1.3348892780297428E-4</v>
          </cell>
          <cell r="X921">
            <v>9</v>
          </cell>
          <cell r="Y921" t="str">
            <v>Conquistar</v>
          </cell>
        </row>
        <row r="922">
          <cell r="A922" t="str">
            <v>B843</v>
          </cell>
          <cell r="B922" t="str">
            <v>B843 - FARMA ALAIA PLUS, C.A.</v>
          </cell>
          <cell r="C922" t="str">
            <v>INDEPENDIENTE</v>
          </cell>
          <cell r="D922">
            <v>3</v>
          </cell>
          <cell r="E922"/>
          <cell r="F922" t="str">
            <v>ESTE</v>
          </cell>
          <cell r="G922" t="str">
            <v>CARLOS BLONDELL</v>
          </cell>
          <cell r="H922" t="str">
            <v>HECTOR</v>
          </cell>
          <cell r="I922" t="str">
            <v>A3</v>
          </cell>
          <cell r="J922" t="str">
            <v>Activo</v>
          </cell>
          <cell r="K922">
            <v>31454.902885038435</v>
          </cell>
          <cell r="L922">
            <v>3145.4902885038437</v>
          </cell>
          <cell r="M922">
            <v>2834.4826864804331</v>
          </cell>
          <cell r="N922" t="str">
            <v>Si Compra</v>
          </cell>
          <cell r="O922">
            <v>10</v>
          </cell>
          <cell r="P922">
            <v>234884.29903860306</v>
          </cell>
          <cell r="Q922">
            <v>23488.429903860306</v>
          </cell>
          <cell r="R922">
            <v>18600.416296869997</v>
          </cell>
          <cell r="T922"/>
          <cell r="U922"/>
          <cell r="V922">
            <v>0.1339165836702812</v>
          </cell>
          <cell r="W922">
            <v>1.2010697629014326E-4</v>
          </cell>
          <cell r="X922">
            <v>10</v>
          </cell>
          <cell r="Y922" t="str">
            <v>Conquistar</v>
          </cell>
        </row>
        <row r="923">
          <cell r="A923" t="str">
            <v>L37</v>
          </cell>
          <cell r="B923" t="str">
            <v>L37 - FARMACIA PARAISO C.A.</v>
          </cell>
          <cell r="C923" t="str">
            <v>INDEPENDIENTE</v>
          </cell>
          <cell r="D923">
            <v>3</v>
          </cell>
          <cell r="F923" t="str">
            <v>CENTRO OESTE</v>
          </cell>
          <cell r="G923" t="str">
            <v>SORALI SILVA</v>
          </cell>
          <cell r="H923"/>
          <cell r="I923" t="str">
            <v>L</v>
          </cell>
          <cell r="J923" t="str">
            <v>Activo</v>
          </cell>
          <cell r="K923">
            <v>31434.343323008157</v>
          </cell>
          <cell r="L923">
            <v>3143.4343323008156</v>
          </cell>
          <cell r="M923">
            <v>3121.1817078107197</v>
          </cell>
          <cell r="N923" t="str">
            <v>Si Compra</v>
          </cell>
          <cell r="O923">
            <v>10</v>
          </cell>
          <cell r="P923">
            <v>33847.57573355639</v>
          </cell>
          <cell r="Q923">
            <v>3384.7575733556391</v>
          </cell>
          <cell r="R923">
            <v>2856.6548556257112</v>
          </cell>
          <cell r="V923">
            <v>0.92870294671781284</v>
          </cell>
          <cell r="W923">
            <v>1.2002847193620098E-4</v>
          </cell>
          <cell r="X923">
            <v>10</v>
          </cell>
          <cell r="Y923" t="str">
            <v>Proteger</v>
          </cell>
        </row>
        <row r="924">
          <cell r="A924" t="str">
            <v>E341</v>
          </cell>
          <cell r="B924" t="str">
            <v>E341 - FARMAVEN 2025, C.A.</v>
          </cell>
          <cell r="C924" t="e">
            <v>#N/A</v>
          </cell>
          <cell r="D924">
            <v>3</v>
          </cell>
          <cell r="F924" t="str">
            <v>CENTRO ESTE</v>
          </cell>
          <cell r="G924">
            <v>0</v>
          </cell>
          <cell r="H924"/>
          <cell r="I924" t="str">
            <v>$</v>
          </cell>
          <cell r="J924" t="str">
            <v>Activo</v>
          </cell>
          <cell r="K924">
            <v>31404.616206330262</v>
          </cell>
          <cell r="L924">
            <v>5234.1027010550433</v>
          </cell>
          <cell r="M924">
            <v>3773.4527820313947</v>
          </cell>
          <cell r="N924" t="str">
            <v>Si Compra</v>
          </cell>
          <cell r="O924">
            <v>6</v>
          </cell>
          <cell r="P924">
            <v>0</v>
          </cell>
          <cell r="Q924">
            <v>0</v>
          </cell>
          <cell r="R924">
            <v>0</v>
          </cell>
          <cell r="V924">
            <v>0</v>
          </cell>
          <cell r="W924">
            <v>1.9985827052570939E-4</v>
          </cell>
          <cell r="X924">
            <v>0</v>
          </cell>
          <cell r="Y924" t="str">
            <v>Conquistar</v>
          </cell>
        </row>
        <row r="925">
          <cell r="A925" t="str">
            <v>D303</v>
          </cell>
          <cell r="B925" t="str">
            <v>D303 - FARMACIA CBL 2, C.A</v>
          </cell>
          <cell r="C925" t="str">
            <v>INDEPENDIENTE</v>
          </cell>
          <cell r="D925">
            <v>3</v>
          </cell>
          <cell r="E925"/>
          <cell r="F925" t="str">
            <v>ESTE</v>
          </cell>
          <cell r="G925" t="str">
            <v>IRAIDA RODRIGUEZ</v>
          </cell>
          <cell r="H925" t="str">
            <v>HECTOR</v>
          </cell>
          <cell r="I925" t="str">
            <v>AB</v>
          </cell>
          <cell r="J925" t="str">
            <v>Activo</v>
          </cell>
          <cell r="K925">
            <v>31389.778393451477</v>
          </cell>
          <cell r="L925">
            <v>3138.9778393451479</v>
          </cell>
          <cell r="M925">
            <v>2021.1160003947291</v>
          </cell>
          <cell r="N925" t="str">
            <v>Si Compra</v>
          </cell>
          <cell r="O925">
            <v>10</v>
          </cell>
          <cell r="P925">
            <v>160054.11715595162</v>
          </cell>
          <cell r="Q925">
            <v>16005.411715595163</v>
          </cell>
          <cell r="R925">
            <v>23468.237815256853</v>
          </cell>
          <cell r="T925"/>
          <cell r="U925"/>
          <cell r="V925">
            <v>0.19611978092926083</v>
          </cell>
          <cell r="W925">
            <v>1.1985830581115529E-4</v>
          </cell>
          <cell r="X925">
            <v>10</v>
          </cell>
          <cell r="Y925" t="str">
            <v>Conquistar</v>
          </cell>
        </row>
        <row r="926">
          <cell r="A926" t="str">
            <v>B251</v>
          </cell>
          <cell r="B926" t="str">
            <v>GRUPO AMIR MUSSA</v>
          </cell>
          <cell r="C926" t="str">
            <v>CADENA</v>
          </cell>
          <cell r="D926">
            <v>27</v>
          </cell>
          <cell r="E926"/>
          <cell r="F926" t="str">
            <v>ESTE</v>
          </cell>
          <cell r="H926"/>
          <cell r="I926"/>
          <cell r="J926" t="str">
            <v>Activo</v>
          </cell>
          <cell r="K926">
            <v>31157.056825118914</v>
          </cell>
          <cell r="L926">
            <v>3115.7056825118916</v>
          </cell>
          <cell r="M926">
            <v>5077.8094333333329</v>
          </cell>
          <cell r="N926" t="str">
            <v>Si Compra</v>
          </cell>
          <cell r="O926">
            <v>10</v>
          </cell>
          <cell r="P926">
            <v>362932.56288876804</v>
          </cell>
          <cell r="Q926">
            <v>72586.512577753601</v>
          </cell>
          <cell r="R926">
            <v>120861.64335</v>
          </cell>
          <cell r="S926"/>
          <cell r="T926"/>
          <cell r="U926"/>
          <cell r="V926">
            <v>4.2924030537689679E-2</v>
          </cell>
          <cell r="W926">
            <v>1.189696849181873E-4</v>
          </cell>
          <cell r="X926">
            <v>5</v>
          </cell>
          <cell r="Y926" t="str">
            <v>Conquistar</v>
          </cell>
        </row>
        <row r="927">
          <cell r="A927" t="str">
            <v>3133</v>
          </cell>
          <cell r="B927" t="str">
            <v>PEREZ SIERRA</v>
          </cell>
          <cell r="C927" t="str">
            <v>GRUPO</v>
          </cell>
          <cell r="D927">
            <v>4</v>
          </cell>
          <cell r="E927"/>
          <cell r="F927" t="str">
            <v>ANDES</v>
          </cell>
          <cell r="H927"/>
          <cell r="I927"/>
          <cell r="J927" t="str">
            <v>Activo</v>
          </cell>
          <cell r="K927">
            <v>31019.353602532075</v>
          </cell>
          <cell r="L927">
            <v>3446.5948447257861</v>
          </cell>
          <cell r="M927">
            <v>5021.6344590824283</v>
          </cell>
          <cell r="N927" t="str">
            <v>Si Compra</v>
          </cell>
          <cell r="O927">
            <v>8</v>
          </cell>
          <cell r="P927">
            <v>41703.761363742553</v>
          </cell>
          <cell r="Q927">
            <v>4633.7512626380612</v>
          </cell>
          <cell r="R927">
            <v>5174.9376689265346</v>
          </cell>
          <cell r="S927"/>
          <cell r="T927"/>
          <cell r="U927"/>
          <cell r="V927">
            <v>0.74380229955709576</v>
          </cell>
          <cell r="W927">
            <v>1.316043119923637E-4</v>
          </cell>
          <cell r="X927">
            <v>8</v>
          </cell>
          <cell r="Y927" t="str">
            <v>Proteger</v>
          </cell>
        </row>
        <row r="928">
          <cell r="A928" t="str">
            <v>0264</v>
          </cell>
          <cell r="B928" t="str">
            <v>LOCATEL</v>
          </cell>
          <cell r="C928" t="str">
            <v>CADENA</v>
          </cell>
          <cell r="D928">
            <v>32</v>
          </cell>
          <cell r="E928"/>
          <cell r="F928" t="str">
            <v>CARACAS</v>
          </cell>
          <cell r="H928"/>
          <cell r="I928"/>
          <cell r="J928" t="str">
            <v>Activo</v>
          </cell>
          <cell r="K928">
            <v>31010.351993101416</v>
          </cell>
          <cell r="L928">
            <v>3101.0351993101417</v>
          </cell>
          <cell r="M928">
            <v>1045.7399666666668</v>
          </cell>
          <cell r="N928" t="str">
            <v>Si Compra</v>
          </cell>
          <cell r="O928">
            <v>10</v>
          </cell>
          <cell r="P928">
            <v>0</v>
          </cell>
          <cell r="Q928">
            <v>0</v>
          </cell>
          <cell r="R928">
            <v>0</v>
          </cell>
          <cell r="S928"/>
          <cell r="T928"/>
          <cell r="U928"/>
          <cell r="V928">
            <v>0</v>
          </cell>
          <cell r="W928">
            <v>1.1840950916926912E-4</v>
          </cell>
          <cell r="X928">
            <v>0</v>
          </cell>
          <cell r="Y928" t="str">
            <v>Conquistar</v>
          </cell>
        </row>
        <row r="929">
          <cell r="A929" t="str">
            <v>7673</v>
          </cell>
          <cell r="B929" t="str">
            <v>7673 - FARMAVIVE C.A</v>
          </cell>
          <cell r="C929" t="str">
            <v>INDEPENDIENTE</v>
          </cell>
          <cell r="D929">
            <v>3</v>
          </cell>
          <cell r="E929"/>
          <cell r="F929" t="str">
            <v>CENTRO ESTE</v>
          </cell>
          <cell r="G929" t="str">
            <v>MARCOS CRUCES</v>
          </cell>
          <cell r="H929"/>
          <cell r="I929" t="str">
            <v>AV</v>
          </cell>
          <cell r="J929" t="str">
            <v>Activo</v>
          </cell>
          <cell r="K929">
            <v>30996.007036383118</v>
          </cell>
          <cell r="L929">
            <v>3874.5008795478898</v>
          </cell>
          <cell r="M929">
            <v>4701.679470563814</v>
          </cell>
          <cell r="N929" t="str">
            <v>Si Compra</v>
          </cell>
          <cell r="O929">
            <v>7</v>
          </cell>
          <cell r="P929">
            <v>79601.097015402367</v>
          </cell>
          <cell r="Q929">
            <v>9950.1371269252959</v>
          </cell>
          <cell r="R929">
            <v>8256.6454637311417</v>
          </cell>
          <cell r="T929"/>
          <cell r="U929"/>
          <cell r="V929">
            <v>0.38939170688044117</v>
          </cell>
          <cell r="W929">
            <v>1.4794341822538072E-4</v>
          </cell>
          <cell r="X929">
            <v>8</v>
          </cell>
          <cell r="Y929" t="str">
            <v>Potenciar</v>
          </cell>
        </row>
        <row r="930">
          <cell r="A930" t="str">
            <v>7594</v>
          </cell>
          <cell r="B930" t="str">
            <v>7594 - FARMACIA LA LLAVE DE ORO,C.A</v>
          </cell>
          <cell r="C930" t="str">
            <v>INDEPENDIENTE</v>
          </cell>
          <cell r="D930">
            <v>3</v>
          </cell>
          <cell r="E930"/>
          <cell r="F930" t="str">
            <v>CENTRO OESTE</v>
          </cell>
          <cell r="G930" t="str">
            <v>LUIS PLACERES</v>
          </cell>
          <cell r="H930"/>
          <cell r="I930" t="str">
            <v>E</v>
          </cell>
          <cell r="J930" t="str">
            <v>Activo</v>
          </cell>
          <cell r="K930">
            <v>30982.149094326411</v>
          </cell>
          <cell r="L930">
            <v>3098.214909432641</v>
          </cell>
          <cell r="M930">
            <v>3393.1928395229538</v>
          </cell>
          <cell r="N930" t="str">
            <v>Si Compra</v>
          </cell>
          <cell r="O930">
            <v>10</v>
          </cell>
          <cell r="P930">
            <v>57585.420517200662</v>
          </cell>
          <cell r="Q930">
            <v>5758.5420517200664</v>
          </cell>
          <cell r="R930">
            <v>6775.6544708975789</v>
          </cell>
          <cell r="T930"/>
          <cell r="U930"/>
          <cell r="V930">
            <v>0.53802071454999789</v>
          </cell>
          <cell r="W930">
            <v>1.1830181960154534E-4</v>
          </cell>
          <cell r="X930">
            <v>10</v>
          </cell>
          <cell r="Y930" t="str">
            <v>Potenciar</v>
          </cell>
        </row>
        <row r="931">
          <cell r="A931" t="str">
            <v>D449</v>
          </cell>
          <cell r="B931" t="str">
            <v>D449 - FARMACIA ANIMAS BENDITAS 1, C.A.</v>
          </cell>
          <cell r="C931" t="str">
            <v>INDEPENDIENTE</v>
          </cell>
          <cell r="D931">
            <v>3</v>
          </cell>
          <cell r="E931"/>
          <cell r="F931" t="str">
            <v>ANDES</v>
          </cell>
          <cell r="G931" t="str">
            <v>JESUS CONTRERAS</v>
          </cell>
          <cell r="H931" t="str">
            <v>VICTOR</v>
          </cell>
          <cell r="I931" t="str">
            <v>G2</v>
          </cell>
          <cell r="J931" t="str">
            <v>Activo</v>
          </cell>
          <cell r="K931">
            <v>30964.268915924033</v>
          </cell>
          <cell r="L931">
            <v>3096.4268915924031</v>
          </cell>
          <cell r="M931">
            <v>2921.9259000000002</v>
          </cell>
          <cell r="N931" t="str">
            <v>Si Compra</v>
          </cell>
          <cell r="O931">
            <v>10</v>
          </cell>
          <cell r="P931">
            <v>94003.522997382301</v>
          </cell>
          <cell r="Q931">
            <v>9400.3522997382297</v>
          </cell>
          <cell r="R931">
            <v>8466.1540333333323</v>
          </cell>
          <cell r="T931"/>
          <cell r="U931"/>
          <cell r="V931">
            <v>0.32939477084051721</v>
          </cell>
          <cell r="W931">
            <v>1.1823354616985532E-4</v>
          </cell>
          <cell r="X931">
            <v>10</v>
          </cell>
          <cell r="Y931" t="str">
            <v>Potenciar</v>
          </cell>
        </row>
        <row r="932">
          <cell r="A932" t="str">
            <v>E098</v>
          </cell>
          <cell r="B932" t="str">
            <v>E098 - FARMACIA VIDA Y SALUD, C.A.</v>
          </cell>
          <cell r="C932" t="str">
            <v>INDEPENDIENTE</v>
          </cell>
          <cell r="D932">
            <v>3</v>
          </cell>
          <cell r="F932" t="str">
            <v>ANDES</v>
          </cell>
          <cell r="G932">
            <v>0</v>
          </cell>
          <cell r="H932"/>
          <cell r="I932" t="str">
            <v>5</v>
          </cell>
          <cell r="J932" t="str">
            <v>Inactivo</v>
          </cell>
          <cell r="K932">
            <v>30954.376084318508</v>
          </cell>
          <cell r="L932">
            <v>3869.2970105398135</v>
          </cell>
          <cell r="M932">
            <v>6017.8819953168486</v>
          </cell>
          <cell r="N932" t="str">
            <v>Si Compra</v>
          </cell>
          <cell r="O932">
            <v>8</v>
          </cell>
          <cell r="P932">
            <v>0</v>
          </cell>
          <cell r="Q932">
            <v>0</v>
          </cell>
          <cell r="R932">
            <v>0</v>
          </cell>
          <cell r="V932">
            <v>0</v>
          </cell>
          <cell r="W932">
            <v>1.477447143941038E-4</v>
          </cell>
          <cell r="X932">
            <v>0</v>
          </cell>
          <cell r="Y932" t="str">
            <v>Conquistar</v>
          </cell>
        </row>
        <row r="933">
          <cell r="A933" t="str">
            <v>E383</v>
          </cell>
          <cell r="B933" t="str">
            <v>E383 - FARMACIA HOME MEDICA, C.A</v>
          </cell>
          <cell r="C933" t="e">
            <v>#N/A</v>
          </cell>
          <cell r="D933">
            <v>3</v>
          </cell>
          <cell r="F933" t="str">
            <v>MARACAIBO</v>
          </cell>
          <cell r="G933">
            <v>0</v>
          </cell>
          <cell r="H933"/>
          <cell r="I933" t="str">
            <v>BE</v>
          </cell>
          <cell r="J933" t="str">
            <v>Activo</v>
          </cell>
          <cell r="K933">
            <v>30901.628799999999</v>
          </cell>
          <cell r="L933">
            <v>5150.2714666666661</v>
          </cell>
          <cell r="M933">
            <v>6652.2454333333335</v>
          </cell>
          <cell r="N933" t="str">
            <v>Si Compra</v>
          </cell>
          <cell r="O933">
            <v>6</v>
          </cell>
          <cell r="P933">
            <v>0</v>
          </cell>
          <cell r="Q933">
            <v>0</v>
          </cell>
          <cell r="R933">
            <v>0</v>
          </cell>
          <cell r="V933">
            <v>0</v>
          </cell>
          <cell r="W933">
            <v>1.9665726999556709E-4</v>
          </cell>
          <cell r="X933">
            <v>0</v>
          </cell>
          <cell r="Y933" t="str">
            <v>Conquistar</v>
          </cell>
        </row>
        <row r="934">
          <cell r="A934" t="str">
            <v>D732</v>
          </cell>
          <cell r="B934" t="str">
            <v>D732 - FARMACIA PHARMADOSIS GUIGUE C.A.</v>
          </cell>
          <cell r="C934" t="str">
            <v>INDEPENDIENTE</v>
          </cell>
          <cell r="D934">
            <v>3</v>
          </cell>
          <cell r="E934"/>
          <cell r="F934" t="str">
            <v>CENTRO ESTE</v>
          </cell>
          <cell r="G934" t="str">
            <v>KARLA SALAZAR</v>
          </cell>
          <cell r="H934"/>
          <cell r="I934" t="str">
            <v>O</v>
          </cell>
          <cell r="J934" t="str">
            <v>Suspendido</v>
          </cell>
          <cell r="K934">
            <v>30884.248744424593</v>
          </cell>
          <cell r="L934">
            <v>3088.4248744424594</v>
          </cell>
          <cell r="M934">
            <v>3142.6793814748648</v>
          </cell>
          <cell r="N934" t="str">
            <v>Si Compra</v>
          </cell>
          <cell r="O934">
            <v>10</v>
          </cell>
          <cell r="P934">
            <v>53994.007625186488</v>
          </cell>
          <cell r="Q934">
            <v>5399.4007625186487</v>
          </cell>
          <cell r="R934">
            <v>4794.4915083954975</v>
          </cell>
          <cell r="T934"/>
          <cell r="U934"/>
          <cell r="V934">
            <v>0.57199400642411424</v>
          </cell>
          <cell r="W934">
            <v>1.179279982278972E-4</v>
          </cell>
          <cell r="X934">
            <v>10</v>
          </cell>
          <cell r="Y934" t="str">
            <v>Potenciar</v>
          </cell>
        </row>
        <row r="935">
          <cell r="A935" t="str">
            <v>D468</v>
          </cell>
          <cell r="B935" t="str">
            <v>D468 - FARMACIA EL BARQUERO HATILLO C.A</v>
          </cell>
          <cell r="C935" t="str">
            <v>INDEPENDIENTE</v>
          </cell>
          <cell r="D935">
            <v>3</v>
          </cell>
          <cell r="E935"/>
          <cell r="F935" t="str">
            <v>CARACAS</v>
          </cell>
          <cell r="G935" t="str">
            <v>WILLIAM ARAQUE</v>
          </cell>
          <cell r="H935"/>
          <cell r="I935" t="str">
            <v>C8</v>
          </cell>
          <cell r="J935" t="str">
            <v>Activo</v>
          </cell>
          <cell r="K935">
            <v>30867.066369697553</v>
          </cell>
          <cell r="L935">
            <v>3086.7066369697554</v>
          </cell>
          <cell r="M935">
            <v>2286.3646491345125</v>
          </cell>
          <cell r="N935" t="str">
            <v>Si Compra</v>
          </cell>
          <cell r="O935">
            <v>10</v>
          </cell>
          <cell r="P935">
            <v>55833.461391829558</v>
          </cell>
          <cell r="Q935">
            <v>5583.346139182956</v>
          </cell>
          <cell r="R935">
            <v>4825.8245565514226</v>
          </cell>
          <cell r="T935"/>
          <cell r="U935"/>
          <cell r="V935">
            <v>0.55284171176631569</v>
          </cell>
          <cell r="W935">
            <v>1.1786238928033531E-4</v>
          </cell>
          <cell r="X935">
            <v>10</v>
          </cell>
          <cell r="Y935" t="str">
            <v>Potenciar</v>
          </cell>
        </row>
        <row r="936">
          <cell r="A936" t="str">
            <v>B943</v>
          </cell>
          <cell r="B936" t="str">
            <v>B943 - FARMACIA GRUPO LA ISLA, C.A.</v>
          </cell>
          <cell r="C936" t="str">
            <v>INDEPENDIENTE</v>
          </cell>
          <cell r="D936">
            <v>3</v>
          </cell>
          <cell r="E936"/>
          <cell r="F936" t="str">
            <v>ESTE</v>
          </cell>
          <cell r="G936" t="str">
            <v>ADOLFO GONZALEZ</v>
          </cell>
          <cell r="H936" t="str">
            <v>HECTOR</v>
          </cell>
          <cell r="I936" t="str">
            <v>A8</v>
          </cell>
          <cell r="J936" t="str">
            <v>Activo</v>
          </cell>
          <cell r="K936">
            <v>30846.303039538776</v>
          </cell>
          <cell r="L936">
            <v>3084.6303039538775</v>
          </cell>
          <cell r="M936">
            <v>2316.1423492519466</v>
          </cell>
          <cell r="N936" t="str">
            <v>Si Compra</v>
          </cell>
          <cell r="O936">
            <v>10</v>
          </cell>
          <cell r="P936">
            <v>169941.96372680314</v>
          </cell>
          <cell r="Q936">
            <v>16994.196372680315</v>
          </cell>
          <cell r="R936">
            <v>12500.285692358697</v>
          </cell>
          <cell r="T936"/>
          <cell r="U936"/>
          <cell r="V936">
            <v>0.1815108073549565</v>
          </cell>
          <cell r="W936">
            <v>1.1778310686092364E-4</v>
          </cell>
          <cell r="X936">
            <v>10</v>
          </cell>
          <cell r="Y936" t="str">
            <v>Conquistar</v>
          </cell>
        </row>
        <row r="937">
          <cell r="A937" t="str">
            <v>1216</v>
          </cell>
          <cell r="B937" t="str">
            <v>1216 - FARMACIA FANZ, C.A</v>
          </cell>
          <cell r="C937" t="str">
            <v>INDEPENDIENTE</v>
          </cell>
          <cell r="D937">
            <v>3</v>
          </cell>
          <cell r="E937"/>
          <cell r="F937" t="str">
            <v>CARACAS</v>
          </cell>
          <cell r="G937" t="str">
            <v>MAIRUBI QUIJADA</v>
          </cell>
          <cell r="H937"/>
          <cell r="I937" t="str">
            <v>C1</v>
          </cell>
          <cell r="J937" t="str">
            <v>Activo</v>
          </cell>
          <cell r="K937">
            <v>30811.518328694197</v>
          </cell>
          <cell r="L937">
            <v>3081.1518328694196</v>
          </cell>
          <cell r="M937">
            <v>3604.8859291214917</v>
          </cell>
          <cell r="N937" t="str">
            <v>Si Compra</v>
          </cell>
          <cell r="O937">
            <v>10</v>
          </cell>
          <cell r="P937">
            <v>31046.913977932621</v>
          </cell>
          <cell r="Q937">
            <v>3104.6913977932622</v>
          </cell>
          <cell r="R937">
            <v>3205.4651619025267</v>
          </cell>
          <cell r="T937"/>
          <cell r="U937"/>
          <cell r="V937">
            <v>0.99241806611099126</v>
          </cell>
          <cell r="W937">
            <v>1.1765028539089912E-4</v>
          </cell>
          <cell r="X937">
            <v>10</v>
          </cell>
          <cell r="Y937" t="str">
            <v>Proteger</v>
          </cell>
        </row>
        <row r="938">
          <cell r="A938" t="str">
            <v>B028</v>
          </cell>
          <cell r="B938" t="str">
            <v>B028 - BIOMEDICA MANANTIAL, C.A.</v>
          </cell>
          <cell r="C938" t="str">
            <v>INDEPENDIENTE</v>
          </cell>
          <cell r="D938">
            <v>3</v>
          </cell>
          <cell r="E938"/>
          <cell r="F938" t="str">
            <v>ESTE</v>
          </cell>
          <cell r="G938" t="str">
            <v>PEDRO VIRE</v>
          </cell>
          <cell r="H938"/>
          <cell r="I938" t="str">
            <v>A7</v>
          </cell>
          <cell r="J938" t="str">
            <v>Activo</v>
          </cell>
          <cell r="K938">
            <v>30771.009926760096</v>
          </cell>
          <cell r="L938">
            <v>3846.376240845012</v>
          </cell>
          <cell r="M938">
            <v>3497.1355000000003</v>
          </cell>
          <cell r="N938" t="str">
            <v>Si Compra</v>
          </cell>
          <cell r="O938">
            <v>8</v>
          </cell>
          <cell r="P938">
            <v>34602.683781665044</v>
          </cell>
          <cell r="Q938">
            <v>4325.3354727081305</v>
          </cell>
          <cell r="R938">
            <v>3335.6115333333332</v>
          </cell>
          <cell r="T938"/>
          <cell r="U938"/>
          <cell r="V938">
            <v>0.88926657021513345</v>
          </cell>
          <cell r="W938">
            <v>1.4686951082016594E-4</v>
          </cell>
          <cell r="X938">
            <v>8</v>
          </cell>
          <cell r="Y938" t="str">
            <v>Proteger</v>
          </cell>
        </row>
        <row r="939">
          <cell r="A939" t="str">
            <v>D560</v>
          </cell>
          <cell r="B939" t="str">
            <v>ONCOPHARMA</v>
          </cell>
          <cell r="C939" t="str">
            <v>GRUPO</v>
          </cell>
          <cell r="D939">
            <v>5</v>
          </cell>
          <cell r="E939"/>
          <cell r="F939" t="str">
            <v>ESTE</v>
          </cell>
          <cell r="H939"/>
          <cell r="I939"/>
          <cell r="J939" t="str">
            <v>Suspendido</v>
          </cell>
          <cell r="K939">
            <v>30724.946483665961</v>
          </cell>
          <cell r="L939">
            <v>3072.4946483665963</v>
          </cell>
          <cell r="M939">
            <v>4989.4564870398199</v>
          </cell>
          <cell r="N939" t="str">
            <v>Si Compra</v>
          </cell>
          <cell r="O939">
            <v>10</v>
          </cell>
          <cell r="P939">
            <v>48516.192253284877</v>
          </cell>
          <cell r="Q939">
            <v>4851.619225328488</v>
          </cell>
          <cell r="R939">
            <v>2786.3487732495319</v>
          </cell>
          <cell r="S939"/>
          <cell r="T939"/>
          <cell r="U939"/>
          <cell r="V939">
            <v>0.63329261957044192</v>
          </cell>
          <cell r="W939">
            <v>1.1731972062723724E-4</v>
          </cell>
          <cell r="X939">
            <v>10</v>
          </cell>
          <cell r="Y939" t="str">
            <v>Proteger</v>
          </cell>
        </row>
        <row r="940">
          <cell r="A940" t="str">
            <v>1104</v>
          </cell>
          <cell r="B940" t="str">
            <v>1104 - FARMACIA BRISAS DE GUARENAS C.A.</v>
          </cell>
          <cell r="C940" t="str">
            <v>INDEPENDIENTE</v>
          </cell>
          <cell r="D940">
            <v>3</v>
          </cell>
          <cell r="E940"/>
          <cell r="F940" t="str">
            <v>CARACAS</v>
          </cell>
          <cell r="G940" t="str">
            <v>MAIRUBI QUIJADA</v>
          </cell>
          <cell r="H940"/>
          <cell r="I940" t="str">
            <v>C7</v>
          </cell>
          <cell r="J940" t="str">
            <v>Activo</v>
          </cell>
          <cell r="K940">
            <v>30641.046602310482</v>
          </cell>
          <cell r="L940">
            <v>3064.104660231048</v>
          </cell>
          <cell r="M940">
            <v>2949.8158959718153</v>
          </cell>
          <cell r="N940" t="str">
            <v>Si Compra</v>
          </cell>
          <cell r="O940">
            <v>10</v>
          </cell>
          <cell r="P940">
            <v>34311.411368031222</v>
          </cell>
          <cell r="Q940">
            <v>3431.1411368031222</v>
          </cell>
          <cell r="R940">
            <v>3049.7729130603143</v>
          </cell>
          <cell r="T940"/>
          <cell r="U940"/>
          <cell r="V940">
            <v>0.89302786975587634</v>
          </cell>
          <cell r="W940">
            <v>1.1699935845357109E-4</v>
          </cell>
          <cell r="X940">
            <v>10</v>
          </cell>
          <cell r="Y940" t="str">
            <v>Proteger</v>
          </cell>
        </row>
        <row r="941">
          <cell r="A941" t="str">
            <v>B060</v>
          </cell>
          <cell r="B941" t="str">
            <v>B060 - FARMAFABIO, C.A.</v>
          </cell>
          <cell r="C941" t="str">
            <v>INDEPENDIENTE</v>
          </cell>
          <cell r="D941">
            <v>3</v>
          </cell>
          <cell r="E941"/>
          <cell r="F941" t="str">
            <v>CENTRO OESTE</v>
          </cell>
          <cell r="G941" t="str">
            <v>JOSE LUIS GARCIA</v>
          </cell>
          <cell r="H941" t="str">
            <v>HECTOR</v>
          </cell>
          <cell r="I941" t="str">
            <v>Y</v>
          </cell>
          <cell r="J941" t="str">
            <v>Activo</v>
          </cell>
          <cell r="K941">
            <v>30640.393914412707</v>
          </cell>
          <cell r="L941">
            <v>3064.0393914412707</v>
          </cell>
          <cell r="M941">
            <v>1271.0401178868544</v>
          </cell>
          <cell r="N941" t="str">
            <v>Si Compra</v>
          </cell>
          <cell r="O941">
            <v>10</v>
          </cell>
          <cell r="P941">
            <v>99607.135824708996</v>
          </cell>
          <cell r="Q941">
            <v>9960.7135824709003</v>
          </cell>
          <cell r="R941">
            <v>7984.4648508798937</v>
          </cell>
          <cell r="T941"/>
          <cell r="U941"/>
          <cell r="V941">
            <v>0.30761243821260353</v>
          </cell>
          <cell r="W941">
            <v>1.169968662389186E-4</v>
          </cell>
          <cell r="X941">
            <v>10</v>
          </cell>
          <cell r="Y941" t="str">
            <v>Potenciar</v>
          </cell>
        </row>
        <row r="942">
          <cell r="A942" t="str">
            <v>3734</v>
          </cell>
          <cell r="B942" t="str">
            <v>3734 - POLICLINICA METROPOLITANA, C.A (UNIDOSIS)</v>
          </cell>
          <cell r="C942" t="str">
            <v>INDEPENDIENTE</v>
          </cell>
          <cell r="D942">
            <v>3</v>
          </cell>
          <cell r="E942"/>
          <cell r="F942" t="str">
            <v>CARACAS</v>
          </cell>
          <cell r="G942">
            <v>0</v>
          </cell>
          <cell r="H942"/>
          <cell r="I942" t="str">
            <v>C1</v>
          </cell>
          <cell r="J942" t="str">
            <v>Activo</v>
          </cell>
          <cell r="K942">
            <v>30429.030706715715</v>
          </cell>
          <cell r="L942">
            <v>3042.9030706715716</v>
          </cell>
          <cell r="M942">
            <v>3034.764466666667</v>
          </cell>
          <cell r="N942" t="str">
            <v>Si Compra</v>
          </cell>
          <cell r="O942">
            <v>10</v>
          </cell>
          <cell r="P942">
            <v>0</v>
          </cell>
          <cell r="Q942">
            <v>0</v>
          </cell>
          <cell r="R942">
            <v>0</v>
          </cell>
          <cell r="T942"/>
          <cell r="U942"/>
          <cell r="V942">
            <v>0</v>
          </cell>
          <cell r="W942">
            <v>1.1618979982169733E-4</v>
          </cell>
          <cell r="X942">
            <v>0</v>
          </cell>
          <cell r="Y942" t="str">
            <v>Conquistar</v>
          </cell>
        </row>
        <row r="943">
          <cell r="A943" t="str">
            <v>0603</v>
          </cell>
          <cell r="B943" t="str">
            <v>0603 - FARMACIA EL NILO, C.A</v>
          </cell>
          <cell r="C943" t="str">
            <v>INDEPENDIENTE</v>
          </cell>
          <cell r="D943">
            <v>3</v>
          </cell>
          <cell r="E943"/>
          <cell r="F943" t="str">
            <v>ESTE</v>
          </cell>
          <cell r="G943" t="str">
            <v>IRAIDA RODRIGUEZ</v>
          </cell>
          <cell r="H943"/>
          <cell r="I943" t="str">
            <v>AB</v>
          </cell>
          <cell r="J943" t="str">
            <v>Inactivo</v>
          </cell>
          <cell r="K943">
            <v>30422.738198914005</v>
          </cell>
          <cell r="L943">
            <v>3042.2738198914003</v>
          </cell>
          <cell r="M943">
            <v>3412.404643039788</v>
          </cell>
          <cell r="N943" t="str">
            <v>Si Compra</v>
          </cell>
          <cell r="O943">
            <v>10</v>
          </cell>
          <cell r="P943">
            <v>33687.391544403712</v>
          </cell>
          <cell r="Q943">
            <v>3368.7391544403713</v>
          </cell>
          <cell r="R943">
            <v>3401.5124643722252</v>
          </cell>
          <cell r="T943"/>
          <cell r="U943"/>
          <cell r="V943">
            <v>0.90308975566759053</v>
          </cell>
          <cell r="W943">
            <v>1.1616577259490511E-4</v>
          </cell>
          <cell r="X943">
            <v>10</v>
          </cell>
          <cell r="Y943" t="str">
            <v>Proteger</v>
          </cell>
        </row>
        <row r="944">
          <cell r="A944" t="str">
            <v>D774</v>
          </cell>
          <cell r="B944" t="str">
            <v>D774 - EXPENDIO DE MEDICINAS OLAM - JIREH, C.A</v>
          </cell>
          <cell r="C944" t="str">
            <v>INDEPENDIENTE</v>
          </cell>
          <cell r="D944">
            <v>3</v>
          </cell>
          <cell r="E944"/>
          <cell r="F944" t="str">
            <v>ANDES</v>
          </cell>
          <cell r="G944">
            <v>0</v>
          </cell>
          <cell r="H944"/>
          <cell r="I944" t="str">
            <v>G1</v>
          </cell>
          <cell r="J944" t="str">
            <v>Activo</v>
          </cell>
          <cell r="K944">
            <v>30347.341815829048</v>
          </cell>
          <cell r="L944">
            <v>3034.734181582905</v>
          </cell>
          <cell r="M944">
            <v>2955.3943209033478</v>
          </cell>
          <cell r="N944" t="str">
            <v>Si Compra</v>
          </cell>
          <cell r="O944">
            <v>10</v>
          </cell>
          <cell r="P944">
            <v>0</v>
          </cell>
          <cell r="Q944">
            <v>0</v>
          </cell>
          <cell r="R944">
            <v>0</v>
          </cell>
          <cell r="T944"/>
          <cell r="U944"/>
          <cell r="V944">
            <v>0</v>
          </cell>
          <cell r="W944">
            <v>1.158778800641717E-4</v>
          </cell>
          <cell r="X944">
            <v>0</v>
          </cell>
          <cell r="Y944" t="str">
            <v>Conquistar</v>
          </cell>
        </row>
        <row r="945">
          <cell r="A945" t="str">
            <v>A968</v>
          </cell>
          <cell r="B945" t="str">
            <v>A968 - FARMACIA LA BOTICA S.R.L.</v>
          </cell>
          <cell r="C945" t="str">
            <v>INDEPENDIENTE</v>
          </cell>
          <cell r="D945">
            <v>3</v>
          </cell>
          <cell r="E945"/>
          <cell r="F945" t="str">
            <v>CENTRO ESTE</v>
          </cell>
          <cell r="G945" t="str">
            <v>LAURA FLORES</v>
          </cell>
          <cell r="H945" t="str">
            <v>HECTOR</v>
          </cell>
          <cell r="I945" t="str">
            <v>-</v>
          </cell>
          <cell r="J945" t="str">
            <v>Activo</v>
          </cell>
          <cell r="K945">
            <v>30305.267173835331</v>
          </cell>
          <cell r="L945">
            <v>3030.5267173835332</v>
          </cell>
          <cell r="M945">
            <v>1592.7846553184452</v>
          </cell>
          <cell r="N945" t="str">
            <v>Si Compra</v>
          </cell>
          <cell r="O945">
            <v>10</v>
          </cell>
          <cell r="P945">
            <v>209.34889999999999</v>
          </cell>
          <cell r="Q945">
            <v>23.260988888888889</v>
          </cell>
          <cell r="R945">
            <v>0</v>
          </cell>
          <cell r="T945"/>
          <cell r="U945"/>
          <cell r="V945">
            <v>130.28365783843049</v>
          </cell>
          <cell r="W945">
            <v>1.1571722281951814E-4</v>
          </cell>
          <cell r="X945">
            <v>1</v>
          </cell>
          <cell r="Y945" t="str">
            <v>Proteger</v>
          </cell>
        </row>
        <row r="946">
          <cell r="A946" t="str">
            <v>C614</v>
          </cell>
          <cell r="B946" t="str">
            <v>C614 - FARMACIA VADE 2021, C.A.</v>
          </cell>
          <cell r="C946" t="str">
            <v>INDEPENDIENTE</v>
          </cell>
          <cell r="D946">
            <v>1</v>
          </cell>
          <cell r="E946"/>
          <cell r="F946" t="str">
            <v>CARACAS</v>
          </cell>
          <cell r="G946" t="str">
            <v>MAIRUBI QUIJADA</v>
          </cell>
          <cell r="H946"/>
          <cell r="I946" t="str">
            <v>C7</v>
          </cell>
          <cell r="J946" t="str">
            <v>Suspendido</v>
          </cell>
          <cell r="K946">
            <v>30280.157811469431</v>
          </cell>
          <cell r="L946">
            <v>3364.4619790521592</v>
          </cell>
          <cell r="M946">
            <v>2362.5606267226294</v>
          </cell>
          <cell r="N946" t="str">
            <v>Si Compra</v>
          </cell>
          <cell r="O946">
            <v>7</v>
          </cell>
          <cell r="P946">
            <v>46858.087625282831</v>
          </cell>
          <cell r="Q946">
            <v>5206.4541805869812</v>
          </cell>
          <cell r="R946">
            <v>4132.385552355614</v>
          </cell>
          <cell r="T946"/>
          <cell r="U946"/>
          <cell r="V946">
            <v>0.64620985076504522</v>
          </cell>
          <cell r="W946">
            <v>1.2846816174381343E-4</v>
          </cell>
          <cell r="X946">
            <v>8</v>
          </cell>
          <cell r="Y946" t="str">
            <v>Proteger</v>
          </cell>
        </row>
        <row r="947">
          <cell r="A947" t="str">
            <v>3430</v>
          </cell>
          <cell r="B947" t="str">
            <v>3430 - FARMAVITAL, C.A.</v>
          </cell>
          <cell r="C947" t="str">
            <v>INDEPENDIENTE</v>
          </cell>
          <cell r="D947">
            <v>3</v>
          </cell>
          <cell r="E947"/>
          <cell r="F947" t="str">
            <v>ESTE</v>
          </cell>
          <cell r="G947" t="str">
            <v>ALEXMAR CASTILLO</v>
          </cell>
          <cell r="H947"/>
          <cell r="I947" t="str">
            <v>A1</v>
          </cell>
          <cell r="J947" t="str">
            <v>Activo</v>
          </cell>
          <cell r="K947">
            <v>30263.731863591809</v>
          </cell>
          <cell r="L947">
            <v>3026.3731863591811</v>
          </cell>
          <cell r="M947">
            <v>3506.2556279065916</v>
          </cell>
          <cell r="N947" t="str">
            <v>Si Compra</v>
          </cell>
          <cell r="O947">
            <v>10</v>
          </cell>
          <cell r="P947">
            <v>35654.884591333386</v>
          </cell>
          <cell r="Q947">
            <v>3565.4884591333384</v>
          </cell>
          <cell r="R947">
            <v>3731.0750668565174</v>
          </cell>
          <cell r="T947"/>
          <cell r="U947"/>
          <cell r="V947">
            <v>0.8487962367699825</v>
          </cell>
          <cell r="W947">
            <v>1.1555862495193435E-4</v>
          </cell>
          <cell r="X947">
            <v>10</v>
          </cell>
          <cell r="Y947" t="str">
            <v>Proteger</v>
          </cell>
        </row>
        <row r="948">
          <cell r="A948" t="str">
            <v>9191</v>
          </cell>
          <cell r="B948" t="str">
            <v>9191 - FARMACIA MI ANGEL E.J., C.A.</v>
          </cell>
          <cell r="C948" t="str">
            <v>INDEPENDIENTE</v>
          </cell>
          <cell r="D948">
            <v>3</v>
          </cell>
          <cell r="E948"/>
          <cell r="F948" t="str">
            <v>CENTRO OESTE</v>
          </cell>
          <cell r="G948" t="str">
            <v>SORALI SILVA</v>
          </cell>
          <cell r="H948"/>
          <cell r="I948" t="str">
            <v>L</v>
          </cell>
          <cell r="J948" t="str">
            <v>Activo</v>
          </cell>
          <cell r="K948">
            <v>30227.489793344666</v>
          </cell>
          <cell r="L948">
            <v>3022.7489793344666</v>
          </cell>
          <cell r="M948">
            <v>2968.9846752956287</v>
          </cell>
          <cell r="N948" t="str">
            <v>Si Compra</v>
          </cell>
          <cell r="O948">
            <v>10</v>
          </cell>
          <cell r="P948">
            <v>34546.689633375441</v>
          </cell>
          <cell r="Q948">
            <v>3454.668963337544</v>
          </cell>
          <cell r="R948">
            <v>3070.3071945480392</v>
          </cell>
          <cell r="T948"/>
          <cell r="U948"/>
          <cell r="V948">
            <v>0.87497500090839353</v>
          </cell>
          <cell r="W948">
            <v>1.1542023872045278E-4</v>
          </cell>
          <cell r="X948">
            <v>10</v>
          </cell>
          <cell r="Y948" t="str">
            <v>Proteger</v>
          </cell>
        </row>
        <row r="949">
          <cell r="A949" t="str">
            <v>C635</v>
          </cell>
          <cell r="B949" t="str">
            <v>C635 - FARMACIA LIBERTADOR A.M 2006, C.A</v>
          </cell>
          <cell r="C949" t="str">
            <v>INDEPENDIENTE</v>
          </cell>
          <cell r="D949">
            <v>3</v>
          </cell>
          <cell r="E949"/>
          <cell r="F949" t="str">
            <v>CENTRO ESTE</v>
          </cell>
          <cell r="G949" t="str">
            <v>KARLA SALAZAR</v>
          </cell>
          <cell r="H949"/>
          <cell r="I949" t="str">
            <v>H</v>
          </cell>
          <cell r="J949" t="str">
            <v>Activo</v>
          </cell>
          <cell r="K949">
            <v>30225.58888411336</v>
          </cell>
          <cell r="L949">
            <v>3022.5588884113358</v>
          </cell>
          <cell r="M949">
            <v>1611.3452921925725</v>
          </cell>
          <cell r="N949" t="str">
            <v>Si Compra</v>
          </cell>
          <cell r="O949">
            <v>10</v>
          </cell>
          <cell r="P949">
            <v>130336.7487105758</v>
          </cell>
          <cell r="Q949">
            <v>13033.674871057581</v>
          </cell>
          <cell r="R949">
            <v>12152.153435933078</v>
          </cell>
          <cell r="T949"/>
          <cell r="U949"/>
          <cell r="V949">
            <v>0.23190381211082634</v>
          </cell>
          <cell r="W949">
            <v>1.1541298031432102E-4</v>
          </cell>
          <cell r="X949">
            <v>10</v>
          </cell>
          <cell r="Y949" t="str">
            <v>Potenciar</v>
          </cell>
        </row>
        <row r="950">
          <cell r="A950" t="str">
            <v>D812</v>
          </cell>
          <cell r="B950" t="str">
            <v>D812 - FARMA AMIGA, C.A.</v>
          </cell>
          <cell r="C950" t="str">
            <v>INDEPENDIENTE</v>
          </cell>
          <cell r="D950">
            <v>3</v>
          </cell>
          <cell r="E950"/>
          <cell r="F950" t="str">
            <v>CENTRO ESTE</v>
          </cell>
          <cell r="G950" t="str">
            <v>ELIANA PERAZA</v>
          </cell>
          <cell r="H950"/>
          <cell r="I950" t="str">
            <v>I</v>
          </cell>
          <cell r="J950" t="str">
            <v>Activo</v>
          </cell>
          <cell r="K950">
            <v>30127.092770247098</v>
          </cell>
          <cell r="L950">
            <v>3012.70927702471</v>
          </cell>
          <cell r="M950">
            <v>3268.3706211130643</v>
          </cell>
          <cell r="N950" t="str">
            <v>Si Compra</v>
          </cell>
          <cell r="O950">
            <v>10</v>
          </cell>
          <cell r="P950">
            <v>1318772.1374688232</v>
          </cell>
          <cell r="Q950">
            <v>131877.21374688233</v>
          </cell>
          <cell r="R950">
            <v>131504.86678816538</v>
          </cell>
          <cell r="T950"/>
          <cell r="U950"/>
          <cell r="V950">
            <v>2.2844805341483282E-2</v>
          </cell>
          <cell r="W950">
            <v>1.150368840835985E-4</v>
          </cell>
          <cell r="X950">
            <v>10</v>
          </cell>
          <cell r="Y950" t="str">
            <v>Conquistar</v>
          </cell>
        </row>
        <row r="951">
          <cell r="A951" t="str">
            <v>H110</v>
          </cell>
          <cell r="B951" t="str">
            <v>H110 - FARMACIA LA CASTRERA C.A.</v>
          </cell>
          <cell r="C951" t="str">
            <v>INDEPENDIENTE</v>
          </cell>
          <cell r="D951">
            <v>3</v>
          </cell>
          <cell r="F951" t="str">
            <v>CENTRO ESTE</v>
          </cell>
          <cell r="G951" t="str">
            <v>KARLA SALAZAR</v>
          </cell>
          <cell r="H951"/>
          <cell r="I951" t="str">
            <v>H</v>
          </cell>
          <cell r="J951" t="str">
            <v>Activo</v>
          </cell>
          <cell r="K951">
            <v>30085.121010782488</v>
          </cell>
          <cell r="L951">
            <v>3008.5121010782486</v>
          </cell>
          <cell r="M951">
            <v>3292.0537801557425</v>
          </cell>
          <cell r="N951" t="str">
            <v>Si Compra</v>
          </cell>
          <cell r="O951">
            <v>10</v>
          </cell>
          <cell r="P951">
            <v>44165.813278287918</v>
          </cell>
          <cell r="Q951">
            <v>4416.5813278287915</v>
          </cell>
          <cell r="R951">
            <v>3789.7339286424572</v>
          </cell>
          <cell r="V951">
            <v>0.68118571305857623</v>
          </cell>
          <cell r="W951">
            <v>1.1487661968420434E-4</v>
          </cell>
          <cell r="X951">
            <v>10</v>
          </cell>
          <cell r="Y951" t="str">
            <v>Proteger</v>
          </cell>
        </row>
        <row r="952">
          <cell r="A952" t="str">
            <v>B606</v>
          </cell>
          <cell r="B952" t="str">
            <v>B606 - FARMACIA CAMILA VII, C.A.</v>
          </cell>
          <cell r="C952" t="str">
            <v>INDEPENDIENTE</v>
          </cell>
          <cell r="D952">
            <v>3</v>
          </cell>
          <cell r="E952"/>
          <cell r="F952" t="str">
            <v>ANDES</v>
          </cell>
          <cell r="G952" t="str">
            <v>ANYERSSON TORRES</v>
          </cell>
          <cell r="H952" t="str">
            <v>VICTOR</v>
          </cell>
          <cell r="I952" t="str">
            <v>4</v>
          </cell>
          <cell r="J952" t="str">
            <v>Activo</v>
          </cell>
          <cell r="K952">
            <v>30062.201715266812</v>
          </cell>
          <cell r="L952">
            <v>3006.220171526681</v>
          </cell>
          <cell r="M952">
            <v>5505.8860999999997</v>
          </cell>
          <cell r="N952" t="str">
            <v>Si Compra</v>
          </cell>
          <cell r="O952">
            <v>10</v>
          </cell>
          <cell r="P952">
            <v>48367.66126174738</v>
          </cell>
          <cell r="Q952">
            <v>4836.766126174738</v>
          </cell>
          <cell r="R952">
            <v>8221.3024000000005</v>
          </cell>
          <cell r="T952"/>
          <cell r="U952"/>
          <cell r="V952">
            <v>0.6215351524354592</v>
          </cell>
          <cell r="W952">
            <v>1.1478910495579623E-4</v>
          </cell>
          <cell r="X952">
            <v>10</v>
          </cell>
          <cell r="Y952" t="str">
            <v>Proteger</v>
          </cell>
        </row>
        <row r="953">
          <cell r="A953" t="str">
            <v>B387</v>
          </cell>
          <cell r="B953" t="str">
            <v>B387 - FARMACIA MIRANDA VITAL, C.A.</v>
          </cell>
          <cell r="C953" t="str">
            <v>INDEPENDIENTE</v>
          </cell>
          <cell r="D953">
            <v>3</v>
          </cell>
          <cell r="E953"/>
          <cell r="F953" t="str">
            <v>CENTRO ESTE</v>
          </cell>
          <cell r="G953" t="str">
            <v>ELIANA PERAZA</v>
          </cell>
          <cell r="H953"/>
          <cell r="I953" t="str">
            <v>M</v>
          </cell>
          <cell r="J953" t="str">
            <v>Activo</v>
          </cell>
          <cell r="K953">
            <v>30020.752498138201</v>
          </cell>
          <cell r="L953">
            <v>3002.0752498138199</v>
          </cell>
          <cell r="M953">
            <v>2839.5738921208954</v>
          </cell>
          <cell r="N953" t="str">
            <v>Si Compra</v>
          </cell>
          <cell r="O953">
            <v>10</v>
          </cell>
          <cell r="P953">
            <v>45903.326223678778</v>
          </cell>
          <cell r="Q953">
            <v>4590.3326223678778</v>
          </cell>
          <cell r="R953">
            <v>3626.3647693729072</v>
          </cell>
          <cell r="T953"/>
          <cell r="U953"/>
          <cell r="V953">
            <v>0.65399950216793423</v>
          </cell>
          <cell r="W953">
            <v>1.1463083582499948E-4</v>
          </cell>
          <cell r="X953">
            <v>10</v>
          </cell>
          <cell r="Y953" t="str">
            <v>Proteger</v>
          </cell>
        </row>
        <row r="954">
          <cell r="A954" t="str">
            <v>7578</v>
          </cell>
          <cell r="B954" t="str">
            <v>7578 - PHARMASTAT SERVICIOS FARMACEUTICOS C.A</v>
          </cell>
          <cell r="C954" t="str">
            <v>INDEPENDIENTE</v>
          </cell>
          <cell r="D954">
            <v>3</v>
          </cell>
          <cell r="E954"/>
          <cell r="F954" t="str">
            <v>CARACAS</v>
          </cell>
          <cell r="G954" t="str">
            <v>JHON TORRES</v>
          </cell>
          <cell r="H954"/>
          <cell r="I954" t="str">
            <v>CF</v>
          </cell>
          <cell r="J954" t="str">
            <v>Activo</v>
          </cell>
          <cell r="K954">
            <v>29964.195465789522</v>
          </cell>
          <cell r="L954">
            <v>2996.4195465789521</v>
          </cell>
          <cell r="M954">
            <v>2016.4899219298393</v>
          </cell>
          <cell r="N954" t="str">
            <v>Si Compra</v>
          </cell>
          <cell r="O954">
            <v>10</v>
          </cell>
          <cell r="P954">
            <v>36069.449753342364</v>
          </cell>
          <cell r="Q954">
            <v>3606.9449753342365</v>
          </cell>
          <cell r="R954">
            <v>2090.7326844474555</v>
          </cell>
          <cell r="T954"/>
          <cell r="U954"/>
          <cell r="V954">
            <v>0.83073614016007824</v>
          </cell>
          <cell r="W954">
            <v>1.1441487921663956E-4</v>
          </cell>
          <cell r="X954">
            <v>9</v>
          </cell>
          <cell r="Y954" t="str">
            <v>Proteger</v>
          </cell>
        </row>
        <row r="955">
          <cell r="A955" t="str">
            <v>D940</v>
          </cell>
          <cell r="B955" t="str">
            <v>D940 - FARMACIA GRAN JESUS, C.A.</v>
          </cell>
          <cell r="C955" t="str">
            <v>INDEPENDIENTE</v>
          </cell>
          <cell r="D955">
            <v>3</v>
          </cell>
          <cell r="E955"/>
          <cell r="F955" t="str">
            <v>MARACAIBO</v>
          </cell>
          <cell r="G955" t="str">
            <v>MARIA FUSELLA</v>
          </cell>
          <cell r="H955"/>
          <cell r="I955" t="str">
            <v>BZ</v>
          </cell>
          <cell r="J955" t="str">
            <v>Activo</v>
          </cell>
          <cell r="K955">
            <v>29910.34597559585</v>
          </cell>
          <cell r="L955">
            <v>2991.0345975595851</v>
          </cell>
          <cell r="M955">
            <v>2151.5922132383789</v>
          </cell>
          <cell r="N955" t="str">
            <v>Si Compra</v>
          </cell>
          <cell r="O955">
            <v>10</v>
          </cell>
          <cell r="P955">
            <v>132978.77023586156</v>
          </cell>
          <cell r="Q955">
            <v>13297.877023586156</v>
          </cell>
          <cell r="R955">
            <v>12430.318264918247</v>
          </cell>
          <cell r="T955"/>
          <cell r="U955"/>
          <cell r="V955">
            <v>0.22492572252356161</v>
          </cell>
          <cell r="W955">
            <v>1.1420926105067143E-4</v>
          </cell>
          <cell r="X955">
            <v>10</v>
          </cell>
          <cell r="Y955" t="str">
            <v>Potenciar</v>
          </cell>
        </row>
        <row r="956">
          <cell r="A956" t="str">
            <v>$226</v>
          </cell>
          <cell r="B956" t="str">
            <v>$226 - FARMACIA TURMERO, C.A.</v>
          </cell>
          <cell r="C956" t="str">
            <v>INDEPENDIENTE</v>
          </cell>
          <cell r="D956">
            <v>0</v>
          </cell>
          <cell r="E956"/>
          <cell r="F956" t="str">
            <v>CENTRO ESTE</v>
          </cell>
          <cell r="G956" t="str">
            <v>MARCOS CRUCES</v>
          </cell>
          <cell r="H956"/>
          <cell r="I956" t="str">
            <v>$</v>
          </cell>
          <cell r="J956" t="str">
            <v>Bloqueado</v>
          </cell>
          <cell r="K956">
            <v>29825.27602327464</v>
          </cell>
          <cell r="L956">
            <v>4970.8793372124401</v>
          </cell>
          <cell r="M956">
            <v>0</v>
          </cell>
          <cell r="N956" t="str">
            <v>No Compra</v>
          </cell>
          <cell r="O956">
            <v>6</v>
          </cell>
          <cell r="P956">
            <v>67684.113284607258</v>
          </cell>
          <cell r="Q956">
            <v>11280.685547434543</v>
          </cell>
          <cell r="R956">
            <v>0</v>
          </cell>
          <cell r="T956"/>
          <cell r="U956"/>
          <cell r="V956">
            <v>0.440654011346227</v>
          </cell>
          <cell r="W956">
            <v>1.8980738515639133E-4</v>
          </cell>
          <cell r="X956">
            <v>6</v>
          </cell>
          <cell r="Y956" t="str">
            <v>Potenciar</v>
          </cell>
        </row>
        <row r="957">
          <cell r="A957" t="str">
            <v>9647</v>
          </cell>
          <cell r="B957" t="str">
            <v>9647 - FARMACIA  FARMA STOP, C.A.</v>
          </cell>
          <cell r="C957" t="str">
            <v>INDEPENDIENTE</v>
          </cell>
          <cell r="D957">
            <v>2</v>
          </cell>
          <cell r="E957"/>
          <cell r="F957" t="str">
            <v>CARACAS</v>
          </cell>
          <cell r="G957" t="str">
            <v>RAMON SERRANO</v>
          </cell>
          <cell r="H957"/>
          <cell r="I957" t="str">
            <v>CB</v>
          </cell>
          <cell r="J957" t="str">
            <v>Inactivo</v>
          </cell>
          <cell r="K957">
            <v>29796.473169235127</v>
          </cell>
          <cell r="L957">
            <v>3310.719241026125</v>
          </cell>
          <cell r="M957">
            <v>3295.7312789637535</v>
          </cell>
          <cell r="N957" t="str">
            <v>Si Compra</v>
          </cell>
          <cell r="O957">
            <v>9</v>
          </cell>
          <cell r="P957">
            <v>2176.3422972160033</v>
          </cell>
          <cell r="Q957">
            <v>272.04278715200041</v>
          </cell>
          <cell r="R957">
            <v>0</v>
          </cell>
          <cell r="T957"/>
          <cell r="U957"/>
          <cell r="V957">
            <v>12.169847529081164</v>
          </cell>
          <cell r="W957">
            <v>1.2641605629448122E-4</v>
          </cell>
          <cell r="X957">
            <v>4</v>
          </cell>
          <cell r="Y957" t="str">
            <v>Proteger</v>
          </cell>
        </row>
        <row r="958">
          <cell r="A958" t="str">
            <v>$259</v>
          </cell>
          <cell r="B958" t="str">
            <v>$259 - LORENZO RAMUNNO YNCANI (FARMACIA EL SOCORRO)</v>
          </cell>
          <cell r="C958" t="e">
            <v>#N/A</v>
          </cell>
          <cell r="D958">
            <v>3</v>
          </cell>
          <cell r="E958"/>
          <cell r="F958" t="str">
            <v>CENTRO ESTE</v>
          </cell>
          <cell r="G958" t="str">
            <v>LAURA FLORES</v>
          </cell>
          <cell r="H958"/>
          <cell r="I958" t="str">
            <v>+</v>
          </cell>
          <cell r="J958" t="str">
            <v>Suspendido</v>
          </cell>
          <cell r="K958">
            <v>29778.353907323755</v>
          </cell>
          <cell r="L958">
            <v>2977.8353907323753</v>
          </cell>
          <cell r="M958">
            <v>2729.6287210110681</v>
          </cell>
          <cell r="N958" t="str">
            <v>Si Compra</v>
          </cell>
          <cell r="O958">
            <v>10</v>
          </cell>
          <cell r="P958">
            <v>77474.293822881984</v>
          </cell>
          <cell r="Q958">
            <v>7747.4293822881982</v>
          </cell>
          <cell r="R958">
            <v>6634.8159058804204</v>
          </cell>
          <cell r="T958"/>
          <cell r="U958"/>
          <cell r="V958">
            <v>0.38436431541282068</v>
          </cell>
          <cell r="W958">
            <v>1.1370526432010181E-4</v>
          </cell>
          <cell r="X958">
            <v>10</v>
          </cell>
          <cell r="Y958" t="str">
            <v>Potenciar</v>
          </cell>
        </row>
        <row r="959">
          <cell r="A959" t="str">
            <v>C738</v>
          </cell>
          <cell r="B959" t="str">
            <v>C738 - EXPENDIO DE MEDICINAS  DIVINO NIÑO DE JOHANA MALDONADO , F.P.</v>
          </cell>
          <cell r="C959" t="str">
            <v>INDEPENDIENTE</v>
          </cell>
          <cell r="D959">
            <v>3</v>
          </cell>
          <cell r="E959"/>
          <cell r="F959" t="str">
            <v>ANDES</v>
          </cell>
          <cell r="G959">
            <v>0</v>
          </cell>
          <cell r="H959"/>
          <cell r="I959" t="str">
            <v>G</v>
          </cell>
          <cell r="J959" t="str">
            <v>Activo</v>
          </cell>
          <cell r="K959">
            <v>29699.719677410365</v>
          </cell>
          <cell r="L959">
            <v>2969.9719677410367</v>
          </cell>
          <cell r="M959">
            <v>1694.0280666666667</v>
          </cell>
          <cell r="N959" t="str">
            <v>Si Compra</v>
          </cell>
          <cell r="O959">
            <v>10</v>
          </cell>
          <cell r="P959">
            <v>0</v>
          </cell>
          <cell r="Q959">
            <v>0</v>
          </cell>
          <cell r="R959">
            <v>0</v>
          </cell>
          <cell r="T959"/>
          <cell r="U959"/>
          <cell r="V959">
            <v>0</v>
          </cell>
          <cell r="W959">
            <v>1.1340500843877487E-4</v>
          </cell>
          <cell r="X959">
            <v>0</v>
          </cell>
          <cell r="Y959" t="str">
            <v>Conquistar</v>
          </cell>
        </row>
        <row r="960">
          <cell r="A960" t="str">
            <v>9376</v>
          </cell>
          <cell r="B960" t="str">
            <v>9376 - GLADIS CECILIA OMAÑA RAMIREZ (FARMACIA 2000)</v>
          </cell>
          <cell r="C960" t="str">
            <v>INDEPENDIENTE</v>
          </cell>
          <cell r="D960">
            <v>3</v>
          </cell>
          <cell r="E960"/>
          <cell r="F960" t="str">
            <v>ANDES</v>
          </cell>
          <cell r="G960" t="str">
            <v>JESUS CONTRERAS</v>
          </cell>
          <cell r="H960"/>
          <cell r="I960" t="str">
            <v>G2</v>
          </cell>
          <cell r="J960" t="str">
            <v>Activo</v>
          </cell>
          <cell r="K960">
            <v>29665.33063993766</v>
          </cell>
          <cell r="L960">
            <v>2966.5330639937661</v>
          </cell>
          <cell r="M960">
            <v>3000.46787997922</v>
          </cell>
          <cell r="N960" t="str">
            <v>Si Compra</v>
          </cell>
          <cell r="O960">
            <v>10</v>
          </cell>
          <cell r="P960">
            <v>32849.749978993161</v>
          </cell>
          <cell r="Q960">
            <v>3284.9749978993159</v>
          </cell>
          <cell r="R960">
            <v>2970.5591263310525</v>
          </cell>
          <cell r="T960"/>
          <cell r="U960"/>
          <cell r="V960">
            <v>0.90306107836157412</v>
          </cell>
          <cell r="W960">
            <v>1.1327369780260884E-4</v>
          </cell>
          <cell r="X960">
            <v>10</v>
          </cell>
          <cell r="Y960" t="str">
            <v>Proteger</v>
          </cell>
        </row>
        <row r="961">
          <cell r="A961" t="str">
            <v>B304</v>
          </cell>
          <cell r="B961" t="str">
            <v>B304 - INVERSIONES KASLIK 10, C.A.</v>
          </cell>
          <cell r="C961" t="str">
            <v>INDEPENDIENTE</v>
          </cell>
          <cell r="D961">
            <v>3</v>
          </cell>
          <cell r="E961"/>
          <cell r="F961" t="str">
            <v>CARACAS</v>
          </cell>
          <cell r="G961" t="str">
            <v>WILLIAM ARAQUE</v>
          </cell>
          <cell r="H961"/>
          <cell r="I961" t="str">
            <v>C3</v>
          </cell>
          <cell r="J961" t="str">
            <v>Inactivo</v>
          </cell>
          <cell r="K961">
            <v>29660.654946228093</v>
          </cell>
          <cell r="L961">
            <v>3707.5818682785116</v>
          </cell>
          <cell r="M961">
            <v>3893.2714138348952</v>
          </cell>
          <cell r="N961" t="str">
            <v>Si Compra</v>
          </cell>
          <cell r="O961">
            <v>8</v>
          </cell>
          <cell r="P961">
            <v>43289.866813270797</v>
          </cell>
          <cell r="Q961">
            <v>5411.2333516588496</v>
          </cell>
          <cell r="R961">
            <v>5050.5005985911212</v>
          </cell>
          <cell r="T961"/>
          <cell r="U961"/>
          <cell r="V961">
            <v>0.68516392240632673</v>
          </cell>
          <cell r="W961">
            <v>1.4156980524613312E-4</v>
          </cell>
          <cell r="X961">
            <v>8</v>
          </cell>
          <cell r="Y961" t="str">
            <v>Proteger</v>
          </cell>
        </row>
        <row r="962">
          <cell r="A962" t="str">
            <v>7304</v>
          </cell>
          <cell r="B962" t="str">
            <v>7304 - FARMACIA MOLIFARMA,C.A</v>
          </cell>
          <cell r="C962" t="str">
            <v>INDEPENDIENTE</v>
          </cell>
          <cell r="D962">
            <v>3</v>
          </cell>
          <cell r="E962"/>
          <cell r="F962" t="str">
            <v>CENTRO ESTE</v>
          </cell>
          <cell r="G962" t="str">
            <v>KARLA SALAZAR</v>
          </cell>
          <cell r="H962"/>
          <cell r="I962" t="str">
            <v>H</v>
          </cell>
          <cell r="J962" t="str">
            <v>Inactivo</v>
          </cell>
          <cell r="K962">
            <v>29584.543043553771</v>
          </cell>
          <cell r="L962">
            <v>2958.4543043553772</v>
          </cell>
          <cell r="M962">
            <v>2143.3017134960637</v>
          </cell>
          <cell r="N962" t="str">
            <v>Si Compra</v>
          </cell>
          <cell r="O962">
            <v>10</v>
          </cell>
          <cell r="P962">
            <v>45120.739094394019</v>
          </cell>
          <cell r="Q962">
            <v>4512.0739094394021</v>
          </cell>
          <cell r="R962">
            <v>3765.660962409278</v>
          </cell>
          <cell r="T962"/>
          <cell r="U962"/>
          <cell r="V962">
            <v>0.65567505402918969</v>
          </cell>
          <cell r="W962">
            <v>1.1296521953583813E-4</v>
          </cell>
          <cell r="X962">
            <v>10</v>
          </cell>
          <cell r="Y962" t="str">
            <v>Proteger</v>
          </cell>
        </row>
        <row r="963">
          <cell r="A963" t="str">
            <v>C516</v>
          </cell>
          <cell r="B963" t="str">
            <v>C516 - FARMACIA PATIECITOS; C.A.</v>
          </cell>
          <cell r="C963" t="str">
            <v>INDEPENDIENTE</v>
          </cell>
          <cell r="D963">
            <v>3</v>
          </cell>
          <cell r="E963"/>
          <cell r="F963" t="str">
            <v>ANDES</v>
          </cell>
          <cell r="G963" t="str">
            <v>JESUS CONTRERAS</v>
          </cell>
          <cell r="H963"/>
          <cell r="I963" t="str">
            <v>G2</v>
          </cell>
          <cell r="J963" t="str">
            <v>Activo</v>
          </cell>
          <cell r="K963">
            <v>29465.35529853035</v>
          </cell>
          <cell r="L963">
            <v>2946.5355298530349</v>
          </cell>
          <cell r="M963">
            <v>2707.4332434708635</v>
          </cell>
          <cell r="N963" t="str">
            <v>Si Compra</v>
          </cell>
          <cell r="O963">
            <v>10</v>
          </cell>
          <cell r="P963">
            <v>81229.149489756062</v>
          </cell>
          <cell r="Q963">
            <v>8122.9149489756064</v>
          </cell>
          <cell r="R963">
            <v>6284.7978193107629</v>
          </cell>
          <cell r="T963"/>
          <cell r="U963"/>
          <cell r="V963">
            <v>0.36274361462132843</v>
          </cell>
          <cell r="W963">
            <v>1.1251011466020321E-4</v>
          </cell>
          <cell r="X963">
            <v>10</v>
          </cell>
          <cell r="Y963" t="str">
            <v>Potenciar</v>
          </cell>
        </row>
        <row r="964">
          <cell r="A964" t="str">
            <v>A628</v>
          </cell>
          <cell r="B964" t="str">
            <v>A628 - FARMAISA A.D.C. R. C.A.</v>
          </cell>
          <cell r="C964" t="str">
            <v>INDEPENDIENTE</v>
          </cell>
          <cell r="D964">
            <v>3</v>
          </cell>
          <cell r="E964"/>
          <cell r="F964" t="str">
            <v>CENTRO OESTE</v>
          </cell>
          <cell r="G964" t="str">
            <v>SORALI SILVA</v>
          </cell>
          <cell r="H964" t="str">
            <v>HECTOR</v>
          </cell>
          <cell r="I964" t="str">
            <v>L</v>
          </cell>
          <cell r="J964" t="str">
            <v>Activo</v>
          </cell>
          <cell r="K964">
            <v>29434.119520340162</v>
          </cell>
          <cell r="L964">
            <v>2943.4119520340164</v>
          </cell>
          <cell r="M964">
            <v>4126.1969326837325</v>
          </cell>
          <cell r="N964" t="str">
            <v>Si Compra</v>
          </cell>
          <cell r="O964">
            <v>10</v>
          </cell>
          <cell r="P964">
            <v>84780.019173705048</v>
          </cell>
          <cell r="Q964">
            <v>8478.0019173705041</v>
          </cell>
          <cell r="R964">
            <v>10264.445134181395</v>
          </cell>
          <cell r="T964"/>
          <cell r="U964"/>
          <cell r="V964">
            <v>0.34718227015298092</v>
          </cell>
          <cell r="W964">
            <v>1.1239084438668801E-4</v>
          </cell>
          <cell r="X964">
            <v>10</v>
          </cell>
          <cell r="Y964" t="str">
            <v>Potenciar</v>
          </cell>
        </row>
        <row r="965">
          <cell r="A965" t="str">
            <v>1132</v>
          </cell>
          <cell r="B965" t="str">
            <v>GRAN CARACAS</v>
          </cell>
          <cell r="C965" t="str">
            <v>GRUPO</v>
          </cell>
          <cell r="D965">
            <v>2</v>
          </cell>
          <cell r="E965"/>
          <cell r="F965" t="str">
            <v>CARACAS</v>
          </cell>
          <cell r="H965"/>
          <cell r="I965"/>
          <cell r="J965" t="str">
            <v>Inactivo</v>
          </cell>
          <cell r="K965">
            <v>29319.394931929128</v>
          </cell>
          <cell r="L965">
            <v>5863.8789863858256</v>
          </cell>
          <cell r="M965">
            <v>10336.282801333646</v>
          </cell>
          <cell r="N965" t="str">
            <v>Si Compra</v>
          </cell>
          <cell r="O965">
            <v>5</v>
          </cell>
          <cell r="P965">
            <v>104673.76616820916</v>
          </cell>
          <cell r="Q965">
            <v>20934.75323364183</v>
          </cell>
          <cell r="R965">
            <v>35131.494399429124</v>
          </cell>
          <cell r="S965"/>
          <cell r="T965"/>
          <cell r="U965"/>
          <cell r="V965">
            <v>0.28010260837288786</v>
          </cell>
          <cell r="W965">
            <v>2.2390556313594894E-4</v>
          </cell>
          <cell r="X965">
            <v>5</v>
          </cell>
          <cell r="Y965" t="str">
            <v>Potenciar</v>
          </cell>
        </row>
        <row r="966">
          <cell r="A966" t="str">
            <v>E187</v>
          </cell>
          <cell r="B966" t="str">
            <v>E187 - FARMASISTIR 1, C.A</v>
          </cell>
          <cell r="C966" t="str">
            <v>INDEPENDIENTE</v>
          </cell>
          <cell r="D966">
            <v>3</v>
          </cell>
          <cell r="F966" t="str">
            <v>CENTRO OESTE</v>
          </cell>
          <cell r="G966">
            <v>0</v>
          </cell>
          <cell r="H966"/>
          <cell r="I966" t="str">
            <v>E</v>
          </cell>
          <cell r="J966" t="str">
            <v>Activo</v>
          </cell>
          <cell r="K966">
            <v>29275.352531154116</v>
          </cell>
          <cell r="L966">
            <v>3659.4190663942645</v>
          </cell>
          <cell r="M966">
            <v>3527.8072586884687</v>
          </cell>
          <cell r="N966" t="str">
            <v>Si Compra</v>
          </cell>
          <cell r="O966">
            <v>8</v>
          </cell>
          <cell r="P966">
            <v>0</v>
          </cell>
          <cell r="Q966">
            <v>0</v>
          </cell>
          <cell r="R966">
            <v>0</v>
          </cell>
          <cell r="V966">
            <v>0</v>
          </cell>
          <cell r="W966">
            <v>1.3973076332471308E-4</v>
          </cell>
          <cell r="X966">
            <v>0</v>
          </cell>
          <cell r="Y966" t="str">
            <v>Conquistar</v>
          </cell>
        </row>
        <row r="967">
          <cell r="A967" t="str">
            <v>$157</v>
          </cell>
          <cell r="B967" t="str">
            <v>$157 - FARMACIA LIDER CAGUA,C.A.</v>
          </cell>
          <cell r="C967" t="e">
            <v>#N/A</v>
          </cell>
          <cell r="D967">
            <v>2</v>
          </cell>
          <cell r="E967"/>
          <cell r="F967" t="str">
            <v>CENTRO ESTE</v>
          </cell>
          <cell r="G967" t="str">
            <v>LAURA FLORES</v>
          </cell>
          <cell r="H967"/>
          <cell r="I967" t="str">
            <v>+</v>
          </cell>
          <cell r="J967" t="str">
            <v>Bloqueado</v>
          </cell>
          <cell r="K967">
            <v>29218.019757269543</v>
          </cell>
          <cell r="L967">
            <v>3246.4466396966159</v>
          </cell>
          <cell r="M967">
            <v>1023.8946621683408</v>
          </cell>
          <cell r="N967" t="str">
            <v>Si Compra</v>
          </cell>
          <cell r="O967">
            <v>9</v>
          </cell>
          <cell r="P967">
            <v>145410.88613978701</v>
          </cell>
          <cell r="Q967">
            <v>16156.765126643</v>
          </cell>
          <cell r="R967">
            <v>9629.0863273378927</v>
          </cell>
          <cell r="T967"/>
          <cell r="U967"/>
          <cell r="V967">
            <v>0.20093419779576582</v>
          </cell>
          <cell r="W967">
            <v>1.2396187996712048E-4</v>
          </cell>
          <cell r="X967">
            <v>9</v>
          </cell>
          <cell r="Y967" t="str">
            <v>Conquistar</v>
          </cell>
        </row>
        <row r="968">
          <cell r="A968" t="str">
            <v>D737</v>
          </cell>
          <cell r="B968" t="str">
            <v>D737 - FARMACLINICA DEL SUR, C.A.</v>
          </cell>
          <cell r="C968" t="str">
            <v>INDEPENDIENTE</v>
          </cell>
          <cell r="D968">
            <v>3</v>
          </cell>
          <cell r="E968"/>
          <cell r="F968" t="str">
            <v>CENTRO ESTE</v>
          </cell>
          <cell r="G968" t="str">
            <v>KARLA SALAZAR</v>
          </cell>
          <cell r="H968"/>
          <cell r="I968" t="str">
            <v>O</v>
          </cell>
          <cell r="J968" t="str">
            <v>Activo</v>
          </cell>
          <cell r="K968">
            <v>29180.547318835321</v>
          </cell>
          <cell r="L968">
            <v>2918.054731883532</v>
          </cell>
          <cell r="M968">
            <v>3248.0262240156194</v>
          </cell>
          <cell r="N968" t="str">
            <v>Si Compra</v>
          </cell>
          <cell r="O968">
            <v>10</v>
          </cell>
          <cell r="P968">
            <v>2457226.9313407736</v>
          </cell>
          <cell r="Q968">
            <v>245722.69313407736</v>
          </cell>
          <cell r="R968">
            <v>285936.69447975699</v>
          </cell>
          <cell r="T968"/>
          <cell r="U968"/>
          <cell r="V968">
            <v>1.1875397809885268E-2</v>
          </cell>
          <cell r="W968">
            <v>1.1142260771766088E-4</v>
          </cell>
          <cell r="X968">
            <v>10</v>
          </cell>
          <cell r="Y968" t="str">
            <v>Conquistar</v>
          </cell>
        </row>
        <row r="969">
          <cell r="A969">
            <v>0</v>
          </cell>
          <cell r="B969" t="str">
            <v>S324 - SUPERMERCADO Y DISTRIBUIDORA SANTA BARBARA, C.A</v>
          </cell>
          <cell r="C969" t="e">
            <v>#N/A</v>
          </cell>
          <cell r="D969">
            <v>0</v>
          </cell>
          <cell r="E969"/>
          <cell r="F969" t="str">
            <v>MARACAIBO</v>
          </cell>
          <cell r="G969">
            <v>0</v>
          </cell>
          <cell r="H969"/>
          <cell r="I969" t="str">
            <v>BD</v>
          </cell>
          <cell r="J969" t="str">
            <v>Activo</v>
          </cell>
          <cell r="K969">
            <v>29139.751568950887</v>
          </cell>
          <cell r="L969">
            <v>2913.9751568950887</v>
          </cell>
          <cell r="M969">
            <v>6014.6964775208035</v>
          </cell>
          <cell r="N969" t="str">
            <v>Si Compra</v>
          </cell>
          <cell r="O969">
            <v>9</v>
          </cell>
          <cell r="P969">
            <v>0</v>
          </cell>
          <cell r="Q969">
            <v>0</v>
          </cell>
          <cell r="R969">
            <v>0</v>
          </cell>
          <cell r="T969"/>
          <cell r="U969"/>
          <cell r="V969">
            <v>0</v>
          </cell>
          <cell r="W969">
            <v>1.1126683377736241E-4</v>
          </cell>
          <cell r="X969">
            <v>0</v>
          </cell>
          <cell r="Y969" t="str">
            <v>Conquistar</v>
          </cell>
        </row>
        <row r="970">
          <cell r="A970" t="str">
            <v>D983</v>
          </cell>
          <cell r="B970" t="str">
            <v>D983 - VISION FARMA, C.A</v>
          </cell>
          <cell r="C970" t="str">
            <v>INDEPENDIENTE</v>
          </cell>
          <cell r="D970">
            <v>3</v>
          </cell>
          <cell r="F970" t="str">
            <v>CENTRO ESTE</v>
          </cell>
          <cell r="G970" t="str">
            <v>KARLA SALAZAR</v>
          </cell>
          <cell r="H970"/>
          <cell r="I970" t="str">
            <v>O</v>
          </cell>
          <cell r="J970" t="str">
            <v>Activo</v>
          </cell>
          <cell r="K970">
            <v>29117.058575274736</v>
          </cell>
          <cell r="L970">
            <v>2911.7058575274737</v>
          </cell>
          <cell r="M970">
            <v>1480.0155212682769</v>
          </cell>
          <cell r="N970" t="str">
            <v>Si Compra</v>
          </cell>
          <cell r="O970">
            <v>10</v>
          </cell>
          <cell r="P970">
            <v>1221661.133280263</v>
          </cell>
          <cell r="Q970">
            <v>122166.1133280263</v>
          </cell>
          <cell r="R970">
            <v>110783.10673221901</v>
          </cell>
          <cell r="V970">
            <v>2.3833989460803246E-2</v>
          </cell>
          <cell r="W970">
            <v>1.1118018315684149E-4</v>
          </cell>
          <cell r="X970">
            <v>10</v>
          </cell>
          <cell r="Y970" t="str">
            <v>Conquistar</v>
          </cell>
        </row>
        <row r="971">
          <cell r="A971" t="str">
            <v>6124</v>
          </cell>
          <cell r="B971" t="str">
            <v>6124 - FARMACIA AMERICA DEL SUR, C.A</v>
          </cell>
          <cell r="C971" t="str">
            <v>INDEPENDIENTE</v>
          </cell>
          <cell r="D971">
            <v>3</v>
          </cell>
          <cell r="E971"/>
          <cell r="F971" t="str">
            <v>ANDES</v>
          </cell>
          <cell r="G971" t="str">
            <v>ZULAY PARRA</v>
          </cell>
          <cell r="H971"/>
          <cell r="I971" t="str">
            <v>5</v>
          </cell>
          <cell r="J971" t="str">
            <v>Activo</v>
          </cell>
          <cell r="K971">
            <v>29082.556414416897</v>
          </cell>
          <cell r="L971">
            <v>2908.2556414416895</v>
          </cell>
          <cell r="M971">
            <v>2582.1629333333335</v>
          </cell>
          <cell r="N971" t="str">
            <v>Si Compra</v>
          </cell>
          <cell r="O971">
            <v>10</v>
          </cell>
          <cell r="P971">
            <v>185566.49258498594</v>
          </cell>
          <cell r="Q971">
            <v>18556.649258498594</v>
          </cell>
          <cell r="R971">
            <v>14236.278100000001</v>
          </cell>
          <cell r="T971"/>
          <cell r="U971"/>
          <cell r="V971">
            <v>0.1567231023731164</v>
          </cell>
          <cell r="W971">
            <v>1.110484405718697E-4</v>
          </cell>
          <cell r="X971">
            <v>10</v>
          </cell>
          <cell r="Y971" t="str">
            <v>Conquistar</v>
          </cell>
        </row>
        <row r="972">
          <cell r="A972" t="str">
            <v>0338</v>
          </cell>
          <cell r="B972" t="str">
            <v>0338 - FARMACENTER, C.A</v>
          </cell>
          <cell r="C972" t="str">
            <v>INDEPENDIENTE</v>
          </cell>
          <cell r="D972">
            <v>3</v>
          </cell>
          <cell r="E972"/>
          <cell r="F972" t="str">
            <v>ESTE</v>
          </cell>
          <cell r="G972" t="str">
            <v>PEDRO VIRE</v>
          </cell>
          <cell r="H972"/>
          <cell r="I972" t="str">
            <v>A7</v>
          </cell>
          <cell r="J972" t="str">
            <v>Activo</v>
          </cell>
          <cell r="K972">
            <v>28971.696910738792</v>
          </cell>
          <cell r="L972">
            <v>2897.1696910738792</v>
          </cell>
          <cell r="M972">
            <v>2992.8404971445057</v>
          </cell>
          <cell r="N972" t="str">
            <v>Si Compra</v>
          </cell>
          <cell r="O972">
            <v>10</v>
          </cell>
          <cell r="P972">
            <v>39852.860198383678</v>
          </cell>
          <cell r="Q972">
            <v>3985.2860198383678</v>
          </cell>
          <cell r="R972">
            <v>5014.9951845331298</v>
          </cell>
          <cell r="T972"/>
          <cell r="U972"/>
          <cell r="V972">
            <v>0.72696656567484719</v>
          </cell>
          <cell r="W972">
            <v>1.1062513614049165E-4</v>
          </cell>
          <cell r="X972">
            <v>10</v>
          </cell>
          <cell r="Y972" t="str">
            <v>Proteger</v>
          </cell>
        </row>
        <row r="973">
          <cell r="A973" t="str">
            <v>C665</v>
          </cell>
          <cell r="B973" t="str">
            <v>GRUPO MI FARMACIA</v>
          </cell>
          <cell r="C973" t="str">
            <v>GRUPO</v>
          </cell>
          <cell r="D973">
            <v>7</v>
          </cell>
          <cell r="E973"/>
          <cell r="F973" t="str">
            <v>CENTRO ESTE</v>
          </cell>
          <cell r="H973"/>
          <cell r="I973"/>
          <cell r="J973" t="str">
            <v>Permiso</v>
          </cell>
          <cell r="K973">
            <v>28969.015268708732</v>
          </cell>
          <cell r="L973">
            <v>3621.1269085885915</v>
          </cell>
          <cell r="M973">
            <v>497.51094624248162</v>
          </cell>
          <cell r="N973" t="str">
            <v>Si Compra</v>
          </cell>
          <cell r="O973">
            <v>8</v>
          </cell>
          <cell r="P973">
            <v>106699.92294979929</v>
          </cell>
          <cell r="Q973">
            <v>13337.490368724912</v>
          </cell>
          <cell r="R973">
            <v>4943.0887289223492</v>
          </cell>
          <cell r="S973"/>
          <cell r="T973"/>
          <cell r="U973"/>
          <cell r="V973">
            <v>0.27149987055134256</v>
          </cell>
          <cell r="W973">
            <v>1.3826862074348389E-4</v>
          </cell>
          <cell r="X973">
            <v>8</v>
          </cell>
          <cell r="Y973" t="str">
            <v>Potenciar</v>
          </cell>
        </row>
        <row r="974">
          <cell r="A974" t="str">
            <v>C889</v>
          </cell>
          <cell r="B974" t="str">
            <v>C889 - FARMACIA PLUS HOSPITAL. C.A</v>
          </cell>
          <cell r="C974" t="str">
            <v>INDEPENDIENTE</v>
          </cell>
          <cell r="D974">
            <v>3</v>
          </cell>
          <cell r="E974"/>
          <cell r="F974" t="str">
            <v>ESTE</v>
          </cell>
          <cell r="G974" t="str">
            <v>CARLOS BLONDELL</v>
          </cell>
          <cell r="H974"/>
          <cell r="I974" t="str">
            <v>A3</v>
          </cell>
          <cell r="J974" t="str">
            <v>Inactivo</v>
          </cell>
          <cell r="K974">
            <v>28950.450663760465</v>
          </cell>
          <cell r="L974">
            <v>2895.0450663760466</v>
          </cell>
          <cell r="M974">
            <v>1791.3021653593223</v>
          </cell>
          <cell r="N974" t="str">
            <v>Si Compra</v>
          </cell>
          <cell r="O974">
            <v>10</v>
          </cell>
          <cell r="P974">
            <v>58112.851614189662</v>
          </cell>
          <cell r="Q974">
            <v>5811.2851614189658</v>
          </cell>
          <cell r="R974">
            <v>3965.2392208249039</v>
          </cell>
          <cell r="T974"/>
          <cell r="U974"/>
          <cell r="V974">
            <v>0.49817639058503049</v>
          </cell>
          <cell r="W974">
            <v>1.1054400975801936E-4</v>
          </cell>
          <cell r="X974">
            <v>10</v>
          </cell>
          <cell r="Y974" t="str">
            <v>Potenciar</v>
          </cell>
        </row>
        <row r="975">
          <cell r="A975" t="str">
            <v>C313</v>
          </cell>
          <cell r="B975" t="str">
            <v>C313 - FARMACIA ULTRA FARMA SOLIDARIA,C.A.</v>
          </cell>
          <cell r="C975" t="str">
            <v>INDEPENDIENTE</v>
          </cell>
          <cell r="D975">
            <v>2</v>
          </cell>
          <cell r="E975"/>
          <cell r="F975" t="str">
            <v>CARACAS</v>
          </cell>
          <cell r="G975" t="str">
            <v>JHON TORRES</v>
          </cell>
          <cell r="H975"/>
          <cell r="I975" t="str">
            <v>CF</v>
          </cell>
          <cell r="J975" t="str">
            <v>Activo</v>
          </cell>
          <cell r="K975">
            <v>28929.263336470191</v>
          </cell>
          <cell r="L975">
            <v>4132.751905210027</v>
          </cell>
          <cell r="M975">
            <v>3026.3805499999999</v>
          </cell>
          <cell r="N975" t="str">
            <v>Si Compra</v>
          </cell>
          <cell r="O975">
            <v>7</v>
          </cell>
          <cell r="P975">
            <v>53076.673178301251</v>
          </cell>
          <cell r="Q975">
            <v>7582.3818826144643</v>
          </cell>
          <cell r="R975">
            <v>5611.9313500000007</v>
          </cell>
          <cell r="T975"/>
          <cell r="U975"/>
          <cell r="V975">
            <v>0.54504665805423957</v>
          </cell>
          <cell r="W975">
            <v>1.5780444050526862E-4</v>
          </cell>
          <cell r="X975">
            <v>7</v>
          </cell>
          <cell r="Y975" t="str">
            <v>Potenciar</v>
          </cell>
        </row>
        <row r="976">
          <cell r="A976" t="str">
            <v>9231</v>
          </cell>
          <cell r="B976" t="str">
            <v>9231 - FARMACIA AGUA CLARA,C.A</v>
          </cell>
          <cell r="C976" t="str">
            <v>INDEPENDIENTE</v>
          </cell>
          <cell r="D976">
            <v>3</v>
          </cell>
          <cell r="E976"/>
          <cell r="F976" t="str">
            <v>CENTRO OESTE</v>
          </cell>
          <cell r="G976" t="str">
            <v>SORALI SILVA</v>
          </cell>
          <cell r="H976"/>
          <cell r="I976" t="str">
            <v>C</v>
          </cell>
          <cell r="J976" t="str">
            <v>Activo</v>
          </cell>
          <cell r="K976">
            <v>28823.957958861425</v>
          </cell>
          <cell r="L976">
            <v>2882.3957958861424</v>
          </cell>
          <cell r="M976">
            <v>4775.7460832534243</v>
          </cell>
          <cell r="N976" t="str">
            <v>Si Compra</v>
          </cell>
          <cell r="O976">
            <v>10</v>
          </cell>
          <cell r="P976">
            <v>-557146.00582492957</v>
          </cell>
          <cell r="Q976">
            <v>-55714.60058249296</v>
          </cell>
          <cell r="R976">
            <v>20811.507944883655</v>
          </cell>
          <cell r="T976"/>
          <cell r="U976"/>
          <cell r="V976">
            <v>-5.1735016777484884E-2</v>
          </cell>
          <cell r="W976">
            <v>1.1006101172226921E-4</v>
          </cell>
          <cell r="X976">
            <v>9</v>
          </cell>
          <cell r="Y976" t="str">
            <v>Fuera de rango</v>
          </cell>
        </row>
        <row r="977">
          <cell r="A977" t="str">
            <v>B689</v>
          </cell>
          <cell r="B977" t="str">
            <v>B689 - FARMACIA MEGAFARMA, C.A.</v>
          </cell>
          <cell r="C977" t="str">
            <v>INDEPENDIENTE</v>
          </cell>
          <cell r="D977">
            <v>3</v>
          </cell>
          <cell r="E977"/>
          <cell r="F977" t="str">
            <v>ESTE</v>
          </cell>
          <cell r="G977" t="str">
            <v>JOSE RAMIREZ</v>
          </cell>
          <cell r="H977"/>
          <cell r="I977" t="str">
            <v>A4</v>
          </cell>
          <cell r="J977" t="str">
            <v>Activo</v>
          </cell>
          <cell r="K977">
            <v>28695.028652492951</v>
          </cell>
          <cell r="L977">
            <v>2869.5028652492952</v>
          </cell>
          <cell r="M977">
            <v>2574.3036224525663</v>
          </cell>
          <cell r="N977" t="str">
            <v>Si Compra</v>
          </cell>
          <cell r="O977">
            <v>10</v>
          </cell>
          <cell r="P977">
            <v>78974.264121569722</v>
          </cell>
          <cell r="Q977">
            <v>7897.4264121569722</v>
          </cell>
          <cell r="R977">
            <v>6408.9594191348415</v>
          </cell>
          <cell r="T977"/>
          <cell r="U977"/>
          <cell r="V977">
            <v>0.36334657842865126</v>
          </cell>
          <cell r="W977">
            <v>1.0956870980038128E-4</v>
          </cell>
          <cell r="X977">
            <v>10</v>
          </cell>
          <cell r="Y977" t="str">
            <v>Potenciar</v>
          </cell>
        </row>
        <row r="978">
          <cell r="A978" t="str">
            <v>0785</v>
          </cell>
          <cell r="B978" t="str">
            <v>0785 - FARMACIA BARINAS, C.A.</v>
          </cell>
          <cell r="C978" t="str">
            <v>INDEPENDIENTE</v>
          </cell>
          <cell r="D978">
            <v>3</v>
          </cell>
          <cell r="E978"/>
          <cell r="F978" t="str">
            <v>ESTE</v>
          </cell>
          <cell r="G978" t="str">
            <v>ALEXMAR CASTILLO</v>
          </cell>
          <cell r="H978"/>
          <cell r="I978" t="str">
            <v>A1</v>
          </cell>
          <cell r="J978" t="str">
            <v>Activo</v>
          </cell>
          <cell r="K978">
            <v>28656.482711415672</v>
          </cell>
          <cell r="L978">
            <v>2865.6482711415674</v>
          </cell>
          <cell r="M978">
            <v>2582.0997899711174</v>
          </cell>
          <cell r="N978" t="str">
            <v>Si Compra</v>
          </cell>
          <cell r="O978">
            <v>10</v>
          </cell>
          <cell r="P978">
            <v>60396.164153308746</v>
          </cell>
          <cell r="Q978">
            <v>6039.6164153308746</v>
          </cell>
          <cell r="R978">
            <v>6621.5527516934117</v>
          </cell>
          <cell r="T978"/>
          <cell r="U978"/>
          <cell r="V978">
            <v>0.47447521068845488</v>
          </cell>
          <cell r="W978">
            <v>1.0942152649964211E-4</v>
          </cell>
          <cell r="X978">
            <v>10</v>
          </cell>
          <cell r="Y978" t="str">
            <v>Potenciar</v>
          </cell>
        </row>
        <row r="979">
          <cell r="A979" t="str">
            <v>8223</v>
          </cell>
          <cell r="B979" t="str">
            <v>8223 - FARMACIA SANTA EDUVIGIS C.A.</v>
          </cell>
          <cell r="C979" t="e">
            <v>#N/A</v>
          </cell>
          <cell r="D979">
            <v>1</v>
          </cell>
          <cell r="E979"/>
          <cell r="F979" t="str">
            <v>CARACAS</v>
          </cell>
          <cell r="G979" t="str">
            <v>JHON TORRES</v>
          </cell>
          <cell r="H979"/>
          <cell r="I979" t="str">
            <v>2</v>
          </cell>
          <cell r="J979" t="str">
            <v>Bloqueado</v>
          </cell>
          <cell r="K979">
            <v>28653.110551383401</v>
          </cell>
          <cell r="L979">
            <v>3581.6388189229251</v>
          </cell>
          <cell r="M979">
            <v>2444.3874106661542</v>
          </cell>
          <cell r="N979" t="str">
            <v>Si Compra</v>
          </cell>
          <cell r="O979">
            <v>8</v>
          </cell>
          <cell r="P979">
            <v>100980.35292043479</v>
          </cell>
          <cell r="Q979">
            <v>12622.544115054348</v>
          </cell>
          <cell r="R979">
            <v>12224.738636708222</v>
          </cell>
          <cell r="T979"/>
          <cell r="U979"/>
          <cell r="V979">
            <v>0.28374936037270515</v>
          </cell>
          <cell r="W979">
            <v>1.367608128616566E-4</v>
          </cell>
          <cell r="X979">
            <v>8</v>
          </cell>
          <cell r="Y979" t="str">
            <v>Potenciar</v>
          </cell>
        </row>
        <row r="980">
          <cell r="A980" t="str">
            <v>D305</v>
          </cell>
          <cell r="B980" t="str">
            <v>D305 - FARMACIA SANTISIMA TRINIDAD C.A</v>
          </cell>
          <cell r="C980" t="str">
            <v>INDEPENDIENTE</v>
          </cell>
          <cell r="D980">
            <v>3</v>
          </cell>
          <cell r="E980"/>
          <cell r="F980" t="str">
            <v>CENTRO OESTE</v>
          </cell>
          <cell r="G980" t="str">
            <v>LUIS PLACERES</v>
          </cell>
          <cell r="H980" t="str">
            <v>HECTOR</v>
          </cell>
          <cell r="I980" t="str">
            <v>E</v>
          </cell>
          <cell r="J980" t="str">
            <v>Activo</v>
          </cell>
          <cell r="K980">
            <v>28509.126755931684</v>
          </cell>
          <cell r="L980">
            <v>2850.9126755931684</v>
          </cell>
          <cell r="M980">
            <v>2385.5278881858485</v>
          </cell>
          <cell r="N980" t="str">
            <v>Si Compra</v>
          </cell>
          <cell r="O980">
            <v>10</v>
          </cell>
          <cell r="P980">
            <v>183264.92936765042</v>
          </cell>
          <cell r="Q980">
            <v>18326.49293676504</v>
          </cell>
          <cell r="R980">
            <v>30224.94731859762</v>
          </cell>
          <cell r="T980"/>
          <cell r="U980"/>
          <cell r="V980">
            <v>0.15556237003065174</v>
          </cell>
          <cell r="W980">
            <v>1.0885886450967471E-4</v>
          </cell>
          <cell r="X980">
            <v>10</v>
          </cell>
          <cell r="Y980" t="str">
            <v>Conquistar</v>
          </cell>
        </row>
        <row r="981">
          <cell r="A981" t="str">
            <v>7144</v>
          </cell>
          <cell r="B981" t="str">
            <v>7144 - FARMACIA ECUADOR C.A</v>
          </cell>
          <cell r="C981" t="str">
            <v>INDEPENDIENTE</v>
          </cell>
          <cell r="D981">
            <v>3</v>
          </cell>
          <cell r="E981"/>
          <cell r="F981" t="str">
            <v>ESTE</v>
          </cell>
          <cell r="G981" t="str">
            <v>CARLOS BLONDELL</v>
          </cell>
          <cell r="H981"/>
          <cell r="I981" t="str">
            <v>A5</v>
          </cell>
          <cell r="J981" t="str">
            <v>Activo</v>
          </cell>
          <cell r="K981">
            <v>28421.571701114481</v>
          </cell>
          <cell r="L981">
            <v>2842.1571701114481</v>
          </cell>
          <cell r="M981">
            <v>2633.5311322004463</v>
          </cell>
          <cell r="N981" t="str">
            <v>Si Compra</v>
          </cell>
          <cell r="O981">
            <v>10</v>
          </cell>
          <cell r="P981">
            <v>114363.30127997554</v>
          </cell>
          <cell r="Q981">
            <v>11436.330127997553</v>
          </cell>
          <cell r="R981">
            <v>12297.640221184707</v>
          </cell>
          <cell r="T981"/>
          <cell r="U981"/>
          <cell r="V981">
            <v>0.2485200355622382</v>
          </cell>
          <cell r="W981">
            <v>1.0852454547103562E-4</v>
          </cell>
          <cell r="X981">
            <v>10</v>
          </cell>
          <cell r="Y981" t="str">
            <v>Potenciar</v>
          </cell>
        </row>
        <row r="982">
          <cell r="A982" t="str">
            <v>6923</v>
          </cell>
          <cell r="B982" t="str">
            <v>6923 - FARMACIA ANZOATEGUI , C.A</v>
          </cell>
          <cell r="C982" t="str">
            <v>INDEPENDIENTE</v>
          </cell>
          <cell r="D982">
            <v>0</v>
          </cell>
          <cell r="E982"/>
          <cell r="F982" t="str">
            <v>ESTE</v>
          </cell>
          <cell r="G982" t="str">
            <v>PEDRO VIRE</v>
          </cell>
          <cell r="H982"/>
          <cell r="I982" t="str">
            <v>A7</v>
          </cell>
          <cell r="J982" t="str">
            <v>Activo</v>
          </cell>
          <cell r="K982">
            <v>28391.98995360552</v>
          </cell>
          <cell r="L982">
            <v>4731.99832560092</v>
          </cell>
          <cell r="M982">
            <v>0</v>
          </cell>
          <cell r="N982" t="str">
            <v>No Compra</v>
          </cell>
          <cell r="O982">
            <v>5</v>
          </cell>
          <cell r="P982">
            <v>57852.041156421466</v>
          </cell>
          <cell r="Q982">
            <v>9642.0068594035783</v>
          </cell>
          <cell r="R982">
            <v>0</v>
          </cell>
          <cell r="T982"/>
          <cell r="U982"/>
          <cell r="V982">
            <v>0.49076902709169251</v>
          </cell>
          <cell r="W982">
            <v>1.8068598487655217E-4</v>
          </cell>
          <cell r="X982">
            <v>6</v>
          </cell>
          <cell r="Y982" t="str">
            <v>Potenciar</v>
          </cell>
        </row>
        <row r="983">
          <cell r="A983" t="str">
            <v>7528</v>
          </cell>
          <cell r="B983" t="str">
            <v>7528 - FARMACIA LA RICAURTE, C.A</v>
          </cell>
          <cell r="C983" t="str">
            <v>INDEPENDIENTE</v>
          </cell>
          <cell r="D983">
            <v>3</v>
          </cell>
          <cell r="E983"/>
          <cell r="F983" t="str">
            <v>CENTRO ESTE</v>
          </cell>
          <cell r="G983" t="str">
            <v>LAURA FLORES</v>
          </cell>
          <cell r="H983"/>
          <cell r="I983" t="str">
            <v>+</v>
          </cell>
          <cell r="J983" t="str">
            <v>Activo</v>
          </cell>
          <cell r="K983">
            <v>28354.592116903226</v>
          </cell>
          <cell r="L983">
            <v>2835.4592116903227</v>
          </cell>
          <cell r="M983">
            <v>2353.4837056344095</v>
          </cell>
          <cell r="N983" t="str">
            <v>Si Compra</v>
          </cell>
          <cell r="O983">
            <v>10</v>
          </cell>
          <cell r="P983">
            <v>61871.459258235307</v>
          </cell>
          <cell r="Q983">
            <v>6187.1459258235309</v>
          </cell>
          <cell r="R983">
            <v>4611.9425527450994</v>
          </cell>
          <cell r="T983"/>
          <cell r="U983"/>
          <cell r="V983">
            <v>0.45828225900667002</v>
          </cell>
          <cell r="W983">
            <v>1.0826879153142924E-4</v>
          </cell>
          <cell r="X983">
            <v>10</v>
          </cell>
          <cell r="Y983" t="str">
            <v>Potenciar</v>
          </cell>
        </row>
        <row r="984">
          <cell r="A984" t="str">
            <v>D862</v>
          </cell>
          <cell r="B984" t="str">
            <v>D862 - FARMASIGLO, C.A</v>
          </cell>
          <cell r="C984" t="str">
            <v>INDEPENDIENTE</v>
          </cell>
          <cell r="D984">
            <v>3</v>
          </cell>
          <cell r="E984"/>
          <cell r="F984" t="str">
            <v>CENTRO ESTE</v>
          </cell>
          <cell r="G984">
            <v>0</v>
          </cell>
          <cell r="H984"/>
          <cell r="I984" t="str">
            <v>O</v>
          </cell>
          <cell r="J984" t="str">
            <v>Activo</v>
          </cell>
          <cell r="K984">
            <v>28325.879273445607</v>
          </cell>
          <cell r="L984">
            <v>2832.5879273445607</v>
          </cell>
          <cell r="M984">
            <v>2413.0729432396583</v>
          </cell>
          <cell r="N984" t="str">
            <v>Si Compra</v>
          </cell>
          <cell r="O984">
            <v>10</v>
          </cell>
          <cell r="P984">
            <v>0</v>
          </cell>
          <cell r="Q984">
            <v>0</v>
          </cell>
          <cell r="R984">
            <v>0</v>
          </cell>
          <cell r="T984"/>
          <cell r="U984"/>
          <cell r="V984">
            <v>0</v>
          </cell>
          <cell r="W984">
            <v>1.081591547978176E-4</v>
          </cell>
          <cell r="X984">
            <v>0</v>
          </cell>
          <cell r="Y984" t="str">
            <v>Conquistar</v>
          </cell>
        </row>
        <row r="985">
          <cell r="A985" t="str">
            <v>D443</v>
          </cell>
          <cell r="B985" t="str">
            <v>D443 - FARMACIA SANTA BARBARA C.A.</v>
          </cell>
          <cell r="C985" t="str">
            <v>INDEPENDIENTE</v>
          </cell>
          <cell r="D985">
            <v>3</v>
          </cell>
          <cell r="E985"/>
          <cell r="F985" t="str">
            <v>ESTE</v>
          </cell>
          <cell r="G985" t="str">
            <v>CARLOS BLONDELL</v>
          </cell>
          <cell r="H985"/>
          <cell r="I985" t="str">
            <v>A5</v>
          </cell>
          <cell r="J985" t="str">
            <v>Inactivo</v>
          </cell>
          <cell r="K985">
            <v>28204.538000000004</v>
          </cell>
          <cell r="L985">
            <v>3133.8375555555558</v>
          </cell>
          <cell r="M985">
            <v>2640.5926666666664</v>
          </cell>
          <cell r="N985" t="str">
            <v>Si Compra</v>
          </cell>
          <cell r="O985">
            <v>9</v>
          </cell>
          <cell r="P985">
            <v>2547231.0549999997</v>
          </cell>
          <cell r="Q985">
            <v>283025.67277777777</v>
          </cell>
          <cell r="R985">
            <v>319024.69549999997</v>
          </cell>
          <cell r="T985"/>
          <cell r="U985"/>
          <cell r="V985">
            <v>1.1072626468115984E-2</v>
          </cell>
          <cell r="W985">
            <v>1.1966202990927202E-4</v>
          </cell>
          <cell r="X985">
            <v>9</v>
          </cell>
          <cell r="Y985" t="str">
            <v>Conquistar</v>
          </cell>
        </row>
        <row r="986">
          <cell r="A986" t="str">
            <v>E007</v>
          </cell>
          <cell r="B986" t="str">
            <v>E007 - FARMACIA NELLY C.A.</v>
          </cell>
          <cell r="C986" t="str">
            <v>INDEPENDIENTE</v>
          </cell>
          <cell r="D986">
            <v>3</v>
          </cell>
          <cell r="F986" t="str">
            <v>ESTE</v>
          </cell>
          <cell r="G986" t="str">
            <v>JOSE RAMIREZ</v>
          </cell>
          <cell r="H986" t="str">
            <v>HECTOR</v>
          </cell>
          <cell r="I986" t="str">
            <v>A4</v>
          </cell>
          <cell r="J986" t="str">
            <v>Activo</v>
          </cell>
          <cell r="K986">
            <v>28186.325561169615</v>
          </cell>
          <cell r="L986">
            <v>2818.6325561169615</v>
          </cell>
          <cell r="M986">
            <v>489.94552106838609</v>
          </cell>
          <cell r="N986" t="str">
            <v>Si Compra</v>
          </cell>
          <cell r="O986">
            <v>10</v>
          </cell>
          <cell r="P986">
            <v>1134246.0454537165</v>
          </cell>
          <cell r="Q986">
            <v>113424.60454537165</v>
          </cell>
          <cell r="R986">
            <v>154999.14210636463</v>
          </cell>
          <cell r="V986">
            <v>2.4850274483341605E-2</v>
          </cell>
          <cell r="W986">
            <v>1.076262847879246E-4</v>
          </cell>
          <cell r="X986">
            <v>10</v>
          </cell>
          <cell r="Y986" t="str">
            <v>Conquistar</v>
          </cell>
        </row>
        <row r="987">
          <cell r="A987" t="str">
            <v>8124</v>
          </cell>
          <cell r="B987" t="str">
            <v>8124 - FARMACIA EL TROLLY,C.A</v>
          </cell>
          <cell r="C987" t="str">
            <v>INDEPENDIENTE</v>
          </cell>
          <cell r="D987">
            <v>3</v>
          </cell>
          <cell r="E987"/>
          <cell r="F987" t="str">
            <v>CARACAS</v>
          </cell>
          <cell r="G987" t="str">
            <v>WILLIAM ARAQUE</v>
          </cell>
          <cell r="H987"/>
          <cell r="I987" t="str">
            <v>C8</v>
          </cell>
          <cell r="J987" t="str">
            <v>Activo</v>
          </cell>
          <cell r="K987">
            <v>28114.434399316171</v>
          </cell>
          <cell r="L987">
            <v>2811.4434399316169</v>
          </cell>
          <cell r="M987">
            <v>3250.6504587814939</v>
          </cell>
          <cell r="N987" t="str">
            <v>Si Compra</v>
          </cell>
          <cell r="O987">
            <v>10</v>
          </cell>
          <cell r="P987">
            <v>119326.77655785224</v>
          </cell>
          <cell r="Q987">
            <v>11932.677655785224</v>
          </cell>
          <cell r="R987">
            <v>12822.36350418674</v>
          </cell>
          <cell r="T987"/>
          <cell r="U987"/>
          <cell r="V987">
            <v>0.23560876452307142</v>
          </cell>
          <cell r="W987">
            <v>1.073517765465938E-4</v>
          </cell>
          <cell r="X987">
            <v>10</v>
          </cell>
          <cell r="Y987" t="str">
            <v>Potenciar</v>
          </cell>
        </row>
        <row r="988">
          <cell r="A988" t="str">
            <v>7631</v>
          </cell>
          <cell r="B988" t="str">
            <v>7631 - FARMACIA VIRGEN DE MONTSERRAT J.L,C.A</v>
          </cell>
          <cell r="C988" t="str">
            <v>INDEPENDIENTE</v>
          </cell>
          <cell r="D988">
            <v>3</v>
          </cell>
          <cell r="E988"/>
          <cell r="F988" t="str">
            <v>CENTRO OESTE</v>
          </cell>
          <cell r="G988" t="str">
            <v>LUIS PLACERES</v>
          </cell>
          <cell r="H988"/>
          <cell r="I988" t="str">
            <v>E</v>
          </cell>
          <cell r="J988" t="str">
            <v>Activo</v>
          </cell>
          <cell r="K988">
            <v>28091.075474470421</v>
          </cell>
          <cell r="L988">
            <v>2809.1075474470422</v>
          </cell>
          <cell r="M988">
            <v>4615.6888248234727</v>
          </cell>
          <cell r="N988" t="str">
            <v>Si Compra</v>
          </cell>
          <cell r="O988">
            <v>10</v>
          </cell>
          <cell r="P988">
            <v>30658.163916389003</v>
          </cell>
          <cell r="Q988">
            <v>3065.8163916389003</v>
          </cell>
          <cell r="R988">
            <v>4689.2221054629999</v>
          </cell>
          <cell r="T988"/>
          <cell r="U988"/>
          <cell r="V988">
            <v>0.91626737827746141</v>
          </cell>
          <cell r="W988">
            <v>1.0726258314349015E-4</v>
          </cell>
          <cell r="X988">
            <v>10</v>
          </cell>
          <cell r="Y988" t="str">
            <v>Proteger</v>
          </cell>
        </row>
        <row r="989">
          <cell r="A989" t="str">
            <v>A788</v>
          </cell>
          <cell r="B989" t="str">
            <v>A788 - FARMACES I, C.A.</v>
          </cell>
          <cell r="C989" t="str">
            <v>INDEPENDIENTE</v>
          </cell>
          <cell r="D989">
            <v>3</v>
          </cell>
          <cell r="E989"/>
          <cell r="F989" t="str">
            <v>ANDES</v>
          </cell>
          <cell r="G989" t="str">
            <v>MARIA GABRIELA FORTUL</v>
          </cell>
          <cell r="H989"/>
          <cell r="I989" t="str">
            <v xml:space="preserve">3 </v>
          </cell>
          <cell r="J989" t="str">
            <v>Activo</v>
          </cell>
          <cell r="K989">
            <v>28082.992115766701</v>
          </cell>
          <cell r="L989">
            <v>3120.3324573074115</v>
          </cell>
          <cell r="M989">
            <v>3003.9447999999998</v>
          </cell>
          <cell r="N989" t="str">
            <v>Si Compra</v>
          </cell>
          <cell r="O989">
            <v>9</v>
          </cell>
          <cell r="P989">
            <v>24535.072820067668</v>
          </cell>
          <cell r="Q989">
            <v>2726.1192022297409</v>
          </cell>
          <cell r="R989">
            <v>2225.0118000000002</v>
          </cell>
          <cell r="T989"/>
          <cell r="U989"/>
          <cell r="V989">
            <v>1.1446060226402559</v>
          </cell>
          <cell r="W989">
            <v>1.1914635306200461E-4</v>
          </cell>
          <cell r="X989">
            <v>9</v>
          </cell>
          <cell r="Y989" t="str">
            <v>Proteger</v>
          </cell>
        </row>
        <row r="990">
          <cell r="A990" t="str">
            <v>D535</v>
          </cell>
          <cell r="B990" t="str">
            <v>DON PEDRO RG</v>
          </cell>
          <cell r="C990" t="str">
            <v>GRUPO</v>
          </cell>
          <cell r="D990">
            <v>6</v>
          </cell>
          <cell r="E990"/>
          <cell r="F990" t="str">
            <v>CENTRO ESTE</v>
          </cell>
          <cell r="H990"/>
          <cell r="I990"/>
          <cell r="J990" t="str">
            <v>Activo</v>
          </cell>
          <cell r="K990">
            <v>28069.109480976615</v>
          </cell>
          <cell r="L990">
            <v>2806.9109480976613</v>
          </cell>
          <cell r="M990">
            <v>3033.9394269922036</v>
          </cell>
          <cell r="N990" t="str">
            <v>Si Compra</v>
          </cell>
          <cell r="O990">
            <v>10</v>
          </cell>
          <cell r="P990">
            <v>90424.747799999997</v>
          </cell>
          <cell r="Q990">
            <v>9042.4747800000005</v>
          </cell>
          <cell r="R990">
            <v>5948.9840333333341</v>
          </cell>
          <cell r="S990"/>
          <cell r="T990"/>
          <cell r="U990"/>
          <cell r="V990">
            <v>0.31041402009834096</v>
          </cell>
          <cell r="W990">
            <v>1.0717870849064532E-4</v>
          </cell>
          <cell r="X990">
            <v>10</v>
          </cell>
          <cell r="Y990" t="str">
            <v>Potenciar</v>
          </cell>
        </row>
        <row r="991">
          <cell r="A991" t="str">
            <v>L220</v>
          </cell>
          <cell r="B991" t="str">
            <v>L220 - MARIO RAFAEL MENDEZ ALVARADO (FARMACIA DON MARIO)</v>
          </cell>
          <cell r="C991" t="e">
            <v>#N/A</v>
          </cell>
          <cell r="D991">
            <v>3</v>
          </cell>
          <cell r="F991" t="str">
            <v>CENTRO OESTE</v>
          </cell>
          <cell r="G991" t="str">
            <v>LUIS PLACERES</v>
          </cell>
          <cell r="H991"/>
          <cell r="I991" t="str">
            <v>E</v>
          </cell>
          <cell r="J991" t="str">
            <v>Activo</v>
          </cell>
          <cell r="K991">
            <v>28067.009327615764</v>
          </cell>
          <cell r="L991">
            <v>2806.7009327615765</v>
          </cell>
          <cell r="M991">
            <v>2811.0758333333338</v>
          </cell>
          <cell r="N991" t="str">
            <v>Si Compra</v>
          </cell>
          <cell r="O991">
            <v>10</v>
          </cell>
          <cell r="P991">
            <v>51224.239489917811</v>
          </cell>
          <cell r="Q991">
            <v>5122.4239489917809</v>
          </cell>
          <cell r="R991">
            <v>4715.7165666666669</v>
          </cell>
          <cell r="V991">
            <v>0.54792437344316347</v>
          </cell>
          <cell r="W991">
            <v>1.0717068929342069E-4</v>
          </cell>
          <cell r="X991">
            <v>10</v>
          </cell>
          <cell r="Y991" t="str">
            <v>Potenciar</v>
          </cell>
        </row>
        <row r="992">
          <cell r="A992" t="str">
            <v>D397</v>
          </cell>
          <cell r="B992" t="str">
            <v>D397 - FARMA24 EXPRESS CA</v>
          </cell>
          <cell r="C992" t="str">
            <v>INDEPENDIENTE</v>
          </cell>
          <cell r="D992">
            <v>2</v>
          </cell>
          <cell r="E992"/>
          <cell r="F992" t="str">
            <v>CENTRO OESTE</v>
          </cell>
          <cell r="G992" t="str">
            <v>LUIS PLACERES</v>
          </cell>
          <cell r="H992"/>
          <cell r="I992" t="str">
            <v>E</v>
          </cell>
          <cell r="J992" t="str">
            <v>Inactivo</v>
          </cell>
          <cell r="K992">
            <v>28055.096763286478</v>
          </cell>
          <cell r="L992">
            <v>3117.2329736984975</v>
          </cell>
          <cell r="M992">
            <v>1693.4603999999999</v>
          </cell>
          <cell r="N992" t="str">
            <v>Si Compra</v>
          </cell>
          <cell r="O992">
            <v>9</v>
          </cell>
          <cell r="P992">
            <v>136039.77398277089</v>
          </cell>
          <cell r="Q992">
            <v>15115.530442530098</v>
          </cell>
          <cell r="R992">
            <v>16869.859</v>
          </cell>
          <cell r="T992"/>
          <cell r="U992"/>
          <cell r="V992">
            <v>0.20622716387958415</v>
          </cell>
          <cell r="W992">
            <v>1.1902800279855345E-4</v>
          </cell>
          <cell r="X992">
            <v>9</v>
          </cell>
          <cell r="Y992" t="str">
            <v>Conquistar</v>
          </cell>
        </row>
        <row r="993">
          <cell r="A993" t="str">
            <v>8118</v>
          </cell>
          <cell r="B993" t="str">
            <v>8118 - FARMACIA HERRERA, C.A</v>
          </cell>
          <cell r="C993" t="e">
            <v>#N/A</v>
          </cell>
          <cell r="D993">
            <v>1</v>
          </cell>
          <cell r="E993"/>
          <cell r="F993" t="str">
            <v>CARACAS</v>
          </cell>
          <cell r="G993" t="str">
            <v>JHON TORRES</v>
          </cell>
          <cell r="H993"/>
          <cell r="I993" t="str">
            <v>2</v>
          </cell>
          <cell r="J993" t="str">
            <v>Bloqueado</v>
          </cell>
          <cell r="K993">
            <v>28012.201384632877</v>
          </cell>
          <cell r="L993">
            <v>3501.5251730791097</v>
          </cell>
          <cell r="M993">
            <v>2518.4985999999999</v>
          </cell>
          <cell r="N993" t="str">
            <v>Si Compra</v>
          </cell>
          <cell r="O993">
            <v>8</v>
          </cell>
          <cell r="P993">
            <v>115946.15345052125</v>
          </cell>
          <cell r="Q993">
            <v>14493.269181315156</v>
          </cell>
          <cell r="R993">
            <v>14868.8614</v>
          </cell>
          <cell r="T993"/>
          <cell r="U993"/>
          <cell r="V993">
            <v>0.2415966425017004</v>
          </cell>
          <cell r="W993">
            <v>1.3370176423033596E-4</v>
          </cell>
          <cell r="X993">
            <v>8</v>
          </cell>
          <cell r="Y993" t="str">
            <v>Potenciar</v>
          </cell>
        </row>
        <row r="994">
          <cell r="A994" t="str">
            <v>9857</v>
          </cell>
          <cell r="B994" t="str">
            <v>9857 - MISDREYLIS GUSMARY GUTIERREZ BANDERELA (FARMACIA DOÑA TOMASA, F.P)</v>
          </cell>
          <cell r="C994" t="e">
            <v>#N/A</v>
          </cell>
          <cell r="D994">
            <v>3</v>
          </cell>
          <cell r="E994"/>
          <cell r="F994" t="str">
            <v>CENTRO OESTE</v>
          </cell>
          <cell r="G994" t="str">
            <v>LUIS PLACERES</v>
          </cell>
          <cell r="H994"/>
          <cell r="I994" t="str">
            <v>E</v>
          </cell>
          <cell r="J994" t="str">
            <v>Activo</v>
          </cell>
          <cell r="K994">
            <v>27950.175299999995</v>
          </cell>
          <cell r="L994">
            <v>2795.0175299999996</v>
          </cell>
          <cell r="M994">
            <v>2580.6439666666665</v>
          </cell>
          <cell r="N994" t="str">
            <v>Si Compra</v>
          </cell>
          <cell r="O994">
            <v>10</v>
          </cell>
          <cell r="P994">
            <v>28363.015800000001</v>
          </cell>
          <cell r="Q994">
            <v>2836.3015800000003</v>
          </cell>
          <cell r="R994">
            <v>2162.1987666666669</v>
          </cell>
          <cell r="T994"/>
          <cell r="U994"/>
          <cell r="V994">
            <v>0.98544440750196927</v>
          </cell>
          <cell r="W994">
            <v>1.0672457182054164E-4</v>
          </cell>
          <cell r="X994">
            <v>10</v>
          </cell>
          <cell r="Y994" t="str">
            <v>Proteger</v>
          </cell>
        </row>
        <row r="995">
          <cell r="A995" t="str">
            <v>-150</v>
          </cell>
          <cell r="B995" t="str">
            <v>-150 - FARMA JUMBO SAN JUDAS TADEO,C.A.</v>
          </cell>
          <cell r="C995" t="str">
            <v>INDEPENDIENTE</v>
          </cell>
          <cell r="D995">
            <v>3</v>
          </cell>
          <cell r="E995"/>
          <cell r="F995" t="str">
            <v>CENTRO ESTE</v>
          </cell>
          <cell r="G995" t="str">
            <v>MARCOS CRUCES</v>
          </cell>
          <cell r="H995"/>
          <cell r="I995" t="str">
            <v>$</v>
          </cell>
          <cell r="J995" t="str">
            <v>Activo</v>
          </cell>
          <cell r="K995">
            <v>27921.746797839474</v>
          </cell>
          <cell r="L995">
            <v>2792.1746797839473</v>
          </cell>
          <cell r="M995">
            <v>1936.031512265153</v>
          </cell>
          <cell r="N995" t="str">
            <v>Si Compra</v>
          </cell>
          <cell r="O995">
            <v>10</v>
          </cell>
          <cell r="P995">
            <v>163210.17253816221</v>
          </cell>
          <cell r="Q995">
            <v>16321.017253816221</v>
          </cell>
          <cell r="R995">
            <v>15096.562192060781</v>
          </cell>
          <cell r="T995"/>
          <cell r="U995"/>
          <cell r="V995">
            <v>0.17107847117379121</v>
          </cell>
          <cell r="W995">
            <v>1.0661602081189802E-4</v>
          </cell>
          <cell r="X995">
            <v>10</v>
          </cell>
          <cell r="Y995" t="str">
            <v>Conquistar</v>
          </cell>
        </row>
        <row r="996">
          <cell r="A996" t="str">
            <v>C493</v>
          </cell>
          <cell r="B996" t="str">
            <v>C493 - CONCORD MARKET C.A</v>
          </cell>
          <cell r="C996" t="str">
            <v>INDEPENDIENTE</v>
          </cell>
          <cell r="D996">
            <v>3</v>
          </cell>
          <cell r="E996"/>
          <cell r="F996" t="str">
            <v>ESTE</v>
          </cell>
          <cell r="G996" t="str">
            <v>ADOLFO GONZALEZ</v>
          </cell>
          <cell r="H996" t="str">
            <v>HECTOR</v>
          </cell>
          <cell r="I996" t="str">
            <v>A8</v>
          </cell>
          <cell r="J996" t="str">
            <v>Activo</v>
          </cell>
          <cell r="K996">
            <v>27789.235611868211</v>
          </cell>
          <cell r="L996">
            <v>2778.9235611868212</v>
          </cell>
          <cell r="M996">
            <v>3202.6055569394412</v>
          </cell>
          <cell r="N996" t="str">
            <v>Si Compra</v>
          </cell>
          <cell r="O996">
            <v>10</v>
          </cell>
          <cell r="P996">
            <v>45068.121441121089</v>
          </cell>
          <cell r="Q996">
            <v>4506.8121441121093</v>
          </cell>
          <cell r="R996">
            <v>5529.9788365348586</v>
          </cell>
          <cell r="T996"/>
          <cell r="U996"/>
          <cell r="V996">
            <v>0.61660514623786233</v>
          </cell>
          <cell r="W996">
            <v>1.0611004188931805E-4</v>
          </cell>
          <cell r="X996">
            <v>10</v>
          </cell>
          <cell r="Y996" t="str">
            <v>Proteger</v>
          </cell>
        </row>
        <row r="997">
          <cell r="A997" t="str">
            <v>A613</v>
          </cell>
          <cell r="B997" t="str">
            <v>A613 - FARMACIA FUSION, C.A.</v>
          </cell>
          <cell r="C997" t="str">
            <v>INDEPENDIENTE</v>
          </cell>
          <cell r="D997">
            <v>3</v>
          </cell>
          <cell r="E997"/>
          <cell r="F997" t="str">
            <v>ANDES</v>
          </cell>
          <cell r="G997" t="str">
            <v>LUCIA DUGARTE</v>
          </cell>
          <cell r="H997" t="str">
            <v>VICTOR</v>
          </cell>
          <cell r="I997" t="str">
            <v>6</v>
          </cell>
          <cell r="J997" t="str">
            <v>Activo</v>
          </cell>
          <cell r="K997">
            <v>27758.956043465056</v>
          </cell>
          <cell r="L997">
            <v>2775.8956043465055</v>
          </cell>
          <cell r="M997">
            <v>2517.0656773617843</v>
          </cell>
          <cell r="N997" t="str">
            <v>Si Compra</v>
          </cell>
          <cell r="O997">
            <v>10</v>
          </cell>
          <cell r="P997">
            <v>85599.181460425083</v>
          </cell>
          <cell r="Q997">
            <v>8559.9181460425079</v>
          </cell>
          <cell r="R997">
            <v>6317.2483824905094</v>
          </cell>
          <cell r="T997"/>
          <cell r="U997"/>
          <cell r="V997">
            <v>0.32428997064999743</v>
          </cell>
          <cell r="W997">
            <v>1.0599442279433736E-4</v>
          </cell>
          <cell r="X997">
            <v>10</v>
          </cell>
          <cell r="Y997" t="str">
            <v>Potenciar</v>
          </cell>
        </row>
        <row r="998">
          <cell r="A998" t="str">
            <v>D718</v>
          </cell>
          <cell r="B998" t="str">
            <v>D718 - FARMACIA EL POBLADO PLUS, C.A</v>
          </cell>
          <cell r="C998" t="str">
            <v>INDEPENDIENTE</v>
          </cell>
          <cell r="D998">
            <v>3</v>
          </cell>
          <cell r="E998"/>
          <cell r="F998" t="str">
            <v>ANDES</v>
          </cell>
          <cell r="G998">
            <v>0</v>
          </cell>
          <cell r="H998"/>
          <cell r="I998" t="str">
            <v>3</v>
          </cell>
          <cell r="J998" t="str">
            <v>Activo</v>
          </cell>
          <cell r="K998">
            <v>27688.139203567756</v>
          </cell>
          <cell r="L998">
            <v>2768.8139203567757</v>
          </cell>
          <cell r="M998">
            <v>2452.8067845593578</v>
          </cell>
          <cell r="N998" t="str">
            <v>Si Compra</v>
          </cell>
          <cell r="O998">
            <v>10</v>
          </cell>
          <cell r="P998">
            <v>0</v>
          </cell>
          <cell r="Q998">
            <v>0</v>
          </cell>
          <cell r="R998">
            <v>0</v>
          </cell>
          <cell r="T998"/>
          <cell r="U998"/>
          <cell r="V998">
            <v>0</v>
          </cell>
          <cell r="W998">
            <v>1.0572401672945222E-4</v>
          </cell>
          <cell r="X998">
            <v>0</v>
          </cell>
          <cell r="Y998" t="str">
            <v>Conquistar</v>
          </cell>
        </row>
        <row r="999">
          <cell r="A999" t="str">
            <v>1205</v>
          </cell>
          <cell r="B999" t="str">
            <v>1205 - FARMACIA EL MARQUES C.A.</v>
          </cell>
          <cell r="C999" t="str">
            <v>INDEPENDIENTE</v>
          </cell>
          <cell r="D999">
            <v>3</v>
          </cell>
          <cell r="E999"/>
          <cell r="F999" t="str">
            <v>CARACAS</v>
          </cell>
          <cell r="G999" t="str">
            <v>MAIRUBI QUIJADA</v>
          </cell>
          <cell r="H999"/>
          <cell r="I999" t="str">
            <v>C1</v>
          </cell>
          <cell r="J999" t="str">
            <v>Activo</v>
          </cell>
          <cell r="K999">
            <v>27501.653258172475</v>
          </cell>
          <cell r="L999">
            <v>2750.1653258172473</v>
          </cell>
          <cell r="M999">
            <v>2180.7356</v>
          </cell>
          <cell r="N999" t="str">
            <v>Si Compra</v>
          </cell>
          <cell r="O999">
            <v>10</v>
          </cell>
          <cell r="P999">
            <v>179933.01200719463</v>
          </cell>
          <cell r="Q999">
            <v>17993.301200719463</v>
          </cell>
          <cell r="R999">
            <v>15220.6379</v>
          </cell>
          <cell r="T999"/>
          <cell r="U999"/>
          <cell r="V999">
            <v>0.15284384422505426</v>
          </cell>
          <cell r="W999">
            <v>1.0501194131456705E-4</v>
          </cell>
          <cell r="X999">
            <v>10</v>
          </cell>
          <cell r="Y999" t="str">
            <v>Conquistar</v>
          </cell>
        </row>
        <row r="1000">
          <cell r="A1000" t="str">
            <v>A918</v>
          </cell>
          <cell r="B1000" t="str">
            <v>A918 - FARMACIA DOCTOR FARMA, C.A.</v>
          </cell>
          <cell r="C1000" t="str">
            <v>INDEPENDIENTE</v>
          </cell>
          <cell r="D1000">
            <v>3</v>
          </cell>
          <cell r="E1000"/>
          <cell r="F1000" t="str">
            <v>CENTRO OESTE</v>
          </cell>
          <cell r="G1000" t="str">
            <v>SORALI SILVA</v>
          </cell>
          <cell r="H1000"/>
          <cell r="I1000" t="str">
            <v>L</v>
          </cell>
          <cell r="J1000" t="str">
            <v>Activo</v>
          </cell>
          <cell r="K1000">
            <v>27470.64272780146</v>
          </cell>
          <cell r="L1000">
            <v>2747.064272780146</v>
          </cell>
          <cell r="M1000">
            <v>2354.1286</v>
          </cell>
          <cell r="N1000" t="str">
            <v>Si Compra</v>
          </cell>
          <cell r="O1000">
            <v>10</v>
          </cell>
          <cell r="P1000">
            <v>59824.329864930864</v>
          </cell>
          <cell r="Q1000">
            <v>5982.432986493086</v>
          </cell>
          <cell r="R1000">
            <v>4294.302733333333</v>
          </cell>
          <cell r="T1000"/>
          <cell r="U1000"/>
          <cell r="V1000">
            <v>0.45918847381698469</v>
          </cell>
          <cell r="W1000">
            <v>1.0489353112428198E-4</v>
          </cell>
          <cell r="X1000">
            <v>10</v>
          </cell>
          <cell r="Y1000" t="str">
            <v>Potenciar</v>
          </cell>
        </row>
        <row r="1001">
          <cell r="A1001" t="str">
            <v>B78</v>
          </cell>
          <cell r="B1001" t="str">
            <v>B78 - FARMACIA NUEVA CACTUS, C.A.</v>
          </cell>
          <cell r="C1001" t="str">
            <v>INDEPENDIENTE</v>
          </cell>
          <cell r="D1001">
            <v>3</v>
          </cell>
          <cell r="E1001"/>
          <cell r="F1001" t="str">
            <v>MARACAIBO</v>
          </cell>
          <cell r="G1001" t="str">
            <v>YENNIFER LUZARDO</v>
          </cell>
          <cell r="H1001"/>
          <cell r="I1001" t="str">
            <v>B</v>
          </cell>
          <cell r="J1001" t="str">
            <v>Activo</v>
          </cell>
          <cell r="K1001">
            <v>27464.222282421269</v>
          </cell>
          <cell r="L1001">
            <v>2746.4222282421269</v>
          </cell>
          <cell r="M1001">
            <v>1946.8472666666667</v>
          </cell>
          <cell r="N1001" t="str">
            <v>Si Compra</v>
          </cell>
          <cell r="O1001">
            <v>10</v>
          </cell>
          <cell r="P1001">
            <v>41998.101124344743</v>
          </cell>
          <cell r="Q1001">
            <v>4199.8101124344739</v>
          </cell>
          <cell r="R1001">
            <v>1950.1855000000003</v>
          </cell>
          <cell r="T1001"/>
          <cell r="U1001"/>
          <cell r="V1001">
            <v>0.65393961982012749</v>
          </cell>
          <cell r="W1001">
            <v>1.0486901538236826E-4</v>
          </cell>
          <cell r="X1001">
            <v>10</v>
          </cell>
          <cell r="Y1001" t="str">
            <v>Proteger</v>
          </cell>
        </row>
        <row r="1002">
          <cell r="A1002" t="str">
            <v>D755</v>
          </cell>
          <cell r="B1002" t="str">
            <v>D755 - FARMACIA SUPER N&amp;C C.A.</v>
          </cell>
          <cell r="C1002" t="str">
            <v>INDEPENDIENTE</v>
          </cell>
          <cell r="D1002">
            <v>1</v>
          </cell>
          <cell r="E1002"/>
          <cell r="F1002" t="str">
            <v>ESTE</v>
          </cell>
          <cell r="G1002" t="str">
            <v>CARLOS BLONDELL</v>
          </cell>
          <cell r="H1002"/>
          <cell r="I1002" t="str">
            <v>A5</v>
          </cell>
          <cell r="J1002" t="str">
            <v>Inactivo</v>
          </cell>
          <cell r="K1002">
            <v>27457.981602900854</v>
          </cell>
          <cell r="L1002">
            <v>3922.5688004144076</v>
          </cell>
          <cell r="M1002">
            <v>3890.2737029008526</v>
          </cell>
          <cell r="N1002" t="str">
            <v>Si Compra</v>
          </cell>
          <cell r="O1002">
            <v>7</v>
          </cell>
          <cell r="P1002">
            <v>312889.68946045008</v>
          </cell>
          <cell r="Q1002">
            <v>44698.52706577858</v>
          </cell>
          <cell r="R1002">
            <v>53903.808260450096</v>
          </cell>
          <cell r="T1002"/>
          <cell r="U1002"/>
          <cell r="V1002">
            <v>8.7756108711187178E-2</v>
          </cell>
          <cell r="W1002">
            <v>1.4977883722283608E-4</v>
          </cell>
          <cell r="X1002">
            <v>7</v>
          </cell>
          <cell r="Y1002" t="str">
            <v>Conquistar</v>
          </cell>
        </row>
        <row r="1003">
          <cell r="A1003" t="str">
            <v>A297</v>
          </cell>
          <cell r="B1003" t="str">
            <v>A297 - FARMACIA NUEVA,C.A</v>
          </cell>
          <cell r="C1003" t="str">
            <v>INDEPENDIENTE</v>
          </cell>
          <cell r="D1003">
            <v>3</v>
          </cell>
          <cell r="E1003"/>
          <cell r="F1003" t="str">
            <v>CENTRO ESTE</v>
          </cell>
          <cell r="G1003" t="str">
            <v>WILLIBETTI GONZALEZ</v>
          </cell>
          <cell r="H1003"/>
          <cell r="I1003" t="str">
            <v>AF</v>
          </cell>
          <cell r="J1003" t="str">
            <v>Inactivo</v>
          </cell>
          <cell r="K1003">
            <v>27398.733964314728</v>
          </cell>
          <cell r="L1003">
            <v>2739.8733964314729</v>
          </cell>
          <cell r="M1003">
            <v>2689.6311333333338</v>
          </cell>
          <cell r="N1003" t="str">
            <v>Si Compra</v>
          </cell>
          <cell r="O1003">
            <v>10</v>
          </cell>
          <cell r="P1003">
            <v>36782.819582906159</v>
          </cell>
          <cell r="Q1003">
            <v>3678.2819582906159</v>
          </cell>
          <cell r="R1003">
            <v>2587.3687333333332</v>
          </cell>
          <cell r="T1003"/>
          <cell r="U1003"/>
          <cell r="V1003">
            <v>0.74487856763018689</v>
          </cell>
          <cell r="W1003">
            <v>1.046189556731124E-4</v>
          </cell>
          <cell r="X1003">
            <v>10</v>
          </cell>
          <cell r="Y1003" t="str">
            <v>Proteger</v>
          </cell>
        </row>
        <row r="1004">
          <cell r="A1004" t="str">
            <v>0480</v>
          </cell>
          <cell r="B1004" t="str">
            <v>QUICK-FARMA</v>
          </cell>
          <cell r="C1004" t="str">
            <v>GRUPO</v>
          </cell>
          <cell r="D1004">
            <v>6</v>
          </cell>
          <cell r="E1004">
            <v>0</v>
          </cell>
          <cell r="F1004" t="str">
            <v>CENTRO ESTE</v>
          </cell>
          <cell r="G1004" t="str">
            <v>KARLA SALAZAR</v>
          </cell>
          <cell r="H1004" t="str">
            <v>HECTOR</v>
          </cell>
          <cell r="I1004">
            <v>0</v>
          </cell>
          <cell r="J1004" t="str">
            <v>Activo</v>
          </cell>
          <cell r="K1004">
            <v>27377.119486187479</v>
          </cell>
          <cell r="L1004">
            <v>2737.711948618748</v>
          </cell>
          <cell r="M1004">
            <v>1767.0764829774259</v>
          </cell>
          <cell r="N1004" t="str">
            <v>Si Compra</v>
          </cell>
          <cell r="O1004">
            <v>10</v>
          </cell>
          <cell r="P1004">
            <v>455723.37525322661</v>
          </cell>
          <cell r="Q1004">
            <v>45572.337525322662</v>
          </cell>
          <cell r="R1004">
            <v>25250.671452643801</v>
          </cell>
          <cell r="S1004">
            <v>40000</v>
          </cell>
          <cell r="T1004">
            <v>0</v>
          </cell>
          <cell r="U1004">
            <v>0</v>
          </cell>
          <cell r="V1004">
            <v>6.0073985607991133E-2</v>
          </cell>
          <cell r="W1004">
            <v>1.0453642324179506E-4</v>
          </cell>
          <cell r="X1004">
            <v>10</v>
          </cell>
          <cell r="Y1004" t="str">
            <v>Conquistar</v>
          </cell>
        </row>
        <row r="1005">
          <cell r="A1005" t="str">
            <v>4434</v>
          </cell>
          <cell r="B1005" t="str">
            <v>4434 - DIVERFARMA ARN, COMPAÑÍA ANONIMA</v>
          </cell>
          <cell r="C1005" t="e">
            <v>#N/A</v>
          </cell>
          <cell r="D1005">
            <v>3</v>
          </cell>
          <cell r="E1005"/>
          <cell r="F1005" t="str">
            <v>ESTE</v>
          </cell>
          <cell r="G1005" t="str">
            <v>IRAIDA RODRIGUEZ</v>
          </cell>
          <cell r="H1005"/>
          <cell r="I1005" t="str">
            <v>AB</v>
          </cell>
          <cell r="J1005" t="str">
            <v>Activo</v>
          </cell>
          <cell r="K1005">
            <v>27345.543399361992</v>
          </cell>
          <cell r="L1005">
            <v>5469.1086798723982</v>
          </cell>
          <cell r="M1005">
            <v>5712.2093997873308</v>
          </cell>
          <cell r="N1005" t="str">
            <v>Si Compra</v>
          </cell>
          <cell r="O1005">
            <v>5</v>
          </cell>
          <cell r="P1005">
            <v>32882.447749603096</v>
          </cell>
          <cell r="Q1005">
            <v>6576.4895499206195</v>
          </cell>
          <cell r="R1005">
            <v>6919.144349867699</v>
          </cell>
          <cell r="T1005"/>
          <cell r="U1005"/>
          <cell r="V1005">
            <v>0.83161520114304932</v>
          </cell>
          <cell r="W1005">
            <v>2.0883170707676726E-4</v>
          </cell>
          <cell r="X1005">
            <v>5</v>
          </cell>
          <cell r="Y1005" t="str">
            <v>Proteger</v>
          </cell>
        </row>
        <row r="1006">
          <cell r="A1006" t="str">
            <v>1432</v>
          </cell>
          <cell r="B1006" t="str">
            <v>1432 - FARMACIA CUYUNI, C.A.</v>
          </cell>
          <cell r="C1006" t="str">
            <v>INDEPENDIENTE</v>
          </cell>
          <cell r="D1006">
            <v>3</v>
          </cell>
          <cell r="E1006"/>
          <cell r="F1006" t="str">
            <v>CARACAS</v>
          </cell>
          <cell r="G1006" t="str">
            <v>MAIRUBI QUIJADA</v>
          </cell>
          <cell r="H1006"/>
          <cell r="I1006" t="str">
            <v>C1</v>
          </cell>
          <cell r="J1006" t="str">
            <v>Activo</v>
          </cell>
          <cell r="K1006">
            <v>27309.412712441444</v>
          </cell>
          <cell r="L1006">
            <v>2730.9412712441444</v>
          </cell>
          <cell r="M1006">
            <v>2526.2395333333334</v>
          </cell>
          <cell r="N1006" t="str">
            <v>Si Compra</v>
          </cell>
          <cell r="O1006">
            <v>10</v>
          </cell>
          <cell r="P1006">
            <v>50839.644923309184</v>
          </cell>
          <cell r="Q1006">
            <v>5083.9644923309188</v>
          </cell>
          <cell r="R1006">
            <v>3951.9449333333337</v>
          </cell>
          <cell r="T1006"/>
          <cell r="U1006"/>
          <cell r="V1006">
            <v>0.5371676524027118</v>
          </cell>
          <cell r="W1006">
            <v>1.0427789261149179E-4</v>
          </cell>
          <cell r="X1006">
            <v>10</v>
          </cell>
          <cell r="Y1006" t="str">
            <v>Potenciar</v>
          </cell>
        </row>
        <row r="1007">
          <cell r="A1007" t="str">
            <v>A300</v>
          </cell>
          <cell r="B1007" t="str">
            <v>A300 - FARMACIA CARMEN DEL VALLE, C.A</v>
          </cell>
          <cell r="C1007" t="str">
            <v>INDEPENDIENTE</v>
          </cell>
          <cell r="D1007">
            <v>3</v>
          </cell>
          <cell r="E1007"/>
          <cell r="F1007" t="str">
            <v>CENTRO ESTE</v>
          </cell>
          <cell r="G1007" t="str">
            <v>WILLIBETTI GONZALEZ</v>
          </cell>
          <cell r="H1007"/>
          <cell r="I1007" t="str">
            <v>AF</v>
          </cell>
          <cell r="J1007" t="str">
            <v>Activo</v>
          </cell>
          <cell r="K1007">
            <v>27253.124200539005</v>
          </cell>
          <cell r="L1007">
            <v>2725.3124200539005</v>
          </cell>
          <cell r="M1007">
            <v>2869.5541139833645</v>
          </cell>
          <cell r="N1007" t="str">
            <v>Si Compra</v>
          </cell>
          <cell r="O1007">
            <v>10</v>
          </cell>
          <cell r="P1007">
            <v>29992.410491029703</v>
          </cell>
          <cell r="Q1007">
            <v>3332.4900545588557</v>
          </cell>
          <cell r="R1007">
            <v>2082.9253981811248</v>
          </cell>
          <cell r="T1007"/>
          <cell r="U1007"/>
          <cell r="V1007">
            <v>0.81780061618658562</v>
          </cell>
          <cell r="W1007">
            <v>1.0406296131797667E-4</v>
          </cell>
          <cell r="X1007">
            <v>9</v>
          </cell>
          <cell r="Y1007" t="str">
            <v>Proteger</v>
          </cell>
        </row>
        <row r="1008">
          <cell r="A1008" t="str">
            <v>C958</v>
          </cell>
          <cell r="B1008" t="str">
            <v>C958 - FARMACIA EL SABER, C.A.</v>
          </cell>
          <cell r="C1008" t="str">
            <v>INDEPENDIENTE</v>
          </cell>
          <cell r="D1008">
            <v>3</v>
          </cell>
          <cell r="E1008"/>
          <cell r="F1008" t="str">
            <v>CENTRO ESTE</v>
          </cell>
          <cell r="G1008" t="str">
            <v>MARCOS CRUCES</v>
          </cell>
          <cell r="H1008"/>
          <cell r="I1008" t="str">
            <v>$</v>
          </cell>
          <cell r="J1008" t="str">
            <v>Activo</v>
          </cell>
          <cell r="K1008">
            <v>27247.318620128575</v>
          </cell>
          <cell r="L1008">
            <v>2724.7318620128576</v>
          </cell>
          <cell r="M1008">
            <v>2076.7426432309021</v>
          </cell>
          <cell r="N1008" t="str">
            <v>Si Compra</v>
          </cell>
          <cell r="O1008">
            <v>10</v>
          </cell>
          <cell r="P1008">
            <v>55813.308545778229</v>
          </cell>
          <cell r="Q1008">
            <v>5581.3308545778227</v>
          </cell>
          <cell r="R1008">
            <v>4247.2400361917944</v>
          </cell>
          <cell r="T1008"/>
          <cell r="U1008"/>
          <cell r="V1008">
            <v>0.48818676638350961</v>
          </cell>
          <cell r="W1008">
            <v>1.0404079336815802E-4</v>
          </cell>
          <cell r="X1008">
            <v>10</v>
          </cell>
          <cell r="Y1008" t="str">
            <v>Potenciar</v>
          </cell>
        </row>
        <row r="1009">
          <cell r="A1009" t="str">
            <v>A045</v>
          </cell>
          <cell r="B1009" t="str">
            <v>A045 - INVERSIONES FARMACIA LA PARADA, C.A.</v>
          </cell>
          <cell r="C1009" t="str">
            <v>INDEPENDIENTE</v>
          </cell>
          <cell r="D1009">
            <v>3</v>
          </cell>
          <cell r="E1009"/>
          <cell r="F1009" t="str">
            <v>CARACAS</v>
          </cell>
          <cell r="G1009" t="str">
            <v>MAIRUBI QUIJADA</v>
          </cell>
          <cell r="H1009"/>
          <cell r="I1009" t="str">
            <v>C7</v>
          </cell>
          <cell r="J1009" t="str">
            <v>Activo</v>
          </cell>
          <cell r="K1009">
            <v>27228.581895716015</v>
          </cell>
          <cell r="L1009">
            <v>2722.8581895716015</v>
          </cell>
          <cell r="M1009">
            <v>2135.2364647610862</v>
          </cell>
          <cell r="N1009" t="str">
            <v>Si Compra</v>
          </cell>
          <cell r="O1009">
            <v>10</v>
          </cell>
          <cell r="P1009">
            <v>1386740.7611272542</v>
          </cell>
          <cell r="Q1009">
            <v>138674.07611272542</v>
          </cell>
          <cell r="R1009">
            <v>118067.50676400494</v>
          </cell>
          <cell r="T1009"/>
          <cell r="U1009"/>
          <cell r="V1009">
            <v>1.9634947395346221E-2</v>
          </cell>
          <cell r="W1009">
            <v>1.0396924931275275E-4</v>
          </cell>
          <cell r="X1009">
            <v>10</v>
          </cell>
          <cell r="Y1009" t="str">
            <v>Conquistar</v>
          </cell>
        </row>
        <row r="1010">
          <cell r="A1010" t="str">
            <v>9565</v>
          </cell>
          <cell r="B1010" t="str">
            <v>9565 - FARMACIA DIVINA MISERICORDIA, C.A</v>
          </cell>
          <cell r="C1010" t="str">
            <v>INDEPENDIENTE</v>
          </cell>
          <cell r="D1010">
            <v>3</v>
          </cell>
          <cell r="E1010"/>
          <cell r="F1010" t="str">
            <v>ESTE</v>
          </cell>
          <cell r="G1010" t="str">
            <v>CARMEN ALCALA</v>
          </cell>
          <cell r="H1010"/>
          <cell r="I1010" t="str">
            <v>A0</v>
          </cell>
          <cell r="J1010" t="str">
            <v>Inactivo</v>
          </cell>
          <cell r="K1010">
            <v>27204.153841500756</v>
          </cell>
          <cell r="L1010">
            <v>3022.6837601667507</v>
          </cell>
          <cell r="M1010">
            <v>970.70873333333327</v>
          </cell>
          <cell r="N1010" t="str">
            <v>Si Compra</v>
          </cell>
          <cell r="O1010">
            <v>9</v>
          </cell>
          <cell r="P1010">
            <v>30160.459149564318</v>
          </cell>
          <cell r="Q1010">
            <v>3351.1621277293689</v>
          </cell>
          <cell r="R1010">
            <v>1447.0797000000002</v>
          </cell>
          <cell r="T1010"/>
          <cell r="U1010"/>
          <cell r="V1010">
            <v>0.90198075919854592</v>
          </cell>
          <cell r="W1010">
            <v>1.1541774840056237E-4</v>
          </cell>
          <cell r="X1010">
            <v>9</v>
          </cell>
          <cell r="Y1010" t="str">
            <v>Proteger</v>
          </cell>
        </row>
        <row r="1011">
          <cell r="A1011" t="str">
            <v>9909</v>
          </cell>
          <cell r="B1011" t="str">
            <v>9909 - FARMACIA GRUPO VTF, C.A</v>
          </cell>
          <cell r="C1011" t="str">
            <v>INDEPENDIENTE</v>
          </cell>
          <cell r="D1011">
            <v>3</v>
          </cell>
          <cell r="E1011"/>
          <cell r="F1011" t="str">
            <v>CENTRO ESTE</v>
          </cell>
          <cell r="G1011" t="str">
            <v>LAURA FLORES</v>
          </cell>
          <cell r="H1011"/>
          <cell r="I1011" t="str">
            <v>+</v>
          </cell>
          <cell r="J1011" t="str">
            <v>Activo</v>
          </cell>
          <cell r="K1011">
            <v>27201.276654764737</v>
          </cell>
          <cell r="L1011">
            <v>2720.1276654764738</v>
          </cell>
          <cell r="M1011">
            <v>2342.3105616441212</v>
          </cell>
          <cell r="N1011" t="str">
            <v>Si Compra</v>
          </cell>
          <cell r="O1011">
            <v>10</v>
          </cell>
          <cell r="P1011">
            <v>54994.993827925486</v>
          </cell>
          <cell r="Q1011">
            <v>5499.4993827925482</v>
          </cell>
          <cell r="R1011">
            <v>5563.3417792186674</v>
          </cell>
          <cell r="T1011"/>
          <cell r="U1011"/>
          <cell r="V1011">
            <v>0.49461368683620821</v>
          </cell>
          <cell r="W1011">
            <v>1.0386498734953775E-4</v>
          </cell>
          <cell r="X1011">
            <v>10</v>
          </cell>
          <cell r="Y1011" t="str">
            <v>Potenciar</v>
          </cell>
        </row>
        <row r="1012">
          <cell r="A1012" t="str">
            <v>2443</v>
          </cell>
          <cell r="B1012" t="str">
            <v>2443 - FARMACIA CENTRAL PLAZA, C.A.</v>
          </cell>
          <cell r="C1012" t="str">
            <v>INDEPENDIENTE</v>
          </cell>
          <cell r="D1012">
            <v>3</v>
          </cell>
          <cell r="E1012"/>
          <cell r="F1012" t="str">
            <v>ANDES</v>
          </cell>
          <cell r="G1012" t="str">
            <v>JESUS CONTRERAS</v>
          </cell>
          <cell r="H1012"/>
          <cell r="I1012" t="str">
            <v>G2</v>
          </cell>
          <cell r="J1012" t="str">
            <v>Inactivo</v>
          </cell>
          <cell r="K1012">
            <v>26967.337528354619</v>
          </cell>
          <cell r="L1012">
            <v>2696.7337528354619</v>
          </cell>
          <cell r="M1012">
            <v>2886.8850043262732</v>
          </cell>
          <cell r="N1012" t="str">
            <v>Si Compra</v>
          </cell>
          <cell r="O1012">
            <v>10</v>
          </cell>
          <cell r="P1012">
            <v>47395.889286123958</v>
          </cell>
          <cell r="Q1012">
            <v>4739.5889286123956</v>
          </cell>
          <cell r="R1012">
            <v>4161.3546410314111</v>
          </cell>
          <cell r="T1012"/>
          <cell r="U1012"/>
          <cell r="V1012">
            <v>0.56898051570581709</v>
          </cell>
          <cell r="W1012">
            <v>1.0297171734925293E-4</v>
          </cell>
          <cell r="X1012">
            <v>10</v>
          </cell>
          <cell r="Y1012" t="str">
            <v>Potenciar</v>
          </cell>
        </row>
        <row r="1013">
          <cell r="A1013" t="str">
            <v>G90</v>
          </cell>
          <cell r="B1013" t="str">
            <v>G90 - FARMACIA PATY`S FARMACIA;C.A.</v>
          </cell>
          <cell r="C1013" t="str">
            <v>INDEPENDIENTE</v>
          </cell>
          <cell r="D1013">
            <v>3</v>
          </cell>
          <cell r="F1013" t="str">
            <v>ANDES</v>
          </cell>
          <cell r="G1013" t="str">
            <v>RAYNE ANDREINA NAVA</v>
          </cell>
          <cell r="H1013"/>
          <cell r="I1013" t="str">
            <v>G1</v>
          </cell>
          <cell r="J1013" t="str">
            <v>Activo</v>
          </cell>
          <cell r="K1013">
            <v>26951.546599793797</v>
          </cell>
          <cell r="L1013">
            <v>2695.1546599793796</v>
          </cell>
          <cell r="M1013">
            <v>1723.5471205786255</v>
          </cell>
          <cell r="N1013" t="str">
            <v>Si Compra</v>
          </cell>
          <cell r="O1013">
            <v>10</v>
          </cell>
          <cell r="P1013">
            <v>31444.47323631628</v>
          </cell>
          <cell r="Q1013">
            <v>3144.447323631628</v>
          </cell>
          <cell r="R1013">
            <v>1903.9055165702864</v>
          </cell>
          <cell r="V1013">
            <v>0.85711553815016839</v>
          </cell>
          <cell r="W1013">
            <v>1.0291142148093677E-4</v>
          </cell>
          <cell r="X1013">
            <v>10</v>
          </cell>
          <cell r="Y1013" t="str">
            <v>Proteger</v>
          </cell>
        </row>
        <row r="1014">
          <cell r="A1014" t="str">
            <v>B424</v>
          </cell>
          <cell r="B1014" t="str">
            <v>B424 - FARMACIA SUBLIME, C.A.</v>
          </cell>
          <cell r="C1014" t="str">
            <v>INDEPENDIENTE</v>
          </cell>
          <cell r="D1014">
            <v>3</v>
          </cell>
          <cell r="E1014"/>
          <cell r="F1014" t="str">
            <v>CENTRO OESTE</v>
          </cell>
          <cell r="G1014" t="str">
            <v>SORALI SILVA</v>
          </cell>
          <cell r="H1014" t="str">
            <v>HECTOR</v>
          </cell>
          <cell r="I1014" t="str">
            <v>L</v>
          </cell>
          <cell r="J1014" t="str">
            <v>Activo</v>
          </cell>
          <cell r="K1014">
            <v>26902.630951710598</v>
          </cell>
          <cell r="L1014">
            <v>2690.2630951710598</v>
          </cell>
          <cell r="M1014">
            <v>3096.5571333333332</v>
          </cell>
          <cell r="N1014" t="str">
            <v>Si Compra</v>
          </cell>
          <cell r="O1014">
            <v>10</v>
          </cell>
          <cell r="P1014">
            <v>93140.526240811902</v>
          </cell>
          <cell r="Q1014">
            <v>9314.0526240811905</v>
          </cell>
          <cell r="R1014">
            <v>6892.9944000000005</v>
          </cell>
          <cell r="T1014"/>
          <cell r="U1014"/>
          <cell r="V1014">
            <v>0.28883915560187723</v>
          </cell>
          <cell r="W1014">
            <v>1.0272464263103797E-4</v>
          </cell>
          <cell r="X1014">
            <v>10</v>
          </cell>
          <cell r="Y1014" t="str">
            <v>Potenciar</v>
          </cell>
        </row>
        <row r="1015">
          <cell r="A1015" t="str">
            <v>7949</v>
          </cell>
          <cell r="B1015" t="str">
            <v>7949 - CENTRO MEDICO PROVESALUD, C.A.</v>
          </cell>
          <cell r="C1015" t="str">
            <v>INDEPENDIENTE</v>
          </cell>
          <cell r="D1015">
            <v>3</v>
          </cell>
          <cell r="E1015"/>
          <cell r="F1015" t="str">
            <v>CARACAS</v>
          </cell>
          <cell r="G1015">
            <v>0</v>
          </cell>
          <cell r="H1015"/>
          <cell r="I1015" t="str">
            <v>C9</v>
          </cell>
          <cell r="J1015" t="str">
            <v>Activo</v>
          </cell>
          <cell r="K1015">
            <v>26879.560679197264</v>
          </cell>
          <cell r="L1015">
            <v>2687.9560679197266</v>
          </cell>
          <cell r="M1015">
            <v>4328.6576029231728</v>
          </cell>
          <cell r="N1015" t="str">
            <v>Si Compra</v>
          </cell>
          <cell r="O1015">
            <v>10</v>
          </cell>
          <cell r="P1015">
            <v>0</v>
          </cell>
          <cell r="Q1015">
            <v>0</v>
          </cell>
          <cell r="R1015">
            <v>0</v>
          </cell>
          <cell r="T1015"/>
          <cell r="U1015"/>
          <cell r="V1015">
            <v>0</v>
          </cell>
          <cell r="W1015">
            <v>1.0263655141410136E-4</v>
          </cell>
          <cell r="X1015">
            <v>0</v>
          </cell>
          <cell r="Y1015" t="str">
            <v>Conquistar</v>
          </cell>
        </row>
        <row r="1016">
          <cell r="A1016" t="str">
            <v>B593</v>
          </cell>
          <cell r="B1016" t="str">
            <v>TU FARMA MERIDA</v>
          </cell>
          <cell r="C1016" t="str">
            <v>GRUPO</v>
          </cell>
          <cell r="D1016">
            <v>6</v>
          </cell>
          <cell r="E1016"/>
          <cell r="F1016" t="str">
            <v>ANDES</v>
          </cell>
          <cell r="H1016"/>
          <cell r="I1016"/>
          <cell r="J1016" t="str">
            <v>Activo</v>
          </cell>
          <cell r="K1016">
            <v>26872.810126155488</v>
          </cell>
          <cell r="L1016">
            <v>2687.2810126155487</v>
          </cell>
          <cell r="M1016">
            <v>2827.7909721736119</v>
          </cell>
          <cell r="N1016" t="str">
            <v>Si Compra</v>
          </cell>
          <cell r="O1016">
            <v>10</v>
          </cell>
          <cell r="P1016">
            <v>58353.224893706087</v>
          </cell>
          <cell r="Q1016">
            <v>5835.3224893706083</v>
          </cell>
          <cell r="R1016">
            <v>2017.268659437477</v>
          </cell>
          <cell r="S1016"/>
          <cell r="T1016"/>
          <cell r="U1016"/>
          <cell r="V1016">
            <v>0.46051970863831315</v>
          </cell>
          <cell r="W1016">
            <v>1.0261077519355167E-4</v>
          </cell>
          <cell r="X1016">
            <v>10</v>
          </cell>
          <cell r="Y1016" t="str">
            <v>Potenciar</v>
          </cell>
        </row>
        <row r="1017">
          <cell r="A1017" t="str">
            <v>E299</v>
          </cell>
          <cell r="B1017" t="str">
            <v>E299 - GRUPO DE FARMACIAS DROMEQFARMA, C.A.</v>
          </cell>
          <cell r="C1017" t="e">
            <v>#N/A</v>
          </cell>
          <cell r="D1017">
            <v>3</v>
          </cell>
          <cell r="F1017" t="str">
            <v>CENTRO ESTE</v>
          </cell>
          <cell r="G1017">
            <v>0</v>
          </cell>
          <cell r="H1017"/>
          <cell r="I1017" t="str">
            <v>+</v>
          </cell>
          <cell r="J1017" t="str">
            <v>Inactivo</v>
          </cell>
          <cell r="K1017">
            <v>26850.581856385412</v>
          </cell>
          <cell r="L1017">
            <v>5370.1163712770822</v>
          </cell>
          <cell r="M1017">
            <v>5959.9714521284704</v>
          </cell>
          <cell r="N1017" t="str">
            <v>Si Compra</v>
          </cell>
          <cell r="O1017">
            <v>5</v>
          </cell>
          <cell r="P1017">
            <v>0</v>
          </cell>
          <cell r="Q1017">
            <v>0</v>
          </cell>
          <cell r="R1017">
            <v>0</v>
          </cell>
          <cell r="V1017">
            <v>0</v>
          </cell>
          <cell r="W1017">
            <v>2.0505179813703261E-4</v>
          </cell>
          <cell r="X1017">
            <v>0</v>
          </cell>
          <cell r="Y1017" t="str">
            <v>Conquistar</v>
          </cell>
        </row>
        <row r="1018">
          <cell r="A1018" t="str">
            <v>7422</v>
          </cell>
          <cell r="B1018" t="str">
            <v>7422 - FARMACIA DOÑA EDMUNDA, C.A</v>
          </cell>
          <cell r="C1018" t="str">
            <v>INDEPENDIENTE</v>
          </cell>
          <cell r="D1018">
            <v>3</v>
          </cell>
          <cell r="E1018"/>
          <cell r="F1018" t="str">
            <v>ESTE</v>
          </cell>
          <cell r="G1018" t="str">
            <v>PEDRO VIRE</v>
          </cell>
          <cell r="H1018"/>
          <cell r="I1018" t="str">
            <v>A7</v>
          </cell>
          <cell r="J1018" t="str">
            <v>Activo</v>
          </cell>
          <cell r="K1018">
            <v>26822.300345658718</v>
          </cell>
          <cell r="L1018">
            <v>2682.2300345658718</v>
          </cell>
          <cell r="M1018">
            <v>2737.2621190245095</v>
          </cell>
          <cell r="N1018" t="str">
            <v>Si Compra</v>
          </cell>
          <cell r="O1018">
            <v>10</v>
          </cell>
          <cell r="P1018">
            <v>30223.204456252752</v>
          </cell>
          <cell r="Q1018">
            <v>3022.3204456252752</v>
          </cell>
          <cell r="R1018">
            <v>2695.8464806145726</v>
          </cell>
          <cell r="T1018"/>
          <cell r="U1018"/>
          <cell r="V1018">
            <v>0.88747374172329252</v>
          </cell>
          <cell r="W1018">
            <v>1.0241790932997809E-4</v>
          </cell>
          <cell r="X1018">
            <v>10</v>
          </cell>
          <cell r="Y1018" t="str">
            <v>Proteger</v>
          </cell>
        </row>
        <row r="1019">
          <cell r="A1019" t="str">
            <v>D870</v>
          </cell>
          <cell r="B1019" t="str">
            <v>D870 - FARMABAMBU, C.A</v>
          </cell>
          <cell r="C1019" t="str">
            <v>INDEPENDIENTE</v>
          </cell>
          <cell r="D1019">
            <v>2</v>
          </cell>
          <cell r="E1019"/>
          <cell r="F1019" t="str">
            <v>CARACAS</v>
          </cell>
          <cell r="G1019" t="str">
            <v>WILLIAM ARAQUE</v>
          </cell>
          <cell r="H1019"/>
          <cell r="I1019" t="str">
            <v>C3</v>
          </cell>
          <cell r="J1019" t="str">
            <v>Activo</v>
          </cell>
          <cell r="K1019">
            <v>26752.048519827265</v>
          </cell>
          <cell r="L1019">
            <v>3344.0060649784082</v>
          </cell>
          <cell r="M1019">
            <v>1102.2080000000001</v>
          </cell>
          <cell r="N1019" t="str">
            <v>Si Compra</v>
          </cell>
          <cell r="O1019">
            <v>8</v>
          </cell>
          <cell r="P1019">
            <v>42100.268273420275</v>
          </cell>
          <cell r="Q1019">
            <v>5262.5335341775344</v>
          </cell>
          <cell r="R1019">
            <v>2603.84645</v>
          </cell>
          <cell r="T1019"/>
          <cell r="U1019"/>
          <cell r="V1019">
            <v>0.63543653323266336</v>
          </cell>
          <cell r="W1019">
            <v>1.2768707588396236E-4</v>
          </cell>
          <cell r="X1019">
            <v>8</v>
          </cell>
          <cell r="Y1019" t="str">
            <v>Proteger</v>
          </cell>
        </row>
        <row r="1020">
          <cell r="A1020" t="str">
            <v>7564</v>
          </cell>
          <cell r="B1020" t="str">
            <v>7564 - ALIDA CAMACHO MORA (FARMACIA PRADO)</v>
          </cell>
          <cell r="C1020" t="e">
            <v>#N/A</v>
          </cell>
          <cell r="D1020">
            <v>3</v>
          </cell>
          <cell r="E1020"/>
          <cell r="F1020" t="str">
            <v>CENTRO OESTE</v>
          </cell>
          <cell r="G1020" t="str">
            <v>LUIS PLACERES</v>
          </cell>
          <cell r="H1020"/>
          <cell r="I1020" t="str">
            <v>E</v>
          </cell>
          <cell r="J1020" t="str">
            <v>Activo</v>
          </cell>
          <cell r="K1020">
            <v>26696.647236558478</v>
          </cell>
          <cell r="L1020">
            <v>2669.6647236558479</v>
          </cell>
          <cell r="M1020">
            <v>2857.330929154341</v>
          </cell>
          <cell r="N1020" t="str">
            <v>Si Compra</v>
          </cell>
          <cell r="O1020">
            <v>10</v>
          </cell>
          <cell r="P1020">
            <v>28652.93648681798</v>
          </cell>
          <cell r="Q1020">
            <v>2865.293648681798</v>
          </cell>
          <cell r="R1020">
            <v>2530.4125821301586</v>
          </cell>
          <cell r="T1020"/>
          <cell r="U1020"/>
          <cell r="V1020">
            <v>0.93172465059001863</v>
          </cell>
          <cell r="W1020">
            <v>1.01938117195485E-4</v>
          </cell>
          <cell r="X1020">
            <v>10</v>
          </cell>
          <cell r="Y1020" t="str">
            <v>Proteger</v>
          </cell>
        </row>
        <row r="1021">
          <cell r="A1021" t="str">
            <v>D707</v>
          </cell>
          <cell r="B1021" t="str">
            <v>D707 - FARMACIA GLORIA DE DIOS, C.A.</v>
          </cell>
          <cell r="C1021" t="str">
            <v>INDEPENDIENTE</v>
          </cell>
          <cell r="D1021">
            <v>3</v>
          </cell>
          <cell r="E1021"/>
          <cell r="F1021" t="str">
            <v>ANDES</v>
          </cell>
          <cell r="G1021" t="str">
            <v>MILAGRO BRICEñO</v>
          </cell>
          <cell r="H1021" t="str">
            <v>VICTOR</v>
          </cell>
          <cell r="I1021" t="str">
            <v>G</v>
          </cell>
          <cell r="J1021" t="str">
            <v>Activo</v>
          </cell>
          <cell r="K1021">
            <v>26645.322430994798</v>
          </cell>
          <cell r="L1021">
            <v>2664.5322430994797</v>
          </cell>
          <cell r="M1021">
            <v>1539.4130666666667</v>
          </cell>
          <cell r="N1021" t="str">
            <v>Si Compra</v>
          </cell>
          <cell r="O1021">
            <v>10</v>
          </cell>
          <cell r="P1021">
            <v>83674.671769757784</v>
          </cell>
          <cell r="Q1021">
            <v>8367.4671769757788</v>
          </cell>
          <cell r="R1021">
            <v>3533.0226666666663</v>
          </cell>
          <cell r="T1021"/>
          <cell r="U1021"/>
          <cell r="V1021">
            <v>0.31843952139200521</v>
          </cell>
          <cell r="W1021">
            <v>1.0174213925120512E-4</v>
          </cell>
          <cell r="X1021">
            <v>10</v>
          </cell>
          <cell r="Y1021" t="str">
            <v>Potenciar</v>
          </cell>
        </row>
        <row r="1022">
          <cell r="A1022" t="str">
            <v>B915</v>
          </cell>
          <cell r="B1022" t="str">
            <v>B915 - MEGA COMPRAS SUPERMERCADO, C.A.</v>
          </cell>
          <cell r="C1022" t="str">
            <v>INDEPENDIENTE</v>
          </cell>
          <cell r="D1022">
            <v>3</v>
          </cell>
          <cell r="E1022"/>
          <cell r="F1022" t="str">
            <v>MARACAIBO</v>
          </cell>
          <cell r="G1022">
            <v>0</v>
          </cell>
          <cell r="H1022"/>
          <cell r="I1022" t="str">
            <v>B</v>
          </cell>
          <cell r="J1022" t="str">
            <v>Activo</v>
          </cell>
          <cell r="K1022">
            <v>26633.4026990292</v>
          </cell>
          <cell r="L1022">
            <v>2663.3402699029202</v>
          </cell>
          <cell r="M1022">
            <v>2395.693831404144</v>
          </cell>
          <cell r="N1022" t="str">
            <v>Si Compra</v>
          </cell>
          <cell r="O1022">
            <v>10</v>
          </cell>
          <cell r="P1022">
            <v>0</v>
          </cell>
          <cell r="Q1022">
            <v>0</v>
          </cell>
          <cell r="R1022">
            <v>0</v>
          </cell>
          <cell r="T1022"/>
          <cell r="U1022"/>
          <cell r="V1022">
            <v>0</v>
          </cell>
          <cell r="W1022">
            <v>1.0169662510767688E-4</v>
          </cell>
          <cell r="X1022">
            <v>0</v>
          </cell>
          <cell r="Y1022" t="str">
            <v>Conquistar</v>
          </cell>
        </row>
        <row r="1023">
          <cell r="A1023" t="str">
            <v>A779</v>
          </cell>
          <cell r="B1023" t="str">
            <v>A779 - FARMACIA LAS TINAJAS C.A</v>
          </cell>
          <cell r="C1023" t="str">
            <v>INDEPENDIENTE</v>
          </cell>
          <cell r="D1023">
            <v>3</v>
          </cell>
          <cell r="E1023"/>
          <cell r="F1023" t="str">
            <v>ESTE</v>
          </cell>
          <cell r="G1023" t="str">
            <v>JOSE RAMIREZ</v>
          </cell>
          <cell r="H1023" t="str">
            <v>HECTOR</v>
          </cell>
          <cell r="I1023" t="str">
            <v>A2</v>
          </cell>
          <cell r="J1023" t="str">
            <v>Activo</v>
          </cell>
          <cell r="K1023">
            <v>26582.708907726734</v>
          </cell>
          <cell r="L1023">
            <v>2658.2708907726733</v>
          </cell>
          <cell r="M1023">
            <v>2240.6607666666669</v>
          </cell>
          <cell r="N1023" t="str">
            <v>Si Compra</v>
          </cell>
          <cell r="O1023">
            <v>10</v>
          </cell>
          <cell r="P1023">
            <v>61062.431480574982</v>
          </cell>
          <cell r="Q1023">
            <v>6106.2431480574978</v>
          </cell>
          <cell r="R1023">
            <v>4966.899166666667</v>
          </cell>
          <cell r="T1023"/>
          <cell r="U1023"/>
          <cell r="V1023">
            <v>0.435336560683522</v>
          </cell>
          <cell r="W1023">
            <v>1.0150305661972839E-4</v>
          </cell>
          <cell r="X1023">
            <v>10</v>
          </cell>
          <cell r="Y1023" t="str">
            <v>Potenciar</v>
          </cell>
        </row>
        <row r="1024">
          <cell r="A1024" t="str">
            <v>2116</v>
          </cell>
          <cell r="B1024" t="str">
            <v>2116 - FARMACIA TINA C.A.</v>
          </cell>
          <cell r="C1024" t="str">
            <v>INDEPENDIENTE</v>
          </cell>
          <cell r="D1024">
            <v>3</v>
          </cell>
          <cell r="E1024"/>
          <cell r="F1024" t="str">
            <v>CARACAS</v>
          </cell>
          <cell r="G1024" t="str">
            <v>WILLIAM ARAQUE</v>
          </cell>
          <cell r="H1024"/>
          <cell r="I1024" t="str">
            <v>C3</v>
          </cell>
          <cell r="J1024" t="str">
            <v>Activo</v>
          </cell>
          <cell r="K1024">
            <v>26552.408710935008</v>
          </cell>
          <cell r="L1024">
            <v>2655.2408710935006</v>
          </cell>
          <cell r="M1024">
            <v>2420.0854710460967</v>
          </cell>
          <cell r="N1024" t="str">
            <v>Si Compra</v>
          </cell>
          <cell r="O1024">
            <v>10</v>
          </cell>
          <cell r="P1024">
            <v>28016.842979886911</v>
          </cell>
          <cell r="Q1024">
            <v>2801.684297988691</v>
          </cell>
          <cell r="R1024">
            <v>2359.9054412023202</v>
          </cell>
          <cell r="T1024"/>
          <cell r="U1024"/>
          <cell r="V1024">
            <v>0.94773021821183734</v>
          </cell>
          <cell r="W1024">
            <v>1.0138735875758744E-4</v>
          </cell>
          <cell r="X1024">
            <v>10</v>
          </cell>
          <cell r="Y1024" t="str">
            <v>Proteger</v>
          </cell>
        </row>
        <row r="1025">
          <cell r="A1025" t="str">
            <v>E225</v>
          </cell>
          <cell r="B1025" t="str">
            <v>E225 - FARMACIA LA NEBLINA, C.A</v>
          </cell>
          <cell r="C1025" t="str">
            <v>INDEPENDIENTE</v>
          </cell>
          <cell r="D1025">
            <v>3</v>
          </cell>
          <cell r="F1025" t="str">
            <v>ANDES</v>
          </cell>
          <cell r="G1025">
            <v>0</v>
          </cell>
          <cell r="H1025"/>
          <cell r="I1025" t="str">
            <v>5</v>
          </cell>
          <cell r="J1025" t="str">
            <v>Activo</v>
          </cell>
          <cell r="K1025">
            <v>26549.73532596515</v>
          </cell>
          <cell r="L1025">
            <v>3792.8193322807356</v>
          </cell>
          <cell r="M1025">
            <v>4207.7452927644199</v>
          </cell>
          <cell r="N1025" t="str">
            <v>Si Compra</v>
          </cell>
          <cell r="O1025">
            <v>7</v>
          </cell>
          <cell r="P1025">
            <v>0</v>
          </cell>
          <cell r="Q1025">
            <v>0</v>
          </cell>
          <cell r="R1025">
            <v>0</v>
          </cell>
          <cell r="V1025">
            <v>0</v>
          </cell>
          <cell r="W1025">
            <v>1.4482450105790005E-4</v>
          </cell>
          <cell r="X1025">
            <v>0</v>
          </cell>
          <cell r="Y1025" t="str">
            <v>Conquistar</v>
          </cell>
        </row>
        <row r="1026">
          <cell r="A1026" t="str">
            <v>D46</v>
          </cell>
          <cell r="B1026" t="str">
            <v>D46 - FARMACIA ORIANA, C.A</v>
          </cell>
          <cell r="C1026" t="e">
            <v>#N/A</v>
          </cell>
          <cell r="D1026">
            <v>3</v>
          </cell>
          <cell r="E1026"/>
          <cell r="F1026" t="str">
            <v>MARACAIBO</v>
          </cell>
          <cell r="G1026" t="str">
            <v>YENNIFER LUZARDO</v>
          </cell>
          <cell r="H1026"/>
          <cell r="I1026" t="str">
            <v>BE</v>
          </cell>
          <cell r="J1026" t="str">
            <v>Inactivo</v>
          </cell>
          <cell r="K1026">
            <v>26528.449235184766</v>
          </cell>
          <cell r="L1026">
            <v>4421.4082058641279</v>
          </cell>
          <cell r="M1026">
            <v>4649.9878506875766</v>
          </cell>
          <cell r="N1026" t="str">
            <v>Si Compra</v>
          </cell>
          <cell r="O1026">
            <v>6</v>
          </cell>
          <cell r="P1026">
            <v>27566.373732633307</v>
          </cell>
          <cell r="Q1026">
            <v>4594.3956221055514</v>
          </cell>
          <cell r="R1026">
            <v>5526.1702830138674</v>
          </cell>
          <cell r="T1026"/>
          <cell r="U1026"/>
          <cell r="V1026">
            <v>0.96234816709969229</v>
          </cell>
          <cell r="W1026">
            <v>1.6882645369837031E-4</v>
          </cell>
          <cell r="X1026">
            <v>5</v>
          </cell>
          <cell r="Y1026" t="str">
            <v>Proteger</v>
          </cell>
        </row>
        <row r="1027">
          <cell r="A1027" t="str">
            <v>2666</v>
          </cell>
          <cell r="B1027" t="str">
            <v>2666 - FARMACIA SAGRADO CORAZON DE JESUS, C.A.</v>
          </cell>
          <cell r="C1027" t="str">
            <v>INDEPENDIENTE</v>
          </cell>
          <cell r="D1027">
            <v>3</v>
          </cell>
          <cell r="E1027"/>
          <cell r="F1027" t="str">
            <v>CARACAS</v>
          </cell>
          <cell r="G1027" t="str">
            <v>MAIRUBI QUIJADA</v>
          </cell>
          <cell r="H1027"/>
          <cell r="I1027" t="str">
            <v>C1</v>
          </cell>
          <cell r="J1027" t="str">
            <v>Activo</v>
          </cell>
          <cell r="K1027">
            <v>26500.997678484553</v>
          </cell>
          <cell r="L1027">
            <v>2650.0997678484555</v>
          </cell>
          <cell r="M1027">
            <v>2744.3429108192831</v>
          </cell>
          <cell r="N1027" t="str">
            <v>Si Compra</v>
          </cell>
          <cell r="O1027">
            <v>10</v>
          </cell>
          <cell r="P1027">
            <v>71499.265857470396</v>
          </cell>
          <cell r="Q1027">
            <v>7149.92658574704</v>
          </cell>
          <cell r="R1027">
            <v>8467.3550791043326</v>
          </cell>
          <cell r="T1027"/>
          <cell r="U1027"/>
          <cell r="V1027">
            <v>0.37064712987840659</v>
          </cell>
          <cell r="W1027">
            <v>1.0119105156572784E-4</v>
          </cell>
          <cell r="X1027">
            <v>10</v>
          </cell>
          <cell r="Y1027" t="str">
            <v>Potenciar</v>
          </cell>
        </row>
        <row r="1028">
          <cell r="A1028" t="str">
            <v>9240</v>
          </cell>
          <cell r="B1028" t="str">
            <v>9240 - SIRIT,REINEL(FARMACIA SAN JOSE)</v>
          </cell>
          <cell r="C1028" t="str">
            <v>INDEPENDIENTE</v>
          </cell>
          <cell r="D1028">
            <v>1</v>
          </cell>
          <cell r="E1028"/>
          <cell r="F1028" t="str">
            <v>CENTRO OESTE</v>
          </cell>
          <cell r="G1028" t="str">
            <v>JOSE LUIS GARCIA</v>
          </cell>
          <cell r="H1028"/>
          <cell r="I1028" t="str">
            <v>Y</v>
          </cell>
          <cell r="J1028" t="str">
            <v>Activo</v>
          </cell>
          <cell r="K1028">
            <v>26494.718538468456</v>
          </cell>
          <cell r="L1028">
            <v>3311.839817308557</v>
          </cell>
          <cell r="M1028">
            <v>3877.4481999999998</v>
          </cell>
          <cell r="N1028" t="str">
            <v>Si Compra</v>
          </cell>
          <cell r="O1028">
            <v>7</v>
          </cell>
          <cell r="P1028">
            <v>34002.759646221319</v>
          </cell>
          <cell r="Q1028">
            <v>4250.3449557776648</v>
          </cell>
          <cell r="R1028">
            <v>3800.5799000000002</v>
          </cell>
          <cell r="T1028"/>
          <cell r="U1028"/>
          <cell r="V1028">
            <v>0.77919318355716982</v>
          </cell>
          <cell r="W1028">
            <v>1.2645884422788457E-4</v>
          </cell>
          <cell r="X1028">
            <v>7</v>
          </cell>
          <cell r="Y1028" t="str">
            <v>Proteger</v>
          </cell>
        </row>
        <row r="1029">
          <cell r="A1029" t="str">
            <v>C556</v>
          </cell>
          <cell r="B1029" t="str">
            <v>C556 - FARMACIA HIGH MEDS, C.A.</v>
          </cell>
          <cell r="C1029" t="str">
            <v>INDEPENDIENTE</v>
          </cell>
          <cell r="D1029">
            <v>2</v>
          </cell>
          <cell r="E1029"/>
          <cell r="F1029" t="str">
            <v>ESTE</v>
          </cell>
          <cell r="G1029" t="str">
            <v>CARMEN ALCALA</v>
          </cell>
          <cell r="H1029"/>
          <cell r="I1029" t="str">
            <v>A6</v>
          </cell>
          <cell r="J1029" t="str">
            <v>Activo</v>
          </cell>
          <cell r="K1029">
            <v>26467.795104729899</v>
          </cell>
          <cell r="L1029">
            <v>2940.8661227477664</v>
          </cell>
          <cell r="M1029">
            <v>2569.96495</v>
          </cell>
          <cell r="N1029" t="str">
            <v>Si Compra</v>
          </cell>
          <cell r="O1029">
            <v>9</v>
          </cell>
          <cell r="P1029">
            <v>78308.495526185841</v>
          </cell>
          <cell r="Q1029">
            <v>8700.9439473539824</v>
          </cell>
          <cell r="R1029">
            <v>6373.4654</v>
          </cell>
          <cell r="T1029"/>
          <cell r="U1029"/>
          <cell r="V1029">
            <v>0.3379939165844304</v>
          </cell>
          <cell r="W1029">
            <v>1.1229363478510701E-4</v>
          </cell>
          <cell r="X1029">
            <v>9</v>
          </cell>
          <cell r="Y1029" t="str">
            <v>Potenciar</v>
          </cell>
        </row>
        <row r="1030">
          <cell r="A1030" t="str">
            <v>C933</v>
          </cell>
          <cell r="B1030" t="str">
            <v>C933 - FARMACIA MEDIMAX, C.A.</v>
          </cell>
          <cell r="C1030" t="str">
            <v>INDEPENDIENTE</v>
          </cell>
          <cell r="D1030">
            <v>3</v>
          </cell>
          <cell r="E1030"/>
          <cell r="F1030" t="str">
            <v>ANDES</v>
          </cell>
          <cell r="G1030" t="str">
            <v>MARIA GABRIELA FORTUL</v>
          </cell>
          <cell r="H1030"/>
          <cell r="I1030" t="str">
            <v>3</v>
          </cell>
          <cell r="J1030" t="str">
            <v>Inactivo</v>
          </cell>
          <cell r="K1030">
            <v>26453.725277549074</v>
          </cell>
          <cell r="L1030">
            <v>2645.3725277549074</v>
          </cell>
          <cell r="M1030">
            <v>2600.5658005138666</v>
          </cell>
          <cell r="N1030" t="str">
            <v>Si Compra</v>
          </cell>
          <cell r="O1030">
            <v>10</v>
          </cell>
          <cell r="P1030">
            <v>46681.257800572996</v>
          </cell>
          <cell r="Q1030">
            <v>4668.1257800572994</v>
          </cell>
          <cell r="R1030">
            <v>3496.0677471656613</v>
          </cell>
          <cell r="T1030"/>
          <cell r="U1030"/>
          <cell r="V1030">
            <v>0.56668835682538887</v>
          </cell>
          <cell r="W1030">
            <v>1.0101054726854126E-4</v>
          </cell>
          <cell r="X1030">
            <v>10</v>
          </cell>
          <cell r="Y1030" t="str">
            <v>Potenciar</v>
          </cell>
        </row>
        <row r="1031">
          <cell r="A1031" t="str">
            <v>B787</v>
          </cell>
          <cell r="B1031" t="str">
            <v>B787 - FARMACIA NUEVO DIVINO NIÑO, C.A.</v>
          </cell>
          <cell r="C1031" t="str">
            <v>INDEPENDIENTE</v>
          </cell>
          <cell r="D1031">
            <v>3</v>
          </cell>
          <cell r="E1031"/>
          <cell r="F1031" t="str">
            <v>MARACAIBO</v>
          </cell>
          <cell r="G1031">
            <v>0</v>
          </cell>
          <cell r="H1031"/>
          <cell r="I1031" t="str">
            <v>Q</v>
          </cell>
          <cell r="J1031" t="str">
            <v>Inactivo</v>
          </cell>
          <cell r="K1031">
            <v>26384.902678494451</v>
          </cell>
          <cell r="L1031">
            <v>3769.271811213493</v>
          </cell>
          <cell r="M1031">
            <v>2582.6343666666667</v>
          </cell>
          <cell r="N1031" t="str">
            <v>Si Compra</v>
          </cell>
          <cell r="O1031">
            <v>7</v>
          </cell>
          <cell r="P1031">
            <v>0</v>
          </cell>
          <cell r="Q1031">
            <v>0</v>
          </cell>
          <cell r="R1031">
            <v>0</v>
          </cell>
          <cell r="T1031"/>
          <cell r="U1031"/>
          <cell r="V1031">
            <v>0</v>
          </cell>
          <cell r="W1031">
            <v>1.4392536569421717E-4</v>
          </cell>
          <cell r="X1031">
            <v>0</v>
          </cell>
          <cell r="Y1031" t="str">
            <v>Conquistar</v>
          </cell>
        </row>
        <row r="1032">
          <cell r="A1032" t="str">
            <v>540</v>
          </cell>
          <cell r="B1032" t="str">
            <v>540 - FARMACIA LA VENCEDORA C.A.</v>
          </cell>
          <cell r="C1032" t="str">
            <v>INDEPENDIENTE</v>
          </cell>
          <cell r="D1032">
            <v>3</v>
          </cell>
          <cell r="E1032"/>
          <cell r="F1032" t="str">
            <v>ANDES</v>
          </cell>
          <cell r="G1032" t="str">
            <v>LUCIA DUGARTE</v>
          </cell>
          <cell r="H1032"/>
          <cell r="I1032" t="str">
            <v>6</v>
          </cell>
          <cell r="J1032" t="str">
            <v>Activo</v>
          </cell>
          <cell r="K1032">
            <v>26370.088377100117</v>
          </cell>
          <cell r="L1032">
            <v>2637.0088377100119</v>
          </cell>
          <cell r="M1032">
            <v>2448.1997759887286</v>
          </cell>
          <cell r="N1032" t="str">
            <v>Si Compra</v>
          </cell>
          <cell r="O1032">
            <v>10</v>
          </cell>
          <cell r="P1032">
            <v>93616.385586911492</v>
          </cell>
          <cell r="Q1032">
            <v>9361.6385586911492</v>
          </cell>
          <cell r="R1032">
            <v>8930.7829632265384</v>
          </cell>
          <cell r="T1032"/>
          <cell r="U1032"/>
          <cell r="V1032">
            <v>0.28168240219676799</v>
          </cell>
          <cell r="W1032">
            <v>1.0069118925761629E-4</v>
          </cell>
          <cell r="X1032">
            <v>10</v>
          </cell>
          <cell r="Y1032" t="str">
            <v>Potenciar</v>
          </cell>
        </row>
        <row r="1033">
          <cell r="A1033" t="str">
            <v>9540</v>
          </cell>
          <cell r="B1033" t="str">
            <v>9540 - FARMAS+, C.A.,</v>
          </cell>
          <cell r="C1033" t="str">
            <v>INDEPENDIENTE</v>
          </cell>
          <cell r="D1033">
            <v>3</v>
          </cell>
          <cell r="E1033"/>
          <cell r="F1033" t="str">
            <v>ESTE</v>
          </cell>
          <cell r="G1033" t="str">
            <v>IRAIDA RODRIGUEZ</v>
          </cell>
          <cell r="H1033"/>
          <cell r="I1033" t="str">
            <v>AB</v>
          </cell>
          <cell r="J1033" t="str">
            <v>Activo</v>
          </cell>
          <cell r="K1033">
            <v>26335.202419404326</v>
          </cell>
          <cell r="L1033">
            <v>2633.5202419404327</v>
          </cell>
          <cell r="M1033">
            <v>3290.4117000000001</v>
          </cell>
          <cell r="N1033" t="str">
            <v>Si Compra</v>
          </cell>
          <cell r="O1033">
            <v>10</v>
          </cell>
          <cell r="P1033">
            <v>134565.40522911376</v>
          </cell>
          <cell r="Q1033">
            <v>13456.540522911377</v>
          </cell>
          <cell r="R1033">
            <v>12578.328266666666</v>
          </cell>
          <cell r="T1033"/>
          <cell r="U1033"/>
          <cell r="V1033">
            <v>0.19570559293873102</v>
          </cell>
          <cell r="W1033">
            <v>1.0055798118798273E-4</v>
          </cell>
          <cell r="X1033">
            <v>10</v>
          </cell>
          <cell r="Y1033" t="str">
            <v>Conquistar</v>
          </cell>
        </row>
        <row r="1034">
          <cell r="A1034" t="str">
            <v>314</v>
          </cell>
          <cell r="B1034" t="str">
            <v>SANTO NIÑO</v>
          </cell>
          <cell r="C1034" t="e">
            <v>#N/A</v>
          </cell>
          <cell r="D1034">
            <v>5</v>
          </cell>
          <cell r="E1034"/>
          <cell r="F1034" t="str">
            <v>ANDES</v>
          </cell>
          <cell r="H1034"/>
          <cell r="I1034"/>
          <cell r="J1034" t="str">
            <v>Activo</v>
          </cell>
          <cell r="K1034">
            <v>26334.340995914667</v>
          </cell>
          <cell r="L1034">
            <v>2633.4340995914667</v>
          </cell>
          <cell r="M1034">
            <v>3036.0036227213445</v>
          </cell>
          <cell r="N1034" t="str">
            <v>Si Compra</v>
          </cell>
          <cell r="O1034">
            <v>10</v>
          </cell>
          <cell r="P1034">
            <v>161079.52894035535</v>
          </cell>
          <cell r="Q1034">
            <v>16107.952894035534</v>
          </cell>
          <cell r="R1034">
            <v>13936.38965971313</v>
          </cell>
          <cell r="S1034"/>
          <cell r="T1034"/>
          <cell r="U1034"/>
          <cell r="V1034">
            <v>0.16348657814653636</v>
          </cell>
          <cell r="W1034">
            <v>1.0055469194016574E-4</v>
          </cell>
          <cell r="X1034">
            <v>10</v>
          </cell>
          <cell r="Y1034" t="str">
            <v>Conquistar</v>
          </cell>
        </row>
        <row r="1035">
          <cell r="A1035" t="str">
            <v>1258</v>
          </cell>
          <cell r="B1035" t="str">
            <v>COMPAÑIA ANONIMA</v>
          </cell>
          <cell r="C1035" t="str">
            <v>GRUPO</v>
          </cell>
          <cell r="D1035">
            <v>7</v>
          </cell>
          <cell r="E1035"/>
          <cell r="F1035" t="str">
            <v>ESTE</v>
          </cell>
          <cell r="H1035"/>
          <cell r="I1035"/>
          <cell r="J1035" t="str">
            <v>Inactivo</v>
          </cell>
          <cell r="K1035">
            <v>26279.32635776564</v>
          </cell>
          <cell r="L1035">
            <v>2627.932635776564</v>
          </cell>
          <cell r="M1035">
            <v>2453.8540098927833</v>
          </cell>
          <cell r="N1035" t="str">
            <v>Si Compra</v>
          </cell>
          <cell r="O1035">
            <v>10</v>
          </cell>
          <cell r="P1035">
            <v>156951.2165925976</v>
          </cell>
          <cell r="Q1035">
            <v>15695.121659259759</v>
          </cell>
          <cell r="R1035">
            <v>5546.4749286345204</v>
          </cell>
          <cell r="S1035"/>
          <cell r="T1035"/>
          <cell r="U1035"/>
          <cell r="V1035">
            <v>0.16743627050677523</v>
          </cell>
          <cell r="W1035">
            <v>1.0034462478898344E-4</v>
          </cell>
          <cell r="X1035">
            <v>10</v>
          </cell>
          <cell r="Y1035" t="str">
            <v>Conquistar</v>
          </cell>
        </row>
        <row r="1036">
          <cell r="A1036" t="str">
            <v>G157</v>
          </cell>
          <cell r="B1036" t="str">
            <v>G157 - FARMACIA PRINCIPAL,C.A.</v>
          </cell>
          <cell r="C1036" t="str">
            <v>INDEPENDIENTE</v>
          </cell>
          <cell r="D1036">
            <v>3</v>
          </cell>
          <cell r="F1036" t="str">
            <v>ANDES</v>
          </cell>
          <cell r="G1036" t="str">
            <v>MILAGRO BRICEñO</v>
          </cell>
          <cell r="H1036"/>
          <cell r="I1036" t="str">
            <v>G</v>
          </cell>
          <cell r="J1036" t="str">
            <v>Activo</v>
          </cell>
          <cell r="K1036">
            <v>26218.322324874232</v>
          </cell>
          <cell r="L1036">
            <v>2621.8322324874234</v>
          </cell>
          <cell r="M1036">
            <v>1608.137374442711</v>
          </cell>
          <cell r="N1036" t="str">
            <v>Si Compra</v>
          </cell>
          <cell r="O1036">
            <v>10</v>
          </cell>
          <cell r="P1036">
            <v>47696.380410268262</v>
          </cell>
          <cell r="Q1036">
            <v>4769.6380410268266</v>
          </cell>
          <cell r="R1036">
            <v>3403.1141547360753</v>
          </cell>
          <cell r="V1036">
            <v>0.54969207515021101</v>
          </cell>
          <cell r="W1036">
            <v>1.0011168781382029E-4</v>
          </cell>
          <cell r="X1036">
            <v>10</v>
          </cell>
          <cell r="Y1036" t="str">
            <v>Potenciar</v>
          </cell>
        </row>
        <row r="1037">
          <cell r="A1037" t="str">
            <v>0707</v>
          </cell>
          <cell r="B1037" t="str">
            <v>0707 - FARMACIA CONTINENTAL 2881, C.A</v>
          </cell>
          <cell r="C1037" t="str">
            <v>INDEPENDIENTE</v>
          </cell>
          <cell r="D1037">
            <v>3</v>
          </cell>
          <cell r="E1037"/>
          <cell r="F1037" t="str">
            <v>ESTE</v>
          </cell>
          <cell r="G1037" t="str">
            <v>IRAIDA RODRIGUEZ</v>
          </cell>
          <cell r="H1037"/>
          <cell r="I1037" t="str">
            <v>AB</v>
          </cell>
          <cell r="J1037" t="str">
            <v>Activo</v>
          </cell>
          <cell r="K1037">
            <v>26213.496295829354</v>
          </cell>
          <cell r="L1037">
            <v>2621.3496295829354</v>
          </cell>
          <cell r="M1037">
            <v>1941.5652893312481</v>
          </cell>
          <cell r="N1037" t="str">
            <v>Si Compra</v>
          </cell>
          <cell r="O1037">
            <v>10</v>
          </cell>
          <cell r="P1037">
            <v>63480.808204916408</v>
          </cell>
          <cell r="Q1037">
            <v>6348.0808204916411</v>
          </cell>
          <cell r="R1037">
            <v>6036.462780648937</v>
          </cell>
          <cell r="T1037"/>
          <cell r="U1037"/>
          <cell r="V1037">
            <v>0.4129357681019441</v>
          </cell>
          <cell r="W1037">
            <v>1.0009326016970429E-4</v>
          </cell>
          <cell r="X1037">
            <v>10</v>
          </cell>
          <cell r="Y1037" t="str">
            <v>Potenciar</v>
          </cell>
        </row>
        <row r="1038">
          <cell r="A1038" t="str">
            <v>C821</v>
          </cell>
          <cell r="B1038" t="str">
            <v>C821 - FARMACIA FARMA-AMIGA, C.A.</v>
          </cell>
          <cell r="C1038" t="str">
            <v>INDEPENDIENTE</v>
          </cell>
          <cell r="D1038">
            <v>3</v>
          </cell>
          <cell r="E1038"/>
          <cell r="F1038" t="str">
            <v>ANDES</v>
          </cell>
          <cell r="G1038" t="str">
            <v>LUCIA DUGARTE</v>
          </cell>
          <cell r="H1038"/>
          <cell r="I1038" t="str">
            <v>6</v>
          </cell>
          <cell r="J1038" t="str">
            <v>Suspendido</v>
          </cell>
          <cell r="K1038">
            <v>26199.918300000005</v>
          </cell>
          <cell r="L1038">
            <v>2911.102033333334</v>
          </cell>
          <cell r="M1038">
            <v>2386.2084</v>
          </cell>
          <cell r="N1038" t="str">
            <v>Si Compra</v>
          </cell>
          <cell r="O1038">
            <v>9</v>
          </cell>
          <cell r="P1038">
            <v>44278.302199999998</v>
          </cell>
          <cell r="Q1038">
            <v>4919.8113555555556</v>
          </cell>
          <cell r="R1038">
            <v>2721.9486333333334</v>
          </cell>
          <cell r="T1038"/>
          <cell r="U1038"/>
          <cell r="V1038">
            <v>0.59171009271444031</v>
          </cell>
          <cell r="W1038">
            <v>1.1115712681537574E-4</v>
          </cell>
          <cell r="X1038">
            <v>9</v>
          </cell>
          <cell r="Y1038" t="str">
            <v>Potenciar</v>
          </cell>
        </row>
        <row r="1039">
          <cell r="A1039" t="str">
            <v>E167</v>
          </cell>
          <cell r="B1039" t="str">
            <v>E167 - SERVI FARMACIA NIRGUA, C.A</v>
          </cell>
          <cell r="C1039" t="str">
            <v>INDEPENDIENTE</v>
          </cell>
          <cell r="D1039">
            <v>3</v>
          </cell>
          <cell r="F1039" t="str">
            <v>CENTRO OESTE</v>
          </cell>
          <cell r="G1039">
            <v>0</v>
          </cell>
          <cell r="H1039"/>
          <cell r="I1039" t="str">
            <v>Y1</v>
          </cell>
          <cell r="J1039" t="str">
            <v>Activo</v>
          </cell>
          <cell r="K1039">
            <v>26183.918800000003</v>
          </cell>
          <cell r="L1039">
            <v>3272.9898500000004</v>
          </cell>
          <cell r="M1039">
            <v>3416.9016333333334</v>
          </cell>
          <cell r="N1039" t="str">
            <v>Si Compra</v>
          </cell>
          <cell r="O1039">
            <v>8</v>
          </cell>
          <cell r="P1039">
            <v>0</v>
          </cell>
          <cell r="Q1039">
            <v>0</v>
          </cell>
          <cell r="R1039">
            <v>0</v>
          </cell>
          <cell r="V1039">
            <v>0</v>
          </cell>
          <cell r="W1039">
            <v>1.2497540232394495E-4</v>
          </cell>
          <cell r="X1039">
            <v>0</v>
          </cell>
          <cell r="Y1039" t="str">
            <v>Conquistar</v>
          </cell>
        </row>
        <row r="1040">
          <cell r="A1040" t="str">
            <v>B659</v>
          </cell>
          <cell r="B1040" t="str">
            <v>B659 - FARMACIA OLID&amp;BRED C.A.</v>
          </cell>
          <cell r="C1040" t="str">
            <v>INDEPENDIENTE</v>
          </cell>
          <cell r="D1040">
            <v>3</v>
          </cell>
          <cell r="E1040"/>
          <cell r="F1040" t="str">
            <v>ANDES</v>
          </cell>
          <cell r="G1040" t="str">
            <v>JESUS CONTRERAS</v>
          </cell>
          <cell r="H1040"/>
          <cell r="I1040" t="str">
            <v>G2</v>
          </cell>
          <cell r="J1040" t="str">
            <v>Activo</v>
          </cell>
          <cell r="K1040">
            <v>26164.66976918072</v>
          </cell>
          <cell r="L1040">
            <v>2616.4669769180719</v>
          </cell>
          <cell r="M1040">
            <v>1725.3120551646518</v>
          </cell>
          <cell r="N1040" t="str">
            <v>Si Compra</v>
          </cell>
          <cell r="O1040">
            <v>10</v>
          </cell>
          <cell r="P1040">
            <v>66398.502371633571</v>
          </cell>
          <cell r="Q1040">
            <v>6639.8502371633567</v>
          </cell>
          <cell r="R1040">
            <v>2995.0070106888329</v>
          </cell>
          <cell r="T1040"/>
          <cell r="U1040"/>
          <cell r="V1040">
            <v>0.39405511923652448</v>
          </cell>
          <cell r="W1040">
            <v>9.9906821619887389E-5</v>
          </cell>
          <cell r="X1040">
            <v>10</v>
          </cell>
          <cell r="Y1040" t="str">
            <v>Potenciar</v>
          </cell>
        </row>
        <row r="1041">
          <cell r="A1041" t="str">
            <v>E564</v>
          </cell>
          <cell r="B1041" t="str">
            <v>ALUCEVA</v>
          </cell>
          <cell r="C1041" t="e">
            <v>#N/A</v>
          </cell>
          <cell r="D1041">
            <v>4</v>
          </cell>
          <cell r="E1041"/>
          <cell r="F1041" t="str">
            <v>CENTRO OESTE</v>
          </cell>
          <cell r="H1041"/>
          <cell r="I1041"/>
          <cell r="J1041" t="str">
            <v>Activo</v>
          </cell>
          <cell r="K1041">
            <v>26087.120499999997</v>
          </cell>
          <cell r="L1041">
            <v>5217.4240999999993</v>
          </cell>
          <cell r="M1041">
            <v>6241.8427999999994</v>
          </cell>
          <cell r="N1041" t="str">
            <v>Si Compra</v>
          </cell>
          <cell r="O1041">
            <v>5</v>
          </cell>
          <cell r="P1041">
            <v>0</v>
          </cell>
          <cell r="Q1041">
            <v>0</v>
          </cell>
          <cell r="R1041">
            <v>0</v>
          </cell>
          <cell r="S1041"/>
          <cell r="T1041"/>
          <cell r="U1041"/>
          <cell r="V1041">
            <v>0</v>
          </cell>
          <cell r="W1041">
            <v>1.9922141707593327E-4</v>
          </cell>
          <cell r="X1041">
            <v>0</v>
          </cell>
          <cell r="Y1041" t="str">
            <v>Conquistar</v>
          </cell>
        </row>
        <row r="1042">
          <cell r="A1042" t="str">
            <v>1236</v>
          </cell>
          <cell r="B1042" t="str">
            <v>1236 - FARMACIA LA PILDORA, C.A.</v>
          </cell>
          <cell r="C1042" t="str">
            <v>INDEPENDIENTE</v>
          </cell>
          <cell r="D1042">
            <v>3</v>
          </cell>
          <cell r="E1042"/>
          <cell r="F1042" t="str">
            <v>ESTE</v>
          </cell>
          <cell r="G1042" t="str">
            <v>JOSE RAMIREZ</v>
          </cell>
          <cell r="H1042"/>
          <cell r="I1042" t="str">
            <v>A4</v>
          </cell>
          <cell r="J1042" t="str">
            <v>Activo</v>
          </cell>
          <cell r="K1042">
            <v>26073.805989669807</v>
          </cell>
          <cell r="L1042">
            <v>2607.3805989669809</v>
          </cell>
          <cell r="M1042">
            <v>2295.8358708651299</v>
          </cell>
          <cell r="N1042" t="str">
            <v>Si Compra</v>
          </cell>
          <cell r="O1042">
            <v>10</v>
          </cell>
          <cell r="P1042">
            <v>37177.514772087983</v>
          </cell>
          <cell r="Q1042">
            <v>3717.7514772087984</v>
          </cell>
          <cell r="R1042">
            <v>3392.8361032263197</v>
          </cell>
          <cell r="T1042"/>
          <cell r="U1042"/>
          <cell r="V1042">
            <v>0.70133267781646924</v>
          </cell>
          <cell r="W1042">
            <v>9.9559868591571403E-5</v>
          </cell>
          <cell r="X1042">
            <v>10</v>
          </cell>
          <cell r="Y1042" t="str">
            <v>Proteger</v>
          </cell>
        </row>
        <row r="1043">
          <cell r="A1043" t="str">
            <v>E322</v>
          </cell>
          <cell r="B1043" t="str">
            <v>E322 - SURTISALUD MEDICAL, C.A</v>
          </cell>
          <cell r="C1043" t="e">
            <v>#N/A</v>
          </cell>
          <cell r="D1043">
            <v>3</v>
          </cell>
          <cell r="F1043" t="str">
            <v>ANDES</v>
          </cell>
          <cell r="G1043">
            <v>0</v>
          </cell>
          <cell r="H1043"/>
          <cell r="I1043" t="str">
            <v>G2</v>
          </cell>
          <cell r="J1043" t="str">
            <v>Activo</v>
          </cell>
          <cell r="K1043">
            <v>26060.532720859228</v>
          </cell>
          <cell r="L1043">
            <v>4343.4221201432047</v>
          </cell>
          <cell r="M1043">
            <v>4085.1943724242992</v>
          </cell>
          <cell r="N1043" t="str">
            <v>Si Compra</v>
          </cell>
          <cell r="O1043">
            <v>6</v>
          </cell>
          <cell r="P1043">
            <v>0</v>
          </cell>
          <cell r="Q1043">
            <v>0</v>
          </cell>
          <cell r="R1043">
            <v>0</v>
          </cell>
          <cell r="V1043">
            <v>0</v>
          </cell>
          <cell r="W1043">
            <v>1.6584864353539591E-4</v>
          </cell>
          <cell r="X1043">
            <v>0</v>
          </cell>
          <cell r="Y1043" t="str">
            <v>Conquistar</v>
          </cell>
        </row>
        <row r="1044">
          <cell r="A1044" t="str">
            <v>+214</v>
          </cell>
          <cell r="B1044" t="str">
            <v>+214 - FARMACIA MIRANDA, C.A</v>
          </cell>
          <cell r="C1044" t="e">
            <v>#N/A</v>
          </cell>
          <cell r="D1044">
            <v>0</v>
          </cell>
          <cell r="E1044"/>
          <cell r="F1044" t="str">
            <v>CENTRO ESTE</v>
          </cell>
          <cell r="G1044" t="str">
            <v>MARCOS CRUCES</v>
          </cell>
          <cell r="H1044"/>
          <cell r="I1044" t="str">
            <v>AV</v>
          </cell>
          <cell r="J1044" t="str">
            <v>Activo</v>
          </cell>
          <cell r="K1044">
            <v>26030.580545308436</v>
          </cell>
          <cell r="L1044">
            <v>6507.645136327109</v>
          </cell>
          <cell r="M1044">
            <v>0</v>
          </cell>
          <cell r="N1044" t="str">
            <v>No Compra</v>
          </cell>
          <cell r="O1044">
            <v>4</v>
          </cell>
          <cell r="P1044">
            <v>32454.425806805368</v>
          </cell>
          <cell r="Q1044">
            <v>8113.6064517013419</v>
          </cell>
          <cell r="R1044">
            <v>0</v>
          </cell>
          <cell r="T1044"/>
          <cell r="U1044"/>
          <cell r="V1044">
            <v>0.8020656627932109</v>
          </cell>
          <cell r="W1044">
            <v>2.4848704284675493E-4</v>
          </cell>
          <cell r="X1044">
            <v>4</v>
          </cell>
          <cell r="Y1044" t="str">
            <v>Proteger</v>
          </cell>
        </row>
        <row r="1045">
          <cell r="A1045" t="str">
            <v>B571</v>
          </cell>
          <cell r="B1045" t="str">
            <v>B571 - FARMACIA GUATIRE CENTER, C.A.</v>
          </cell>
          <cell r="C1045" t="str">
            <v>INDEPENDIENTE</v>
          </cell>
          <cell r="D1045">
            <v>2</v>
          </cell>
          <cell r="E1045"/>
          <cell r="F1045" t="str">
            <v>CARACAS</v>
          </cell>
          <cell r="G1045" t="str">
            <v>MAIRUBI QUIJADA</v>
          </cell>
          <cell r="H1045"/>
          <cell r="I1045" t="str">
            <v>C7</v>
          </cell>
          <cell r="J1045" t="str">
            <v>Inactivo</v>
          </cell>
          <cell r="K1045">
            <v>26022.339771287665</v>
          </cell>
          <cell r="L1045">
            <v>2891.3710856986295</v>
          </cell>
          <cell r="M1045">
            <v>2159.64615</v>
          </cell>
          <cell r="N1045" t="str">
            <v>Si Compra</v>
          </cell>
          <cell r="O1045">
            <v>9</v>
          </cell>
          <cell r="P1045">
            <v>48325.966751703192</v>
          </cell>
          <cell r="Q1045">
            <v>5369.5518613003551</v>
          </cell>
          <cell r="R1045">
            <v>4745.2926499999994</v>
          </cell>
          <cell r="T1045"/>
          <cell r="U1045"/>
          <cell r="V1045">
            <v>0.53847530676394662</v>
          </cell>
          <cell r="W1045">
            <v>1.104037229761063E-4</v>
          </cell>
          <cell r="X1045">
            <v>9</v>
          </cell>
          <cell r="Y1045" t="str">
            <v>Potenciar</v>
          </cell>
        </row>
        <row r="1046">
          <cell r="A1046" t="str">
            <v>3719</v>
          </cell>
          <cell r="B1046" t="str">
            <v>3719 - MI NUEVA FARMACIA,C.A</v>
          </cell>
          <cell r="C1046" t="str">
            <v>INDEPENDIENTE</v>
          </cell>
          <cell r="D1046">
            <v>3</v>
          </cell>
          <cell r="E1046"/>
          <cell r="F1046" t="str">
            <v>CENTRO ESTE</v>
          </cell>
          <cell r="G1046" t="str">
            <v>KARLA SALAZAR</v>
          </cell>
          <cell r="H1046"/>
          <cell r="I1046" t="str">
            <v xml:space="preserve">H </v>
          </cell>
          <cell r="J1046" t="str">
            <v>Activo</v>
          </cell>
          <cell r="K1046">
            <v>26009.240755802308</v>
          </cell>
          <cell r="L1046">
            <v>2600.9240755802307</v>
          </cell>
          <cell r="M1046">
            <v>1411.6328145554792</v>
          </cell>
          <cell r="N1046" t="str">
            <v>Si Compra</v>
          </cell>
          <cell r="O1046">
            <v>10</v>
          </cell>
          <cell r="P1046">
            <v>87685.743762605081</v>
          </cell>
          <cell r="Q1046">
            <v>8768.5743762605089</v>
          </cell>
          <cell r="R1046">
            <v>5165.2686222669681</v>
          </cell>
          <cell r="T1046"/>
          <cell r="U1046"/>
          <cell r="V1046">
            <v>0.29661880757056819</v>
          </cell>
          <cell r="W1046">
            <v>9.9313333574705079E-5</v>
          </cell>
          <cell r="X1046">
            <v>10</v>
          </cell>
          <cell r="Y1046" t="str">
            <v>Potenciar</v>
          </cell>
        </row>
        <row r="1047">
          <cell r="A1047" t="str">
            <v>4399</v>
          </cell>
          <cell r="B1047" t="str">
            <v>4399 - FARMATOTAL, C.A</v>
          </cell>
          <cell r="C1047" t="str">
            <v>INDEPENDIENTE</v>
          </cell>
          <cell r="D1047">
            <v>3</v>
          </cell>
          <cell r="E1047"/>
          <cell r="F1047" t="str">
            <v>CENTRO ESTE</v>
          </cell>
          <cell r="G1047">
            <v>0</v>
          </cell>
          <cell r="H1047"/>
          <cell r="I1047" t="str">
            <v>+</v>
          </cell>
          <cell r="J1047" t="str">
            <v>Activo</v>
          </cell>
          <cell r="K1047">
            <v>25992.07155941756</v>
          </cell>
          <cell r="L1047">
            <v>2599.2071559417559</v>
          </cell>
          <cell r="M1047">
            <v>3012.4337020541152</v>
          </cell>
          <cell r="N1047" t="str">
            <v>Si Compra</v>
          </cell>
          <cell r="O1047">
            <v>10</v>
          </cell>
          <cell r="P1047">
            <v>0</v>
          </cell>
          <cell r="Q1047">
            <v>0</v>
          </cell>
          <cell r="R1047">
            <v>0</v>
          </cell>
          <cell r="T1047"/>
          <cell r="U1047"/>
          <cell r="V1047">
            <v>0</v>
          </cell>
          <cell r="W1047">
            <v>9.9247774947147381E-5</v>
          </cell>
          <cell r="X1047">
            <v>0</v>
          </cell>
          <cell r="Y1047" t="str">
            <v>Conquistar</v>
          </cell>
        </row>
        <row r="1048">
          <cell r="A1048" t="str">
            <v>5402</v>
          </cell>
          <cell r="B1048" t="str">
            <v>MAXI FARMACIA</v>
          </cell>
          <cell r="C1048" t="str">
            <v>GRUPO</v>
          </cell>
          <cell r="D1048">
            <v>9</v>
          </cell>
          <cell r="E1048"/>
          <cell r="F1048" t="str">
            <v>CENTRO ESTE</v>
          </cell>
          <cell r="H1048"/>
          <cell r="I1048"/>
          <cell r="J1048" t="str">
            <v>Activo</v>
          </cell>
          <cell r="K1048">
            <v>25945.655892390459</v>
          </cell>
          <cell r="L1048">
            <v>2594.5655892390459</v>
          </cell>
          <cell r="M1048">
            <v>2160.6066287018766</v>
          </cell>
          <cell r="N1048" t="str">
            <v>Si Compra</v>
          </cell>
          <cell r="O1048">
            <v>10</v>
          </cell>
          <cell r="P1048">
            <v>2787069.6150593539</v>
          </cell>
          <cell r="Q1048">
            <v>278706.96150593541</v>
          </cell>
          <cell r="R1048">
            <v>257620.19362667389</v>
          </cell>
          <cell r="S1048"/>
          <cell r="T1048"/>
          <cell r="U1048"/>
          <cell r="V1048">
            <v>9.3092959545030655E-3</v>
          </cell>
          <cell r="W1048">
            <v>9.907054199114398E-5</v>
          </cell>
          <cell r="X1048">
            <v>10</v>
          </cell>
          <cell r="Y1048" t="str">
            <v>Conquistar</v>
          </cell>
        </row>
        <row r="1049">
          <cell r="A1049" t="str">
            <v>A977</v>
          </cell>
          <cell r="B1049" t="str">
            <v>A977 - FARMACIA CITY SALUD CCS, C.A.</v>
          </cell>
          <cell r="C1049" t="str">
            <v>INDEPENDIENTE</v>
          </cell>
          <cell r="D1049">
            <v>3</v>
          </cell>
          <cell r="E1049"/>
          <cell r="F1049" t="str">
            <v>CARACAS</v>
          </cell>
          <cell r="G1049" t="str">
            <v>MAIRUBI QUIJADA</v>
          </cell>
          <cell r="H1049" t="str">
            <v>VICTOR</v>
          </cell>
          <cell r="I1049" t="str">
            <v>C2</v>
          </cell>
          <cell r="J1049" t="str">
            <v>Activo</v>
          </cell>
          <cell r="K1049">
            <v>25941.488330061227</v>
          </cell>
          <cell r="L1049">
            <v>2882.3875922290254</v>
          </cell>
          <cell r="M1049">
            <v>2350.1365999999998</v>
          </cell>
          <cell r="N1049" t="str">
            <v>Si Compra</v>
          </cell>
          <cell r="O1049">
            <v>9</v>
          </cell>
          <cell r="P1049">
            <v>36112.305342521933</v>
          </cell>
          <cell r="Q1049">
            <v>4012.4783713913257</v>
          </cell>
          <cell r="R1049">
            <v>3162.236166666667</v>
          </cell>
          <cell r="T1049"/>
          <cell r="U1049"/>
          <cell r="V1049">
            <v>0.71835592006681848</v>
          </cell>
          <cell r="W1049">
            <v>1.1006069847493398E-4</v>
          </cell>
          <cell r="X1049">
            <v>9</v>
          </cell>
          <cell r="Y1049" t="str">
            <v>Proteger</v>
          </cell>
        </row>
        <row r="1050">
          <cell r="A1050" t="str">
            <v>D744</v>
          </cell>
          <cell r="B1050" t="str">
            <v>D744 - GERSON DAVID PIÑA</v>
          </cell>
          <cell r="C1050" t="str">
            <v>INDEPENDIENTE</v>
          </cell>
          <cell r="D1050">
            <v>3</v>
          </cell>
          <cell r="E1050"/>
          <cell r="F1050" t="str">
            <v>MARACAIBO</v>
          </cell>
          <cell r="G1050">
            <v>0</v>
          </cell>
          <cell r="H1050"/>
          <cell r="I1050" t="str">
            <v>BZ</v>
          </cell>
          <cell r="J1050" t="str">
            <v>Activo</v>
          </cell>
          <cell r="K1050">
            <v>25900.428621884457</v>
          </cell>
          <cell r="L1050">
            <v>2590.0428621884457</v>
          </cell>
          <cell r="M1050">
            <v>3225.8714553974555</v>
          </cell>
          <cell r="N1050" t="str">
            <v>Si Compra</v>
          </cell>
          <cell r="O1050">
            <v>10</v>
          </cell>
          <cell r="P1050">
            <v>0</v>
          </cell>
          <cell r="Q1050">
            <v>0</v>
          </cell>
          <cell r="R1050">
            <v>0</v>
          </cell>
          <cell r="T1050"/>
          <cell r="U1050"/>
          <cell r="V1050">
            <v>0</v>
          </cell>
          <cell r="W1050">
            <v>9.8897846792364146E-5</v>
          </cell>
          <cell r="X1050">
            <v>0</v>
          </cell>
          <cell r="Y1050" t="str">
            <v>Conquistar</v>
          </cell>
        </row>
        <row r="1051">
          <cell r="A1051" t="str">
            <v>3720</v>
          </cell>
          <cell r="B1051" t="str">
            <v>3720 - FARMACIA CATEDRAL,C.A</v>
          </cell>
          <cell r="C1051" t="str">
            <v>INDEPENDIENTE</v>
          </cell>
          <cell r="D1051">
            <v>3</v>
          </cell>
          <cell r="E1051"/>
          <cell r="F1051" t="str">
            <v>CENTRO ESTE</v>
          </cell>
          <cell r="G1051" t="str">
            <v>KARLA SALAZAR</v>
          </cell>
          <cell r="H1051"/>
          <cell r="I1051" t="str">
            <v>H</v>
          </cell>
          <cell r="J1051" t="str">
            <v>Inactivo</v>
          </cell>
          <cell r="K1051">
            <v>25832.14419766518</v>
          </cell>
          <cell r="L1051">
            <v>2583.2144197665179</v>
          </cell>
          <cell r="M1051">
            <v>2871.817766666667</v>
          </cell>
          <cell r="N1051" t="str">
            <v>Si Compra</v>
          </cell>
          <cell r="O1051">
            <v>10</v>
          </cell>
          <cell r="P1051">
            <v>29274.918762497233</v>
          </cell>
          <cell r="Q1051">
            <v>2927.4918762497232</v>
          </cell>
          <cell r="R1051">
            <v>2864.2358999999997</v>
          </cell>
          <cell r="T1051"/>
          <cell r="U1051"/>
          <cell r="V1051">
            <v>0.88239849296379824</v>
          </cell>
          <cell r="W1051">
            <v>9.8637110469296618E-5</v>
          </cell>
          <cell r="X1051">
            <v>10</v>
          </cell>
          <cell r="Y1051" t="str">
            <v>Proteger</v>
          </cell>
        </row>
        <row r="1052">
          <cell r="A1052" t="str">
            <v>H130</v>
          </cell>
          <cell r="B1052" t="str">
            <v>H130 - FARMACIA ANTOCAR,C.A.</v>
          </cell>
          <cell r="C1052" t="str">
            <v>INDEPENDIENTE</v>
          </cell>
          <cell r="D1052">
            <v>3</v>
          </cell>
          <cell r="F1052" t="str">
            <v>CENTRO ESTE</v>
          </cell>
          <cell r="G1052" t="str">
            <v>KARLA SALAZAR</v>
          </cell>
          <cell r="H1052"/>
          <cell r="I1052" t="str">
            <v>H</v>
          </cell>
          <cell r="J1052" t="str">
            <v>Activo</v>
          </cell>
          <cell r="K1052">
            <v>25807.565272215714</v>
          </cell>
          <cell r="L1052">
            <v>2580.7565272215716</v>
          </cell>
          <cell r="M1052">
            <v>2308.3234361433083</v>
          </cell>
          <cell r="N1052" t="str">
            <v>Si Compra</v>
          </cell>
          <cell r="O1052">
            <v>10</v>
          </cell>
          <cell r="P1052">
            <v>52875.216587910327</v>
          </cell>
          <cell r="Q1052">
            <v>5287.5216587910327</v>
          </cell>
          <cell r="R1052">
            <v>4600.9711941953228</v>
          </cell>
          <cell r="V1052">
            <v>0.4880843415422812</v>
          </cell>
          <cell r="W1052">
            <v>9.854325863236724E-5</v>
          </cell>
          <cell r="X1052">
            <v>10</v>
          </cell>
          <cell r="Y1052" t="str">
            <v>Potenciar</v>
          </cell>
        </row>
        <row r="1053">
          <cell r="A1053" t="str">
            <v>8900</v>
          </cell>
          <cell r="B1053" t="str">
            <v>8900 - INVERSIONES FARMACIA SUPRAFARMA, C.A.</v>
          </cell>
          <cell r="C1053" t="str">
            <v>INDEPENDIENTE</v>
          </cell>
          <cell r="D1053">
            <v>3</v>
          </cell>
          <cell r="E1053"/>
          <cell r="F1053" t="str">
            <v>CARACAS</v>
          </cell>
          <cell r="G1053" t="str">
            <v>JHON TORRES</v>
          </cell>
          <cell r="H1053"/>
          <cell r="I1053" t="str">
            <v>CF</v>
          </cell>
          <cell r="J1053" t="str">
            <v>Inactivo</v>
          </cell>
          <cell r="K1053">
            <v>25806.07407666729</v>
          </cell>
          <cell r="L1053">
            <v>2580.6074076667292</v>
          </cell>
          <cell r="M1053">
            <v>2201.6817545185554</v>
          </cell>
          <cell r="N1053" t="str">
            <v>Si Compra</v>
          </cell>
          <cell r="O1053">
            <v>10</v>
          </cell>
          <cell r="P1053">
            <v>25112.677069602363</v>
          </cell>
          <cell r="Q1053">
            <v>2511.2677069602364</v>
          </cell>
          <cell r="R1053">
            <v>1948.2379987224404</v>
          </cell>
          <cell r="T1053"/>
          <cell r="U1053"/>
          <cell r="V1053">
            <v>1.0276114332670749</v>
          </cell>
          <cell r="W1053">
            <v>9.8537564671427898E-5</v>
          </cell>
          <cell r="X1053">
            <v>9</v>
          </cell>
          <cell r="Y1053" t="str">
            <v>Proteger</v>
          </cell>
        </row>
        <row r="1054">
          <cell r="A1054" t="str">
            <v>D971</v>
          </cell>
          <cell r="B1054" t="str">
            <v>D971 - FARMACIA RENACIMIENTO, C.A.</v>
          </cell>
          <cell r="C1054" t="str">
            <v>INDEPENDIENTE</v>
          </cell>
          <cell r="D1054">
            <v>3</v>
          </cell>
          <cell r="F1054" t="str">
            <v>CENTRO OESTE</v>
          </cell>
          <cell r="G1054" t="str">
            <v>LUIS PLACERES</v>
          </cell>
          <cell r="H1054"/>
          <cell r="I1054" t="str">
            <v>E</v>
          </cell>
          <cell r="J1054" t="str">
            <v>Activo</v>
          </cell>
          <cell r="K1054">
            <v>25784.51394450344</v>
          </cell>
          <cell r="L1054">
            <v>2578.4513944503442</v>
          </cell>
          <cell r="M1054">
            <v>3078.7856422454402</v>
          </cell>
          <cell r="N1054" t="str">
            <v>Si Compra</v>
          </cell>
          <cell r="O1054">
            <v>10</v>
          </cell>
          <cell r="P1054">
            <v>67197.90762861837</v>
          </cell>
          <cell r="Q1054">
            <v>6719.7907628618368</v>
          </cell>
          <cell r="R1054">
            <v>8922.6902284636799</v>
          </cell>
          <cell r="V1054">
            <v>0.38371007155470249</v>
          </cell>
          <cell r="W1054">
            <v>9.8455239754003101E-5</v>
          </cell>
          <cell r="X1054">
            <v>10</v>
          </cell>
          <cell r="Y1054" t="str">
            <v>Potenciar</v>
          </cell>
        </row>
        <row r="1055">
          <cell r="A1055" t="str">
            <v>D567</v>
          </cell>
          <cell r="B1055" t="str">
            <v>D567 - FARMACIA RIO XV, C.A</v>
          </cell>
          <cell r="C1055" t="str">
            <v>INDEPENDIENTE</v>
          </cell>
          <cell r="D1055">
            <v>2</v>
          </cell>
          <cell r="E1055"/>
          <cell r="F1055" t="str">
            <v>CARACAS</v>
          </cell>
          <cell r="G1055" t="str">
            <v>JHON TORRES</v>
          </cell>
          <cell r="H1055" t="str">
            <v>VICTOR</v>
          </cell>
          <cell r="I1055" t="str">
            <v>C4</v>
          </cell>
          <cell r="J1055" t="str">
            <v>Inactivo</v>
          </cell>
          <cell r="K1055">
            <v>25780.853133000252</v>
          </cell>
          <cell r="L1055">
            <v>4296.8088555000422</v>
          </cell>
          <cell r="M1055">
            <v>2397.0880499999998</v>
          </cell>
          <cell r="N1055" t="str">
            <v>Si Compra</v>
          </cell>
          <cell r="O1055">
            <v>6</v>
          </cell>
          <cell r="P1055">
            <v>48899.498473483007</v>
          </cell>
          <cell r="Q1055">
            <v>8149.9164122471675</v>
          </cell>
          <cell r="R1055">
            <v>9115.1677</v>
          </cell>
          <cell r="T1055"/>
          <cell r="U1055"/>
          <cell r="V1055">
            <v>0.52722121775912645</v>
          </cell>
          <cell r="W1055">
            <v>1.640687689346813E-4</v>
          </cell>
          <cell r="X1055">
            <v>6</v>
          </cell>
          <cell r="Y1055" t="str">
            <v>Potenciar</v>
          </cell>
        </row>
        <row r="1056">
          <cell r="A1056" t="str">
            <v>7709</v>
          </cell>
          <cell r="B1056" t="str">
            <v>7709 - FARMACIA VALLES DE AROA +,C.A</v>
          </cell>
          <cell r="C1056" t="str">
            <v>INDEPENDIENTE</v>
          </cell>
          <cell r="D1056">
            <v>3</v>
          </cell>
          <cell r="E1056"/>
          <cell r="F1056" t="str">
            <v>CENTRO OESTE</v>
          </cell>
          <cell r="G1056" t="str">
            <v>JOSE LUIS GARCIA</v>
          </cell>
          <cell r="H1056"/>
          <cell r="I1056" t="str">
            <v>Y</v>
          </cell>
          <cell r="J1056" t="str">
            <v>Activo</v>
          </cell>
          <cell r="K1056">
            <v>25760.52307255445</v>
          </cell>
          <cell r="L1056">
            <v>2576.0523072554452</v>
          </cell>
          <cell r="M1056">
            <v>1939.6571333333334</v>
          </cell>
          <cell r="N1056" t="str">
            <v>Si Compra</v>
          </cell>
          <cell r="O1056">
            <v>10</v>
          </cell>
          <cell r="P1056">
            <v>28927.086166125089</v>
          </cell>
          <cell r="Q1056">
            <v>2892.7086166125091</v>
          </cell>
          <cell r="R1056">
            <v>1835.3160666666665</v>
          </cell>
          <cell r="T1056"/>
          <cell r="U1056"/>
          <cell r="V1056">
            <v>0.89053293942620371</v>
          </cell>
          <cell r="W1056">
            <v>9.8363633332616623E-5</v>
          </cell>
          <cell r="X1056">
            <v>10</v>
          </cell>
          <cell r="Y1056" t="str">
            <v>Proteger</v>
          </cell>
        </row>
        <row r="1057">
          <cell r="A1057" t="str">
            <v>D337</v>
          </cell>
          <cell r="B1057" t="str">
            <v>D337 - DOCTOR FARMACIA,C.A.</v>
          </cell>
          <cell r="C1057" t="str">
            <v>INDEPENDIENTE</v>
          </cell>
          <cell r="D1057">
            <v>1</v>
          </cell>
          <cell r="E1057"/>
          <cell r="F1057" t="str">
            <v>ANDES</v>
          </cell>
          <cell r="G1057" t="str">
            <v>ANYERSSON TORRES</v>
          </cell>
          <cell r="H1057"/>
          <cell r="I1057" t="str">
            <v>4</v>
          </cell>
          <cell r="J1057" t="str">
            <v>Suspendido</v>
          </cell>
          <cell r="K1057">
            <v>25758.532188639107</v>
          </cell>
          <cell r="L1057">
            <v>3219.8165235798883</v>
          </cell>
          <cell r="M1057">
            <v>6624.4620000000004</v>
          </cell>
          <cell r="N1057" t="str">
            <v>Si Compra</v>
          </cell>
          <cell r="O1057">
            <v>8</v>
          </cell>
          <cell r="P1057">
            <v>31120.112766421305</v>
          </cell>
          <cell r="Q1057">
            <v>3890.0140958026632</v>
          </cell>
          <cell r="R1057">
            <v>6346.7013999999999</v>
          </cell>
          <cell r="T1057"/>
          <cell r="U1057"/>
          <cell r="V1057">
            <v>0.8277133306673824</v>
          </cell>
          <cell r="W1057">
            <v>1.2294503921045838E-4</v>
          </cell>
          <cell r="X1057">
            <v>7</v>
          </cell>
          <cell r="Y1057" t="str">
            <v>Proteger</v>
          </cell>
        </row>
        <row r="1058">
          <cell r="A1058" t="str">
            <v>B790</v>
          </cell>
          <cell r="B1058" t="str">
            <v>B790 - FAMILY FARMA, C.A.</v>
          </cell>
          <cell r="C1058" t="str">
            <v>INDEPENDIENTE</v>
          </cell>
          <cell r="D1058">
            <v>3</v>
          </cell>
          <cell r="E1058"/>
          <cell r="F1058" t="str">
            <v>ANDES</v>
          </cell>
          <cell r="G1058">
            <v>0</v>
          </cell>
          <cell r="H1058"/>
          <cell r="I1058" t="str">
            <v>5</v>
          </cell>
          <cell r="J1058" t="str">
            <v>Activo</v>
          </cell>
          <cell r="K1058">
            <v>25740.78804174389</v>
          </cell>
          <cell r="L1058">
            <v>3217.5985052179863</v>
          </cell>
          <cell r="M1058">
            <v>3534.9089600611319</v>
          </cell>
          <cell r="N1058" t="str">
            <v>Si Compra</v>
          </cell>
          <cell r="O1058">
            <v>8</v>
          </cell>
          <cell r="P1058">
            <v>0</v>
          </cell>
          <cell r="Q1058">
            <v>0</v>
          </cell>
          <cell r="R1058">
            <v>0</v>
          </cell>
          <cell r="T1058"/>
          <cell r="U1058"/>
          <cell r="V1058">
            <v>0</v>
          </cell>
          <cell r="W1058">
            <v>1.2286034669693269E-4</v>
          </cell>
          <cell r="X1058">
            <v>0</v>
          </cell>
          <cell r="Y1058" t="str">
            <v>Conquistar</v>
          </cell>
        </row>
        <row r="1059">
          <cell r="A1059" t="str">
            <v>A141</v>
          </cell>
          <cell r="B1059" t="str">
            <v>A141 - FARMACIA 701, C.A.</v>
          </cell>
          <cell r="C1059" t="str">
            <v>INDEPENDIENTE</v>
          </cell>
          <cell r="D1059">
            <v>3</v>
          </cell>
          <cell r="E1059"/>
          <cell r="F1059" t="str">
            <v>ESTE</v>
          </cell>
          <cell r="G1059" t="str">
            <v>IRAIDA RODRIGUEZ</v>
          </cell>
          <cell r="H1059" t="str">
            <v>HECTOR</v>
          </cell>
          <cell r="I1059" t="str">
            <v>AB</v>
          </cell>
          <cell r="J1059" t="str">
            <v>Activo</v>
          </cell>
          <cell r="K1059">
            <v>25662.032407114348</v>
          </cell>
          <cell r="L1059">
            <v>2566.2032407114348</v>
          </cell>
          <cell r="M1059">
            <v>2650.9498384331009</v>
          </cell>
          <cell r="N1059" t="str">
            <v>Si Compra</v>
          </cell>
          <cell r="O1059">
            <v>10</v>
          </cell>
          <cell r="P1059">
            <v>279937.81173593196</v>
          </cell>
          <cell r="Q1059">
            <v>27993.781173593197</v>
          </cell>
          <cell r="R1059">
            <v>34500.348702845942</v>
          </cell>
          <cell r="T1059"/>
          <cell r="U1059"/>
          <cell r="V1059">
            <v>9.1670475838832338E-2</v>
          </cell>
          <cell r="W1059">
            <v>9.7987557906090936E-5</v>
          </cell>
          <cell r="X1059">
            <v>10</v>
          </cell>
          <cell r="Y1059" t="str">
            <v>Conquistar</v>
          </cell>
        </row>
        <row r="1060">
          <cell r="A1060" t="str">
            <v>-105</v>
          </cell>
          <cell r="B1060" t="str">
            <v>-105 - MEDICIN EXPRESS DE VENEZUELA, C.A</v>
          </cell>
          <cell r="C1060" t="str">
            <v>INDEPENDIENTE</v>
          </cell>
          <cell r="D1060">
            <v>3</v>
          </cell>
          <cell r="E1060"/>
          <cell r="F1060" t="str">
            <v>CARACAS</v>
          </cell>
          <cell r="G1060" t="str">
            <v>RAMON SERRANO</v>
          </cell>
          <cell r="H1060"/>
          <cell r="I1060" t="str">
            <v>CB</v>
          </cell>
          <cell r="J1060" t="str">
            <v>Inactivo</v>
          </cell>
          <cell r="K1060">
            <v>25643.973026537642</v>
          </cell>
          <cell r="L1060">
            <v>2564.3973026537642</v>
          </cell>
          <cell r="M1060">
            <v>2919.6927792747897</v>
          </cell>
          <cell r="N1060" t="str">
            <v>Si Compra</v>
          </cell>
          <cell r="O1060">
            <v>10</v>
          </cell>
          <cell r="P1060">
            <v>36210.573798768513</v>
          </cell>
          <cell r="Q1060">
            <v>3621.0573798768514</v>
          </cell>
          <cell r="R1060">
            <v>3942.0347390983134</v>
          </cell>
          <cell r="T1060"/>
          <cell r="U1060"/>
          <cell r="V1060">
            <v>0.70819018690639379</v>
          </cell>
          <cell r="W1060">
            <v>9.7918600211239088E-5</v>
          </cell>
          <cell r="X1060">
            <v>10</v>
          </cell>
          <cell r="Y1060" t="str">
            <v>Proteger</v>
          </cell>
        </row>
        <row r="1061">
          <cell r="A1061" t="str">
            <v>C851</v>
          </cell>
          <cell r="B1061" t="str">
            <v>C851 - CARLOS  EDUARDO ARELLANO ARELLANO</v>
          </cell>
          <cell r="C1061" t="str">
            <v>INDEPENDIENTE</v>
          </cell>
          <cell r="D1061">
            <v>3</v>
          </cell>
          <cell r="E1061"/>
          <cell r="F1061" t="str">
            <v>ANDES</v>
          </cell>
          <cell r="G1061">
            <v>0</v>
          </cell>
          <cell r="H1061"/>
          <cell r="I1061" t="str">
            <v>G2</v>
          </cell>
          <cell r="J1061" t="str">
            <v>Activo</v>
          </cell>
          <cell r="K1061">
            <v>25578.342584738984</v>
          </cell>
          <cell r="L1061">
            <v>2557.8342584738984</v>
          </cell>
          <cell r="M1061">
            <v>1619.5555999999999</v>
          </cell>
          <cell r="N1061" t="str">
            <v>Si Compra</v>
          </cell>
          <cell r="O1061">
            <v>10</v>
          </cell>
          <cell r="P1061">
            <v>0</v>
          </cell>
          <cell r="Q1061">
            <v>0</v>
          </cell>
          <cell r="R1061">
            <v>0</v>
          </cell>
          <cell r="T1061"/>
          <cell r="U1061"/>
          <cell r="V1061">
            <v>0</v>
          </cell>
          <cell r="W1061">
            <v>9.7667997818797042E-5</v>
          </cell>
          <cell r="X1061">
            <v>0</v>
          </cell>
          <cell r="Y1061" t="str">
            <v>Conquistar</v>
          </cell>
        </row>
        <row r="1062">
          <cell r="A1062" t="str">
            <v>C654</v>
          </cell>
          <cell r="B1062" t="str">
            <v>C654 - FARMACIA LA REINA 2021, C.A</v>
          </cell>
          <cell r="C1062" t="str">
            <v>INDEPENDIENTE</v>
          </cell>
          <cell r="D1062">
            <v>2</v>
          </cell>
          <cell r="E1062"/>
          <cell r="F1062" t="str">
            <v>CENTRO ESTE</v>
          </cell>
          <cell r="G1062" t="str">
            <v>KARLA SALAZAR</v>
          </cell>
          <cell r="H1062" t="str">
            <v>HECTOR</v>
          </cell>
          <cell r="I1062" t="str">
            <v>O</v>
          </cell>
          <cell r="J1062" t="str">
            <v>Activo</v>
          </cell>
          <cell r="K1062">
            <v>25561.472775615424</v>
          </cell>
          <cell r="L1062">
            <v>3651.6389679450608</v>
          </cell>
          <cell r="M1062">
            <v>3397.190687807712</v>
          </cell>
          <cell r="N1062" t="str">
            <v>Si Compra</v>
          </cell>
          <cell r="O1062">
            <v>7</v>
          </cell>
          <cell r="P1062">
            <v>184382.52930000002</v>
          </cell>
          <cell r="Q1062">
            <v>26340.361328571431</v>
          </cell>
          <cell r="R1062">
            <v>0</v>
          </cell>
          <cell r="T1062"/>
          <cell r="U1062"/>
          <cell r="V1062">
            <v>0.13863283507747945</v>
          </cell>
          <cell r="W1062">
            <v>1.3943368909644771E-4</v>
          </cell>
          <cell r="X1062">
            <v>5</v>
          </cell>
          <cell r="Y1062" t="str">
            <v>Conquistar</v>
          </cell>
        </row>
        <row r="1063">
          <cell r="A1063" t="str">
            <v>D704</v>
          </cell>
          <cell r="B1063" t="str">
            <v>D704 - FARMACENTER EXPRESS C.A.</v>
          </cell>
          <cell r="C1063" t="str">
            <v>INDEPENDIENTE</v>
          </cell>
          <cell r="D1063">
            <v>3</v>
          </cell>
          <cell r="E1063"/>
          <cell r="F1063" t="str">
            <v>ESTE</v>
          </cell>
          <cell r="G1063" t="str">
            <v>ADOLFO GONZALEZ</v>
          </cell>
          <cell r="H1063"/>
          <cell r="I1063" t="str">
            <v>A8</v>
          </cell>
          <cell r="J1063" t="str">
            <v>Inactivo</v>
          </cell>
          <cell r="K1063">
            <v>25534.716056414312</v>
          </cell>
          <cell r="L1063">
            <v>2837.1906729349234</v>
          </cell>
          <cell r="M1063">
            <v>2613.9158521381032</v>
          </cell>
          <cell r="N1063" t="str">
            <v>Si Compra</v>
          </cell>
          <cell r="O1063">
            <v>9</v>
          </cell>
          <cell r="P1063">
            <v>59078.30360638925</v>
          </cell>
          <cell r="Q1063">
            <v>6564.2559562654724</v>
          </cell>
          <cell r="R1063">
            <v>3465.712468796421</v>
          </cell>
          <cell r="T1063"/>
          <cell r="U1063"/>
          <cell r="V1063">
            <v>0.43221816636002325</v>
          </cell>
          <cell r="W1063">
            <v>1.08334905413711E-4</v>
          </cell>
          <cell r="X1063">
            <v>9</v>
          </cell>
          <cell r="Y1063" t="str">
            <v>Potenciar</v>
          </cell>
        </row>
        <row r="1064">
          <cell r="A1064" t="str">
            <v>L85</v>
          </cell>
          <cell r="B1064" t="str">
            <v>L85 - IRENE DEL CARMEN ALBURJAS GUEDEZ (FARMACIA LA RECTA)</v>
          </cell>
          <cell r="C1064" t="str">
            <v>INDEPENDIENTE</v>
          </cell>
          <cell r="D1064">
            <v>3</v>
          </cell>
          <cell r="F1064" t="str">
            <v>CENTRO OESTE</v>
          </cell>
          <cell r="G1064" t="str">
            <v>SORALI SILVA</v>
          </cell>
          <cell r="H1064"/>
          <cell r="I1064" t="str">
            <v>L</v>
          </cell>
          <cell r="J1064" t="str">
            <v>Activo</v>
          </cell>
          <cell r="K1064">
            <v>25502.9935</v>
          </cell>
          <cell r="L1064">
            <v>2550.2993500000002</v>
          </cell>
          <cell r="M1064">
            <v>2694.1219666666666</v>
          </cell>
          <cell r="N1064" t="str">
            <v>Si Compra</v>
          </cell>
          <cell r="O1064">
            <v>10</v>
          </cell>
          <cell r="P1064">
            <v>26141.864999999998</v>
          </cell>
          <cell r="Q1064">
            <v>2614.1864999999998</v>
          </cell>
          <cell r="R1064">
            <v>2503.6479999999997</v>
          </cell>
          <cell r="V1064">
            <v>0.97556136488349265</v>
          </cell>
          <cell r="W1064">
            <v>9.7380285891428999E-5</v>
          </cell>
          <cell r="X1064">
            <v>10</v>
          </cell>
          <cell r="Y1064" t="str">
            <v>Proteger</v>
          </cell>
        </row>
        <row r="1065">
          <cell r="A1065" t="str">
            <v>0724</v>
          </cell>
          <cell r="B1065" t="str">
            <v>0724 - FARMACIA EL SOL, C.A.</v>
          </cell>
          <cell r="C1065" t="str">
            <v>INDEPENDIENTE</v>
          </cell>
          <cell r="D1065">
            <v>3</v>
          </cell>
          <cell r="E1065"/>
          <cell r="F1065" t="str">
            <v>ESTE</v>
          </cell>
          <cell r="G1065" t="str">
            <v>IRAIDA RODRIGUEZ</v>
          </cell>
          <cell r="H1065"/>
          <cell r="I1065" t="str">
            <v>AB</v>
          </cell>
          <cell r="J1065" t="str">
            <v>Activo</v>
          </cell>
          <cell r="K1065">
            <v>25499.603252075809</v>
          </cell>
          <cell r="L1065">
            <v>2549.9603252075808</v>
          </cell>
          <cell r="M1065">
            <v>2316.9703999999997</v>
          </cell>
          <cell r="N1065" t="str">
            <v>Si Compra</v>
          </cell>
          <cell r="O1065">
            <v>10</v>
          </cell>
          <cell r="P1065">
            <v>34182.250908470895</v>
          </cell>
          <cell r="Q1065">
            <v>3418.2250908470896</v>
          </cell>
          <cell r="R1065">
            <v>3264.4528333333333</v>
          </cell>
          <cell r="T1065"/>
          <cell r="U1065"/>
          <cell r="V1065">
            <v>0.74598958741352539</v>
          </cell>
          <cell r="W1065">
            <v>9.7367340614549998E-5</v>
          </cell>
          <cell r="X1065">
            <v>10</v>
          </cell>
          <cell r="Y1065" t="str">
            <v>Proteger</v>
          </cell>
        </row>
        <row r="1066">
          <cell r="A1066" t="str">
            <v>1284</v>
          </cell>
          <cell r="B1066" t="str">
            <v>1284 - FARMACIA CHICA LINDA, C.A.</v>
          </cell>
          <cell r="C1066" t="str">
            <v>INDEPENDIENTE</v>
          </cell>
          <cell r="D1066">
            <v>3</v>
          </cell>
          <cell r="E1066"/>
          <cell r="F1066" t="str">
            <v>ESTE</v>
          </cell>
          <cell r="G1066" t="str">
            <v>JOSE RAMIREZ</v>
          </cell>
          <cell r="H1066"/>
          <cell r="I1066" t="str">
            <v>A4</v>
          </cell>
          <cell r="J1066" t="str">
            <v>Inactivo</v>
          </cell>
          <cell r="K1066">
            <v>25460.375729254552</v>
          </cell>
          <cell r="L1066">
            <v>2828.9306365838393</v>
          </cell>
          <cell r="M1066">
            <v>2353.9718023911378</v>
          </cell>
          <cell r="N1066" t="str">
            <v>Si Compra</v>
          </cell>
          <cell r="O1066">
            <v>9</v>
          </cell>
          <cell r="P1066">
            <v>28686.0354617304</v>
          </cell>
          <cell r="Q1066">
            <v>3187.3372735255998</v>
          </cell>
          <cell r="R1066">
            <v>2343.6193662798246</v>
          </cell>
          <cell r="T1066"/>
          <cell r="U1066"/>
          <cell r="V1066">
            <v>0.88755296155235019</v>
          </cell>
          <cell r="W1066">
            <v>1.0801950530142921E-4</v>
          </cell>
          <cell r="X1066">
            <v>9</v>
          </cell>
          <cell r="Y1066" t="str">
            <v>Proteger</v>
          </cell>
        </row>
        <row r="1067">
          <cell r="A1067">
            <v>0</v>
          </cell>
          <cell r="B1067" t="str">
            <v>S347 - CLEOMINDA ALVAREZ GUERRERO (FARMACIA SAGRADO ROSTRO F.P)</v>
          </cell>
          <cell r="C1067" t="e">
            <v>#N/A</v>
          </cell>
          <cell r="D1067">
            <v>0</v>
          </cell>
          <cell r="E1067"/>
          <cell r="F1067" t="str">
            <v>ANDES</v>
          </cell>
          <cell r="G1067" t="str">
            <v>ANYERSSON TORRES</v>
          </cell>
          <cell r="H1067"/>
          <cell r="I1067" t="str">
            <v>4</v>
          </cell>
          <cell r="J1067" t="str">
            <v>Activo</v>
          </cell>
          <cell r="K1067">
            <v>25449.206342301066</v>
          </cell>
          <cell r="L1067">
            <v>2544.9206342301068</v>
          </cell>
          <cell r="M1067">
            <v>1972.858247433687</v>
          </cell>
          <cell r="N1067" t="str">
            <v>Si Compra</v>
          </cell>
          <cell r="O1067">
            <v>10</v>
          </cell>
          <cell r="P1067">
            <v>33499.865280928781</v>
          </cell>
          <cell r="Q1067">
            <v>3349.986528092878</v>
          </cell>
          <cell r="R1067">
            <v>2611.6874269762588</v>
          </cell>
          <cell r="T1067"/>
          <cell r="U1067"/>
          <cell r="V1067">
            <v>0.75968085629255078</v>
          </cell>
          <cell r="W1067">
            <v>9.7174905735016788E-5</v>
          </cell>
          <cell r="X1067">
            <v>10</v>
          </cell>
          <cell r="Y1067" t="str">
            <v>Proteger</v>
          </cell>
        </row>
        <row r="1068">
          <cell r="A1068" t="str">
            <v>4578</v>
          </cell>
          <cell r="B1068" t="str">
            <v>LA PALMA</v>
          </cell>
          <cell r="C1068" t="str">
            <v>GRUPO</v>
          </cell>
          <cell r="D1068">
            <v>6</v>
          </cell>
          <cell r="E1068"/>
          <cell r="F1068" t="str">
            <v>CENTRO OESTE</v>
          </cell>
          <cell r="H1068"/>
          <cell r="I1068"/>
          <cell r="J1068" t="str">
            <v>Inactivo</v>
          </cell>
          <cell r="K1068">
            <v>25422.392812523511</v>
          </cell>
          <cell r="L1068">
            <v>3177.7991015654388</v>
          </cell>
          <cell r="M1068">
            <v>4794.078833333333</v>
          </cell>
          <cell r="N1068" t="str">
            <v>Si Compra</v>
          </cell>
          <cell r="O1068">
            <v>8</v>
          </cell>
          <cell r="P1068">
            <v>33244.354503700044</v>
          </cell>
          <cell r="Q1068">
            <v>4155.5443129625055</v>
          </cell>
          <cell r="R1068">
            <v>3196.274633333333</v>
          </cell>
          <cell r="S1068"/>
          <cell r="T1068"/>
          <cell r="U1068"/>
          <cell r="V1068">
            <v>0.76471308262863213</v>
          </cell>
          <cell r="W1068">
            <v>1.2134065164388198E-4</v>
          </cell>
          <cell r="X1068">
            <v>8</v>
          </cell>
          <cell r="Y1068" t="str">
            <v>Proteger</v>
          </cell>
        </row>
        <row r="1069">
          <cell r="A1069" t="str">
            <v>D936</v>
          </cell>
          <cell r="B1069" t="str">
            <v>D936 - FARMACIA LA FLOR DE ORO, C.A</v>
          </cell>
          <cell r="C1069" t="str">
            <v>INDEPENDIENTE</v>
          </cell>
          <cell r="D1069">
            <v>3</v>
          </cell>
          <cell r="E1069"/>
          <cell r="F1069" t="str">
            <v>CARACAS</v>
          </cell>
          <cell r="G1069" t="str">
            <v>RAMON SERRANO</v>
          </cell>
          <cell r="H1069" t="str">
            <v>VICTOR</v>
          </cell>
          <cell r="I1069" t="str">
            <v>C6</v>
          </cell>
          <cell r="J1069" t="str">
            <v>Activo</v>
          </cell>
          <cell r="K1069">
            <v>25304.674457084107</v>
          </cell>
          <cell r="L1069">
            <v>2530.4674457084107</v>
          </cell>
          <cell r="M1069">
            <v>2812.0912666666663</v>
          </cell>
          <cell r="N1069" t="str">
            <v>Si Compra</v>
          </cell>
          <cell r="O1069">
            <v>10</v>
          </cell>
          <cell r="P1069">
            <v>56482.802925731638</v>
          </cell>
          <cell r="Q1069">
            <v>5648.2802925731639</v>
          </cell>
          <cell r="R1069">
            <v>5688.7724333333326</v>
          </cell>
          <cell r="T1069"/>
          <cell r="U1069"/>
          <cell r="V1069">
            <v>0.44800670551631139</v>
          </cell>
          <cell r="W1069">
            <v>9.6623027136810078E-5</v>
          </cell>
          <cell r="X1069">
            <v>10</v>
          </cell>
          <cell r="Y1069" t="str">
            <v>Potenciar</v>
          </cell>
        </row>
        <row r="1070">
          <cell r="A1070" t="str">
            <v>A978</v>
          </cell>
          <cell r="B1070" t="str">
            <v>A978 - FARMASAM, C.A.</v>
          </cell>
          <cell r="C1070" t="str">
            <v>INDEPENDIENTE</v>
          </cell>
          <cell r="D1070">
            <v>2</v>
          </cell>
          <cell r="E1070"/>
          <cell r="F1070" t="str">
            <v>CARACAS</v>
          </cell>
          <cell r="G1070" t="str">
            <v>WILLIAM ARAQUE</v>
          </cell>
          <cell r="H1070"/>
          <cell r="I1070" t="str">
            <v>C3</v>
          </cell>
          <cell r="J1070" t="str">
            <v>Inactivo</v>
          </cell>
          <cell r="K1070">
            <v>25245.612983192965</v>
          </cell>
          <cell r="L1070">
            <v>2805.0681092436625</v>
          </cell>
          <cell r="M1070">
            <v>1756.5508500000001</v>
          </cell>
          <cell r="N1070" t="str">
            <v>Si Compra</v>
          </cell>
          <cell r="O1070">
            <v>9</v>
          </cell>
          <cell r="P1070">
            <v>90637.686960376392</v>
          </cell>
          <cell r="Q1070">
            <v>10070.854106708488</v>
          </cell>
          <cell r="R1070">
            <v>9200.5508999999984</v>
          </cell>
          <cell r="T1070"/>
          <cell r="U1070"/>
          <cell r="V1070">
            <v>0.27853328819202389</v>
          </cell>
          <cell r="W1070">
            <v>1.0710834178077095E-4</v>
          </cell>
          <cell r="X1070">
            <v>9</v>
          </cell>
          <cell r="Y1070" t="str">
            <v>Potenciar</v>
          </cell>
        </row>
        <row r="1071">
          <cell r="A1071" t="str">
            <v>Q195</v>
          </cell>
          <cell r="B1071" t="str">
            <v>Q195 - NUEVA FARMACIA PROFESIONAL,C.A.</v>
          </cell>
          <cell r="C1071" t="str">
            <v>INDEPENDIENTE</v>
          </cell>
          <cell r="D1071">
            <v>3</v>
          </cell>
          <cell r="F1071" t="str">
            <v>MARACAIBO</v>
          </cell>
          <cell r="G1071" t="str">
            <v>ADRIANA ALBORNOZ</v>
          </cell>
          <cell r="H1071"/>
          <cell r="I1071" t="str">
            <v>Q</v>
          </cell>
          <cell r="J1071" t="str">
            <v>Activo</v>
          </cell>
          <cell r="K1071">
            <v>25213.225150318271</v>
          </cell>
          <cell r="L1071">
            <v>2521.3225150318272</v>
          </cell>
          <cell r="M1071">
            <v>2247.563848986727</v>
          </cell>
          <cell r="N1071" t="str">
            <v>Si Compra</v>
          </cell>
          <cell r="O1071">
            <v>10</v>
          </cell>
          <cell r="P1071">
            <v>55034.600513108584</v>
          </cell>
          <cell r="Q1071">
            <v>5503.460051310858</v>
          </cell>
          <cell r="R1071">
            <v>5183.5347905053777</v>
          </cell>
          <cell r="V1071">
            <v>0.45813406321197486</v>
          </cell>
          <cell r="W1071">
            <v>9.6273838339133049E-5</v>
          </cell>
          <cell r="X1071">
            <v>10</v>
          </cell>
          <cell r="Y1071" t="str">
            <v>Potenciar</v>
          </cell>
        </row>
        <row r="1072">
          <cell r="A1072" t="str">
            <v>8486</v>
          </cell>
          <cell r="B1072" t="str">
            <v>8486 - FARMAGUAR, S.A.</v>
          </cell>
          <cell r="C1072" t="str">
            <v>INDEPENDIENTE</v>
          </cell>
          <cell r="D1072">
            <v>3</v>
          </cell>
          <cell r="E1072"/>
          <cell r="F1072" t="str">
            <v>CARACAS</v>
          </cell>
          <cell r="G1072" t="str">
            <v>JHON TORRES</v>
          </cell>
          <cell r="H1072"/>
          <cell r="I1072" t="str">
            <v>CF</v>
          </cell>
          <cell r="J1072" t="str">
            <v>Activo</v>
          </cell>
          <cell r="K1072">
            <v>25164.377624276553</v>
          </cell>
          <cell r="L1072">
            <v>2516.4377624276553</v>
          </cell>
          <cell r="M1072">
            <v>3778.8125408020569</v>
          </cell>
          <cell r="N1072" t="str">
            <v>Si Compra</v>
          </cell>
          <cell r="O1072">
            <v>10</v>
          </cell>
          <cell r="P1072">
            <v>33946.201370587383</v>
          </cell>
          <cell r="Q1072">
            <v>3394.6201370587382</v>
          </cell>
          <cell r="R1072">
            <v>3839.5247272227102</v>
          </cell>
          <cell r="T1072"/>
          <cell r="U1072"/>
          <cell r="V1072">
            <v>0.74130172473672351</v>
          </cell>
          <cell r="W1072">
            <v>9.6087319605517267E-5</v>
          </cell>
          <cell r="X1072">
            <v>10</v>
          </cell>
          <cell r="Y1072" t="str">
            <v>Proteger</v>
          </cell>
        </row>
        <row r="1073">
          <cell r="A1073" t="str">
            <v>2648</v>
          </cell>
          <cell r="B1073" t="str">
            <v>FARMAVIT</v>
          </cell>
          <cell r="C1073" t="str">
            <v>GRUPO</v>
          </cell>
          <cell r="D1073">
            <v>9</v>
          </cell>
          <cell r="E1073">
            <v>0</v>
          </cell>
          <cell r="F1073" t="str">
            <v>MARACAIBO</v>
          </cell>
          <cell r="G1073" t="str">
            <v/>
          </cell>
          <cell r="H1073" t="str">
            <v>VICTOR</v>
          </cell>
          <cell r="I1073">
            <v>0</v>
          </cell>
          <cell r="J1073" t="str">
            <v>Activo</v>
          </cell>
          <cell r="K1073">
            <v>25101.316144230459</v>
          </cell>
          <cell r="L1073">
            <v>2510.1316144230459</v>
          </cell>
          <cell r="M1073">
            <v>2184.8825966716654</v>
          </cell>
          <cell r="N1073" t="str">
            <v>Si Compra</v>
          </cell>
          <cell r="O1073">
            <v>10</v>
          </cell>
          <cell r="P1073">
            <v>270647.79407281324</v>
          </cell>
          <cell r="Q1073">
            <v>27064.779407281323</v>
          </cell>
          <cell r="R1073">
            <v>41031.915490668587</v>
          </cell>
          <cell r="S1073">
            <v>0</v>
          </cell>
          <cell r="T1073">
            <v>0</v>
          </cell>
          <cell r="U1073">
            <v>0</v>
          </cell>
          <cell r="V1073">
            <v>9.2745319540558951E-2</v>
          </cell>
          <cell r="W1073">
            <v>9.5846526501930219E-5</v>
          </cell>
          <cell r="X1073">
            <v>10</v>
          </cell>
          <cell r="Y1073" t="str">
            <v>Conquistar</v>
          </cell>
        </row>
        <row r="1074">
          <cell r="A1074" t="str">
            <v>C630</v>
          </cell>
          <cell r="B1074" t="str">
            <v>C630 - SUMINISTROS Y FARMACIAS AY&amp;LG, C.A.</v>
          </cell>
          <cell r="C1074" t="str">
            <v>INDEPENDIENTE</v>
          </cell>
          <cell r="D1074">
            <v>3</v>
          </cell>
          <cell r="E1074"/>
          <cell r="F1074" t="str">
            <v>ANDES</v>
          </cell>
          <cell r="G1074" t="str">
            <v>MILAGRO BRICEñO</v>
          </cell>
          <cell r="H1074"/>
          <cell r="I1074" t="str">
            <v>G</v>
          </cell>
          <cell r="J1074" t="str">
            <v>Activo</v>
          </cell>
          <cell r="K1074">
            <v>25082.292014931958</v>
          </cell>
          <cell r="L1074">
            <v>2508.2292014931959</v>
          </cell>
          <cell r="M1074">
            <v>2664.3781937893305</v>
          </cell>
          <cell r="N1074" t="str">
            <v>Si Compra</v>
          </cell>
          <cell r="O1074">
            <v>10</v>
          </cell>
          <cell r="P1074">
            <v>58531.485561582282</v>
          </cell>
          <cell r="Q1074">
            <v>5853.1485561582285</v>
          </cell>
          <cell r="R1074">
            <v>5534.2448946118311</v>
          </cell>
          <cell r="T1074"/>
          <cell r="U1074"/>
          <cell r="V1074">
            <v>0.42852648919259562</v>
          </cell>
          <cell r="W1074">
            <v>9.5773885023590688E-5</v>
          </cell>
          <cell r="X1074">
            <v>10</v>
          </cell>
          <cell r="Y1074" t="str">
            <v>Potenciar</v>
          </cell>
        </row>
        <row r="1075">
          <cell r="A1075" t="str">
            <v>A816</v>
          </cell>
          <cell r="B1075" t="str">
            <v>FARMACENTER GUARICO</v>
          </cell>
          <cell r="C1075" t="str">
            <v>GRUPO</v>
          </cell>
          <cell r="D1075">
            <v>9</v>
          </cell>
          <cell r="E1075">
            <v>0</v>
          </cell>
          <cell r="F1075" t="str">
            <v>CENTRO ESTE</v>
          </cell>
          <cell r="G1075" t="str">
            <v>WILLIBETTI GONZALEZ</v>
          </cell>
          <cell r="H1075" t="str">
            <v>HECTOR</v>
          </cell>
          <cell r="I1075">
            <v>0</v>
          </cell>
          <cell r="J1075" t="str">
            <v>Activo</v>
          </cell>
          <cell r="K1075">
            <v>25044.717374295185</v>
          </cell>
          <cell r="L1075">
            <v>2782.7463749216872</v>
          </cell>
          <cell r="M1075">
            <v>2716.087883648559</v>
          </cell>
          <cell r="N1075" t="str">
            <v>Si Compra</v>
          </cell>
          <cell r="O1075">
            <v>9</v>
          </cell>
          <cell r="P1075">
            <v>709985.22447320796</v>
          </cell>
          <cell r="Q1075">
            <v>78887.247163689768</v>
          </cell>
          <cell r="R1075">
            <v>96699.13659024371</v>
          </cell>
          <cell r="S1075">
            <v>4000</v>
          </cell>
          <cell r="T1075">
            <v>0</v>
          </cell>
          <cell r="U1075">
            <v>0</v>
          </cell>
          <cell r="V1075">
            <v>3.5274983916570614E-2</v>
          </cell>
          <cell r="W1075">
            <v>1.0625601169259269E-4</v>
          </cell>
          <cell r="X1075">
            <v>9</v>
          </cell>
          <cell r="Y1075" t="str">
            <v>Conquistar</v>
          </cell>
        </row>
        <row r="1076">
          <cell r="A1076" t="str">
            <v>C952</v>
          </cell>
          <cell r="B1076" t="str">
            <v>C952 - FARMACIA MEDICAL CHM, C.A</v>
          </cell>
          <cell r="C1076" t="str">
            <v>INDEPENDIENTE</v>
          </cell>
          <cell r="D1076">
            <v>3</v>
          </cell>
          <cell r="E1076"/>
          <cell r="F1076" t="str">
            <v>CENTRO OESTE</v>
          </cell>
          <cell r="G1076" t="str">
            <v>YAMILEX LAMEDA</v>
          </cell>
          <cell r="H1076"/>
          <cell r="I1076" t="str">
            <v>Y1</v>
          </cell>
          <cell r="J1076" t="str">
            <v>Suspendido</v>
          </cell>
          <cell r="K1076">
            <v>25042.125706785744</v>
          </cell>
          <cell r="L1076">
            <v>2504.2125706785746</v>
          </cell>
          <cell r="M1076">
            <v>3151.552617602887</v>
          </cell>
          <cell r="N1076" t="str">
            <v>Si Compra</v>
          </cell>
          <cell r="O1076">
            <v>10</v>
          </cell>
          <cell r="P1076">
            <v>35877.173533483954</v>
          </cell>
          <cell r="Q1076">
            <v>3587.7173533483956</v>
          </cell>
          <cell r="R1076">
            <v>3222.9805198674599</v>
          </cell>
          <cell r="T1076"/>
          <cell r="U1076"/>
          <cell r="V1076">
            <v>0.69799605822944988</v>
          </cell>
          <cell r="W1076">
            <v>9.5620514535123068E-5</v>
          </cell>
          <cell r="X1076">
            <v>10</v>
          </cell>
          <cell r="Y1076" t="str">
            <v>Proteger</v>
          </cell>
        </row>
        <row r="1077">
          <cell r="A1077" t="str">
            <v>9874</v>
          </cell>
          <cell r="B1077" t="str">
            <v>FARMAIMPULSO</v>
          </cell>
          <cell r="C1077" t="e">
            <v>#N/A</v>
          </cell>
          <cell r="D1077">
            <v>6</v>
          </cell>
          <cell r="E1077"/>
          <cell r="F1077" t="str">
            <v>ANDES</v>
          </cell>
          <cell r="H1077"/>
          <cell r="I1077"/>
          <cell r="J1077" t="str">
            <v>Activo</v>
          </cell>
          <cell r="K1077">
            <v>25039.717261868558</v>
          </cell>
          <cell r="L1077">
            <v>2503.9717261868559</v>
          </cell>
          <cell r="M1077">
            <v>4637.608848209572</v>
          </cell>
          <cell r="N1077" t="str">
            <v>Si Compra</v>
          </cell>
          <cell r="O1077">
            <v>10</v>
          </cell>
          <cell r="P1077">
            <v>56517.693929676621</v>
          </cell>
          <cell r="Q1077">
            <v>5651.7693929676625</v>
          </cell>
          <cell r="R1077">
            <v>4555.4811938192252</v>
          </cell>
          <cell r="S1077"/>
          <cell r="T1077"/>
          <cell r="U1077"/>
          <cell r="V1077">
            <v>0.44304209037659559</v>
          </cell>
          <cell r="W1077">
            <v>9.5611318161584037E-5</v>
          </cell>
          <cell r="X1077">
            <v>10</v>
          </cell>
          <cell r="Y1077" t="str">
            <v>Potenciar</v>
          </cell>
        </row>
        <row r="1078">
          <cell r="A1078" t="str">
            <v>D715</v>
          </cell>
          <cell r="B1078" t="str">
            <v>D715 - FARMACIA CORDOBA FA, C.A.</v>
          </cell>
          <cell r="C1078" t="str">
            <v>INDEPENDIENTE</v>
          </cell>
          <cell r="D1078">
            <v>2</v>
          </cell>
          <cell r="E1078"/>
          <cell r="F1078" t="str">
            <v>ANDES</v>
          </cell>
          <cell r="G1078">
            <v>0</v>
          </cell>
          <cell r="H1078"/>
          <cell r="I1078" t="str">
            <v>4</v>
          </cell>
          <cell r="J1078" t="str">
            <v>Activo</v>
          </cell>
          <cell r="K1078">
            <v>24985.973769179145</v>
          </cell>
          <cell r="L1078">
            <v>2498.5973769179145</v>
          </cell>
          <cell r="M1078">
            <v>2476.6479755327723</v>
          </cell>
          <cell r="N1078" t="str">
            <v>Si Compra</v>
          </cell>
          <cell r="O1078">
            <v>9</v>
          </cell>
          <cell r="P1078">
            <v>0</v>
          </cell>
          <cell r="Q1078">
            <v>0</v>
          </cell>
          <cell r="R1078">
            <v>0</v>
          </cell>
          <cell r="T1078"/>
          <cell r="U1078"/>
          <cell r="V1078">
            <v>0</v>
          </cell>
          <cell r="W1078">
            <v>9.540610473505437E-5</v>
          </cell>
          <cell r="X1078">
            <v>0</v>
          </cell>
          <cell r="Y1078" t="str">
            <v>Conquistar</v>
          </cell>
        </row>
        <row r="1079">
          <cell r="A1079" t="str">
            <v>B744</v>
          </cell>
          <cell r="B1079" t="str">
            <v>FARMACIA MAS MEDICA</v>
          </cell>
          <cell r="C1079" t="str">
            <v>CADENA</v>
          </cell>
          <cell r="D1079">
            <v>9</v>
          </cell>
          <cell r="E1079"/>
          <cell r="F1079" t="str">
            <v>ANDES</v>
          </cell>
          <cell r="H1079"/>
          <cell r="I1079"/>
          <cell r="J1079" t="str">
            <v>Inactivo</v>
          </cell>
          <cell r="K1079">
            <v>24854.474193675582</v>
          </cell>
          <cell r="L1079">
            <v>4142.4123656125967</v>
          </cell>
          <cell r="M1079">
            <v>6003.2585938222473</v>
          </cell>
          <cell r="N1079" t="str">
            <v>Si Compra</v>
          </cell>
          <cell r="O1079">
            <v>6</v>
          </cell>
          <cell r="P1079">
            <v>310790.37059717398</v>
          </cell>
          <cell r="Q1079">
            <v>51798.395099529</v>
          </cell>
          <cell r="R1079">
            <v>42515.81282203443</v>
          </cell>
          <cell r="S1079"/>
          <cell r="T1079"/>
          <cell r="U1079"/>
          <cell r="V1079">
            <v>7.9971828425438291E-2</v>
          </cell>
          <cell r="W1079">
            <v>1.5817331422036607E-4</v>
          </cell>
          <cell r="X1079">
            <v>6</v>
          </cell>
          <cell r="Y1079" t="str">
            <v>Conquistar</v>
          </cell>
        </row>
        <row r="1080">
          <cell r="A1080" t="str">
            <v>A428</v>
          </cell>
          <cell r="B1080" t="str">
            <v>A428 - FARMA EXPRESS, C.A.</v>
          </cell>
          <cell r="C1080" t="str">
            <v>INDEPENDIENTE</v>
          </cell>
          <cell r="D1080">
            <v>3</v>
          </cell>
          <cell r="E1080"/>
          <cell r="F1080" t="str">
            <v>ESTE</v>
          </cell>
          <cell r="G1080" t="str">
            <v>ADOLFO GONZALEZ</v>
          </cell>
          <cell r="H1080"/>
          <cell r="I1080" t="str">
            <v>A8</v>
          </cell>
          <cell r="J1080" t="str">
            <v>Activo</v>
          </cell>
          <cell r="K1080">
            <v>24809.58763555111</v>
          </cell>
          <cell r="L1080">
            <v>2480.9587635551111</v>
          </cell>
          <cell r="M1080">
            <v>2784.0544295525538</v>
          </cell>
          <cell r="N1080" t="str">
            <v>Si Compra</v>
          </cell>
          <cell r="O1080">
            <v>10</v>
          </cell>
          <cell r="P1080">
            <v>35839.703222239761</v>
          </cell>
          <cell r="Q1080">
            <v>3583.9703222239759</v>
          </cell>
          <cell r="R1080">
            <v>3699.8604783507412</v>
          </cell>
          <cell r="T1080"/>
          <cell r="U1080"/>
          <cell r="V1080">
            <v>0.69223753002943156</v>
          </cell>
          <cell r="W1080">
            <v>9.4732594304995177E-5</v>
          </cell>
          <cell r="X1080">
            <v>10</v>
          </cell>
          <cell r="Y1080" t="str">
            <v>Proteger</v>
          </cell>
        </row>
        <row r="1081">
          <cell r="A1081" t="str">
            <v>A407</v>
          </cell>
          <cell r="B1081" t="str">
            <v>A407 - FARMACIA SAN VICENTE,C.A.</v>
          </cell>
          <cell r="C1081" t="str">
            <v>INDEPENDIENTE</v>
          </cell>
          <cell r="D1081">
            <v>3</v>
          </cell>
          <cell r="E1081"/>
          <cell r="F1081" t="str">
            <v>ESTE</v>
          </cell>
          <cell r="G1081" t="str">
            <v>ADOLFO GONZALEZ</v>
          </cell>
          <cell r="H1081"/>
          <cell r="I1081" t="str">
            <v>A8</v>
          </cell>
          <cell r="J1081" t="str">
            <v>Inactivo</v>
          </cell>
          <cell r="K1081">
            <v>24785.902585856464</v>
          </cell>
          <cell r="L1081">
            <v>2478.5902585856466</v>
          </cell>
          <cell r="M1081">
            <v>2788.4601952854896</v>
          </cell>
          <cell r="N1081" t="str">
            <v>Si Compra</v>
          </cell>
          <cell r="O1081">
            <v>10</v>
          </cell>
          <cell r="P1081">
            <v>40931.499403994356</v>
          </cell>
          <cell r="Q1081">
            <v>4093.1499403994358</v>
          </cell>
          <cell r="R1081">
            <v>5106.3284013314524</v>
          </cell>
          <cell r="T1081"/>
          <cell r="U1081"/>
          <cell r="V1081">
            <v>0.60554592298755849</v>
          </cell>
          <cell r="W1081">
            <v>9.4642155631173713E-5</v>
          </cell>
          <cell r="X1081">
            <v>10</v>
          </cell>
          <cell r="Y1081" t="str">
            <v>Potenciar</v>
          </cell>
        </row>
        <row r="1082">
          <cell r="A1082" t="str">
            <v>0311</v>
          </cell>
          <cell r="B1082" t="str">
            <v>GRUPO FARMA SHOP BARCELONA</v>
          </cell>
          <cell r="C1082" t="str">
            <v>GRUPO</v>
          </cell>
          <cell r="D1082">
            <v>6</v>
          </cell>
          <cell r="E1082">
            <v>0</v>
          </cell>
          <cell r="F1082" t="str">
            <v>ESTE</v>
          </cell>
          <cell r="G1082" t="str">
            <v>PEDRO VIRE</v>
          </cell>
          <cell r="H1082" t="str">
            <v>HECTOR</v>
          </cell>
          <cell r="I1082" t="str">
            <v>A7</v>
          </cell>
          <cell r="J1082" t="str">
            <v>Activo</v>
          </cell>
          <cell r="K1082">
            <v>24774.908860501779</v>
          </cell>
          <cell r="L1082">
            <v>2477.4908860501778</v>
          </cell>
          <cell r="M1082">
            <v>1329.3168999999998</v>
          </cell>
          <cell r="N1082" t="str">
            <v>Si Compra</v>
          </cell>
          <cell r="O1082">
            <v>10</v>
          </cell>
          <cell r="P1082">
            <v>365837.12937308406</v>
          </cell>
          <cell r="Q1082">
            <v>36583.712937308403</v>
          </cell>
          <cell r="R1082">
            <v>26825.850633333332</v>
          </cell>
          <cell r="S1082">
            <v>18000</v>
          </cell>
          <cell r="T1082">
            <v>4</v>
          </cell>
          <cell r="U1082">
            <v>4</v>
          </cell>
          <cell r="V1082">
            <v>6.7721143840586237E-2</v>
          </cell>
          <cell r="W1082">
            <v>9.4600177338780266E-5</v>
          </cell>
          <cell r="X1082">
            <v>10</v>
          </cell>
          <cell r="Y1082" t="str">
            <v>Conquistar</v>
          </cell>
        </row>
        <row r="1083">
          <cell r="A1083" t="str">
            <v>D058</v>
          </cell>
          <cell r="B1083" t="str">
            <v>D058 - FARMACIA FARMA ARTES, C.A.</v>
          </cell>
          <cell r="C1083" t="str">
            <v>INDEPENDIENTE</v>
          </cell>
          <cell r="D1083">
            <v>3</v>
          </cell>
          <cell r="E1083"/>
          <cell r="F1083" t="str">
            <v>MARACAIBO</v>
          </cell>
          <cell r="G1083" t="str">
            <v>YENNIFER LUZARDO</v>
          </cell>
          <cell r="H1083"/>
          <cell r="I1083" t="str">
            <v>BE</v>
          </cell>
          <cell r="J1083" t="str">
            <v>Activo</v>
          </cell>
          <cell r="K1083">
            <v>24729.248133912843</v>
          </cell>
          <cell r="L1083">
            <v>2472.9248133912843</v>
          </cell>
          <cell r="M1083">
            <v>1335.2729999999999</v>
          </cell>
          <cell r="N1083" t="str">
            <v>Si Compra</v>
          </cell>
          <cell r="O1083">
            <v>10</v>
          </cell>
          <cell r="P1083">
            <v>74415.421405051748</v>
          </cell>
          <cell r="Q1083">
            <v>7441.5421405051748</v>
          </cell>
          <cell r="R1083">
            <v>12323.008800000001</v>
          </cell>
          <cell r="T1083"/>
          <cell r="U1083"/>
          <cell r="V1083">
            <v>0.3323134864655094</v>
          </cell>
          <cell r="W1083">
            <v>9.4425827037148378E-5</v>
          </cell>
          <cell r="X1083">
            <v>10</v>
          </cell>
          <cell r="Y1083" t="str">
            <v>Potenciar</v>
          </cell>
        </row>
        <row r="1084">
          <cell r="A1084" t="str">
            <v>C464</v>
          </cell>
          <cell r="B1084" t="str">
            <v>VELAVIDA</v>
          </cell>
          <cell r="C1084" t="str">
            <v>GRUPO</v>
          </cell>
          <cell r="D1084">
            <v>3</v>
          </cell>
          <cell r="E1084"/>
          <cell r="F1084" t="str">
            <v>ANDES</v>
          </cell>
          <cell r="H1084"/>
          <cell r="I1084"/>
          <cell r="J1084" t="str">
            <v>Activo</v>
          </cell>
          <cell r="K1084">
            <v>24704.818143280099</v>
          </cell>
          <cell r="L1084">
            <v>2470.4818143280099</v>
          </cell>
          <cell r="M1084">
            <v>2170.7384604569615</v>
          </cell>
          <cell r="N1084" t="str">
            <v>Si Compra</v>
          </cell>
          <cell r="O1084">
            <v>10</v>
          </cell>
          <cell r="P1084">
            <v>110203.25983011094</v>
          </cell>
          <cell r="Q1084">
            <v>11020.325983011095</v>
          </cell>
          <cell r="R1084">
            <v>9852.6487551766349</v>
          </cell>
          <cell r="S1084"/>
          <cell r="T1084"/>
          <cell r="U1084"/>
          <cell r="V1084">
            <v>0.22417502151356486</v>
          </cell>
          <cell r="W1084">
            <v>9.4332543890911398E-5</v>
          </cell>
          <cell r="X1084">
            <v>10</v>
          </cell>
          <cell r="Y1084" t="str">
            <v>Potenciar</v>
          </cell>
        </row>
        <row r="1085">
          <cell r="A1085" t="str">
            <v>M179</v>
          </cell>
          <cell r="B1085" t="str">
            <v>M179 - FARMACIA JUMA, C.A</v>
          </cell>
          <cell r="C1085" t="str">
            <v>INDEPENDIENTE</v>
          </cell>
          <cell r="D1085">
            <v>3</v>
          </cell>
          <cell r="F1085" t="str">
            <v>CENTRO ESTE</v>
          </cell>
          <cell r="G1085" t="str">
            <v>ELIANA PERAZA</v>
          </cell>
          <cell r="H1085"/>
          <cell r="I1085" t="str">
            <v>M</v>
          </cell>
          <cell r="J1085" t="str">
            <v>Activo</v>
          </cell>
          <cell r="K1085">
            <v>24653.573491970634</v>
          </cell>
          <cell r="L1085">
            <v>2465.3573491970633</v>
          </cell>
          <cell r="M1085">
            <v>2502.0602772961129</v>
          </cell>
          <cell r="N1085" t="str">
            <v>Si Compra</v>
          </cell>
          <cell r="O1085">
            <v>10</v>
          </cell>
          <cell r="P1085">
            <v>54853.103497756485</v>
          </cell>
          <cell r="Q1085">
            <v>5485.3103497756483</v>
          </cell>
          <cell r="R1085">
            <v>4345.2162176768297</v>
          </cell>
          <cell r="V1085">
            <v>0.44944719477866873</v>
          </cell>
          <cell r="W1085">
            <v>9.4136872006553101E-5</v>
          </cell>
          <cell r="X1085">
            <v>10</v>
          </cell>
          <cell r="Y1085" t="str">
            <v>Potenciar</v>
          </cell>
        </row>
        <row r="1086">
          <cell r="A1086" t="str">
            <v>B023</v>
          </cell>
          <cell r="B1086" t="str">
            <v>B023 - FARMACIA TIAMO PUERTO ORDAZ, C.A.</v>
          </cell>
          <cell r="C1086" t="str">
            <v>INDEPENDIENTE</v>
          </cell>
          <cell r="D1086">
            <v>3</v>
          </cell>
          <cell r="E1086"/>
          <cell r="F1086" t="str">
            <v>ESTE</v>
          </cell>
          <cell r="G1086" t="str">
            <v>JOSE RAMIREZ</v>
          </cell>
          <cell r="H1086" t="str">
            <v>HECTOR</v>
          </cell>
          <cell r="I1086" t="str">
            <v>A2</v>
          </cell>
          <cell r="J1086" t="str">
            <v>Activo</v>
          </cell>
          <cell r="K1086">
            <v>24605.570540252014</v>
          </cell>
          <cell r="L1086">
            <v>2460.5570540252015</v>
          </cell>
          <cell r="M1086">
            <v>1831.317092654197</v>
          </cell>
          <cell r="N1086" t="str">
            <v>Si Compra</v>
          </cell>
          <cell r="O1086">
            <v>10</v>
          </cell>
          <cell r="P1086">
            <v>113201.74457358336</v>
          </cell>
          <cell r="Q1086">
            <v>11320.174457358336</v>
          </cell>
          <cell r="R1086">
            <v>9729.1287074065185</v>
          </cell>
          <cell r="T1086"/>
          <cell r="U1086"/>
          <cell r="V1086">
            <v>0.21736034751883093</v>
          </cell>
          <cell r="W1086">
            <v>9.3953578184124316E-5</v>
          </cell>
          <cell r="X1086">
            <v>10</v>
          </cell>
          <cell r="Y1086" t="str">
            <v>Potenciar</v>
          </cell>
        </row>
        <row r="1087">
          <cell r="A1087" t="str">
            <v>9653</v>
          </cell>
          <cell r="B1087" t="str">
            <v>9653 - FARMACIA I +,C.A</v>
          </cell>
          <cell r="C1087" t="str">
            <v>INDEPENDIENTE</v>
          </cell>
          <cell r="D1087">
            <v>3</v>
          </cell>
          <cell r="E1087"/>
          <cell r="F1087" t="str">
            <v>CENTRO OESTE</v>
          </cell>
          <cell r="G1087" t="str">
            <v>SORALI SILVA</v>
          </cell>
          <cell r="H1087"/>
          <cell r="I1087" t="str">
            <v>C</v>
          </cell>
          <cell r="J1087" t="str">
            <v>Permiso</v>
          </cell>
          <cell r="K1087">
            <v>24528.132271967017</v>
          </cell>
          <cell r="L1087">
            <v>2452.8132271967015</v>
          </cell>
          <cell r="M1087">
            <v>2362.5001367149248</v>
          </cell>
          <cell r="N1087" t="str">
            <v>Si Compra</v>
          </cell>
          <cell r="O1087">
            <v>10</v>
          </cell>
          <cell r="P1087">
            <v>24544.393016489532</v>
          </cell>
          <cell r="Q1087">
            <v>2454.439301648953</v>
          </cell>
          <cell r="R1087">
            <v>2025.0185506183927</v>
          </cell>
          <cell r="T1087"/>
          <cell r="U1087"/>
          <cell r="V1087">
            <v>0.99933749657155546</v>
          </cell>
          <cell r="W1087">
            <v>9.3657888946524398E-5</v>
          </cell>
          <cell r="X1087">
            <v>10</v>
          </cell>
          <cell r="Y1087" t="str">
            <v>Proteger</v>
          </cell>
        </row>
        <row r="1088">
          <cell r="A1088" t="str">
            <v>D712</v>
          </cell>
          <cell r="B1088" t="str">
            <v>D712 - FARMACIA CRISTAL P., C.A</v>
          </cell>
          <cell r="C1088" t="str">
            <v>INDEPENDIENTE</v>
          </cell>
          <cell r="D1088">
            <v>2</v>
          </cell>
          <cell r="E1088"/>
          <cell r="F1088" t="str">
            <v>MARACAIBO</v>
          </cell>
          <cell r="G1088">
            <v>0</v>
          </cell>
          <cell r="H1088"/>
          <cell r="I1088" t="str">
            <v>S1</v>
          </cell>
          <cell r="J1088" t="str">
            <v>Activo</v>
          </cell>
          <cell r="K1088">
            <v>24518.114975307199</v>
          </cell>
          <cell r="L1088">
            <v>2724.2349972563552</v>
          </cell>
          <cell r="M1088">
            <v>463.56209999999999</v>
          </cell>
          <cell r="N1088" t="str">
            <v>Si Compra</v>
          </cell>
          <cell r="O1088">
            <v>9</v>
          </cell>
          <cell r="P1088">
            <v>0</v>
          </cell>
          <cell r="Q1088">
            <v>0</v>
          </cell>
          <cell r="R1088">
            <v>0</v>
          </cell>
          <cell r="T1088"/>
          <cell r="U1088"/>
          <cell r="V1088">
            <v>0</v>
          </cell>
          <cell r="W1088">
            <v>1.0402182115141116E-4</v>
          </cell>
          <cell r="X1088">
            <v>0</v>
          </cell>
          <cell r="Y1088" t="str">
            <v>Conquistar</v>
          </cell>
        </row>
        <row r="1089">
          <cell r="A1089" t="str">
            <v>0167</v>
          </cell>
          <cell r="B1089" t="str">
            <v>GRUPO FARMACIA RG</v>
          </cell>
          <cell r="C1089" t="str">
            <v>GRUPO</v>
          </cell>
          <cell r="D1089">
            <v>9</v>
          </cell>
          <cell r="E1089"/>
          <cell r="F1089" t="str">
            <v>CENTRO ESTE</v>
          </cell>
          <cell r="H1089"/>
          <cell r="I1089"/>
          <cell r="J1089" t="str">
            <v>Inactivo</v>
          </cell>
          <cell r="K1089">
            <v>24487.364180671153</v>
          </cell>
          <cell r="L1089">
            <v>2720.8182422967948</v>
          </cell>
          <cell r="M1089">
            <v>3995.4496824635148</v>
          </cell>
          <cell r="N1089" t="str">
            <v>Si Compra</v>
          </cell>
          <cell r="O1089">
            <v>9</v>
          </cell>
          <cell r="P1089">
            <v>112860.48705278116</v>
          </cell>
          <cell r="Q1089">
            <v>16122.926721825879</v>
          </cell>
          <cell r="R1089">
            <v>10565.920774998214</v>
          </cell>
          <cell r="S1089"/>
          <cell r="T1089"/>
          <cell r="U1089"/>
          <cell r="V1089">
            <v>0.16875461194111718</v>
          </cell>
          <cell r="W1089">
            <v>1.0389135624156324E-4</v>
          </cell>
          <cell r="X1089">
            <v>7</v>
          </cell>
          <cell r="Y1089" t="str">
            <v>Conquistar</v>
          </cell>
        </row>
        <row r="1090">
          <cell r="A1090" t="str">
            <v>D087</v>
          </cell>
          <cell r="B1090" t="str">
            <v>D087 - FARMACIA FARMALUX, C.A.</v>
          </cell>
          <cell r="C1090" t="str">
            <v>INDEPENDIENTE</v>
          </cell>
          <cell r="D1090">
            <v>3</v>
          </cell>
          <cell r="E1090"/>
          <cell r="F1090" t="str">
            <v>ANDES</v>
          </cell>
          <cell r="G1090" t="str">
            <v>ZULAY PARRA</v>
          </cell>
          <cell r="H1090"/>
          <cell r="I1090" t="str">
            <v>5</v>
          </cell>
          <cell r="J1090" t="str">
            <v>Activo</v>
          </cell>
          <cell r="K1090">
            <v>24434.007594522329</v>
          </cell>
          <cell r="L1090">
            <v>2443.4007594522327</v>
          </cell>
          <cell r="M1090">
            <v>2526.9404343385818</v>
          </cell>
          <cell r="N1090" t="str">
            <v>Si Compra</v>
          </cell>
          <cell r="O1090">
            <v>10</v>
          </cell>
          <cell r="P1090">
            <v>48751.239983325751</v>
          </cell>
          <cell r="Q1090">
            <v>4875.123998332575</v>
          </cell>
          <cell r="R1090">
            <v>5265.7563529338104</v>
          </cell>
          <cell r="T1090"/>
          <cell r="U1090"/>
          <cell r="V1090">
            <v>0.50119766395438192</v>
          </cell>
          <cell r="W1090">
            <v>9.3298484549585568E-5</v>
          </cell>
          <cell r="X1090">
            <v>10</v>
          </cell>
          <cell r="Y1090" t="str">
            <v>Potenciar</v>
          </cell>
        </row>
        <row r="1091">
          <cell r="A1091" t="str">
            <v>9169</v>
          </cell>
          <cell r="B1091" t="str">
            <v>9169 - FARMACIA NUEVA IRAMA, C.A</v>
          </cell>
          <cell r="C1091" t="str">
            <v>INDEPENDIENTE</v>
          </cell>
          <cell r="D1091">
            <v>3</v>
          </cell>
          <cell r="E1091"/>
          <cell r="F1091" t="str">
            <v>MARACAIBO</v>
          </cell>
          <cell r="G1091" t="str">
            <v>YENNIFER LUZARDO</v>
          </cell>
          <cell r="H1091"/>
          <cell r="I1091" t="str">
            <v>BE</v>
          </cell>
          <cell r="J1091" t="str">
            <v>Inactivo</v>
          </cell>
          <cell r="K1091">
            <v>24432.516823125217</v>
          </cell>
          <cell r="L1091">
            <v>2443.2516823125216</v>
          </cell>
          <cell r="M1091">
            <v>2806.4308971001096</v>
          </cell>
          <cell r="N1091" t="str">
            <v>Si Compra</v>
          </cell>
          <cell r="O1091">
            <v>10</v>
          </cell>
          <cell r="P1091">
            <v>38205.710985088597</v>
          </cell>
          <cell r="Q1091">
            <v>3820.5710985088599</v>
          </cell>
          <cell r="R1091">
            <v>2551.6345631204244</v>
          </cell>
          <cell r="T1091"/>
          <cell r="U1091"/>
          <cell r="V1091">
            <v>0.63949907469752476</v>
          </cell>
          <cell r="W1091">
            <v>9.3292792208219869E-5</v>
          </cell>
          <cell r="X1091">
            <v>10</v>
          </cell>
          <cell r="Y1091" t="str">
            <v>Proteger</v>
          </cell>
        </row>
        <row r="1092">
          <cell r="A1092" t="str">
            <v>N124</v>
          </cell>
          <cell r="B1092" t="str">
            <v>N124 - FARMACIA CEDEÑO,S.R.L.</v>
          </cell>
          <cell r="C1092" t="str">
            <v>INDEPENDIENTE</v>
          </cell>
          <cell r="D1092">
            <v>3</v>
          </cell>
          <cell r="F1092" t="str">
            <v>CENTRO OESTE</v>
          </cell>
          <cell r="G1092" t="str">
            <v>YAMILEX LAMEDA</v>
          </cell>
          <cell r="H1092"/>
          <cell r="I1092" t="str">
            <v>Y1</v>
          </cell>
          <cell r="J1092" t="str">
            <v>Activo</v>
          </cell>
          <cell r="K1092">
            <v>24375.511394441819</v>
          </cell>
          <cell r="L1092">
            <v>2437.5511394441819</v>
          </cell>
          <cell r="M1092">
            <v>2195.3174714794441</v>
          </cell>
          <cell r="N1092" t="str">
            <v>Si Compra</v>
          </cell>
          <cell r="O1092">
            <v>10</v>
          </cell>
          <cell r="P1092">
            <v>25300.770193189823</v>
          </cell>
          <cell r="Q1092">
            <v>2530.0770193189824</v>
          </cell>
          <cell r="R1092">
            <v>2032.6114533005941</v>
          </cell>
          <cell r="V1092">
            <v>0.96342961926917725</v>
          </cell>
          <cell r="W1092">
            <v>9.3075123449352302E-5</v>
          </cell>
          <cell r="X1092">
            <v>10</v>
          </cell>
          <cell r="Y1092" t="str">
            <v>Proteger</v>
          </cell>
        </row>
        <row r="1093">
          <cell r="A1093" t="str">
            <v>R6</v>
          </cell>
          <cell r="B1093" t="str">
            <v>R6 - FARMACIA LA CIENCIA, C.A.</v>
          </cell>
          <cell r="C1093" t="str">
            <v>INDEPENDIENTE</v>
          </cell>
          <cell r="D1093">
            <v>3</v>
          </cell>
          <cell r="F1093" t="str">
            <v>CENTRO ESTE</v>
          </cell>
          <cell r="G1093" t="str">
            <v>ELIANA PERAZA</v>
          </cell>
          <cell r="H1093"/>
          <cell r="I1093" t="str">
            <v>I</v>
          </cell>
          <cell r="J1093" t="str">
            <v>Activo</v>
          </cell>
          <cell r="K1093">
            <v>24369.212080085355</v>
          </cell>
          <cell r="L1093">
            <v>2436.9212080085354</v>
          </cell>
          <cell r="M1093">
            <v>2577.1291149651306</v>
          </cell>
          <cell r="N1093" t="str">
            <v>Si Compra</v>
          </cell>
          <cell r="O1093">
            <v>10</v>
          </cell>
          <cell r="P1093">
            <v>27126.846243485161</v>
          </cell>
          <cell r="Q1093">
            <v>2712.6846243485161</v>
          </cell>
          <cell r="R1093">
            <v>2475.4635254470054</v>
          </cell>
          <cell r="V1093">
            <v>0.89834298691975345</v>
          </cell>
          <cell r="W1093">
            <v>9.3051070232503353E-5</v>
          </cell>
          <cell r="X1093">
            <v>10</v>
          </cell>
          <cell r="Y1093" t="str">
            <v>Proteger</v>
          </cell>
        </row>
        <row r="1094">
          <cell r="A1094" t="str">
            <v>8837</v>
          </cell>
          <cell r="B1094" t="str">
            <v>8837 - FARMACIA ELICAR 2000,C.A</v>
          </cell>
          <cell r="C1094" t="str">
            <v>INDEPENDIENTE</v>
          </cell>
          <cell r="D1094">
            <v>3</v>
          </cell>
          <cell r="E1094"/>
          <cell r="F1094" t="str">
            <v>CENTRO ESTE</v>
          </cell>
          <cell r="G1094" t="str">
            <v>MARCOS CRUCES</v>
          </cell>
          <cell r="H1094"/>
          <cell r="I1094" t="str">
            <v>$</v>
          </cell>
          <cell r="J1094" t="str">
            <v>Activo</v>
          </cell>
          <cell r="K1094">
            <v>24290.3609930772</v>
          </cell>
          <cell r="L1094">
            <v>2429.0360993077202</v>
          </cell>
          <cell r="M1094">
            <v>2229.460157854201</v>
          </cell>
          <cell r="N1094" t="str">
            <v>Si Compra</v>
          </cell>
          <cell r="O1094">
            <v>10</v>
          </cell>
          <cell r="P1094">
            <v>26933.497501115176</v>
          </cell>
          <cell r="Q1094">
            <v>2693.3497501115176</v>
          </cell>
          <cell r="R1094">
            <v>2221.7491988817897</v>
          </cell>
          <cell r="T1094"/>
          <cell r="U1094"/>
          <cell r="V1094">
            <v>0.9018643416834915</v>
          </cell>
          <cell r="W1094">
            <v>9.2749986306975019E-5</v>
          </cell>
          <cell r="X1094">
            <v>10</v>
          </cell>
          <cell r="Y1094" t="str">
            <v>Proteger</v>
          </cell>
        </row>
        <row r="1095">
          <cell r="A1095" t="str">
            <v>C965</v>
          </cell>
          <cell r="B1095" t="str">
            <v>C965 - FARMAMELANI, C.A.</v>
          </cell>
          <cell r="C1095" t="str">
            <v>INDEPENDIENTE</v>
          </cell>
          <cell r="D1095">
            <v>3</v>
          </cell>
          <cell r="E1095"/>
          <cell r="F1095" t="str">
            <v>ANDES</v>
          </cell>
          <cell r="G1095" t="str">
            <v>JESUS CONTRERAS</v>
          </cell>
          <cell r="H1095"/>
          <cell r="I1095" t="str">
            <v>G2</v>
          </cell>
          <cell r="J1095" t="str">
            <v>Suspendido</v>
          </cell>
          <cell r="K1095">
            <v>24242.624472873977</v>
          </cell>
          <cell r="L1095">
            <v>4040.4374121456626</v>
          </cell>
          <cell r="M1095">
            <v>3728.6233636544098</v>
          </cell>
          <cell r="N1095" t="str">
            <v>Si Compra</v>
          </cell>
          <cell r="O1095">
            <v>6</v>
          </cell>
          <cell r="P1095">
            <v>29170.40263725158</v>
          </cell>
          <cell r="Q1095">
            <v>4861.7337728752636</v>
          </cell>
          <cell r="R1095">
            <v>4227.3897090296314</v>
          </cell>
          <cell r="T1095"/>
          <cell r="U1095"/>
          <cell r="V1095">
            <v>0.83106924420423778</v>
          </cell>
          <cell r="W1095">
            <v>1.5427951637174284E-4</v>
          </cell>
          <cell r="X1095">
            <v>6</v>
          </cell>
          <cell r="Y1095" t="str">
            <v>Proteger</v>
          </cell>
        </row>
        <row r="1096">
          <cell r="A1096" t="str">
            <v>2728</v>
          </cell>
          <cell r="B1096" t="str">
            <v>2728 - FARMACIA SANTO NIÑO DE ATOCHA, C.A</v>
          </cell>
          <cell r="C1096" t="str">
            <v>INDEPENDIENTE</v>
          </cell>
          <cell r="D1096">
            <v>3</v>
          </cell>
          <cell r="E1096"/>
          <cell r="F1096" t="str">
            <v>ANDES</v>
          </cell>
          <cell r="G1096" t="str">
            <v>MARIA GABRIELA FORTUL</v>
          </cell>
          <cell r="H1096"/>
          <cell r="I1096" t="str">
            <v>3</v>
          </cell>
          <cell r="J1096" t="str">
            <v>Activo</v>
          </cell>
          <cell r="K1096">
            <v>24236.738490711341</v>
          </cell>
          <cell r="L1096">
            <v>2423.6738490711341</v>
          </cell>
          <cell r="M1096">
            <v>1826.7190666666665</v>
          </cell>
          <cell r="N1096" t="str">
            <v>Si Compra</v>
          </cell>
          <cell r="O1096">
            <v>10</v>
          </cell>
          <cell r="P1096">
            <v>67074.376994949867</v>
          </cell>
          <cell r="Q1096">
            <v>6707.4376994949871</v>
          </cell>
          <cell r="R1096">
            <v>5769.8770333333332</v>
          </cell>
          <cell r="T1096"/>
          <cell r="U1096"/>
          <cell r="V1096">
            <v>0.36134123903284499</v>
          </cell>
          <cell r="W1096">
            <v>9.2545234868262482E-5</v>
          </cell>
          <cell r="X1096">
            <v>10</v>
          </cell>
          <cell r="Y1096" t="str">
            <v>Potenciar</v>
          </cell>
        </row>
        <row r="1097">
          <cell r="A1097" t="str">
            <v>D284</v>
          </cell>
          <cell r="B1097" t="str">
            <v>D284 - EXPENDIO DE MEDICINAS  LA COLMENA DE YANGEL COMENARES F.P.</v>
          </cell>
          <cell r="C1097" t="str">
            <v>INDEPENDIENTE</v>
          </cell>
          <cell r="D1097">
            <v>3</v>
          </cell>
          <cell r="E1097"/>
          <cell r="F1097" t="str">
            <v>ANDES</v>
          </cell>
          <cell r="G1097">
            <v>0</v>
          </cell>
          <cell r="H1097"/>
          <cell r="I1097" t="str">
            <v>G1</v>
          </cell>
          <cell r="J1097" t="str">
            <v>Activo</v>
          </cell>
          <cell r="K1097">
            <v>24216.030441488165</v>
          </cell>
          <cell r="L1097">
            <v>2421.6030441488165</v>
          </cell>
          <cell r="M1097">
            <v>1921.5434666666667</v>
          </cell>
          <cell r="N1097" t="str">
            <v>Si Compra</v>
          </cell>
          <cell r="O1097">
            <v>10</v>
          </cell>
          <cell r="P1097">
            <v>0</v>
          </cell>
          <cell r="Q1097">
            <v>0</v>
          </cell>
          <cell r="R1097">
            <v>0</v>
          </cell>
          <cell r="T1097"/>
          <cell r="U1097"/>
          <cell r="V1097">
            <v>0</v>
          </cell>
          <cell r="W1097">
            <v>9.2466163532828601E-5</v>
          </cell>
          <cell r="X1097">
            <v>0</v>
          </cell>
          <cell r="Y1097" t="str">
            <v>Conquistar</v>
          </cell>
        </row>
        <row r="1098">
          <cell r="A1098" t="str">
            <v>3334</v>
          </cell>
          <cell r="B1098" t="str">
            <v>3334 - FARMACIA FARMAMETRO,C.A.</v>
          </cell>
          <cell r="C1098" t="str">
            <v>INDEPENDIENTE</v>
          </cell>
          <cell r="D1098">
            <v>3</v>
          </cell>
          <cell r="E1098"/>
          <cell r="F1098" t="str">
            <v>MARACAIBO</v>
          </cell>
          <cell r="G1098" t="str">
            <v>JOEL JIMENEZ</v>
          </cell>
          <cell r="H1098"/>
          <cell r="I1098" t="str">
            <v>D</v>
          </cell>
          <cell r="J1098" t="str">
            <v>Inactivo</v>
          </cell>
          <cell r="K1098">
            <v>24198.520401923153</v>
          </cell>
          <cell r="L1098">
            <v>2419.8520401923151</v>
          </cell>
          <cell r="M1098">
            <v>2411.9634232017502</v>
          </cell>
          <cell r="N1098" t="str">
            <v>Si Compra</v>
          </cell>
          <cell r="O1098">
            <v>10</v>
          </cell>
          <cell r="P1098">
            <v>50261.491783452657</v>
          </cell>
          <cell r="Q1098">
            <v>5026.1491783452657</v>
          </cell>
          <cell r="R1098">
            <v>4903.0552003759049</v>
          </cell>
          <cell r="T1098"/>
          <cell r="U1098"/>
          <cell r="V1098">
            <v>0.48145249063001172</v>
          </cell>
          <cell r="W1098">
            <v>9.2399303434275421E-5</v>
          </cell>
          <cell r="X1098">
            <v>10</v>
          </cell>
          <cell r="Y1098" t="str">
            <v>Potenciar</v>
          </cell>
        </row>
        <row r="1099">
          <cell r="A1099" t="str">
            <v>Q75</v>
          </cell>
          <cell r="B1099" t="str">
            <v>Q75 - FARMACIA CABELLO, C.A</v>
          </cell>
          <cell r="C1099" t="str">
            <v>INDEPENDIENTE</v>
          </cell>
          <cell r="D1099">
            <v>3</v>
          </cell>
          <cell r="F1099" t="str">
            <v>MARACAIBO</v>
          </cell>
          <cell r="G1099" t="str">
            <v>ADRIANA ALBORNOZ</v>
          </cell>
          <cell r="H1099"/>
          <cell r="I1099" t="str">
            <v>Q</v>
          </cell>
          <cell r="J1099" t="str">
            <v>Activo</v>
          </cell>
          <cell r="K1099">
            <v>24139.851974798217</v>
          </cell>
          <cell r="L1099">
            <v>2413.9851974798216</v>
          </cell>
          <cell r="M1099">
            <v>2670.8410333333336</v>
          </cell>
          <cell r="N1099" t="str">
            <v>Si Compra</v>
          </cell>
          <cell r="O1099">
            <v>10</v>
          </cell>
          <cell r="P1099">
            <v>39138.901578929821</v>
          </cell>
          <cell r="Q1099">
            <v>3913.8901578929822</v>
          </cell>
          <cell r="R1099">
            <v>3605.2826333333337</v>
          </cell>
          <cell r="V1099">
            <v>0.6167738746095458</v>
          </cell>
          <cell r="W1099">
            <v>9.2175284704622105E-5</v>
          </cell>
          <cell r="X1099">
            <v>10</v>
          </cell>
          <cell r="Y1099" t="str">
            <v>Proteger</v>
          </cell>
        </row>
        <row r="1100">
          <cell r="A1100" t="str">
            <v>6040</v>
          </cell>
          <cell r="B1100" t="str">
            <v>GRUPO CARRANO MARTHA</v>
          </cell>
          <cell r="C1100" t="str">
            <v>GRUPO</v>
          </cell>
          <cell r="D1100">
            <v>6</v>
          </cell>
          <cell r="E1100"/>
          <cell r="F1100" t="str">
            <v>MARACAIBO</v>
          </cell>
          <cell r="H1100"/>
          <cell r="I1100"/>
          <cell r="J1100" t="str">
            <v>Activo</v>
          </cell>
          <cell r="K1100">
            <v>24107.556952541203</v>
          </cell>
          <cell r="L1100">
            <v>2410.7556952541204</v>
          </cell>
          <cell r="M1100">
            <v>2360.330608284341</v>
          </cell>
          <cell r="N1100" t="str">
            <v>Si Compra</v>
          </cell>
          <cell r="O1100">
            <v>10</v>
          </cell>
          <cell r="P1100">
            <v>83726.3439129818</v>
          </cell>
          <cell r="Q1100">
            <v>8372.6343912981793</v>
          </cell>
          <cell r="R1100">
            <v>6030.9087135263535</v>
          </cell>
          <cell r="S1100"/>
          <cell r="T1100"/>
          <cell r="U1100"/>
          <cell r="V1100">
            <v>0.28793275599847756</v>
          </cell>
          <cell r="W1100">
            <v>9.2051969827870169E-5</v>
          </cell>
          <cell r="X1100">
            <v>10</v>
          </cell>
          <cell r="Y1100" t="str">
            <v>Potenciar</v>
          </cell>
        </row>
        <row r="1101">
          <cell r="A1101" t="str">
            <v>C033</v>
          </cell>
          <cell r="B1101" t="str">
            <v>C033 - FARMACIA FENIX VALERA, C.A.</v>
          </cell>
          <cell r="C1101" t="str">
            <v>INDEPENDIENTE</v>
          </cell>
          <cell r="D1101">
            <v>3</v>
          </cell>
          <cell r="E1101"/>
          <cell r="F1101" t="str">
            <v>ANDES</v>
          </cell>
          <cell r="G1101" t="str">
            <v>MILAGRO BRICEñO</v>
          </cell>
          <cell r="H1101"/>
          <cell r="I1101" t="str">
            <v>G</v>
          </cell>
          <cell r="J1101" t="str">
            <v>Suspendido</v>
          </cell>
          <cell r="K1101">
            <v>24099.77189322561</v>
          </cell>
          <cell r="L1101">
            <v>2677.7524325806235</v>
          </cell>
          <cell r="M1101">
            <v>1658.4581251881993</v>
          </cell>
          <cell r="N1101" t="str">
            <v>Si Compra</v>
          </cell>
          <cell r="O1101">
            <v>9</v>
          </cell>
          <cell r="P1101">
            <v>83365.572391531721</v>
          </cell>
          <cell r="Q1101">
            <v>9262.8413768368573</v>
          </cell>
          <cell r="R1101">
            <v>10614.466390510375</v>
          </cell>
          <cell r="T1101"/>
          <cell r="U1101"/>
          <cell r="V1101">
            <v>0.28908542461676506</v>
          </cell>
          <cell r="W1101">
            <v>1.0224693718059825E-4</v>
          </cell>
          <cell r="X1101">
            <v>9</v>
          </cell>
          <cell r="Y1101" t="str">
            <v>Potenciar</v>
          </cell>
        </row>
        <row r="1102">
          <cell r="A1102" t="str">
            <v>S143</v>
          </cell>
          <cell r="B1102" t="str">
            <v>S143 - FARMACIA FARMA SALUD MAUROA C.A</v>
          </cell>
          <cell r="C1102" t="str">
            <v>INDEPENDIENTE</v>
          </cell>
          <cell r="D1102">
            <v>3</v>
          </cell>
          <cell r="F1102" t="str">
            <v>MARACAIBO</v>
          </cell>
          <cell r="G1102" t="str">
            <v>MARIA FUSELLA</v>
          </cell>
          <cell r="H1102"/>
          <cell r="I1102" t="str">
            <v>BZ</v>
          </cell>
          <cell r="J1102" t="str">
            <v>Activo</v>
          </cell>
          <cell r="K1102">
            <v>24076.642126359871</v>
          </cell>
          <cell r="L1102">
            <v>3439.5203037656961</v>
          </cell>
          <cell r="M1102">
            <v>2562.8555999999999</v>
          </cell>
          <cell r="N1102" t="str">
            <v>Si Compra</v>
          </cell>
          <cell r="O1102">
            <v>7</v>
          </cell>
          <cell r="P1102">
            <v>65645.362898066174</v>
          </cell>
          <cell r="Q1102">
            <v>9377.9089854380254</v>
          </cell>
          <cell r="R1102">
            <v>9102.4740999999995</v>
          </cell>
          <cell r="V1102">
            <v>0.36676836052755124</v>
          </cell>
          <cell r="W1102">
            <v>1.3133417867595745E-4</v>
          </cell>
          <cell r="X1102">
            <v>7</v>
          </cell>
          <cell r="Y1102" t="str">
            <v>Potenciar</v>
          </cell>
        </row>
        <row r="1103">
          <cell r="A1103" t="str">
            <v>1923</v>
          </cell>
          <cell r="B1103" t="str">
            <v>Alfredo Calderon - 2</v>
          </cell>
          <cell r="C1103" t="str">
            <v>CADENA</v>
          </cell>
          <cell r="D1103">
            <v>6</v>
          </cell>
          <cell r="E1103"/>
          <cell r="F1103" t="str">
            <v>ANDES</v>
          </cell>
          <cell r="H1103"/>
          <cell r="I1103"/>
          <cell r="J1103" t="str">
            <v>Inactivo</v>
          </cell>
          <cell r="K1103">
            <v>24061.56380910004</v>
          </cell>
          <cell r="L1103">
            <v>2406.1563809100039</v>
          </cell>
          <cell r="M1103">
            <v>2353.1968111631149</v>
          </cell>
          <cell r="N1103" t="str">
            <v>Si Compra</v>
          </cell>
          <cell r="O1103">
            <v>10</v>
          </cell>
          <cell r="P1103">
            <v>52381.939391884502</v>
          </cell>
          <cell r="Q1103">
            <v>5238.1939391884498</v>
          </cell>
          <cell r="R1103">
            <v>2898.3330392285902</v>
          </cell>
          <cell r="S1103"/>
          <cell r="T1103"/>
          <cell r="U1103"/>
          <cell r="V1103">
            <v>0.45934847179079213</v>
          </cell>
          <cell r="W1103">
            <v>9.1876350230219947E-5</v>
          </cell>
          <cell r="X1103">
            <v>10</v>
          </cell>
          <cell r="Y1103" t="str">
            <v>Potenciar</v>
          </cell>
        </row>
        <row r="1104">
          <cell r="A1104" t="str">
            <v>8553</v>
          </cell>
          <cell r="B1104" t="str">
            <v>MOSTAFA</v>
          </cell>
          <cell r="C1104" t="e">
            <v>#N/A</v>
          </cell>
          <cell r="D1104">
            <v>6</v>
          </cell>
          <cell r="E1104"/>
          <cell r="F1104" t="str">
            <v>ESTE</v>
          </cell>
          <cell r="H1104"/>
          <cell r="I1104"/>
          <cell r="J1104" t="str">
            <v>Activo</v>
          </cell>
          <cell r="K1104">
            <v>23988.764789473324</v>
          </cell>
          <cell r="L1104">
            <v>2398.8764789473325</v>
          </cell>
          <cell r="M1104">
            <v>1018.0894248260105</v>
          </cell>
          <cell r="N1104" t="str">
            <v>Si Compra</v>
          </cell>
          <cell r="O1104">
            <v>10</v>
          </cell>
          <cell r="P1104">
            <v>217917.79595784523</v>
          </cell>
          <cell r="Q1104">
            <v>21791.779595784523</v>
          </cell>
          <cell r="R1104">
            <v>16234.258896342033</v>
          </cell>
          <cell r="S1104"/>
          <cell r="T1104"/>
          <cell r="U1104"/>
          <cell r="V1104">
            <v>0.11008171537359801</v>
          </cell>
          <cell r="W1104">
            <v>9.1598375437030869E-5</v>
          </cell>
          <cell r="X1104">
            <v>10</v>
          </cell>
          <cell r="Y1104" t="str">
            <v>Conquistar</v>
          </cell>
        </row>
        <row r="1105">
          <cell r="A1105" t="str">
            <v>7161</v>
          </cell>
          <cell r="B1105" t="str">
            <v>7161 - FARMACIA FARMAMILAGROSA, C.A</v>
          </cell>
          <cell r="C1105" t="str">
            <v>INDEPENDIENTE</v>
          </cell>
          <cell r="D1105">
            <v>2</v>
          </cell>
          <cell r="E1105"/>
          <cell r="F1105" t="str">
            <v>CARACAS</v>
          </cell>
          <cell r="G1105" t="str">
            <v>RAMON SERRANO</v>
          </cell>
          <cell r="H1105"/>
          <cell r="I1105" t="str">
            <v>CB</v>
          </cell>
          <cell r="J1105" t="str">
            <v>Bloqueado</v>
          </cell>
          <cell r="K1105">
            <v>23950.434815386812</v>
          </cell>
          <cell r="L1105">
            <v>2661.1594239318679</v>
          </cell>
          <cell r="M1105">
            <v>71.191749999999999</v>
          </cell>
          <cell r="N1105" t="str">
            <v>Si Compra</v>
          </cell>
          <cell r="O1105">
            <v>9</v>
          </cell>
          <cell r="P1105">
            <v>37622.054435446647</v>
          </cell>
          <cell r="Q1105">
            <v>4180.2282706051828</v>
          </cell>
          <cell r="R1105">
            <v>875.04735000000005</v>
          </cell>
          <cell r="T1105"/>
          <cell r="U1105"/>
          <cell r="V1105">
            <v>0.63660624532033139</v>
          </cell>
          <cell r="W1105">
            <v>1.0161335197970221E-4</v>
          </cell>
          <cell r="X1105">
            <v>7</v>
          </cell>
          <cell r="Y1105" t="str">
            <v>Proteger</v>
          </cell>
        </row>
        <row r="1106">
          <cell r="A1106" t="str">
            <v>C190</v>
          </cell>
          <cell r="B1106" t="str">
            <v>C190 - FARMAREGALOS SAVIL,C.A.</v>
          </cell>
          <cell r="C1106" t="str">
            <v>INDEPENDIENTE</v>
          </cell>
          <cell r="D1106">
            <v>3</v>
          </cell>
          <cell r="E1106"/>
          <cell r="F1106" t="str">
            <v>CARACAS</v>
          </cell>
          <cell r="G1106" t="str">
            <v>RAMON SERRANO</v>
          </cell>
          <cell r="H1106"/>
          <cell r="I1106" t="str">
            <v>CB</v>
          </cell>
          <cell r="J1106" t="str">
            <v>Activo</v>
          </cell>
          <cell r="K1106">
            <v>23935.413375199201</v>
          </cell>
          <cell r="L1106">
            <v>2393.54133751992</v>
          </cell>
          <cell r="M1106">
            <v>2447.1991380919403</v>
          </cell>
          <cell r="N1106" t="str">
            <v>Si Compra</v>
          </cell>
          <cell r="O1106">
            <v>10</v>
          </cell>
          <cell r="P1106">
            <v>37378.401988179947</v>
          </cell>
          <cell r="Q1106">
            <v>3737.8401988179949</v>
          </cell>
          <cell r="R1106">
            <v>4143.2678627470541</v>
          </cell>
          <cell r="T1106"/>
          <cell r="U1106"/>
          <cell r="V1106">
            <v>0.64035411098548889</v>
          </cell>
          <cell r="W1106">
            <v>9.1394659117426016E-5</v>
          </cell>
          <cell r="X1106">
            <v>10</v>
          </cell>
          <cell r="Y1106" t="str">
            <v>Proteger</v>
          </cell>
        </row>
        <row r="1107">
          <cell r="A1107" t="str">
            <v>B289</v>
          </cell>
          <cell r="B1107" t="str">
            <v>3S PLUS</v>
          </cell>
          <cell r="C1107" t="str">
            <v>GRUPO</v>
          </cell>
          <cell r="D1107">
            <v>6</v>
          </cell>
          <cell r="E1107">
            <v>0</v>
          </cell>
          <cell r="F1107" t="str">
            <v>CENTRO OESTE</v>
          </cell>
          <cell r="G1107" t="str">
            <v/>
          </cell>
          <cell r="H1107" t="str">
            <v>HECTOR</v>
          </cell>
          <cell r="I1107">
            <v>0</v>
          </cell>
          <cell r="J1107" t="str">
            <v>Activo</v>
          </cell>
          <cell r="K1107">
            <v>23934.844158591837</v>
          </cell>
          <cell r="L1107">
            <v>2393.4844158591836</v>
          </cell>
          <cell r="M1107">
            <v>2003.9605666666666</v>
          </cell>
          <cell r="N1107" t="str">
            <v>Si Compra</v>
          </cell>
          <cell r="O1107">
            <v>10</v>
          </cell>
          <cell r="P1107">
            <v>118481.30119251709</v>
          </cell>
          <cell r="Q1107">
            <v>11848.130119251709</v>
          </cell>
          <cell r="R1107">
            <v>9937.3948333333319</v>
          </cell>
          <cell r="S1107">
            <v>3500</v>
          </cell>
          <cell r="T1107">
            <v>0</v>
          </cell>
          <cell r="U1107">
            <v>0</v>
          </cell>
          <cell r="V1107">
            <v>0.20201368416524013</v>
          </cell>
          <cell r="W1107">
            <v>9.1392485628421315E-5</v>
          </cell>
          <cell r="X1107">
            <v>10</v>
          </cell>
          <cell r="Y1107" t="str">
            <v>Conquistar</v>
          </cell>
        </row>
        <row r="1108">
          <cell r="A1108" t="str">
            <v>B092</v>
          </cell>
          <cell r="B1108" t="str">
            <v>B092 - DISTRIBUIDORA LA POPULAR DEL ZULIA, C.A.</v>
          </cell>
          <cell r="C1108" t="str">
            <v>INDEPENDIENTE</v>
          </cell>
          <cell r="D1108">
            <v>3</v>
          </cell>
          <cell r="E1108"/>
          <cell r="F1108" t="str">
            <v>MARACAIBO</v>
          </cell>
          <cell r="G1108" t="str">
            <v>JOEL JIMENEZ</v>
          </cell>
          <cell r="H1108"/>
          <cell r="I1108" t="str">
            <v>S1</v>
          </cell>
          <cell r="J1108" t="str">
            <v>Inactivo</v>
          </cell>
          <cell r="K1108">
            <v>23899.892200000002</v>
          </cell>
          <cell r="L1108">
            <v>2389.9892200000004</v>
          </cell>
          <cell r="M1108">
            <v>1543.8081000000002</v>
          </cell>
          <cell r="N1108" t="str">
            <v>Si Compra</v>
          </cell>
          <cell r="O1108">
            <v>10</v>
          </cell>
          <cell r="P1108">
            <v>164108.1557</v>
          </cell>
          <cell r="Q1108">
            <v>16410.815569999999</v>
          </cell>
          <cell r="R1108">
            <v>18471.829733333332</v>
          </cell>
          <cell r="T1108"/>
          <cell r="U1108"/>
          <cell r="V1108">
            <v>0.14563500575614602</v>
          </cell>
          <cell r="W1108">
            <v>9.1259025541857828E-5</v>
          </cell>
          <cell r="X1108">
            <v>10</v>
          </cell>
          <cell r="Y1108" t="str">
            <v>Conquistar</v>
          </cell>
        </row>
        <row r="1109">
          <cell r="A1109">
            <v>0</v>
          </cell>
          <cell r="B1109" t="str">
            <v>S316 - FARMA PLUS LOS PEDROS, C.A.</v>
          </cell>
          <cell r="C1109" t="e">
            <v>#N/A</v>
          </cell>
          <cell r="D1109">
            <v>0</v>
          </cell>
          <cell r="E1109"/>
          <cell r="F1109" t="str">
            <v>MARACAIBO</v>
          </cell>
          <cell r="G1109" t="str">
            <v>MARIA FUSELLA</v>
          </cell>
          <cell r="H1109"/>
          <cell r="I1109" t="str">
            <v>BZ</v>
          </cell>
          <cell r="J1109" t="str">
            <v>Activo</v>
          </cell>
          <cell r="K1109">
            <v>23892.863099999999</v>
          </cell>
          <cell r="L1109">
            <v>2389.28631</v>
          </cell>
          <cell r="M1109">
            <v>2170.0608333333334</v>
          </cell>
          <cell r="N1109" t="str">
            <v>Si Compra</v>
          </cell>
          <cell r="O1109">
            <v>10</v>
          </cell>
          <cell r="P1109">
            <v>59595.315699999992</v>
          </cell>
          <cell r="Q1109">
            <v>5959.5315699999992</v>
          </cell>
          <cell r="R1109">
            <v>5135.8216999999995</v>
          </cell>
          <cell r="T1109"/>
          <cell r="U1109"/>
          <cell r="V1109">
            <v>0.40091847520827889</v>
          </cell>
          <cell r="W1109">
            <v>9.123218572136538E-5</v>
          </cell>
          <cell r="X1109">
            <v>10</v>
          </cell>
          <cell r="Y1109" t="str">
            <v>Potenciar</v>
          </cell>
        </row>
        <row r="1110">
          <cell r="A1110" t="str">
            <v>D219</v>
          </cell>
          <cell r="B1110" t="str">
            <v>D219 - FARMACIA TU BENDICION C.A,</v>
          </cell>
          <cell r="C1110" t="str">
            <v>INDEPENDIENTE</v>
          </cell>
          <cell r="D1110">
            <v>3</v>
          </cell>
          <cell r="E1110"/>
          <cell r="F1110" t="str">
            <v>ESTE</v>
          </cell>
          <cell r="G1110" t="str">
            <v>IRAIDA RODRIGUEZ</v>
          </cell>
          <cell r="H1110"/>
          <cell r="I1110" t="str">
            <v>AB</v>
          </cell>
          <cell r="J1110" t="str">
            <v>Activo</v>
          </cell>
          <cell r="K1110">
            <v>23847.176947648022</v>
          </cell>
          <cell r="L1110">
            <v>2384.7176947648022</v>
          </cell>
          <cell r="M1110">
            <v>1822.4600333333335</v>
          </cell>
          <cell r="N1110" t="str">
            <v>Si Compra</v>
          </cell>
          <cell r="O1110">
            <v>10</v>
          </cell>
          <cell r="P1110">
            <v>62244.014028785714</v>
          </cell>
          <cell r="Q1110">
            <v>6224.4014028785714</v>
          </cell>
          <cell r="R1110">
            <v>5588.7918</v>
          </cell>
          <cell r="T1110"/>
          <cell r="U1110"/>
          <cell r="V1110">
            <v>0.38312402115678984</v>
          </cell>
          <cell r="W1110">
            <v>9.105773833434335E-5</v>
          </cell>
          <cell r="X1110">
            <v>10</v>
          </cell>
          <cell r="Y1110" t="str">
            <v>Potenciar</v>
          </cell>
        </row>
        <row r="1111">
          <cell r="A1111" t="str">
            <v>9247</v>
          </cell>
          <cell r="B1111" t="str">
            <v>9247 - FARMACIA D &amp; G , C.A</v>
          </cell>
          <cell r="C1111" t="str">
            <v>INDEPENDIENTE</v>
          </cell>
          <cell r="D1111">
            <v>0</v>
          </cell>
          <cell r="E1111"/>
          <cell r="F1111" t="str">
            <v>CENTRO OESTE</v>
          </cell>
          <cell r="G1111" t="str">
            <v>JOSE LUIS GARCIA</v>
          </cell>
          <cell r="H1111"/>
          <cell r="I1111" t="str">
            <v>Y</v>
          </cell>
          <cell r="J1111" t="str">
            <v>Bloqueado</v>
          </cell>
          <cell r="K1111">
            <v>23835.978789987563</v>
          </cell>
          <cell r="L1111">
            <v>3405.1398271410803</v>
          </cell>
          <cell r="M1111">
            <v>0</v>
          </cell>
          <cell r="N1111" t="str">
            <v>No Compra</v>
          </cell>
          <cell r="O1111">
            <v>7</v>
          </cell>
          <cell r="P1111">
            <v>150055.10085842016</v>
          </cell>
          <cell r="Q1111">
            <v>21436.442979774311</v>
          </cell>
          <cell r="R1111">
            <v>0</v>
          </cell>
          <cell r="T1111"/>
          <cell r="U1111"/>
          <cell r="V1111">
            <v>0.1588481741282308</v>
          </cell>
          <cell r="W1111">
            <v>1.3002139920056423E-4</v>
          </cell>
          <cell r="X1111">
            <v>7</v>
          </cell>
          <cell r="Y1111" t="str">
            <v>Conquistar</v>
          </cell>
        </row>
        <row r="1112">
          <cell r="A1112" t="str">
            <v>7664</v>
          </cell>
          <cell r="B1112" t="str">
            <v>7664 - FARMACIA MIRLOUR,C.A</v>
          </cell>
          <cell r="C1112" t="str">
            <v>INDEPENDIENTE</v>
          </cell>
          <cell r="D1112">
            <v>3</v>
          </cell>
          <cell r="E1112"/>
          <cell r="F1112" t="str">
            <v>CENTRO ESTE</v>
          </cell>
          <cell r="G1112" t="str">
            <v>LAURA FLORES</v>
          </cell>
          <cell r="H1112"/>
          <cell r="I1112" t="str">
            <v>+</v>
          </cell>
          <cell r="J1112" t="str">
            <v>Activo</v>
          </cell>
          <cell r="K1112">
            <v>23811.111305006358</v>
          </cell>
          <cell r="L1112">
            <v>2381.1111305006357</v>
          </cell>
          <cell r="M1112">
            <v>1038.8409666666666</v>
          </cell>
          <cell r="N1112" t="str">
            <v>Si Compra</v>
          </cell>
          <cell r="O1112">
            <v>10</v>
          </cell>
          <cell r="P1112">
            <v>95537.707622294984</v>
          </cell>
          <cell r="Q1112">
            <v>9553.7707622294984</v>
          </cell>
          <cell r="R1112">
            <v>7583.5499666666665</v>
          </cell>
          <cell r="T1112"/>
          <cell r="U1112"/>
          <cell r="V1112">
            <v>0.24923260037955652</v>
          </cell>
          <cell r="W1112">
            <v>9.0920025771647393E-5</v>
          </cell>
          <cell r="X1112">
            <v>10</v>
          </cell>
          <cell r="Y1112" t="str">
            <v>Potenciar</v>
          </cell>
        </row>
        <row r="1113">
          <cell r="A1113" t="str">
            <v>4411</v>
          </cell>
          <cell r="B1113" t="str">
            <v>BECA</v>
          </cell>
          <cell r="C1113" t="str">
            <v>GRUPO</v>
          </cell>
          <cell r="D1113">
            <v>3</v>
          </cell>
          <cell r="E1113"/>
          <cell r="F1113" t="str">
            <v>CARACAS</v>
          </cell>
          <cell r="H1113"/>
          <cell r="I1113"/>
          <cell r="J1113" t="str">
            <v>Activo</v>
          </cell>
          <cell r="K1113">
            <v>23801.650008871755</v>
          </cell>
          <cell r="L1113">
            <v>2644.6277787635281</v>
          </cell>
          <cell r="M1113">
            <v>1811.4344722763337</v>
          </cell>
          <cell r="N1113" t="str">
            <v>Si Compra</v>
          </cell>
          <cell r="O1113">
            <v>9</v>
          </cell>
          <cell r="P1113">
            <v>77687.381008521726</v>
          </cell>
          <cell r="Q1113">
            <v>8631.9312231690801</v>
          </cell>
          <cell r="R1113">
            <v>1916.6247749555282</v>
          </cell>
          <cell r="S1113"/>
          <cell r="T1113"/>
          <cell r="U1113"/>
          <cell r="V1113">
            <v>0.30637729963198129</v>
          </cell>
          <cell r="W1113">
            <v>1.0098210987365353E-4</v>
          </cell>
          <cell r="X1113">
            <v>8</v>
          </cell>
          <cell r="Y1113" t="str">
            <v>Potenciar</v>
          </cell>
        </row>
        <row r="1114">
          <cell r="A1114" t="str">
            <v>D456</v>
          </cell>
          <cell r="B1114" t="str">
            <v>D456 - FARMACIA WORLD MARKET, C.A</v>
          </cell>
          <cell r="C1114" t="str">
            <v>INDEPENDIENTE</v>
          </cell>
          <cell r="D1114">
            <v>3</v>
          </cell>
          <cell r="E1114"/>
          <cell r="F1114" t="str">
            <v>MARACAIBO</v>
          </cell>
          <cell r="G1114" t="str">
            <v>MARIA FUSELLA</v>
          </cell>
          <cell r="H1114"/>
          <cell r="I1114" t="str">
            <v>BZ</v>
          </cell>
          <cell r="J1114" t="str">
            <v>Activo</v>
          </cell>
          <cell r="K1114">
            <v>23778.04234240545</v>
          </cell>
          <cell r="L1114">
            <v>2377.8042342405452</v>
          </cell>
          <cell r="M1114">
            <v>1666.9556999999998</v>
          </cell>
          <cell r="N1114" t="str">
            <v>Si Compra</v>
          </cell>
          <cell r="O1114">
            <v>10</v>
          </cell>
          <cell r="P1114">
            <v>2115728.0514610219</v>
          </cell>
          <cell r="Q1114">
            <v>211572.80514610218</v>
          </cell>
          <cell r="R1114">
            <v>240755.97523333333</v>
          </cell>
          <cell r="T1114"/>
          <cell r="U1114"/>
          <cell r="V1114">
            <v>1.1238704485666511E-2</v>
          </cell>
          <cell r="W1114">
            <v>9.0793755691540549E-5</v>
          </cell>
          <cell r="X1114">
            <v>10</v>
          </cell>
          <cell r="Y1114" t="str">
            <v>Conquistar</v>
          </cell>
        </row>
        <row r="1115">
          <cell r="A1115" t="str">
            <v>P59</v>
          </cell>
          <cell r="B1115" t="str">
            <v>P59 - FARMA DESCUENTO CARORA C.A.</v>
          </cell>
          <cell r="C1115" t="str">
            <v>INDEPENDIENTE</v>
          </cell>
          <cell r="D1115">
            <v>3</v>
          </cell>
          <cell r="F1115" t="str">
            <v>CENTRO OESTE</v>
          </cell>
          <cell r="G1115" t="str">
            <v>DIEGO TORI</v>
          </cell>
          <cell r="H1115"/>
          <cell r="I1115" t="str">
            <v xml:space="preserve">A </v>
          </cell>
          <cell r="J1115" t="str">
            <v>Activo</v>
          </cell>
          <cell r="K1115">
            <v>23762.947109749239</v>
          </cell>
          <cell r="L1115">
            <v>2376.2947109749239</v>
          </cell>
          <cell r="M1115">
            <v>1650.2521435789174</v>
          </cell>
          <cell r="N1115" t="str">
            <v>Si Compra</v>
          </cell>
          <cell r="O1115">
            <v>10</v>
          </cell>
          <cell r="P1115">
            <v>74422.408677847503</v>
          </cell>
          <cell r="Q1115">
            <v>7442.2408677847507</v>
          </cell>
          <cell r="R1115">
            <v>6775.9768032791153</v>
          </cell>
          <cell r="V1115">
            <v>0.31929828034204022</v>
          </cell>
          <cell r="W1115">
            <v>9.0736116259069232E-5</v>
          </cell>
          <cell r="X1115">
            <v>10</v>
          </cell>
          <cell r="Y1115" t="str">
            <v>Potenciar</v>
          </cell>
        </row>
        <row r="1116">
          <cell r="A1116" t="str">
            <v>D471</v>
          </cell>
          <cell r="B1116" t="str">
            <v>AHORROFARMA</v>
          </cell>
          <cell r="C1116" t="str">
            <v>GRUPO</v>
          </cell>
          <cell r="D1116">
            <v>6</v>
          </cell>
          <cell r="E1116">
            <v>0</v>
          </cell>
          <cell r="F1116" t="str">
            <v>ESTE</v>
          </cell>
          <cell r="G1116" t="str">
            <v>JOSE RAMIREZ</v>
          </cell>
          <cell r="H1116" t="str">
            <v>HECTOR</v>
          </cell>
          <cell r="I1116" t="str">
            <v>A4</v>
          </cell>
          <cell r="J1116" t="str">
            <v>Inactivo</v>
          </cell>
          <cell r="K1116">
            <v>23719.2199</v>
          </cell>
          <cell r="L1116">
            <v>2635.4688777777778</v>
          </cell>
          <cell r="M1116">
            <v>2380.239133333333</v>
          </cell>
          <cell r="N1116" t="str">
            <v>Si Compra</v>
          </cell>
          <cell r="O1116">
            <v>9</v>
          </cell>
          <cell r="P1116">
            <v>1547942.7686000001</v>
          </cell>
          <cell r="Q1116">
            <v>171993.64095555557</v>
          </cell>
          <cell r="R1116">
            <v>251340.61306666667</v>
          </cell>
          <cell r="S1116">
            <v>14500</v>
          </cell>
          <cell r="T1116">
            <v>4</v>
          </cell>
          <cell r="U1116">
            <v>4</v>
          </cell>
          <cell r="V1116">
            <v>1.5323059987193377E-2</v>
          </cell>
          <cell r="W1116">
            <v>1.0063238763557836E-4</v>
          </cell>
          <cell r="X1116">
            <v>9</v>
          </cell>
          <cell r="Y1116" t="str">
            <v>Conquistar</v>
          </cell>
        </row>
        <row r="1117">
          <cell r="A1117" t="str">
            <v>D461</v>
          </cell>
          <cell r="B1117" t="str">
            <v>D461 - CORPORACION MAXICONSUMO C.A.</v>
          </cell>
          <cell r="C1117" t="str">
            <v>INDEPENDIENTE</v>
          </cell>
          <cell r="D1117">
            <v>2</v>
          </cell>
          <cell r="E1117"/>
          <cell r="F1117" t="str">
            <v>ESTE</v>
          </cell>
          <cell r="G1117">
            <v>0</v>
          </cell>
          <cell r="H1117"/>
          <cell r="I1117" t="str">
            <v>A2</v>
          </cell>
          <cell r="J1117" t="str">
            <v>Activo</v>
          </cell>
          <cell r="K1117">
            <v>23675.451758086681</v>
          </cell>
          <cell r="L1117">
            <v>2630.60575089852</v>
          </cell>
          <cell r="M1117">
            <v>1251.3384000000001</v>
          </cell>
          <cell r="N1117" t="str">
            <v>Si Compra</v>
          </cell>
          <cell r="O1117">
            <v>9</v>
          </cell>
          <cell r="P1117">
            <v>0</v>
          </cell>
          <cell r="Q1117">
            <v>0</v>
          </cell>
          <cell r="R1117">
            <v>0</v>
          </cell>
          <cell r="T1117"/>
          <cell r="U1117"/>
          <cell r="V1117">
            <v>0</v>
          </cell>
          <cell r="W1117">
            <v>1.0044669465572154E-4</v>
          </cell>
          <cell r="X1117">
            <v>0</v>
          </cell>
          <cell r="Y1117" t="str">
            <v>Conquistar</v>
          </cell>
        </row>
        <row r="1118">
          <cell r="A1118" t="str">
            <v>5772</v>
          </cell>
          <cell r="B1118" t="str">
            <v>GRUPO MARCO LONDOÑO</v>
          </cell>
          <cell r="C1118" t="str">
            <v>GRUPO</v>
          </cell>
          <cell r="D1118">
            <v>22</v>
          </cell>
          <cell r="E1118">
            <v>0</v>
          </cell>
          <cell r="F1118" t="str">
            <v>MARACAIBO</v>
          </cell>
          <cell r="G1118" t="str">
            <v/>
          </cell>
          <cell r="H1118" t="str">
            <v>VICTOR</v>
          </cell>
          <cell r="I1118">
            <v>0</v>
          </cell>
          <cell r="J1118" t="str">
            <v>Activo</v>
          </cell>
          <cell r="K1118">
            <v>23667.814537815826</v>
          </cell>
          <cell r="L1118">
            <v>2366.7814537815825</v>
          </cell>
          <cell r="M1118">
            <v>4666.4657549084131</v>
          </cell>
          <cell r="N1118" t="str">
            <v>Si Compra</v>
          </cell>
          <cell r="O1118">
            <v>9</v>
          </cell>
          <cell r="P1118">
            <v>576155.91174178256</v>
          </cell>
          <cell r="Q1118">
            <v>64017.323526864726</v>
          </cell>
          <cell r="R1118">
            <v>66214.319366666678</v>
          </cell>
          <cell r="S1118">
            <v>0</v>
          </cell>
          <cell r="T1118">
            <v>0</v>
          </cell>
          <cell r="U1118">
            <v>0</v>
          </cell>
          <cell r="V1118">
            <v>3.6970952913836952E-2</v>
          </cell>
          <cell r="W1118">
            <v>9.0372863331429087E-5</v>
          </cell>
          <cell r="X1118">
            <v>9</v>
          </cell>
          <cell r="Y1118" t="str">
            <v>Conquistar</v>
          </cell>
        </row>
        <row r="1119">
          <cell r="A1119" t="str">
            <v>D877</v>
          </cell>
          <cell r="B1119" t="str">
            <v>D877 - FARMACIA DOÑA PASTORA, C.A</v>
          </cell>
          <cell r="C1119" t="str">
            <v>INDEPENDIENTE</v>
          </cell>
          <cell r="D1119">
            <v>3</v>
          </cell>
          <cell r="E1119"/>
          <cell r="F1119" t="str">
            <v>CENTRO OESTE</v>
          </cell>
          <cell r="G1119" t="str">
            <v>SORALI SILVA</v>
          </cell>
          <cell r="H1119" t="str">
            <v>HECTOR</v>
          </cell>
          <cell r="I1119" t="str">
            <v>C</v>
          </cell>
          <cell r="J1119" t="str">
            <v>Activo</v>
          </cell>
          <cell r="K1119">
            <v>23638.881172707948</v>
          </cell>
          <cell r="L1119">
            <v>2363.8881172707947</v>
          </cell>
          <cell r="M1119">
            <v>1448.4023853106737</v>
          </cell>
          <cell r="N1119" t="str">
            <v>Si Compra</v>
          </cell>
          <cell r="O1119">
            <v>10</v>
          </cell>
          <cell r="P1119">
            <v>68779.343092138704</v>
          </cell>
          <cell r="Q1119">
            <v>6877.9343092138706</v>
          </cell>
          <cell r="R1119">
            <v>8177.3242044785538</v>
          </cell>
          <cell r="T1119"/>
          <cell r="U1119"/>
          <cell r="V1119">
            <v>0.34369158107603104</v>
          </cell>
          <cell r="W1119">
            <v>9.0262384560926856E-5</v>
          </cell>
          <cell r="X1119">
            <v>10</v>
          </cell>
          <cell r="Y1119" t="str">
            <v>Potenciar</v>
          </cell>
        </row>
        <row r="1120">
          <cell r="A1120">
            <v>0</v>
          </cell>
          <cell r="B1120" t="str">
            <v>S380 - FARMACIA MULTIFARMACIA LEVITAS C.A.</v>
          </cell>
          <cell r="C1120" t="e">
            <v>#N/A</v>
          </cell>
          <cell r="D1120">
            <v>0</v>
          </cell>
          <cell r="E1120"/>
          <cell r="F1120" t="str">
            <v>ESTE</v>
          </cell>
          <cell r="G1120" t="str">
            <v>CARLOS BLONDELL</v>
          </cell>
          <cell r="H1120" t="str">
            <v>HECTOR</v>
          </cell>
          <cell r="I1120" t="str">
            <v>A5</v>
          </cell>
          <cell r="J1120" t="str">
            <v>Inactivo</v>
          </cell>
          <cell r="K1120">
            <v>23614.925706550883</v>
          </cell>
          <cell r="L1120">
            <v>2361.4925706550885</v>
          </cell>
          <cell r="M1120">
            <v>1392.4471999999998</v>
          </cell>
          <cell r="N1120" t="str">
            <v>Si Compra</v>
          </cell>
          <cell r="O1120">
            <v>10</v>
          </cell>
          <cell r="P1120">
            <v>383899.49458940921</v>
          </cell>
          <cell r="Q1120">
            <v>38389.949458940922</v>
          </cell>
          <cell r="R1120">
            <v>44649.975666666665</v>
          </cell>
          <cell r="T1120"/>
          <cell r="U1120"/>
          <cell r="V1120">
            <v>6.1513302412152637E-2</v>
          </cell>
          <cell r="W1120">
            <v>9.017091333253803E-5</v>
          </cell>
          <cell r="X1120">
            <v>10</v>
          </cell>
          <cell r="Y1120" t="str">
            <v>Conquistar</v>
          </cell>
        </row>
        <row r="1121">
          <cell r="A1121" t="str">
            <v>8101</v>
          </cell>
          <cell r="B1121" t="str">
            <v>8101 - FARMACIA ALTAMIRA  NORTE C.A</v>
          </cell>
          <cell r="C1121" t="str">
            <v>INDEPENDIENTE</v>
          </cell>
          <cell r="D1121">
            <v>3</v>
          </cell>
          <cell r="E1121"/>
          <cell r="F1121" t="str">
            <v>CARACAS</v>
          </cell>
          <cell r="G1121" t="str">
            <v>MAIRUBI QUIJADA</v>
          </cell>
          <cell r="H1121"/>
          <cell r="I1121" t="str">
            <v>C2</v>
          </cell>
          <cell r="J1121" t="str">
            <v>Activo</v>
          </cell>
          <cell r="K1121">
            <v>23591.573248930916</v>
          </cell>
          <cell r="L1121">
            <v>2359.1573248930918</v>
          </cell>
          <cell r="M1121">
            <v>2254.2714333333333</v>
          </cell>
          <cell r="N1121" t="str">
            <v>Si Compra</v>
          </cell>
          <cell r="O1121">
            <v>10</v>
          </cell>
          <cell r="P1121">
            <v>228866.87332204165</v>
          </cell>
          <cell r="Q1121">
            <v>22886.687332204165</v>
          </cell>
          <cell r="R1121">
            <v>54351.680833333339</v>
          </cell>
          <cell r="T1121"/>
          <cell r="U1121"/>
          <cell r="V1121">
            <v>0.10307989490350969</v>
          </cell>
          <cell r="W1121">
            <v>9.0081744623801943E-5</v>
          </cell>
          <cell r="X1121">
            <v>10</v>
          </cell>
          <cell r="Y1121" t="str">
            <v>Conquistar</v>
          </cell>
        </row>
        <row r="1122">
          <cell r="A1122" t="str">
            <v>B754</v>
          </cell>
          <cell r="B1122" t="str">
            <v>B754 - EXPENDIO DE MEDICINAS SANTA ANA, C.A.</v>
          </cell>
          <cell r="C1122" t="str">
            <v>INDEPENDIENTE</v>
          </cell>
          <cell r="D1122">
            <v>2</v>
          </cell>
          <cell r="E1122"/>
          <cell r="F1122" t="str">
            <v>ANDES</v>
          </cell>
          <cell r="G1122" t="str">
            <v>MILAGRO BRICEñO</v>
          </cell>
          <cell r="H1122"/>
          <cell r="I1122" t="str">
            <v xml:space="preserve">G </v>
          </cell>
          <cell r="J1122" t="str">
            <v>Inactivo</v>
          </cell>
          <cell r="K1122">
            <v>23569.118963767462</v>
          </cell>
          <cell r="L1122">
            <v>2618.7909959741623</v>
          </cell>
          <cell r="M1122">
            <v>2756.70705</v>
          </cell>
          <cell r="N1122" t="str">
            <v>Si Compra</v>
          </cell>
          <cell r="O1122">
            <v>9</v>
          </cell>
          <cell r="P1122">
            <v>46171.146158262491</v>
          </cell>
          <cell r="Q1122">
            <v>5130.1273509180546</v>
          </cell>
          <cell r="R1122">
            <v>4714.8276500000002</v>
          </cell>
          <cell r="T1122"/>
          <cell r="U1122"/>
          <cell r="V1122">
            <v>0.51047290190671779</v>
          </cell>
          <cell r="W1122">
            <v>9.9995561649601644E-5</v>
          </cell>
          <cell r="X1122">
            <v>9</v>
          </cell>
          <cell r="Y1122" t="str">
            <v>Potenciar</v>
          </cell>
        </row>
        <row r="1123">
          <cell r="A1123" t="str">
            <v>E146</v>
          </cell>
          <cell r="B1123" t="str">
            <v>ATLANTIS</v>
          </cell>
          <cell r="C1123" t="e">
            <v>#N/A</v>
          </cell>
          <cell r="D1123">
            <v>6</v>
          </cell>
          <cell r="E1123"/>
          <cell r="F1123" t="str">
            <v>ANDES</v>
          </cell>
          <cell r="H1123"/>
          <cell r="I1123"/>
          <cell r="J1123" t="str">
            <v>Activo</v>
          </cell>
          <cell r="K1123">
            <v>23558.282453948712</v>
          </cell>
          <cell r="L1123">
            <v>2944.785306743589</v>
          </cell>
          <cell r="M1123">
            <v>3624.2143596342976</v>
          </cell>
          <cell r="N1123" t="str">
            <v>Si Compra</v>
          </cell>
          <cell r="O1123">
            <v>8</v>
          </cell>
          <cell r="P1123">
            <v>0</v>
          </cell>
          <cell r="Q1123">
            <v>0</v>
          </cell>
          <cell r="R1123">
            <v>0</v>
          </cell>
          <cell r="S1123"/>
          <cell r="T1123"/>
          <cell r="U1123"/>
          <cell r="V1123">
            <v>0</v>
          </cell>
          <cell r="W1123">
            <v>1.1244328437740852E-4</v>
          </cell>
          <cell r="X1123">
            <v>0</v>
          </cell>
          <cell r="Y1123" t="str">
            <v>Conquistar</v>
          </cell>
        </row>
        <row r="1124">
          <cell r="A1124" t="str">
            <v>B960</v>
          </cell>
          <cell r="B1124" t="str">
            <v>B960 - SUPER FARMACIA, C.A.</v>
          </cell>
          <cell r="C1124" t="str">
            <v>INDEPENDIENTE</v>
          </cell>
          <cell r="D1124">
            <v>2</v>
          </cell>
          <cell r="E1124"/>
          <cell r="F1124" t="str">
            <v>CARACAS</v>
          </cell>
          <cell r="G1124" t="str">
            <v>RAMON SERRANO</v>
          </cell>
          <cell r="H1124" t="str">
            <v>VICTOR</v>
          </cell>
          <cell r="I1124" t="str">
            <v>CB</v>
          </cell>
          <cell r="J1124" t="str">
            <v>Activo</v>
          </cell>
          <cell r="K1124">
            <v>23555.529722474523</v>
          </cell>
          <cell r="L1124">
            <v>3365.0756746392176</v>
          </cell>
          <cell r="M1124">
            <v>3895.3528806174336</v>
          </cell>
          <cell r="N1124" t="str">
            <v>Si Compra</v>
          </cell>
          <cell r="O1124">
            <v>7</v>
          </cell>
          <cell r="P1124">
            <v>34872.607878101822</v>
          </cell>
          <cell r="Q1124">
            <v>4981.8011254431176</v>
          </cell>
          <cell r="R1124">
            <v>5471.4774108985257</v>
          </cell>
          <cell r="T1124"/>
          <cell r="U1124"/>
          <cell r="V1124">
            <v>0.67547370718053368</v>
          </cell>
          <cell r="W1124">
            <v>1.2849159501321296E-4</v>
          </cell>
          <cell r="X1124">
            <v>7</v>
          </cell>
          <cell r="Y1124" t="str">
            <v>Proteger</v>
          </cell>
        </row>
        <row r="1125">
          <cell r="A1125" t="str">
            <v>A524</v>
          </cell>
          <cell r="B1125" t="str">
            <v>A524 - FARMACIAS FARMAMAS+, C.A.</v>
          </cell>
          <cell r="C1125" t="str">
            <v>INDEPENDIENTE</v>
          </cell>
          <cell r="D1125">
            <v>3</v>
          </cell>
          <cell r="E1125"/>
          <cell r="F1125" t="str">
            <v>CENTRO OESTE</v>
          </cell>
          <cell r="G1125" t="str">
            <v>LUIS PLACERES</v>
          </cell>
          <cell r="H1125"/>
          <cell r="I1125" t="str">
            <v>E</v>
          </cell>
          <cell r="J1125" t="str">
            <v>Inactivo</v>
          </cell>
          <cell r="K1125">
            <v>23365.655211641777</v>
          </cell>
          <cell r="L1125">
            <v>2336.5655211641779</v>
          </cell>
          <cell r="M1125">
            <v>2459.2931685073831</v>
          </cell>
          <cell r="N1125" t="str">
            <v>Si Compra</v>
          </cell>
          <cell r="O1125">
            <v>10</v>
          </cell>
          <cell r="P1125">
            <v>56401.807295063983</v>
          </cell>
          <cell r="Q1125">
            <v>5640.1807295063982</v>
          </cell>
          <cell r="R1125">
            <v>6952.2873817557484</v>
          </cell>
          <cell r="T1125"/>
          <cell r="U1125"/>
          <cell r="V1125">
            <v>0.41427139186170425</v>
          </cell>
          <cell r="W1125">
            <v>8.921910224186954E-5</v>
          </cell>
          <cell r="X1125">
            <v>10</v>
          </cell>
          <cell r="Y1125" t="str">
            <v>Potenciar</v>
          </cell>
        </row>
        <row r="1126">
          <cell r="A1126" t="str">
            <v>E387</v>
          </cell>
          <cell r="B1126" t="str">
            <v>E387 - FARMA EXPRESS 24 CA</v>
          </cell>
          <cell r="C1126" t="e">
            <v>#N/A</v>
          </cell>
          <cell r="D1126">
            <v>3</v>
          </cell>
          <cell r="F1126" t="str">
            <v>ESTE</v>
          </cell>
          <cell r="G1126">
            <v>0</v>
          </cell>
          <cell r="H1126"/>
          <cell r="I1126" t="str">
            <v>AB</v>
          </cell>
          <cell r="J1126" t="str">
            <v>Inactivo</v>
          </cell>
          <cell r="K1126">
            <v>23351.007616831612</v>
          </cell>
          <cell r="L1126">
            <v>3891.8346028052688</v>
          </cell>
          <cell r="M1126">
            <v>3947.9862041998554</v>
          </cell>
          <cell r="N1126" t="str">
            <v>Si Compra</v>
          </cell>
          <cell r="O1126">
            <v>6</v>
          </cell>
          <cell r="P1126">
            <v>0</v>
          </cell>
          <cell r="Q1126">
            <v>0</v>
          </cell>
          <cell r="R1126">
            <v>0</v>
          </cell>
          <cell r="V1126">
            <v>0</v>
          </cell>
          <cell r="W1126">
            <v>1.4860528677283828E-4</v>
          </cell>
          <cell r="X1126">
            <v>0</v>
          </cell>
          <cell r="Y1126" t="str">
            <v>Conquistar</v>
          </cell>
        </row>
        <row r="1127">
          <cell r="A1127" t="str">
            <v>C344</v>
          </cell>
          <cell r="B1127" t="str">
            <v>C344 - FARMACIA AMERICANA, C.A.</v>
          </cell>
          <cell r="C1127" t="str">
            <v>INDEPENDIENTE</v>
          </cell>
          <cell r="D1127">
            <v>3</v>
          </cell>
          <cell r="E1127"/>
          <cell r="F1127" t="str">
            <v>ANDES</v>
          </cell>
          <cell r="G1127" t="str">
            <v>ANYERSSON TORRES</v>
          </cell>
          <cell r="H1127"/>
          <cell r="I1127" t="str">
            <v>4</v>
          </cell>
          <cell r="J1127" t="str">
            <v>Activo</v>
          </cell>
          <cell r="K1127">
            <v>23322.551696390961</v>
          </cell>
          <cell r="L1127">
            <v>2332.255169639096</v>
          </cell>
          <cell r="M1127">
            <v>1994.403969342947</v>
          </cell>
          <cell r="N1127" t="str">
            <v>Si Compra</v>
          </cell>
          <cell r="O1127">
            <v>10</v>
          </cell>
          <cell r="P1127">
            <v>49564.958544082161</v>
          </cell>
          <cell r="Q1127">
            <v>5507.2176160091294</v>
          </cell>
          <cell r="R1127">
            <v>8529.5671726762794</v>
          </cell>
          <cell r="T1127"/>
          <cell r="U1127"/>
          <cell r="V1127">
            <v>0.42349065031666433</v>
          </cell>
          <cell r="W1127">
            <v>8.905451636146886E-5</v>
          </cell>
          <cell r="X1127">
            <v>9</v>
          </cell>
          <cell r="Y1127" t="str">
            <v>Potenciar</v>
          </cell>
        </row>
        <row r="1128">
          <cell r="A1128" t="str">
            <v>B713</v>
          </cell>
          <cell r="B1128" t="str">
            <v>B713 - CORPORACION LIFE GREEN, C.A.</v>
          </cell>
          <cell r="C1128" t="str">
            <v>INDEPENDIENTE</v>
          </cell>
          <cell r="D1128">
            <v>3</v>
          </cell>
          <cell r="E1128"/>
          <cell r="F1128" t="str">
            <v>CARACAS</v>
          </cell>
          <cell r="G1128" t="str">
            <v>RAMON SERRANO</v>
          </cell>
          <cell r="H1128"/>
          <cell r="I1128" t="str">
            <v>CB</v>
          </cell>
          <cell r="J1128" t="str">
            <v>Activo</v>
          </cell>
          <cell r="K1128">
            <v>23299.423445255114</v>
          </cell>
          <cell r="L1128">
            <v>2329.9423445255115</v>
          </cell>
          <cell r="M1128">
            <v>935.37635213716112</v>
          </cell>
          <cell r="N1128" t="str">
            <v>Si Compra</v>
          </cell>
          <cell r="O1128">
            <v>10</v>
          </cell>
          <cell r="P1128">
            <v>97339.889918794346</v>
          </cell>
          <cell r="Q1128">
            <v>9733.9889918794343</v>
          </cell>
          <cell r="R1128">
            <v>6726.9908892657695</v>
          </cell>
          <cell r="T1128"/>
          <cell r="U1128"/>
          <cell r="V1128">
            <v>0.2393615142229216</v>
          </cell>
          <cell r="W1128">
            <v>8.8966203759743211E-5</v>
          </cell>
          <cell r="X1128">
            <v>10</v>
          </cell>
          <cell r="Y1128" t="str">
            <v>Potenciar</v>
          </cell>
        </row>
        <row r="1129">
          <cell r="A1129" t="str">
            <v>7782</v>
          </cell>
          <cell r="B1129" t="str">
            <v>7782 - FARMACIA FARMA PRIMERO, C.A</v>
          </cell>
          <cell r="C1129" t="str">
            <v>INDEPENDIENTE</v>
          </cell>
          <cell r="D1129">
            <v>3</v>
          </cell>
          <cell r="E1129"/>
          <cell r="F1129" t="str">
            <v>MARACAIBO</v>
          </cell>
          <cell r="G1129" t="str">
            <v>MARIA FUSELLA</v>
          </cell>
          <cell r="H1129"/>
          <cell r="I1129" t="str">
            <v>Z</v>
          </cell>
          <cell r="J1129" t="str">
            <v>Activo</v>
          </cell>
          <cell r="K1129">
            <v>23298.025634594524</v>
          </cell>
          <cell r="L1129">
            <v>2329.8025634594524</v>
          </cell>
          <cell r="M1129">
            <v>1500.1902965520214</v>
          </cell>
          <cell r="N1129" t="str">
            <v>Si Compra</v>
          </cell>
          <cell r="O1129">
            <v>10</v>
          </cell>
          <cell r="P1129">
            <v>26498.742624010923</v>
          </cell>
          <cell r="Q1129">
            <v>2944.3047360012138</v>
          </cell>
          <cell r="R1129">
            <v>1801.0631697303438</v>
          </cell>
          <cell r="T1129"/>
          <cell r="U1129"/>
          <cell r="V1129">
            <v>0.79129124610370893</v>
          </cell>
          <cell r="W1129">
            <v>8.896086637839813E-5</v>
          </cell>
          <cell r="X1129">
            <v>9</v>
          </cell>
          <cell r="Y1129" t="str">
            <v>Proteger</v>
          </cell>
        </row>
        <row r="1130">
          <cell r="A1130" t="str">
            <v>B069</v>
          </cell>
          <cell r="B1130" t="str">
            <v>NATUFARMA</v>
          </cell>
          <cell r="C1130" t="str">
            <v>GRUPO</v>
          </cell>
          <cell r="D1130">
            <v>6</v>
          </cell>
          <cell r="E1130"/>
          <cell r="F1130" t="str">
            <v>ANDES</v>
          </cell>
          <cell r="H1130"/>
          <cell r="I1130"/>
          <cell r="J1130" t="str">
            <v>Activo</v>
          </cell>
          <cell r="K1130">
            <v>23287.017314771725</v>
          </cell>
          <cell r="L1130">
            <v>2328.7017314771724</v>
          </cell>
          <cell r="M1130">
            <v>2565.0638949718777</v>
          </cell>
          <cell r="N1130" t="str">
            <v>Si Compra</v>
          </cell>
          <cell r="O1130">
            <v>10</v>
          </cell>
          <cell r="P1130">
            <v>62223.356786423094</v>
          </cell>
          <cell r="Q1130">
            <v>6222.3356786423092</v>
          </cell>
          <cell r="R1130">
            <v>1314.4021666666667</v>
          </cell>
          <cell r="S1130"/>
          <cell r="T1130"/>
          <cell r="U1130"/>
          <cell r="V1130">
            <v>0.37424881133788118</v>
          </cell>
          <cell r="W1130">
            <v>8.8918832358684776E-5</v>
          </cell>
          <cell r="X1130">
            <v>9</v>
          </cell>
          <cell r="Y1130" t="str">
            <v>Potenciar</v>
          </cell>
        </row>
        <row r="1131">
          <cell r="A1131" t="str">
            <v>D705</v>
          </cell>
          <cell r="B1131" t="str">
            <v>D705 - EXPENDIO FARMA CAR  DE YELITZA CAROLINA DE CARO DE CASTELLANOS , F.P</v>
          </cell>
          <cell r="C1131" t="str">
            <v>INDEPENDIENTE</v>
          </cell>
          <cell r="D1131">
            <v>3</v>
          </cell>
          <cell r="E1131"/>
          <cell r="F1131" t="str">
            <v>ANDES</v>
          </cell>
          <cell r="G1131">
            <v>0</v>
          </cell>
          <cell r="H1131"/>
          <cell r="I1131" t="str">
            <v>G1</v>
          </cell>
          <cell r="J1131" t="str">
            <v>Activo</v>
          </cell>
          <cell r="K1131">
            <v>23235.853461281087</v>
          </cell>
          <cell r="L1131">
            <v>2323.5853461281085</v>
          </cell>
          <cell r="M1131">
            <v>1825.1039000000001</v>
          </cell>
          <cell r="N1131" t="str">
            <v>Si Compra</v>
          </cell>
          <cell r="O1131">
            <v>10</v>
          </cell>
          <cell r="P1131">
            <v>0</v>
          </cell>
          <cell r="Q1131">
            <v>0</v>
          </cell>
          <cell r="R1131">
            <v>0</v>
          </cell>
          <cell r="T1131"/>
          <cell r="U1131"/>
          <cell r="V1131">
            <v>0</v>
          </cell>
          <cell r="W1131">
            <v>8.8723468991626483E-5</v>
          </cell>
          <cell r="X1131">
            <v>0</v>
          </cell>
          <cell r="Y1131" t="str">
            <v>Conquistar</v>
          </cell>
        </row>
        <row r="1132">
          <cell r="A1132" t="str">
            <v>9193</v>
          </cell>
          <cell r="B1132" t="str">
            <v>9193 - FARMACIA MAMA SABINA, C.A.</v>
          </cell>
          <cell r="C1132" t="str">
            <v>INDEPENDIENTE</v>
          </cell>
          <cell r="D1132">
            <v>3</v>
          </cell>
          <cell r="E1132"/>
          <cell r="F1132" t="str">
            <v>ANDES</v>
          </cell>
          <cell r="G1132" t="str">
            <v>RAYNE ANDREINA NAVA</v>
          </cell>
          <cell r="H1132"/>
          <cell r="I1132" t="str">
            <v>G1</v>
          </cell>
          <cell r="J1132" t="str">
            <v>Activo</v>
          </cell>
          <cell r="K1132">
            <v>23184.039869634609</v>
          </cell>
          <cell r="L1132">
            <v>2318.4039869634607</v>
          </cell>
          <cell r="M1132">
            <v>1916.9648914166439</v>
          </cell>
          <cell r="N1132" t="str">
            <v>Si Compra</v>
          </cell>
          <cell r="O1132">
            <v>10</v>
          </cell>
          <cell r="P1132">
            <v>30814.906133727269</v>
          </cell>
          <cell r="Q1132">
            <v>3081.4906133727268</v>
          </cell>
          <cell r="R1132">
            <v>1981.9184390985272</v>
          </cell>
          <cell r="T1132"/>
          <cell r="U1132"/>
          <cell r="V1132">
            <v>0.7523644488489748</v>
          </cell>
          <cell r="W1132">
            <v>8.8525624673170474E-5</v>
          </cell>
          <cell r="X1132">
            <v>10</v>
          </cell>
          <cell r="Y1132" t="str">
            <v>Proteger</v>
          </cell>
        </row>
        <row r="1133">
          <cell r="A1133">
            <v>0</v>
          </cell>
          <cell r="B1133" t="str">
            <v>S368 - FARMACIA PIE DE MONTE GUANARE (FARPIMOGUA), C.A</v>
          </cell>
          <cell r="C1133" t="e">
            <v>#N/A</v>
          </cell>
          <cell r="D1133">
            <v>0</v>
          </cell>
          <cell r="E1133"/>
          <cell r="F1133" t="str">
            <v>CENTRO OESTE</v>
          </cell>
          <cell r="G1133" t="str">
            <v>SORALI SILVA</v>
          </cell>
          <cell r="H1133"/>
          <cell r="I1133" t="str">
            <v>L</v>
          </cell>
          <cell r="J1133" t="str">
            <v>Activo</v>
          </cell>
          <cell r="K1133">
            <v>23119.128200000003</v>
          </cell>
          <cell r="L1133">
            <v>2311.9128200000005</v>
          </cell>
          <cell r="M1133">
            <v>3543.3102666666668</v>
          </cell>
          <cell r="N1133" t="str">
            <v>Si Compra</v>
          </cell>
          <cell r="O1133">
            <v>10</v>
          </cell>
          <cell r="P1133">
            <v>35235.869000000006</v>
          </cell>
          <cell r="Q1133">
            <v>3523.5869000000007</v>
          </cell>
          <cell r="R1133">
            <v>3492.0686666666666</v>
          </cell>
          <cell r="T1133"/>
          <cell r="U1133"/>
          <cell r="V1133">
            <v>0.65612481985331483</v>
          </cell>
          <cell r="W1133">
            <v>8.8277766830650623E-5</v>
          </cell>
          <cell r="X1133">
            <v>10</v>
          </cell>
          <cell r="Y1133" t="str">
            <v>Proteger</v>
          </cell>
        </row>
        <row r="1134">
          <cell r="A1134" t="str">
            <v>+59</v>
          </cell>
          <cell r="B1134" t="str">
            <v>+59 - FARMACIA LA BARRACA, C. A.</v>
          </cell>
          <cell r="C1134" t="str">
            <v>INDEPENDIENTE</v>
          </cell>
          <cell r="D1134">
            <v>3</v>
          </cell>
          <cell r="E1134"/>
          <cell r="F1134" t="str">
            <v>CENTRO ESTE</v>
          </cell>
          <cell r="G1134" t="str">
            <v>LAURA FLORES</v>
          </cell>
          <cell r="H1134"/>
          <cell r="I1134" t="str">
            <v>-</v>
          </cell>
          <cell r="J1134" t="str">
            <v>Activo</v>
          </cell>
          <cell r="K1134">
            <v>23109.600996332381</v>
          </cell>
          <cell r="L1134">
            <v>2310.9600996332383</v>
          </cell>
          <cell r="M1134">
            <v>2155.136970434618</v>
          </cell>
          <cell r="N1134" t="str">
            <v>Si Compra</v>
          </cell>
          <cell r="O1134">
            <v>10</v>
          </cell>
          <cell r="P1134">
            <v>26001.947830148281</v>
          </cell>
          <cell r="Q1134">
            <v>2600.1947830148283</v>
          </cell>
          <cell r="R1134">
            <v>2141.9728746834667</v>
          </cell>
          <cell r="T1134"/>
          <cell r="U1134"/>
          <cell r="V1134">
            <v>0.88876422440697567</v>
          </cell>
          <cell r="W1134">
            <v>8.8241388284857606E-5</v>
          </cell>
          <cell r="X1134">
            <v>10</v>
          </cell>
          <cell r="Y1134" t="str">
            <v>Proteger</v>
          </cell>
        </row>
        <row r="1135">
          <cell r="A1135" t="str">
            <v>A056</v>
          </cell>
          <cell r="B1135" t="str">
            <v>A056 - FARMACENTER PLUS SOCOPO, C.A.</v>
          </cell>
          <cell r="C1135" t="str">
            <v>INDEPENDIENTE</v>
          </cell>
          <cell r="D1135">
            <v>3</v>
          </cell>
          <cell r="E1135"/>
          <cell r="F1135" t="str">
            <v>CENTRO OESTE</v>
          </cell>
          <cell r="G1135" t="str">
            <v>LUIS PLACERES</v>
          </cell>
          <cell r="H1135" t="str">
            <v>HECTOR</v>
          </cell>
          <cell r="I1135" t="str">
            <v>E</v>
          </cell>
          <cell r="J1135" t="str">
            <v>Activo</v>
          </cell>
          <cell r="K1135">
            <v>23090.535564139853</v>
          </cell>
          <cell r="L1135">
            <v>2309.0535564139855</v>
          </cell>
          <cell r="M1135">
            <v>1333.8023000000001</v>
          </cell>
          <cell r="N1135" t="str">
            <v>Si Compra</v>
          </cell>
          <cell r="O1135">
            <v>10</v>
          </cell>
          <cell r="P1135">
            <v>113669.01046417037</v>
          </cell>
          <cell r="Q1135">
            <v>11366.901046417037</v>
          </cell>
          <cell r="R1135">
            <v>5791.2642666666661</v>
          </cell>
          <cell r="T1135"/>
          <cell r="U1135"/>
          <cell r="V1135">
            <v>0.20313835292353694</v>
          </cell>
          <cell r="W1135">
            <v>8.8168589096105434E-5</v>
          </cell>
          <cell r="X1135">
            <v>10</v>
          </cell>
          <cell r="Y1135" t="str">
            <v>Conquistar</v>
          </cell>
        </row>
        <row r="1136">
          <cell r="A1136" t="str">
            <v>D546</v>
          </cell>
          <cell r="B1136" t="str">
            <v>D546 - AMIKAL LABORATORIOS C.A.</v>
          </cell>
          <cell r="C1136" t="str">
            <v>INDEPENDIENTE</v>
          </cell>
          <cell r="D1136">
            <v>3</v>
          </cell>
          <cell r="E1136"/>
          <cell r="F1136" t="str">
            <v>ANDES</v>
          </cell>
          <cell r="G1136" t="str">
            <v>ANYERSSON TORRES</v>
          </cell>
          <cell r="H1136"/>
          <cell r="I1136" t="str">
            <v>4</v>
          </cell>
          <cell r="J1136" t="str">
            <v>Inactivo</v>
          </cell>
          <cell r="K1136">
            <v>23066.053334560216</v>
          </cell>
          <cell r="L1136">
            <v>2562.8948149511352</v>
          </cell>
          <cell r="M1136">
            <v>2233.4990000000003</v>
          </cell>
          <cell r="N1136" t="str">
            <v>Si Compra</v>
          </cell>
          <cell r="O1136">
            <v>9</v>
          </cell>
          <cell r="P1136">
            <v>34520.14239341845</v>
          </cell>
          <cell r="Q1136">
            <v>3835.5713770464945</v>
          </cell>
          <cell r="R1136">
            <v>2662.7105666666666</v>
          </cell>
          <cell r="T1136"/>
          <cell r="U1136"/>
          <cell r="V1136">
            <v>0.6681911410353264</v>
          </cell>
          <cell r="W1136">
            <v>9.7861229423754724E-5</v>
          </cell>
          <cell r="X1136">
            <v>9</v>
          </cell>
          <cell r="Y1136" t="str">
            <v>Proteger</v>
          </cell>
        </row>
        <row r="1137">
          <cell r="A1137" t="str">
            <v>2534</v>
          </cell>
          <cell r="B1137" t="str">
            <v>2534 - BOTICA EL ESTANQUE, C.A.</v>
          </cell>
          <cell r="C1137" t="str">
            <v>INDEPENDIENTE</v>
          </cell>
          <cell r="D1137">
            <v>3</v>
          </cell>
          <cell r="E1137"/>
          <cell r="F1137" t="str">
            <v>CARACAS</v>
          </cell>
          <cell r="G1137" t="str">
            <v>JHON TORRES</v>
          </cell>
          <cell r="H1137"/>
          <cell r="I1137" t="str">
            <v>C4</v>
          </cell>
          <cell r="J1137" t="str">
            <v>Activo</v>
          </cell>
          <cell r="K1137">
            <v>23038.240814229266</v>
          </cell>
          <cell r="L1137">
            <v>2303.8240814229266</v>
          </cell>
          <cell r="M1137">
            <v>2388.0378709426259</v>
          </cell>
          <cell r="N1137" t="str">
            <v>Si Compra</v>
          </cell>
          <cell r="O1137">
            <v>10</v>
          </cell>
          <cell r="P1137">
            <v>65150.409510783953</v>
          </cell>
          <cell r="Q1137">
            <v>6515.0409510783957</v>
          </cell>
          <cell r="R1137">
            <v>4626.5536903450029</v>
          </cell>
          <cell r="T1137"/>
          <cell r="U1137"/>
          <cell r="V1137">
            <v>0.35361620881931499</v>
          </cell>
          <cell r="W1137">
            <v>8.7968907529433109E-5</v>
          </cell>
          <cell r="X1137">
            <v>10</v>
          </cell>
          <cell r="Y1137" t="str">
            <v>Potenciar</v>
          </cell>
        </row>
        <row r="1138">
          <cell r="A1138" t="str">
            <v>D545</v>
          </cell>
          <cell r="B1138" t="str">
            <v>D545 - FARMACIA ROSALES ,C.A.</v>
          </cell>
          <cell r="C1138" t="str">
            <v>INDEPENDIENTE</v>
          </cell>
          <cell r="D1138">
            <v>3</v>
          </cell>
          <cell r="E1138"/>
          <cell r="F1138" t="str">
            <v>ANDES</v>
          </cell>
          <cell r="G1138" t="str">
            <v>JESUS CONTRERAS</v>
          </cell>
          <cell r="H1138"/>
          <cell r="I1138" t="str">
            <v>G2</v>
          </cell>
          <cell r="J1138" t="str">
            <v>Activo</v>
          </cell>
          <cell r="K1138">
            <v>23009.66830734914</v>
          </cell>
          <cell r="L1138">
            <v>2300.9668307349139</v>
          </cell>
          <cell r="M1138">
            <v>1852.6290728121367</v>
          </cell>
          <cell r="N1138" t="str">
            <v>Si Compra</v>
          </cell>
          <cell r="O1138">
            <v>10</v>
          </cell>
          <cell r="P1138">
            <v>33487.757515985744</v>
          </cell>
          <cell r="Q1138">
            <v>3348.7757515985745</v>
          </cell>
          <cell r="R1138">
            <v>2174.5458145833231</v>
          </cell>
          <cell r="T1138"/>
          <cell r="U1138"/>
          <cell r="V1138">
            <v>0.68710687170871987</v>
          </cell>
          <cell r="W1138">
            <v>8.7859806655113339E-5</v>
          </cell>
          <cell r="X1138">
            <v>10</v>
          </cell>
          <cell r="Y1138" t="str">
            <v>Proteger</v>
          </cell>
        </row>
        <row r="1139">
          <cell r="A1139" t="str">
            <v>8524</v>
          </cell>
          <cell r="B1139" t="str">
            <v>FARMALIDER 2011</v>
          </cell>
          <cell r="C1139" t="str">
            <v>CADENA</v>
          </cell>
          <cell r="D1139">
            <v>4</v>
          </cell>
          <cell r="E1139"/>
          <cell r="F1139" t="str">
            <v>ANDES</v>
          </cell>
          <cell r="H1139"/>
          <cell r="I1139"/>
          <cell r="J1139" t="str">
            <v>Suspendido</v>
          </cell>
          <cell r="K1139">
            <v>23002.165324763977</v>
          </cell>
          <cell r="L1139">
            <v>2875.2706655954971</v>
          </cell>
          <cell r="M1139">
            <v>4775.0625499999996</v>
          </cell>
          <cell r="N1139" t="str">
            <v>Si Compra</v>
          </cell>
          <cell r="O1139">
            <v>7</v>
          </cell>
          <cell r="P1139">
            <v>0</v>
          </cell>
          <cell r="Q1139">
            <v>0</v>
          </cell>
          <cell r="R1139">
            <v>0</v>
          </cell>
          <cell r="S1139"/>
          <cell r="T1139"/>
          <cell r="U1139"/>
          <cell r="V1139">
            <v>0</v>
          </cell>
          <cell r="W1139">
            <v>1.0978894670969854E-4</v>
          </cell>
          <cell r="X1139">
            <v>0</v>
          </cell>
          <cell r="Y1139" t="str">
            <v>Conquistar</v>
          </cell>
        </row>
        <row r="1140">
          <cell r="A1140" t="str">
            <v>6907</v>
          </cell>
          <cell r="B1140" t="str">
            <v>6907 - FARMAJUAN C.A</v>
          </cell>
          <cell r="C1140" t="str">
            <v>INDEPENDIENTE</v>
          </cell>
          <cell r="D1140">
            <v>3</v>
          </cell>
          <cell r="E1140"/>
          <cell r="F1140" t="str">
            <v>MARACAIBO</v>
          </cell>
          <cell r="G1140" t="str">
            <v>YENNIFER LUZARDO</v>
          </cell>
          <cell r="H1140"/>
          <cell r="I1140" t="str">
            <v>B</v>
          </cell>
          <cell r="J1140" t="str">
            <v>Inactivo</v>
          </cell>
          <cell r="K1140">
            <v>22968.57154357254</v>
          </cell>
          <cell r="L1140">
            <v>2296.8571543572539</v>
          </cell>
          <cell r="M1140">
            <v>1611.4625666666664</v>
          </cell>
          <cell r="N1140" t="str">
            <v>Si Compra</v>
          </cell>
          <cell r="O1140">
            <v>10</v>
          </cell>
          <cell r="P1140">
            <v>43186.355147970382</v>
          </cell>
          <cell r="Q1140">
            <v>4318.635514797038</v>
          </cell>
          <cell r="R1140">
            <v>3606.8650000000002</v>
          </cell>
          <cell r="T1140"/>
          <cell r="U1140"/>
          <cell r="V1140">
            <v>0.53184788262113825</v>
          </cell>
          <cell r="W1140">
            <v>8.7702883327435036E-5</v>
          </cell>
          <cell r="X1140">
            <v>10</v>
          </cell>
          <cell r="Y1140" t="str">
            <v>Potenciar</v>
          </cell>
        </row>
        <row r="1141">
          <cell r="A1141" t="str">
            <v>D987</v>
          </cell>
          <cell r="B1141" t="str">
            <v>FARMAMIGA</v>
          </cell>
          <cell r="C1141" t="str">
            <v>GRUPO</v>
          </cell>
          <cell r="D1141">
            <v>4</v>
          </cell>
          <cell r="E1141"/>
          <cell r="F1141" t="str">
            <v>CENTRO OESTE</v>
          </cell>
          <cell r="H1141"/>
          <cell r="I1141"/>
          <cell r="J1141" t="str">
            <v>Activo</v>
          </cell>
          <cell r="K1141">
            <v>22765.162070404789</v>
          </cell>
          <cell r="L1141">
            <v>2529.4624522671988</v>
          </cell>
          <cell r="M1141">
            <v>2866.5400115498651</v>
          </cell>
          <cell r="N1141" t="str">
            <v>Si Compra</v>
          </cell>
          <cell r="O1141">
            <v>8</v>
          </cell>
          <cell r="P1141">
            <v>161605.9609032431</v>
          </cell>
          <cell r="Q1141">
            <v>20200.745112905388</v>
          </cell>
          <cell r="R1141">
            <v>16256.265200000002</v>
          </cell>
          <cell r="S1141"/>
          <cell r="T1141"/>
          <cell r="U1141"/>
          <cell r="V1141">
            <v>0.12521629465297465</v>
          </cell>
          <cell r="W1141">
            <v>9.6584652603003208E-5</v>
          </cell>
          <cell r="X1141">
            <v>8</v>
          </cell>
          <cell r="Y1141" t="str">
            <v>Conquistar</v>
          </cell>
        </row>
        <row r="1142">
          <cell r="A1142" t="str">
            <v>7707</v>
          </cell>
          <cell r="B1142" t="str">
            <v>7707 - FARMACIA FARMA HOGAR C.A</v>
          </cell>
          <cell r="C1142" t="str">
            <v>INDEPENDIENTE</v>
          </cell>
          <cell r="D1142">
            <v>3</v>
          </cell>
          <cell r="E1142"/>
          <cell r="F1142" t="str">
            <v>MARACAIBO</v>
          </cell>
          <cell r="G1142" t="str">
            <v>MARIA FUSELLA</v>
          </cell>
          <cell r="H1142"/>
          <cell r="I1142" t="str">
            <v>Z</v>
          </cell>
          <cell r="J1142" t="str">
            <v>Activo</v>
          </cell>
          <cell r="K1142">
            <v>22748.284293944329</v>
          </cell>
          <cell r="L1142">
            <v>2274.828429394433</v>
          </cell>
          <cell r="M1142">
            <v>1968.9543962607777</v>
          </cell>
          <cell r="N1142" t="str">
            <v>Si Compra</v>
          </cell>
          <cell r="O1142">
            <v>10</v>
          </cell>
          <cell r="P1142">
            <v>29379.779426681365</v>
          </cell>
          <cell r="Q1142">
            <v>2937.9779426681366</v>
          </cell>
          <cell r="R1142">
            <v>2092.1148535489165</v>
          </cell>
          <cell r="T1142"/>
          <cell r="U1142"/>
          <cell r="V1142">
            <v>0.77428369912421413</v>
          </cell>
          <cell r="W1142">
            <v>8.6861741469047653E-5</v>
          </cell>
          <cell r="X1142">
            <v>10</v>
          </cell>
          <cell r="Y1142" t="str">
            <v>Proteger</v>
          </cell>
        </row>
        <row r="1143">
          <cell r="A1143" t="str">
            <v>B881</v>
          </cell>
          <cell r="B1143" t="str">
            <v>B881 - FARMACIA LA CRUZ XXI, C.A.</v>
          </cell>
          <cell r="C1143" t="str">
            <v>INDEPENDIENTE</v>
          </cell>
          <cell r="D1143">
            <v>3</v>
          </cell>
          <cell r="E1143"/>
          <cell r="F1143" t="str">
            <v>CENTRO OESTE</v>
          </cell>
          <cell r="G1143" t="str">
            <v>DIEGO TORI</v>
          </cell>
          <cell r="H1143"/>
          <cell r="I1143" t="str">
            <v>A</v>
          </cell>
          <cell r="J1143" t="str">
            <v>Activo</v>
          </cell>
          <cell r="K1143">
            <v>22711.154339605506</v>
          </cell>
          <cell r="L1143">
            <v>2271.1154339605505</v>
          </cell>
          <cell r="M1143">
            <v>2149.9478333333332</v>
          </cell>
          <cell r="N1143" t="str">
            <v>Si Compra</v>
          </cell>
          <cell r="O1143">
            <v>10</v>
          </cell>
          <cell r="P1143">
            <v>100639.27397683461</v>
          </cell>
          <cell r="Q1143">
            <v>10063.927397683461</v>
          </cell>
          <cell r="R1143">
            <v>10509.044266666666</v>
          </cell>
          <cell r="T1143"/>
          <cell r="U1143"/>
          <cell r="V1143">
            <v>0.22566890083918145</v>
          </cell>
          <cell r="W1143">
            <v>8.6719964952943743E-5</v>
          </cell>
          <cell r="X1143">
            <v>10</v>
          </cell>
          <cell r="Y1143" t="str">
            <v>Potenciar</v>
          </cell>
        </row>
        <row r="1144">
          <cell r="A1144" t="str">
            <v>8986</v>
          </cell>
          <cell r="B1144" t="str">
            <v>8986 - FARMACIA FAMAR JV, C.A.</v>
          </cell>
          <cell r="C1144" t="str">
            <v>INDEPENDIENTE</v>
          </cell>
          <cell r="D1144">
            <v>3</v>
          </cell>
          <cell r="E1144"/>
          <cell r="F1144" t="str">
            <v>CARACAS</v>
          </cell>
          <cell r="G1144" t="str">
            <v>WILLIAM ARAQUE</v>
          </cell>
          <cell r="H1144"/>
          <cell r="I1144" t="str">
            <v>C3</v>
          </cell>
          <cell r="J1144" t="str">
            <v>Activo</v>
          </cell>
          <cell r="K1144">
            <v>22686.542768340954</v>
          </cell>
          <cell r="L1144">
            <v>2268.6542768340955</v>
          </cell>
          <cell r="M1144">
            <v>3176.0927978522905</v>
          </cell>
          <cell r="N1144" t="str">
            <v>Si Compra</v>
          </cell>
          <cell r="O1144">
            <v>10</v>
          </cell>
          <cell r="P1144">
            <v>109133.61258479008</v>
          </cell>
          <cell r="Q1144">
            <v>10913.361258479008</v>
          </cell>
          <cell r="R1144">
            <v>11314.076821780565</v>
          </cell>
          <cell r="T1144"/>
          <cell r="U1144"/>
          <cell r="V1144">
            <v>0.20787860156938279</v>
          </cell>
          <cell r="W1144">
            <v>8.6625988461675024E-5</v>
          </cell>
          <cell r="X1144">
            <v>10</v>
          </cell>
          <cell r="Y1144" t="str">
            <v>Conquistar</v>
          </cell>
        </row>
        <row r="1145">
          <cell r="A1145" t="str">
            <v>D419</v>
          </cell>
          <cell r="B1145" t="str">
            <v>D419 - FARMACIA TODO SALUD PLUS, C,A,</v>
          </cell>
          <cell r="C1145" t="str">
            <v>INDEPENDIENTE</v>
          </cell>
          <cell r="D1145">
            <v>3</v>
          </cell>
          <cell r="E1145"/>
          <cell r="F1145" t="str">
            <v>ANDES</v>
          </cell>
          <cell r="G1145" t="str">
            <v>RAYNE ANDREINA NAVA</v>
          </cell>
          <cell r="H1145"/>
          <cell r="I1145" t="str">
            <v>G1</v>
          </cell>
          <cell r="J1145" t="str">
            <v>Activo</v>
          </cell>
          <cell r="K1145">
            <v>22605.289109616606</v>
          </cell>
          <cell r="L1145">
            <v>2511.6987899574005</v>
          </cell>
          <cell r="M1145">
            <v>2968.4004896707988</v>
          </cell>
          <cell r="N1145" t="str">
            <v>Si Compra</v>
          </cell>
          <cell r="O1145">
            <v>9</v>
          </cell>
          <cell r="P1145">
            <v>101831.93115988903</v>
          </cell>
          <cell r="Q1145">
            <v>11314.659017765449</v>
          </cell>
          <cell r="R1145">
            <v>16088.896105801206</v>
          </cell>
          <cell r="T1145"/>
          <cell r="U1145"/>
          <cell r="V1145">
            <v>0.22198625570719499</v>
          </cell>
          <cell r="W1145">
            <v>9.5906367320843297E-5</v>
          </cell>
          <cell r="X1145">
            <v>9</v>
          </cell>
          <cell r="Y1145" t="str">
            <v>Potenciar</v>
          </cell>
        </row>
        <row r="1146">
          <cell r="A1146" t="str">
            <v>G48</v>
          </cell>
          <cell r="B1146" t="str">
            <v>G48 - FARMACIA CAYETANO C.A.</v>
          </cell>
          <cell r="C1146" t="str">
            <v>INDEPENDIENTE</v>
          </cell>
          <cell r="D1146">
            <v>3</v>
          </cell>
          <cell r="F1146" t="str">
            <v>ANDES</v>
          </cell>
          <cell r="G1146" t="str">
            <v>MILAGRO BRICEñO</v>
          </cell>
          <cell r="H1146"/>
          <cell r="I1146" t="str">
            <v xml:space="preserve">G </v>
          </cell>
          <cell r="J1146" t="str">
            <v>Activo</v>
          </cell>
          <cell r="K1146">
            <v>22549.675301658808</v>
          </cell>
          <cell r="L1146">
            <v>2254.9675301658808</v>
          </cell>
          <cell r="M1146">
            <v>2094.3650462371365</v>
          </cell>
          <cell r="N1146" t="str">
            <v>Si Compra</v>
          </cell>
          <cell r="O1146">
            <v>10</v>
          </cell>
          <cell r="P1146">
            <v>23461.557663089661</v>
          </cell>
          <cell r="Q1146">
            <v>2346.1557663089661</v>
          </cell>
          <cell r="R1146">
            <v>1921.8757686495612</v>
          </cell>
          <cell r="V1146">
            <v>0.96113291476526941</v>
          </cell>
          <cell r="W1146">
            <v>8.6103375575672327E-5</v>
          </cell>
          <cell r="X1146">
            <v>10</v>
          </cell>
          <cell r="Y1146" t="str">
            <v>Proteger</v>
          </cell>
        </row>
        <row r="1147">
          <cell r="A1147" t="str">
            <v>0372</v>
          </cell>
          <cell r="B1147" t="str">
            <v>0372 - FARMACIA EL AMPARO C.A</v>
          </cell>
          <cell r="C1147" t="str">
            <v>INDEPENDIENTE</v>
          </cell>
          <cell r="D1147">
            <v>3</v>
          </cell>
          <cell r="E1147"/>
          <cell r="F1147" t="str">
            <v>ESTE</v>
          </cell>
          <cell r="G1147" t="str">
            <v>ALEXMAR CASTILLO</v>
          </cell>
          <cell r="H1147"/>
          <cell r="I1147" t="str">
            <v>A1</v>
          </cell>
          <cell r="J1147" t="str">
            <v>Activo</v>
          </cell>
          <cell r="K1147">
            <v>22543.061825176519</v>
          </cell>
          <cell r="L1147">
            <v>2254.3061825176519</v>
          </cell>
          <cell r="M1147">
            <v>2073.5243639192827</v>
          </cell>
          <cell r="N1147" t="str">
            <v>Si Compra</v>
          </cell>
          <cell r="O1147">
            <v>10</v>
          </cell>
          <cell r="P1147">
            <v>57579.062468641532</v>
          </cell>
          <cell r="Q1147">
            <v>5757.9062468641532</v>
          </cell>
          <cell r="R1147">
            <v>4864.3353050297128</v>
          </cell>
          <cell r="T1147"/>
          <cell r="U1147"/>
          <cell r="V1147">
            <v>0.39151491633705959</v>
          </cell>
          <cell r="W1147">
            <v>8.6078122766405777E-5</v>
          </cell>
          <cell r="X1147">
            <v>10</v>
          </cell>
          <cell r="Y1147" t="str">
            <v>Potenciar</v>
          </cell>
        </row>
        <row r="1148">
          <cell r="A1148" t="str">
            <v>D513</v>
          </cell>
          <cell r="B1148" t="str">
            <v>D513 - FARMACIA LA NUESTRA C.A.</v>
          </cell>
          <cell r="C1148" t="str">
            <v>INDEPENDIENTE</v>
          </cell>
          <cell r="D1148">
            <v>3</v>
          </cell>
          <cell r="E1148"/>
          <cell r="F1148" t="str">
            <v>ESTE</v>
          </cell>
          <cell r="G1148" t="str">
            <v>ADOLFO GONZALEZ</v>
          </cell>
          <cell r="H1148"/>
          <cell r="I1148" t="str">
            <v>A8</v>
          </cell>
          <cell r="J1148" t="str">
            <v>Activo</v>
          </cell>
          <cell r="K1148">
            <v>22537.360638863771</v>
          </cell>
          <cell r="L1148">
            <v>2253.736063886377</v>
          </cell>
          <cell r="M1148">
            <v>2113.5491051813387</v>
          </cell>
          <cell r="N1148" t="str">
            <v>Si Compra</v>
          </cell>
          <cell r="O1148">
            <v>10</v>
          </cell>
          <cell r="P1148">
            <v>84772.461937256972</v>
          </cell>
          <cell r="Q1148">
            <v>8477.2461937256976</v>
          </cell>
          <cell r="R1148">
            <v>8054.0525582895234</v>
          </cell>
          <cell r="T1148"/>
          <cell r="U1148"/>
          <cell r="V1148">
            <v>0.26585709703163329</v>
          </cell>
          <cell r="W1148">
            <v>8.605635343359957E-5</v>
          </cell>
          <cell r="X1148">
            <v>10</v>
          </cell>
          <cell r="Y1148" t="str">
            <v>Potenciar</v>
          </cell>
        </row>
        <row r="1149">
          <cell r="A1149" t="str">
            <v>D038</v>
          </cell>
          <cell r="B1149" t="str">
            <v>D038 - FARMACIAS DASA C.A</v>
          </cell>
          <cell r="C1149" t="str">
            <v>INDEPENDIENTE</v>
          </cell>
          <cell r="D1149">
            <v>3</v>
          </cell>
          <cell r="E1149"/>
          <cell r="F1149" t="str">
            <v>CENTRO OESTE</v>
          </cell>
          <cell r="G1149" t="str">
            <v>YAMILEX LAMEDA</v>
          </cell>
          <cell r="H1149" t="str">
            <v>HECTOR</v>
          </cell>
          <cell r="I1149" t="str">
            <v>Y1</v>
          </cell>
          <cell r="J1149" t="str">
            <v>Activo</v>
          </cell>
          <cell r="K1149">
            <v>22503.37625345571</v>
          </cell>
          <cell r="L1149">
            <v>2250.3376253455708</v>
          </cell>
          <cell r="M1149">
            <v>2746.9253511519023</v>
          </cell>
          <cell r="N1149" t="str">
            <v>Si Compra</v>
          </cell>
          <cell r="O1149">
            <v>10</v>
          </cell>
          <cell r="P1149">
            <v>130202.81916350526</v>
          </cell>
          <cell r="Q1149">
            <v>13020.281916350526</v>
          </cell>
          <cell r="R1149">
            <v>13912.51588783509</v>
          </cell>
          <cell r="T1149"/>
          <cell r="U1149"/>
          <cell r="V1149">
            <v>0.17283324891142765</v>
          </cell>
          <cell r="W1149">
            <v>8.5926587915411223E-5</v>
          </cell>
          <cell r="X1149">
            <v>10</v>
          </cell>
          <cell r="Y1149" t="str">
            <v>Conquistar</v>
          </cell>
        </row>
        <row r="1150">
          <cell r="A1150" t="str">
            <v>Z315</v>
          </cell>
          <cell r="B1150" t="str">
            <v>Z315 - NABOR ARELLANO (FARMACIA LA GUADALUPE)</v>
          </cell>
          <cell r="C1150" t="str">
            <v>INDEPENDIENTE</v>
          </cell>
          <cell r="D1150">
            <v>3</v>
          </cell>
          <cell r="F1150" t="str">
            <v>MARACAIBO</v>
          </cell>
          <cell r="G1150" t="str">
            <v>MARIA FUSELLA</v>
          </cell>
          <cell r="H1150"/>
          <cell r="I1150" t="str">
            <v>BZ</v>
          </cell>
          <cell r="J1150" t="str">
            <v>Activo</v>
          </cell>
          <cell r="K1150">
            <v>22491.075935584166</v>
          </cell>
          <cell r="L1150">
            <v>2249.1075935584167</v>
          </cell>
          <cell r="M1150">
            <v>2308.1735000000003</v>
          </cell>
          <cell r="N1150" t="str">
            <v>Si Compra</v>
          </cell>
          <cell r="O1150">
            <v>10</v>
          </cell>
          <cell r="P1150">
            <v>26352.460122060482</v>
          </cell>
          <cell r="Q1150">
            <v>2635.2460122060484</v>
          </cell>
          <cell r="R1150">
            <v>2602.1334000000002</v>
          </cell>
          <cell r="V1150">
            <v>0.85347158600787221</v>
          </cell>
          <cell r="W1150">
            <v>8.5879620547800586E-5</v>
          </cell>
          <cell r="X1150">
            <v>10</v>
          </cell>
          <cell r="Y1150" t="str">
            <v>Proteger</v>
          </cell>
        </row>
        <row r="1151">
          <cell r="A1151" t="str">
            <v>E408</v>
          </cell>
          <cell r="B1151" t="str">
            <v>E408 - FARMA GRAN ISRAEL, C.A</v>
          </cell>
          <cell r="C1151" t="e">
            <v>#N/A</v>
          </cell>
          <cell r="D1151">
            <v>2</v>
          </cell>
          <cell r="F1151" t="str">
            <v>CARACAS</v>
          </cell>
          <cell r="G1151">
            <v>0</v>
          </cell>
          <cell r="H1151"/>
          <cell r="I1151" t="str">
            <v>C7</v>
          </cell>
          <cell r="J1151" t="str">
            <v>Inactivo</v>
          </cell>
          <cell r="K1151">
            <v>22468.534906119658</v>
          </cell>
          <cell r="L1151">
            <v>5617.1337265299144</v>
          </cell>
          <cell r="M1151">
            <v>2427.1782339206998</v>
          </cell>
          <cell r="N1151" t="str">
            <v>Si Compra</v>
          </cell>
          <cell r="O1151">
            <v>4</v>
          </cell>
          <cell r="P1151">
            <v>0</v>
          </cell>
          <cell r="Q1151">
            <v>0</v>
          </cell>
          <cell r="R1151">
            <v>0</v>
          </cell>
          <cell r="V1151">
            <v>0</v>
          </cell>
          <cell r="W1151">
            <v>2.1448387546343177E-4</v>
          </cell>
          <cell r="X1151">
            <v>0</v>
          </cell>
          <cell r="Y1151" t="str">
            <v>Conquistar</v>
          </cell>
        </row>
        <row r="1152">
          <cell r="A1152" t="str">
            <v>D849</v>
          </cell>
          <cell r="B1152" t="str">
            <v>D849 - FARMACIA VIDA SANA DABAJURO, C.A</v>
          </cell>
          <cell r="C1152" t="str">
            <v>INDEPENDIENTE</v>
          </cell>
          <cell r="D1152">
            <v>3</v>
          </cell>
          <cell r="E1152"/>
          <cell r="F1152" t="str">
            <v>MARACAIBO</v>
          </cell>
          <cell r="G1152" t="str">
            <v>MARIA FUSELLA</v>
          </cell>
          <cell r="H1152"/>
          <cell r="I1152" t="str">
            <v>BZ</v>
          </cell>
          <cell r="J1152" t="str">
            <v>Activo</v>
          </cell>
          <cell r="K1152">
            <v>22430.916414020918</v>
          </cell>
          <cell r="L1152">
            <v>2243.0916414020917</v>
          </cell>
          <cell r="M1152">
            <v>1845.4927897641981</v>
          </cell>
          <cell r="N1152" t="str">
            <v>Si Compra</v>
          </cell>
          <cell r="O1152">
            <v>10</v>
          </cell>
          <cell r="P1152">
            <v>855346.12490886671</v>
          </cell>
          <cell r="Q1152">
            <v>85534.612490886677</v>
          </cell>
          <cell r="R1152">
            <v>77945.148999177021</v>
          </cell>
          <cell r="T1152"/>
          <cell r="U1152"/>
          <cell r="V1152">
            <v>2.6224373690137227E-2</v>
          </cell>
          <cell r="W1152">
            <v>8.5649908243285396E-5</v>
          </cell>
          <cell r="X1152">
            <v>10</v>
          </cell>
          <cell r="Y1152" t="str">
            <v>Conquistar</v>
          </cell>
        </row>
        <row r="1153">
          <cell r="A1153" t="str">
            <v>R121</v>
          </cell>
          <cell r="B1153" t="str">
            <v>R121 - FARMACIA DEL MERCADO,C.A.</v>
          </cell>
          <cell r="C1153" t="str">
            <v>INDEPENDIENTE</v>
          </cell>
          <cell r="D1153">
            <v>1</v>
          </cell>
          <cell r="F1153" t="str">
            <v>CENTRO ESTE</v>
          </cell>
          <cell r="G1153">
            <v>0</v>
          </cell>
          <cell r="H1153"/>
          <cell r="I1153" t="str">
            <v>I</v>
          </cell>
          <cell r="J1153" t="str">
            <v>Inactivo</v>
          </cell>
          <cell r="K1153">
            <v>22400.572722047378</v>
          </cell>
          <cell r="L1153">
            <v>4480.1145444094755</v>
          </cell>
          <cell r="M1153">
            <v>10883.476023471487</v>
          </cell>
          <cell r="N1153" t="str">
            <v>Si Compra</v>
          </cell>
          <cell r="O1153">
            <v>5</v>
          </cell>
          <cell r="P1153">
            <v>0</v>
          </cell>
          <cell r="Q1153">
            <v>0</v>
          </cell>
          <cell r="R1153">
            <v>0</v>
          </cell>
          <cell r="V1153">
            <v>0</v>
          </cell>
          <cell r="W1153">
            <v>1.7106808859945944E-4</v>
          </cell>
          <cell r="X1153">
            <v>0</v>
          </cell>
          <cell r="Y1153" t="str">
            <v>Conquistar</v>
          </cell>
        </row>
        <row r="1154">
          <cell r="A1154" t="str">
            <v>3517</v>
          </cell>
          <cell r="B1154" t="str">
            <v>3517 - FARMACIA SALUDALEGRIA, C.A.</v>
          </cell>
          <cell r="C1154" t="str">
            <v>INDEPENDIENTE</v>
          </cell>
          <cell r="D1154">
            <v>3</v>
          </cell>
          <cell r="E1154"/>
          <cell r="F1154" t="str">
            <v>CARACAS</v>
          </cell>
          <cell r="G1154" t="str">
            <v>WILLIAM ARAQUE</v>
          </cell>
          <cell r="H1154"/>
          <cell r="I1154" t="str">
            <v>C3</v>
          </cell>
          <cell r="J1154" t="str">
            <v>Activo</v>
          </cell>
          <cell r="K1154">
            <v>22383.303724476737</v>
          </cell>
          <cell r="L1154">
            <v>2238.3303724476737</v>
          </cell>
          <cell r="M1154">
            <v>2620.1377949315342</v>
          </cell>
          <cell r="N1154" t="str">
            <v>Si Compra</v>
          </cell>
          <cell r="O1154">
            <v>10</v>
          </cell>
          <cell r="P1154">
            <v>16269.360791086267</v>
          </cell>
          <cell r="Q1154">
            <v>1807.7067545651407</v>
          </cell>
          <cell r="R1154">
            <v>1614.8969636954218</v>
          </cell>
          <cell r="T1154"/>
          <cell r="U1154"/>
          <cell r="V1154">
            <v>1.238215416740047</v>
          </cell>
          <cell r="W1154">
            <v>8.5468104592671915E-5</v>
          </cell>
          <cell r="X1154">
            <v>9</v>
          </cell>
          <cell r="Y1154" t="str">
            <v>Proteger</v>
          </cell>
        </row>
        <row r="1155">
          <cell r="A1155" t="str">
            <v>4049</v>
          </cell>
          <cell r="B1155" t="str">
            <v>GRUPO TODO SALUD COMPAÑIA ANONIMA</v>
          </cell>
          <cell r="C1155" t="str">
            <v>GRUPO</v>
          </cell>
          <cell r="D1155">
            <v>6</v>
          </cell>
          <cell r="E1155"/>
          <cell r="F1155" t="str">
            <v>ESTE</v>
          </cell>
          <cell r="H1155"/>
          <cell r="I1155"/>
          <cell r="J1155" t="str">
            <v>Activo</v>
          </cell>
          <cell r="K1155">
            <v>22337.211263750942</v>
          </cell>
          <cell r="L1155">
            <v>2233.7211263750942</v>
          </cell>
          <cell r="M1155">
            <v>2095.6329720237522</v>
          </cell>
          <cell r="N1155" t="str">
            <v>Si Compra</v>
          </cell>
          <cell r="O1155">
            <v>10</v>
          </cell>
          <cell r="P1155">
            <v>0</v>
          </cell>
          <cell r="Q1155">
            <v>0</v>
          </cell>
          <cell r="R1155">
            <v>0</v>
          </cell>
          <cell r="S1155"/>
          <cell r="T1155"/>
          <cell r="U1155"/>
          <cell r="V1155">
            <v>0</v>
          </cell>
          <cell r="W1155">
            <v>8.5292105763243618E-5</v>
          </cell>
          <cell r="X1155">
            <v>0</v>
          </cell>
          <cell r="Y1155" t="str">
            <v>Conquistar</v>
          </cell>
        </row>
        <row r="1156">
          <cell r="A1156" t="str">
            <v>B052</v>
          </cell>
          <cell r="B1156" t="str">
            <v>B052 - JOSE KINSLEY VARGAS TERAN (VARGAS FARMACIA FARMA VIDA PLUS, FP)</v>
          </cell>
          <cell r="C1156" t="str">
            <v>INDEPENDIENTE</v>
          </cell>
          <cell r="D1156">
            <v>0</v>
          </cell>
          <cell r="E1156"/>
          <cell r="F1156" t="str">
            <v>CENTRO OESTE</v>
          </cell>
          <cell r="G1156" t="str">
            <v>LUIS PLACERES</v>
          </cell>
          <cell r="H1156"/>
          <cell r="I1156" t="str">
            <v>E</v>
          </cell>
          <cell r="J1156" t="str">
            <v>Bloqueado</v>
          </cell>
          <cell r="K1156">
            <v>22309.711320080958</v>
          </cell>
          <cell r="L1156">
            <v>7436.570440026986</v>
          </cell>
          <cell r="M1156">
            <v>0</v>
          </cell>
          <cell r="N1156" t="str">
            <v>No Compra</v>
          </cell>
          <cell r="O1156">
            <v>3</v>
          </cell>
          <cell r="P1156">
            <v>179509.82116353666</v>
          </cell>
          <cell r="Q1156">
            <v>59836.60705451222</v>
          </cell>
          <cell r="R1156">
            <v>0</v>
          </cell>
          <cell r="T1156"/>
          <cell r="U1156"/>
          <cell r="V1156">
            <v>0.12428128542201829</v>
          </cell>
          <cell r="W1156">
            <v>2.8395700116599167E-4</v>
          </cell>
          <cell r="X1156">
            <v>3</v>
          </cell>
          <cell r="Y1156" t="str">
            <v>Conquistar</v>
          </cell>
        </row>
        <row r="1157">
          <cell r="A1157" t="str">
            <v>C600</v>
          </cell>
          <cell r="B1157" t="str">
            <v>C600 - FARMACIA LIBERTAD,C.A.</v>
          </cell>
          <cell r="C1157" t="str">
            <v>INDEPENDIENTE</v>
          </cell>
          <cell r="D1157">
            <v>3</v>
          </cell>
          <cell r="E1157"/>
          <cell r="F1157" t="str">
            <v>CENTRO OESTE</v>
          </cell>
          <cell r="G1157" t="str">
            <v>SORALI SILVA</v>
          </cell>
          <cell r="H1157" t="str">
            <v>HECTOR</v>
          </cell>
          <cell r="I1157" t="str">
            <v>C</v>
          </cell>
          <cell r="J1157" t="str">
            <v>Activo</v>
          </cell>
          <cell r="K1157">
            <v>22300.91208057843</v>
          </cell>
          <cell r="L1157">
            <v>2230.0912080578428</v>
          </cell>
          <cell r="M1157">
            <v>2499.9586580163595</v>
          </cell>
          <cell r="N1157" t="str">
            <v>Si Compra</v>
          </cell>
          <cell r="O1157">
            <v>10</v>
          </cell>
          <cell r="P1157">
            <v>64887.467343168413</v>
          </cell>
          <cell r="Q1157">
            <v>6488.746734316841</v>
          </cell>
          <cell r="R1157">
            <v>5132.366441105477</v>
          </cell>
          <cell r="T1157"/>
          <cell r="U1157"/>
          <cell r="V1157">
            <v>0.34368596885799629</v>
          </cell>
          <cell r="W1157">
            <v>8.5153501452539271E-5</v>
          </cell>
          <cell r="X1157">
            <v>10</v>
          </cell>
          <cell r="Y1157" t="str">
            <v>Potenciar</v>
          </cell>
        </row>
        <row r="1158">
          <cell r="A1158" t="str">
            <v>0211</v>
          </cell>
          <cell r="B1158" t="str">
            <v>FARMABIEN</v>
          </cell>
          <cell r="C1158" t="str">
            <v>CADENA</v>
          </cell>
          <cell r="D1158">
            <v>325</v>
          </cell>
          <cell r="E1158"/>
          <cell r="F1158" t="str">
            <v>CENTRO OESTE</v>
          </cell>
          <cell r="H1158"/>
          <cell r="I1158" t="str">
            <v>Y1</v>
          </cell>
          <cell r="J1158" t="str">
            <v>Bloqueado</v>
          </cell>
          <cell r="K1158">
            <v>22281.823442826102</v>
          </cell>
          <cell r="L1158">
            <v>3183.1176346894431</v>
          </cell>
          <cell r="M1158">
            <v>0</v>
          </cell>
          <cell r="N1158" t="str">
            <v>No Compra</v>
          </cell>
          <cell r="O1158">
            <v>6</v>
          </cell>
          <cell r="P1158">
            <v>0</v>
          </cell>
          <cell r="Q1158">
            <v>0</v>
          </cell>
          <cell r="R1158">
            <v>0</v>
          </cell>
          <cell r="T1158"/>
          <cell r="U1158"/>
          <cell r="V1158">
            <v>0</v>
          </cell>
          <cell r="W1158">
            <v>1.2154373379427289E-4</v>
          </cell>
          <cell r="X1158">
            <v>0</v>
          </cell>
          <cell r="Y1158" t="str">
            <v>Conquistar</v>
          </cell>
        </row>
        <row r="1159">
          <cell r="A1159" t="str">
            <v>1034</v>
          </cell>
          <cell r="B1159" t="str">
            <v>1034 - FARMACIA SANTA SOFIA, C.A</v>
          </cell>
          <cell r="C1159" t="str">
            <v>INDEPENDIENTE</v>
          </cell>
          <cell r="D1159">
            <v>3</v>
          </cell>
          <cell r="E1159"/>
          <cell r="F1159" t="str">
            <v>ESTE</v>
          </cell>
          <cell r="G1159" t="str">
            <v>CARLOS BLONDELL</v>
          </cell>
          <cell r="H1159"/>
          <cell r="I1159" t="str">
            <v>A5</v>
          </cell>
          <cell r="J1159" t="str">
            <v>Activo</v>
          </cell>
          <cell r="K1159">
            <v>22269.904322940441</v>
          </cell>
          <cell r="L1159">
            <v>2226.9904322940442</v>
          </cell>
          <cell r="M1159">
            <v>2019.5932666666668</v>
          </cell>
          <cell r="N1159" t="str">
            <v>Si Compra</v>
          </cell>
          <cell r="O1159">
            <v>10</v>
          </cell>
          <cell r="P1159">
            <v>25917.14104691469</v>
          </cell>
          <cell r="Q1159">
            <v>2591.7141046914689</v>
          </cell>
          <cell r="R1159">
            <v>2128.1163333333334</v>
          </cell>
          <cell r="T1159"/>
          <cell r="U1159"/>
          <cell r="V1159">
            <v>0.8592731845934668</v>
          </cell>
          <cell r="W1159">
            <v>8.5035101849620536E-5</v>
          </cell>
          <cell r="X1159">
            <v>10</v>
          </cell>
          <cell r="Y1159" t="str">
            <v>Proteger</v>
          </cell>
        </row>
        <row r="1160">
          <cell r="A1160" t="str">
            <v>C798</v>
          </cell>
          <cell r="B1160" t="str">
            <v>BENDICION</v>
          </cell>
          <cell r="C1160" t="str">
            <v>GRUPO</v>
          </cell>
          <cell r="D1160">
            <v>6</v>
          </cell>
          <cell r="E1160"/>
          <cell r="F1160" t="str">
            <v>CENTRO ESTE</v>
          </cell>
          <cell r="H1160"/>
          <cell r="I1160"/>
          <cell r="J1160" t="str">
            <v>Activo</v>
          </cell>
          <cell r="K1160">
            <v>22175.720106804802</v>
          </cell>
          <cell r="L1160">
            <v>2463.9689007560892</v>
          </cell>
          <cell r="M1160">
            <v>1620.7442094939272</v>
          </cell>
          <cell r="N1160" t="str">
            <v>Si Compra</v>
          </cell>
          <cell r="O1160">
            <v>9</v>
          </cell>
          <cell r="P1160">
            <v>68298.61157051762</v>
          </cell>
          <cell r="Q1160">
            <v>8537.3264463147025</v>
          </cell>
          <cell r="R1160">
            <v>3099.49145</v>
          </cell>
          <cell r="S1160"/>
          <cell r="T1160"/>
          <cell r="U1160"/>
          <cell r="V1160">
            <v>0.28861130193981366</v>
          </cell>
          <cell r="W1160">
            <v>9.4083855678831583E-5</v>
          </cell>
          <cell r="X1160">
            <v>8</v>
          </cell>
          <cell r="Y1160" t="str">
            <v>Potenciar</v>
          </cell>
        </row>
        <row r="1161">
          <cell r="A1161" t="str">
            <v>9947</v>
          </cell>
          <cell r="B1161" t="str">
            <v>9947 - FARMACIA SINAI, C.A</v>
          </cell>
          <cell r="C1161" t="str">
            <v>INDEPENDIENTE</v>
          </cell>
          <cell r="D1161">
            <v>0</v>
          </cell>
          <cell r="E1161"/>
          <cell r="F1161" t="str">
            <v>ESTE</v>
          </cell>
          <cell r="H1161"/>
          <cell r="I1161" t="str">
            <v>A5</v>
          </cell>
          <cell r="J1161" t="str">
            <v>Bloqueado</v>
          </cell>
          <cell r="K1161">
            <v>22160.410413307247</v>
          </cell>
          <cell r="L1161">
            <v>3693.4017355512078</v>
          </cell>
          <cell r="M1161">
            <v>0</v>
          </cell>
          <cell r="N1161" t="str">
            <v>No Compra</v>
          </cell>
          <cell r="O1161">
            <v>6</v>
          </cell>
          <cell r="P1161">
            <v>0</v>
          </cell>
          <cell r="Q1161">
            <v>0</v>
          </cell>
          <cell r="R1161">
            <v>0</v>
          </cell>
          <cell r="T1161"/>
          <cell r="U1161"/>
          <cell r="V1161">
            <v>0</v>
          </cell>
          <cell r="W1161">
            <v>1.4102835297349569E-4</v>
          </cell>
          <cell r="X1161">
            <v>0</v>
          </cell>
          <cell r="Y1161" t="str">
            <v>Conquistar</v>
          </cell>
        </row>
        <row r="1162">
          <cell r="A1162" t="str">
            <v>D582</v>
          </cell>
          <cell r="B1162" t="str">
            <v>D582 - GRUPO FARMA ÉXITO, C.A.</v>
          </cell>
          <cell r="C1162" t="str">
            <v>INDEPENDIENTE</v>
          </cell>
          <cell r="D1162">
            <v>3</v>
          </cell>
          <cell r="E1162"/>
          <cell r="F1162" t="str">
            <v>CENTRO OESTE</v>
          </cell>
          <cell r="G1162" t="str">
            <v>LUIS PLACERES</v>
          </cell>
          <cell r="H1162"/>
          <cell r="I1162" t="str">
            <v>E</v>
          </cell>
          <cell r="J1162" t="str">
            <v>Activo</v>
          </cell>
          <cell r="K1162">
            <v>22132.753874179623</v>
          </cell>
          <cell r="L1162">
            <v>2459.1948749088469</v>
          </cell>
          <cell r="M1162">
            <v>1743.5932873561171</v>
          </cell>
          <cell r="N1162" t="str">
            <v>Si Compra</v>
          </cell>
          <cell r="O1162">
            <v>9</v>
          </cell>
          <cell r="P1162">
            <v>34044.586740746367</v>
          </cell>
          <cell r="Q1162">
            <v>3782.7318600829294</v>
          </cell>
          <cell r="R1162">
            <v>2766.2397304538986</v>
          </cell>
          <cell r="T1162"/>
          <cell r="U1162"/>
          <cell r="V1162">
            <v>0.65011081035358764</v>
          </cell>
          <cell r="W1162">
            <v>9.3901564920745661E-5</v>
          </cell>
          <cell r="X1162">
            <v>9</v>
          </cell>
          <cell r="Y1162" t="str">
            <v>Proteger</v>
          </cell>
        </row>
        <row r="1163">
          <cell r="A1163" t="str">
            <v>E46</v>
          </cell>
          <cell r="B1163" t="str">
            <v>E46 - FARMACIA SANTA ROSA, C.A.</v>
          </cell>
          <cell r="C1163" t="str">
            <v>INDEPENDIENTE</v>
          </cell>
          <cell r="D1163">
            <v>3</v>
          </cell>
          <cell r="F1163" t="str">
            <v>CENTRO OESTE</v>
          </cell>
          <cell r="G1163" t="str">
            <v>LUIS PLACERES</v>
          </cell>
          <cell r="H1163"/>
          <cell r="I1163" t="str">
            <v>E</v>
          </cell>
          <cell r="J1163" t="str">
            <v>Activo</v>
          </cell>
          <cell r="K1163">
            <v>22108.940741441813</v>
          </cell>
          <cell r="L1163">
            <v>2210.8940741441811</v>
          </cell>
          <cell r="M1163">
            <v>2343.2015963673871</v>
          </cell>
          <cell r="N1163" t="str">
            <v>Si Compra</v>
          </cell>
          <cell r="O1163">
            <v>10</v>
          </cell>
          <cell r="P1163">
            <v>282620.20634792448</v>
          </cell>
          <cell r="Q1163">
            <v>28262.020634792447</v>
          </cell>
          <cell r="R1163">
            <v>3814.4004572559365</v>
          </cell>
          <cell r="V1163">
            <v>7.8228450212877623E-2</v>
          </cell>
          <cell r="W1163">
            <v>8.4420480684287738E-5</v>
          </cell>
          <cell r="X1163">
            <v>10</v>
          </cell>
          <cell r="Y1163" t="str">
            <v>Conquistar</v>
          </cell>
        </row>
        <row r="1164">
          <cell r="A1164" t="str">
            <v>2438</v>
          </cell>
          <cell r="B1164" t="str">
            <v>2438 - FARMACIA UNIVERSIDAD LISANDRO ALVARADO, C. A.</v>
          </cell>
          <cell r="C1164" t="str">
            <v>INDEPENDIENTE</v>
          </cell>
          <cell r="D1164">
            <v>3</v>
          </cell>
          <cell r="E1164"/>
          <cell r="F1164" t="str">
            <v>CENTRO OESTE</v>
          </cell>
          <cell r="G1164">
            <v>0</v>
          </cell>
          <cell r="H1164"/>
          <cell r="I1164" t="str">
            <v xml:space="preserve">A </v>
          </cell>
          <cell r="J1164" t="str">
            <v>Activo</v>
          </cell>
          <cell r="K1164">
            <v>22071.979893539617</v>
          </cell>
          <cell r="L1164">
            <v>2207.1979893539619</v>
          </cell>
          <cell r="M1164">
            <v>1845.1476106983366</v>
          </cell>
          <cell r="N1164" t="str">
            <v>Si Compra</v>
          </cell>
          <cell r="O1164">
            <v>10</v>
          </cell>
          <cell r="P1164">
            <v>0</v>
          </cell>
          <cell r="Q1164">
            <v>0</v>
          </cell>
          <cell r="R1164">
            <v>0</v>
          </cell>
          <cell r="T1164"/>
          <cell r="U1164"/>
          <cell r="V1164">
            <v>0</v>
          </cell>
          <cell r="W1164">
            <v>8.4279349881917219E-5</v>
          </cell>
          <cell r="X1164">
            <v>0</v>
          </cell>
          <cell r="Y1164" t="str">
            <v>Conquistar</v>
          </cell>
        </row>
        <row r="1165">
          <cell r="A1165" t="str">
            <v>0138</v>
          </cell>
          <cell r="B1165" t="str">
            <v>FARMAYOR</v>
          </cell>
          <cell r="C1165" t="e">
            <v>#N/A</v>
          </cell>
          <cell r="D1165">
            <v>5</v>
          </cell>
          <cell r="E1165"/>
          <cell r="F1165" t="str">
            <v>CENTRO ESTE</v>
          </cell>
          <cell r="H1165"/>
          <cell r="I1165"/>
          <cell r="J1165" t="str">
            <v>Inactivo</v>
          </cell>
          <cell r="K1165">
            <v>22029.465092149112</v>
          </cell>
          <cell r="L1165">
            <v>4405.8930184298224</v>
          </cell>
          <cell r="M1165">
            <v>5904.8149973830377</v>
          </cell>
          <cell r="N1165" t="str">
            <v>Si Compra</v>
          </cell>
          <cell r="O1165">
            <v>5</v>
          </cell>
          <cell r="P1165">
            <v>41980.533449780618</v>
          </cell>
          <cell r="Q1165">
            <v>8396.1066899561229</v>
          </cell>
          <cell r="R1165">
            <v>12749.927183260204</v>
          </cell>
          <cell r="S1165"/>
          <cell r="T1165"/>
          <cell r="U1165"/>
          <cell r="V1165">
            <v>0.52475429161713605</v>
          </cell>
          <cell r="W1165">
            <v>1.6823402387713705E-4</v>
          </cell>
          <cell r="X1165">
            <v>3</v>
          </cell>
          <cell r="Y1165" t="str">
            <v>Potenciar</v>
          </cell>
        </row>
        <row r="1166">
          <cell r="A1166" t="str">
            <v>286</v>
          </cell>
          <cell r="B1166" t="str">
            <v>286 - FARMACIA QUIRON SALUD, C.A.</v>
          </cell>
          <cell r="C1166" t="str">
            <v>INDEPENDIENTE</v>
          </cell>
          <cell r="D1166">
            <v>3</v>
          </cell>
          <cell r="E1166"/>
          <cell r="F1166" t="str">
            <v>CARACAS</v>
          </cell>
          <cell r="G1166" t="str">
            <v>JHON TORRES</v>
          </cell>
          <cell r="H1166"/>
          <cell r="I1166" t="str">
            <v>CF</v>
          </cell>
          <cell r="J1166" t="str">
            <v>Activo</v>
          </cell>
          <cell r="K1166">
            <v>21982.085685229315</v>
          </cell>
          <cell r="L1166">
            <v>2198.2085685229313</v>
          </cell>
          <cell r="M1166">
            <v>2727.7117175978869</v>
          </cell>
          <cell r="N1166" t="str">
            <v>Si Compra</v>
          </cell>
          <cell r="O1166">
            <v>10</v>
          </cell>
          <cell r="P1166">
            <v>54193.479194910258</v>
          </cell>
          <cell r="Q1166">
            <v>5419.347919491026</v>
          </cell>
          <cell r="R1166">
            <v>5105.1265994532014</v>
          </cell>
          <cell r="T1166"/>
          <cell r="U1166"/>
          <cell r="V1166">
            <v>0.40562233707434353</v>
          </cell>
          <cell r="W1166">
            <v>8.3936099051176838E-5</v>
          </cell>
          <cell r="X1166">
            <v>10</v>
          </cell>
          <cell r="Y1166" t="str">
            <v>Potenciar</v>
          </cell>
        </row>
        <row r="1167">
          <cell r="A1167" t="str">
            <v>B231</v>
          </cell>
          <cell r="B1167" t="str">
            <v>B231 - FARMACIA CRISTAL C.A.</v>
          </cell>
          <cell r="C1167" t="str">
            <v>INDEPENDIENTE</v>
          </cell>
          <cell r="D1167">
            <v>3</v>
          </cell>
          <cell r="E1167"/>
          <cell r="F1167" t="str">
            <v>MARACAIBO</v>
          </cell>
          <cell r="G1167" t="str">
            <v>YENNIFER LUZARDO</v>
          </cell>
          <cell r="H1167"/>
          <cell r="I1167" t="str">
            <v>B</v>
          </cell>
          <cell r="J1167" t="str">
            <v>Inactivo</v>
          </cell>
          <cell r="K1167">
            <v>21954.148215795281</v>
          </cell>
          <cell r="L1167">
            <v>2439.3498017550314</v>
          </cell>
          <cell r="M1167">
            <v>1758.6985719317602</v>
          </cell>
          <cell r="N1167" t="str">
            <v>Si Compra</v>
          </cell>
          <cell r="O1167">
            <v>9</v>
          </cell>
          <cell r="P1167">
            <v>75863.879791287123</v>
          </cell>
          <cell r="Q1167">
            <v>8429.3199768096802</v>
          </cell>
          <cell r="R1167">
            <v>2222.8357637623735</v>
          </cell>
          <cell r="T1167"/>
          <cell r="U1167"/>
          <cell r="V1167">
            <v>0.28938868241638088</v>
          </cell>
          <cell r="W1167">
            <v>9.3143803328070323E-5</v>
          </cell>
          <cell r="X1167">
            <v>9</v>
          </cell>
          <cell r="Y1167" t="str">
            <v>Potenciar</v>
          </cell>
        </row>
        <row r="1168">
          <cell r="A1168" t="str">
            <v>B788</v>
          </cell>
          <cell r="B1168" t="str">
            <v>B788 - FARMACIA DIVINO NIÑO JESUS II, C.A.</v>
          </cell>
          <cell r="C1168" t="str">
            <v>INDEPENDIENTE</v>
          </cell>
          <cell r="D1168">
            <v>3</v>
          </cell>
          <cell r="E1168"/>
          <cell r="F1168" t="str">
            <v>CENTRO ESTE</v>
          </cell>
          <cell r="G1168" t="str">
            <v>KARLA SALAZAR</v>
          </cell>
          <cell r="H1168"/>
          <cell r="I1168" t="str">
            <v>H</v>
          </cell>
          <cell r="J1168" t="str">
            <v>Activo</v>
          </cell>
          <cell r="K1168">
            <v>21907.98957680284</v>
          </cell>
          <cell r="L1168">
            <v>2190.7989576802838</v>
          </cell>
          <cell r="M1168">
            <v>595.00996666666663</v>
          </cell>
          <cell r="N1168" t="str">
            <v>Si Compra</v>
          </cell>
          <cell r="O1168">
            <v>10</v>
          </cell>
          <cell r="P1168">
            <v>425674.62519044935</v>
          </cell>
          <cell r="Q1168">
            <v>42567.462519044937</v>
          </cell>
          <cell r="R1168">
            <v>678.79813333333334</v>
          </cell>
          <cell r="T1168"/>
          <cell r="U1168"/>
          <cell r="V1168">
            <v>5.1466515221575804E-2</v>
          </cell>
          <cell r="W1168">
            <v>8.3653171471635549E-5</v>
          </cell>
          <cell r="X1168">
            <v>10</v>
          </cell>
          <cell r="Y1168" t="str">
            <v>Conquistar</v>
          </cell>
        </row>
        <row r="1169">
          <cell r="A1169" t="str">
            <v>A294</v>
          </cell>
          <cell r="B1169" t="str">
            <v>A294 - FARMACIA SANTA ANA C.A.</v>
          </cell>
          <cell r="C1169" t="str">
            <v>INDEPENDIENTE</v>
          </cell>
          <cell r="D1169">
            <v>3</v>
          </cell>
          <cell r="E1169"/>
          <cell r="F1169" t="str">
            <v>ESTE</v>
          </cell>
          <cell r="G1169" t="str">
            <v>CARMEN ALCALA</v>
          </cell>
          <cell r="H1169"/>
          <cell r="I1169" t="str">
            <v>A0</v>
          </cell>
          <cell r="J1169" t="str">
            <v>Activo</v>
          </cell>
          <cell r="K1169">
            <v>21894.037973384446</v>
          </cell>
          <cell r="L1169">
            <v>2432.670885931605</v>
          </cell>
          <cell r="M1169">
            <v>2279.7873243723757</v>
          </cell>
          <cell r="N1169" t="str">
            <v>Si Compra</v>
          </cell>
          <cell r="O1169">
            <v>9</v>
          </cell>
          <cell r="P1169">
            <v>56297.700991022357</v>
          </cell>
          <cell r="Q1169">
            <v>6255.3001101135951</v>
          </cell>
          <cell r="R1169">
            <v>4822.6831633860429</v>
          </cell>
          <cell r="T1169"/>
          <cell r="U1169"/>
          <cell r="V1169">
            <v>0.38889754977518226</v>
          </cell>
          <cell r="W1169">
            <v>9.2888776508442245E-5</v>
          </cell>
          <cell r="X1169">
            <v>9</v>
          </cell>
          <cell r="Y1169" t="str">
            <v>Potenciar</v>
          </cell>
        </row>
        <row r="1170">
          <cell r="A1170" t="str">
            <v>A791</v>
          </cell>
          <cell r="B1170" t="str">
            <v>A791 - FARMA MEDI SALUD II A&amp;M C.A.</v>
          </cell>
          <cell r="C1170" t="str">
            <v>INDEPENDIENTE</v>
          </cell>
          <cell r="D1170">
            <v>3</v>
          </cell>
          <cell r="E1170"/>
          <cell r="F1170" t="str">
            <v>ESTE</v>
          </cell>
          <cell r="G1170" t="str">
            <v>CARLOS BLONDELL</v>
          </cell>
          <cell r="H1170" t="str">
            <v>HECTOR</v>
          </cell>
          <cell r="I1170" t="str">
            <v>A3</v>
          </cell>
          <cell r="J1170" t="str">
            <v>Inactivo</v>
          </cell>
          <cell r="K1170">
            <v>21866.547066534324</v>
          </cell>
          <cell r="L1170">
            <v>2186.6547066534322</v>
          </cell>
          <cell r="M1170">
            <v>2086.4654</v>
          </cell>
          <cell r="N1170" t="str">
            <v>Si Compra</v>
          </cell>
          <cell r="O1170">
            <v>10</v>
          </cell>
          <cell r="P1170">
            <v>46543.996236900195</v>
          </cell>
          <cell r="Q1170">
            <v>4654.3996236900193</v>
          </cell>
          <cell r="R1170">
            <v>3645.9894666666664</v>
          </cell>
          <cell r="T1170"/>
          <cell r="U1170"/>
          <cell r="V1170">
            <v>0.46980381648446573</v>
          </cell>
          <cell r="W1170">
            <v>8.349492795022279E-5</v>
          </cell>
          <cell r="X1170">
            <v>10</v>
          </cell>
          <cell r="Y1170" t="str">
            <v>Potenciar</v>
          </cell>
        </row>
        <row r="1171">
          <cell r="A1171" t="str">
            <v>1013</v>
          </cell>
          <cell r="B1171" t="str">
            <v>1013 - FARMACIA MARIÑO C.A.</v>
          </cell>
          <cell r="C1171" t="str">
            <v>INDEPENDIENTE</v>
          </cell>
          <cell r="D1171">
            <v>2</v>
          </cell>
          <cell r="E1171"/>
          <cell r="F1171" t="str">
            <v>ESTE</v>
          </cell>
          <cell r="G1171" t="str">
            <v>CARLOS BLONDELL</v>
          </cell>
          <cell r="H1171"/>
          <cell r="I1171" t="str">
            <v>A3</v>
          </cell>
          <cell r="J1171" t="str">
            <v>Activo</v>
          </cell>
          <cell r="K1171">
            <v>21852.878913905941</v>
          </cell>
          <cell r="L1171">
            <v>2731.6098642382426</v>
          </cell>
          <cell r="M1171">
            <v>6167.3937499999993</v>
          </cell>
          <cell r="N1171" t="str">
            <v>Si Compra</v>
          </cell>
          <cell r="O1171">
            <v>8</v>
          </cell>
          <cell r="P1171">
            <v>24184.977368583946</v>
          </cell>
          <cell r="Q1171">
            <v>3023.1221710729933</v>
          </cell>
          <cell r="R1171">
            <v>6545.6009999999997</v>
          </cell>
          <cell r="T1171"/>
          <cell r="U1171"/>
          <cell r="V1171">
            <v>0.90357243593258929</v>
          </cell>
          <cell r="W1171">
            <v>1.0430342207606633E-4</v>
          </cell>
          <cell r="X1171">
            <v>7</v>
          </cell>
          <cell r="Y1171" t="str">
            <v>Proteger</v>
          </cell>
        </row>
        <row r="1172">
          <cell r="A1172">
            <v>0</v>
          </cell>
          <cell r="B1172" t="str">
            <v>S364 - FARMACIA E W, C.A</v>
          </cell>
          <cell r="C1172" t="e">
            <v>#N/A</v>
          </cell>
          <cell r="D1172">
            <v>0</v>
          </cell>
          <cell r="E1172"/>
          <cell r="F1172" t="str">
            <v>CENTRO ESTE</v>
          </cell>
          <cell r="G1172" t="str">
            <v>KARLA SALAZAR</v>
          </cell>
          <cell r="H1172" t="str">
            <v>HECTOR</v>
          </cell>
          <cell r="I1172" t="str">
            <v>O</v>
          </cell>
          <cell r="J1172" t="str">
            <v>Inactivo</v>
          </cell>
          <cell r="K1172">
            <v>21820.671391516196</v>
          </cell>
          <cell r="L1172">
            <v>3117.2387702165993</v>
          </cell>
          <cell r="M1172">
            <v>1415.5074999999999</v>
          </cell>
          <cell r="N1172" t="str">
            <v>Si Compra</v>
          </cell>
          <cell r="O1172">
            <v>5</v>
          </cell>
          <cell r="P1172">
            <v>48579.211187513749</v>
          </cell>
          <cell r="Q1172">
            <v>6939.8873125019645</v>
          </cell>
          <cell r="R1172">
            <v>14240.0934</v>
          </cell>
          <cell r="T1172"/>
          <cell r="U1172"/>
          <cell r="V1172">
            <v>0.44917714508144857</v>
          </cell>
          <cell r="W1172">
            <v>1.1902822413201766E-4</v>
          </cell>
          <cell r="X1172">
            <v>5</v>
          </cell>
          <cell r="Y1172" t="str">
            <v>Potenciar</v>
          </cell>
        </row>
        <row r="1173">
          <cell r="A1173" t="str">
            <v>$34</v>
          </cell>
          <cell r="B1173" t="str">
            <v>$34 - CINQUEMANI RANDAZZO, ANGELINA (FARMACIA LOS ANGELES)</v>
          </cell>
          <cell r="C1173" t="str">
            <v>INDEPENDIENTE</v>
          </cell>
          <cell r="D1173">
            <v>3</v>
          </cell>
          <cell r="E1173"/>
          <cell r="F1173" t="str">
            <v>CENTRO ESTE</v>
          </cell>
          <cell r="G1173" t="str">
            <v>LAURA FLORES</v>
          </cell>
          <cell r="H1173" t="str">
            <v>HECTOR</v>
          </cell>
          <cell r="I1173" t="str">
            <v>-</v>
          </cell>
          <cell r="J1173" t="str">
            <v>Activo</v>
          </cell>
          <cell r="K1173">
            <v>21806.137797493837</v>
          </cell>
          <cell r="L1173">
            <v>2180.6137797493839</v>
          </cell>
          <cell r="M1173">
            <v>1442.2847949272284</v>
          </cell>
          <cell r="N1173" t="str">
            <v>Si Compra</v>
          </cell>
          <cell r="O1173">
            <v>10</v>
          </cell>
          <cell r="P1173">
            <v>40793.309197600254</v>
          </cell>
          <cell r="Q1173">
            <v>4079.3309197600256</v>
          </cell>
          <cell r="R1173">
            <v>2442.612459222355</v>
          </cell>
          <cell r="T1173"/>
          <cell r="U1173"/>
          <cell r="V1173">
            <v>0.53455182299298798</v>
          </cell>
          <cell r="W1173">
            <v>8.3264262013314075E-5</v>
          </cell>
          <cell r="X1173">
            <v>10</v>
          </cell>
          <cell r="Y1173" t="str">
            <v>Potenciar</v>
          </cell>
        </row>
        <row r="1174">
          <cell r="A1174" t="str">
            <v>D722</v>
          </cell>
          <cell r="B1174" t="str">
            <v>QUINTAMAR</v>
          </cell>
          <cell r="C1174" t="str">
            <v>GRUPO</v>
          </cell>
          <cell r="D1174">
            <v>0</v>
          </cell>
          <cell r="E1174"/>
          <cell r="F1174" t="str">
            <v>CENTRO ESTE</v>
          </cell>
          <cell r="H1174"/>
          <cell r="I1174"/>
          <cell r="J1174" t="str">
            <v>Inactivo</v>
          </cell>
          <cell r="K1174">
            <v>21758.260831073985</v>
          </cell>
          <cell r="L1174">
            <v>3626.3768051789975</v>
          </cell>
          <cell r="M1174">
            <v>0</v>
          </cell>
          <cell r="N1174" t="str">
            <v>No Compra</v>
          </cell>
          <cell r="O1174">
            <v>6</v>
          </cell>
          <cell r="P1174">
            <v>83128.484387217803</v>
          </cell>
          <cell r="Q1174">
            <v>13854.747397869634</v>
          </cell>
          <cell r="R1174">
            <v>0</v>
          </cell>
          <cell r="S1174"/>
          <cell r="T1174"/>
          <cell r="U1174"/>
          <cell r="V1174">
            <v>0.26174254217991766</v>
          </cell>
          <cell r="W1174">
            <v>1.3846908208574717E-4</v>
          </cell>
          <cell r="X1174">
            <v>6</v>
          </cell>
          <cell r="Y1174" t="str">
            <v>Potenciar</v>
          </cell>
        </row>
        <row r="1175">
          <cell r="A1175" t="str">
            <v>8487</v>
          </cell>
          <cell r="B1175" t="str">
            <v>8487 - FARMACIA LA VENEZOLANA BOCONO, C.A</v>
          </cell>
          <cell r="C1175" t="str">
            <v>INDEPENDIENTE</v>
          </cell>
          <cell r="D1175">
            <v>3</v>
          </cell>
          <cell r="E1175"/>
          <cell r="F1175" t="str">
            <v>ANDES</v>
          </cell>
          <cell r="G1175" t="str">
            <v>MILAGRO BRICEñO</v>
          </cell>
          <cell r="H1175"/>
          <cell r="I1175" t="str">
            <v>G</v>
          </cell>
          <cell r="J1175" t="str">
            <v>Activo</v>
          </cell>
          <cell r="K1175">
            <v>21706.79175277775</v>
          </cell>
          <cell r="L1175">
            <v>2170.6791752777749</v>
          </cell>
          <cell r="M1175">
            <v>1194.7026666666668</v>
          </cell>
          <cell r="N1175" t="str">
            <v>Si Compra</v>
          </cell>
          <cell r="O1175">
            <v>10</v>
          </cell>
          <cell r="P1175">
            <v>46273.566292161988</v>
          </cell>
          <cell r="Q1175">
            <v>4627.3566292161986</v>
          </cell>
          <cell r="R1175">
            <v>2500.0415666666668</v>
          </cell>
          <cell r="T1175"/>
          <cell r="U1175"/>
          <cell r="V1175">
            <v>0.46909701352442634</v>
          </cell>
          <cell r="W1175">
            <v>8.2884920418115234E-5</v>
          </cell>
          <cell r="X1175">
            <v>10</v>
          </cell>
          <cell r="Y1175" t="str">
            <v>Potenciar</v>
          </cell>
        </row>
        <row r="1176">
          <cell r="A1176" t="str">
            <v>B548</v>
          </cell>
          <cell r="B1176" t="str">
            <v>B548 - FARMAYUPPI, C.A</v>
          </cell>
          <cell r="C1176" t="str">
            <v>INDEPENDIENTE</v>
          </cell>
          <cell r="D1176">
            <v>3</v>
          </cell>
          <cell r="E1176"/>
          <cell r="F1176" t="str">
            <v>ESTE</v>
          </cell>
          <cell r="G1176" t="str">
            <v>ALEXMAR CASTILLO</v>
          </cell>
          <cell r="H1176"/>
          <cell r="I1176" t="str">
            <v>A1</v>
          </cell>
          <cell r="J1176" t="str">
            <v>Inactivo</v>
          </cell>
          <cell r="K1176">
            <v>21643.933894626167</v>
          </cell>
          <cell r="L1176">
            <v>2164.3933894626166</v>
          </cell>
          <cell r="M1176">
            <v>1534.7850595513146</v>
          </cell>
          <cell r="N1176" t="str">
            <v>Si Compra</v>
          </cell>
          <cell r="O1176">
            <v>10</v>
          </cell>
          <cell r="P1176">
            <v>77782.84196176198</v>
          </cell>
          <cell r="Q1176">
            <v>7778.2841961761978</v>
          </cell>
          <cell r="R1176">
            <v>7152.2430050267503</v>
          </cell>
          <cell r="T1176"/>
          <cell r="U1176"/>
          <cell r="V1176">
            <v>0.27826103223724219</v>
          </cell>
          <cell r="W1176">
            <v>8.2644904821619705E-5</v>
          </cell>
          <cell r="X1176">
            <v>10</v>
          </cell>
          <cell r="Y1176" t="str">
            <v>Potenciar</v>
          </cell>
        </row>
        <row r="1177">
          <cell r="A1177" t="str">
            <v>E045</v>
          </cell>
          <cell r="B1177" t="str">
            <v>E045 - FARMACIA POPULAR ZARAZA C.A.</v>
          </cell>
          <cell r="C1177" t="str">
            <v>INDEPENDIENTE</v>
          </cell>
          <cell r="D1177">
            <v>3</v>
          </cell>
          <cell r="F1177" t="str">
            <v>ESTE</v>
          </cell>
          <cell r="G1177">
            <v>0</v>
          </cell>
          <cell r="H1177"/>
          <cell r="I1177" t="str">
            <v>A7</v>
          </cell>
          <cell r="J1177" t="str">
            <v>Bloqueado</v>
          </cell>
          <cell r="K1177">
            <v>21618.432075613586</v>
          </cell>
          <cell r="L1177">
            <v>2161.8432075613587</v>
          </cell>
          <cell r="M1177">
            <v>2101.2476043301504</v>
          </cell>
          <cell r="N1177" t="str">
            <v>Si Compra</v>
          </cell>
          <cell r="O1177">
            <v>10</v>
          </cell>
          <cell r="P1177">
            <v>0</v>
          </cell>
          <cell r="Q1177">
            <v>0</v>
          </cell>
          <cell r="R1177">
            <v>0</v>
          </cell>
          <cell r="V1177">
            <v>0</v>
          </cell>
          <cell r="W1177">
            <v>8.2547529020375189E-5</v>
          </cell>
          <cell r="X1177">
            <v>0</v>
          </cell>
          <cell r="Y1177" t="str">
            <v>Conquistar</v>
          </cell>
        </row>
        <row r="1178">
          <cell r="A1178" t="str">
            <v>B735</v>
          </cell>
          <cell r="B1178" t="str">
            <v>B735 - CARLOS NOLBERTO DIAZ CARRASQUERO (INSUMEDIC DE CARLOS DIAZ F. P.)</v>
          </cell>
          <cell r="C1178" t="str">
            <v>INDEPENDIENTE</v>
          </cell>
          <cell r="D1178">
            <v>0</v>
          </cell>
          <cell r="E1178"/>
          <cell r="F1178" t="str">
            <v>ANDES</v>
          </cell>
          <cell r="G1178" t="str">
            <v>MILAGRO BRICEñO</v>
          </cell>
          <cell r="H1178"/>
          <cell r="I1178" t="str">
            <v>G</v>
          </cell>
          <cell r="J1178" t="str">
            <v>Bloqueado</v>
          </cell>
          <cell r="K1178">
            <v>21604.657500000001</v>
          </cell>
          <cell r="L1178">
            <v>10802.328750000001</v>
          </cell>
          <cell r="M1178">
            <v>0</v>
          </cell>
          <cell r="N1178" t="str">
            <v>No Compra</v>
          </cell>
          <cell r="O1178">
            <v>2</v>
          </cell>
          <cell r="P1178">
            <v>87821.474300000002</v>
          </cell>
          <cell r="Q1178">
            <v>43910.737150000001</v>
          </cell>
          <cell r="R1178">
            <v>0</v>
          </cell>
          <cell r="T1178"/>
          <cell r="U1178"/>
          <cell r="V1178">
            <v>0.24600654534901154</v>
          </cell>
          <cell r="W1178">
            <v>4.1247466183458141E-4</v>
          </cell>
          <cell r="X1178">
            <v>2</v>
          </cell>
          <cell r="Y1178" t="str">
            <v>Potenciar</v>
          </cell>
        </row>
        <row r="1179">
          <cell r="A1179" t="str">
            <v>0979</v>
          </cell>
          <cell r="B1179" t="str">
            <v>0979 - FARMACIA LAS MARGARITAS, C.A.</v>
          </cell>
          <cell r="C1179" t="str">
            <v>INDEPENDIENTE</v>
          </cell>
          <cell r="D1179">
            <v>3</v>
          </cell>
          <cell r="E1179"/>
          <cell r="F1179" t="str">
            <v>ESTE</v>
          </cell>
          <cell r="G1179" t="str">
            <v>CARLOS BLONDELL</v>
          </cell>
          <cell r="H1179"/>
          <cell r="I1179" t="str">
            <v>A5</v>
          </cell>
          <cell r="J1179" t="str">
            <v>Inactivo</v>
          </cell>
          <cell r="K1179">
            <v>21581.995798981254</v>
          </cell>
          <cell r="L1179">
            <v>2158.1995798981252</v>
          </cell>
          <cell r="M1179">
            <v>2446.9526306084808</v>
          </cell>
          <cell r="N1179" t="str">
            <v>Si Compra</v>
          </cell>
          <cell r="O1179">
            <v>10</v>
          </cell>
          <cell r="P1179">
            <v>23718.035594499848</v>
          </cell>
          <cell r="Q1179">
            <v>2371.8035594499847</v>
          </cell>
          <cell r="R1179">
            <v>2451.8560994826571</v>
          </cell>
          <cell r="T1179"/>
          <cell r="U1179"/>
          <cell r="V1179">
            <v>0.90994027363657648</v>
          </cell>
          <cell r="W1179">
            <v>8.2408401233855698E-5</v>
          </cell>
          <cell r="X1179">
            <v>10</v>
          </cell>
          <cell r="Y1179" t="str">
            <v>Proteger</v>
          </cell>
        </row>
        <row r="1180">
          <cell r="A1180" t="str">
            <v>D434</v>
          </cell>
          <cell r="B1180" t="str">
            <v>D434 - CRISBEN NORBERTA CASTRO PAEZ (INVERSIONES CRISBEN CASTRO , F.P.)</v>
          </cell>
          <cell r="C1180" t="e">
            <v>#N/A</v>
          </cell>
          <cell r="D1180">
            <v>2</v>
          </cell>
          <cell r="E1180"/>
          <cell r="F1180" t="str">
            <v>ESTE</v>
          </cell>
          <cell r="G1180" t="str">
            <v>CARMEN ALCALA</v>
          </cell>
          <cell r="H1180"/>
          <cell r="I1180" t="str">
            <v>A6</v>
          </cell>
          <cell r="J1180" t="str">
            <v>Activo</v>
          </cell>
          <cell r="K1180">
            <v>21559.482079529411</v>
          </cell>
          <cell r="L1180">
            <v>2155.9482079529412</v>
          </cell>
          <cell r="M1180">
            <v>2013.5835434360126</v>
          </cell>
          <cell r="N1180" t="str">
            <v>Si Compra</v>
          </cell>
          <cell r="O1180">
            <v>9</v>
          </cell>
          <cell r="P1180">
            <v>51181.249661838883</v>
          </cell>
          <cell r="Q1180">
            <v>5118.1249661838883</v>
          </cell>
          <cell r="R1180">
            <v>6113.6642201843233</v>
          </cell>
          <cell r="T1180"/>
          <cell r="U1180"/>
          <cell r="V1180">
            <v>0.42123789907389309</v>
          </cell>
          <cell r="W1180">
            <v>8.232243515161128E-5</v>
          </cell>
          <cell r="X1180">
            <v>10</v>
          </cell>
          <cell r="Y1180" t="str">
            <v>Potenciar</v>
          </cell>
        </row>
        <row r="1181">
          <cell r="A1181" t="str">
            <v>C045</v>
          </cell>
          <cell r="B1181" t="str">
            <v>C045 - FARMAHOGAR PLUS C.A</v>
          </cell>
          <cell r="C1181" t="str">
            <v>INDEPENDIENTE</v>
          </cell>
          <cell r="D1181">
            <v>3</v>
          </cell>
          <cell r="E1181"/>
          <cell r="F1181" t="str">
            <v>CARACAS</v>
          </cell>
          <cell r="G1181" t="str">
            <v>MAIRE ACOSTA FERNANDEZ</v>
          </cell>
          <cell r="H1181"/>
          <cell r="I1181" t="str">
            <v>C9</v>
          </cell>
          <cell r="J1181" t="str">
            <v>Activo</v>
          </cell>
          <cell r="K1181">
            <v>21539.977532227054</v>
          </cell>
          <cell r="L1181">
            <v>2153.9977532227053</v>
          </cell>
          <cell r="M1181">
            <v>3644.2843697784688</v>
          </cell>
          <cell r="N1181" t="str">
            <v>Si Compra</v>
          </cell>
          <cell r="O1181">
            <v>10</v>
          </cell>
          <cell r="P1181">
            <v>76203.920867019144</v>
          </cell>
          <cell r="Q1181">
            <v>7620.3920867019142</v>
          </cell>
          <cell r="R1181">
            <v>13280.930145010032</v>
          </cell>
          <cell r="T1181"/>
          <cell r="U1181"/>
          <cell r="V1181">
            <v>0.28266232612644343</v>
          </cell>
          <cell r="W1181">
            <v>8.22479592516552E-5</v>
          </cell>
          <cell r="X1181">
            <v>10</v>
          </cell>
          <cell r="Y1181" t="str">
            <v>Potenciar</v>
          </cell>
        </row>
        <row r="1182">
          <cell r="A1182" t="str">
            <v>E419</v>
          </cell>
          <cell r="B1182" t="str">
            <v>E419 - EXPENDIO DE MEDICINAS ANGOSTURA C.A.</v>
          </cell>
          <cell r="C1182" t="e">
            <v>#N/A</v>
          </cell>
          <cell r="D1182">
            <v>3</v>
          </cell>
          <cell r="F1182" t="str">
            <v>ESTE</v>
          </cell>
          <cell r="G1182">
            <v>0</v>
          </cell>
          <cell r="H1182"/>
          <cell r="I1182" t="str">
            <v>AB</v>
          </cell>
          <cell r="J1182" t="str">
            <v>Inactivo</v>
          </cell>
          <cell r="K1182">
            <v>21483.013880295039</v>
          </cell>
          <cell r="L1182">
            <v>4296.6027760590077</v>
          </cell>
          <cell r="M1182">
            <v>2516.9177999999997</v>
          </cell>
          <cell r="N1182" t="str">
            <v>Si Compra</v>
          </cell>
          <cell r="O1182">
            <v>5</v>
          </cell>
          <cell r="P1182">
            <v>0</v>
          </cell>
          <cell r="Q1182">
            <v>0</v>
          </cell>
          <cell r="R1182">
            <v>0</v>
          </cell>
          <cell r="V1182">
            <v>0</v>
          </cell>
          <cell r="W1182">
            <v>1.640609000251416E-4</v>
          </cell>
          <cell r="X1182">
            <v>0</v>
          </cell>
          <cell r="Y1182" t="str">
            <v>Conquistar</v>
          </cell>
        </row>
        <row r="1183">
          <cell r="A1183" t="str">
            <v>D888</v>
          </cell>
          <cell r="B1183" t="str">
            <v>D888 - FARMACIA RR22, C.A.</v>
          </cell>
          <cell r="C1183" t="str">
            <v>INDEPENDIENTE</v>
          </cell>
          <cell r="D1183">
            <v>3</v>
          </cell>
          <cell r="E1183"/>
          <cell r="F1183" t="str">
            <v>CARACAS</v>
          </cell>
          <cell r="G1183" t="str">
            <v>MAIRE ACOSTA FERNANDEZ</v>
          </cell>
          <cell r="H1183"/>
          <cell r="I1183" t="str">
            <v>C9</v>
          </cell>
          <cell r="J1183" t="str">
            <v>Activo</v>
          </cell>
          <cell r="K1183">
            <v>21447.746090963985</v>
          </cell>
          <cell r="L1183">
            <v>2144.7746090963983</v>
          </cell>
          <cell r="M1183">
            <v>2625.6380471889356</v>
          </cell>
          <cell r="N1183" t="str">
            <v>Si Compra</v>
          </cell>
          <cell r="O1183">
            <v>10</v>
          </cell>
          <cell r="P1183">
            <v>28820.796926423667</v>
          </cell>
          <cell r="Q1183">
            <v>2882.0796926423668</v>
          </cell>
          <cell r="R1183">
            <v>3155.5166192297515</v>
          </cell>
          <cell r="T1183"/>
          <cell r="U1183"/>
          <cell r="V1183">
            <v>0.74417602489333401</v>
          </cell>
          <cell r="W1183">
            <v>8.189578396217884E-5</v>
          </cell>
          <cell r="X1183">
            <v>10</v>
          </cell>
          <cell r="Y1183" t="str">
            <v>Proteger</v>
          </cell>
        </row>
        <row r="1184">
          <cell r="A1184" t="str">
            <v>C642</v>
          </cell>
          <cell r="B1184" t="str">
            <v>C642 - FARMARAYAN, C.A.</v>
          </cell>
          <cell r="C1184" t="str">
            <v>INDEPENDIENTE</v>
          </cell>
          <cell r="D1184">
            <v>3</v>
          </cell>
          <cell r="E1184"/>
          <cell r="F1184" t="str">
            <v>ESTE</v>
          </cell>
          <cell r="G1184" t="str">
            <v>PEDRO VIRE</v>
          </cell>
          <cell r="H1184"/>
          <cell r="I1184" t="str">
            <v>A7</v>
          </cell>
          <cell r="J1184" t="str">
            <v>Activo</v>
          </cell>
          <cell r="K1184">
            <v>21433.27791672996</v>
          </cell>
          <cell r="L1184">
            <v>2679.1597395912449</v>
          </cell>
          <cell r="M1184">
            <v>2351.0604034328876</v>
          </cell>
          <cell r="N1184" t="str">
            <v>Si Compra</v>
          </cell>
          <cell r="O1184">
            <v>8</v>
          </cell>
          <cell r="P1184">
            <v>29553.159127579602</v>
          </cell>
          <cell r="Q1184">
            <v>3694.1448909474502</v>
          </cell>
          <cell r="R1184">
            <v>3336.3001478527426</v>
          </cell>
          <cell r="T1184"/>
          <cell r="U1184"/>
          <cell r="V1184">
            <v>0.72524489934235137</v>
          </cell>
          <cell r="W1184">
            <v>1.0230067360139581E-4</v>
          </cell>
          <cell r="X1184">
            <v>8</v>
          </cell>
          <cell r="Y1184" t="str">
            <v>Proteger</v>
          </cell>
        </row>
        <row r="1185">
          <cell r="A1185" t="str">
            <v>H105</v>
          </cell>
          <cell r="B1185" t="str">
            <v>H105 - FARMACIA DESCUENTO A SU SALUD, C.A</v>
          </cell>
          <cell r="C1185" t="str">
            <v>INDEPENDIENTE</v>
          </cell>
          <cell r="D1185">
            <v>3</v>
          </cell>
          <cell r="F1185" t="str">
            <v>CENTRO ESTE</v>
          </cell>
          <cell r="G1185" t="str">
            <v>KARLA SALAZAR</v>
          </cell>
          <cell r="H1185"/>
          <cell r="I1185" t="str">
            <v>H</v>
          </cell>
          <cell r="J1185" t="str">
            <v>Inactivo</v>
          </cell>
          <cell r="K1185">
            <v>21423.082022333001</v>
          </cell>
          <cell r="L1185">
            <v>2380.3424469258889</v>
          </cell>
          <cell r="M1185">
            <v>1753.9484733909046</v>
          </cell>
          <cell r="N1185" t="str">
            <v>Si Compra</v>
          </cell>
          <cell r="O1185">
            <v>9</v>
          </cell>
          <cell r="P1185">
            <v>31445.816413535485</v>
          </cell>
          <cell r="Q1185">
            <v>3493.9796015039428</v>
          </cell>
          <cell r="R1185">
            <v>2424.2135490092078</v>
          </cell>
          <cell r="V1185">
            <v>0.68126970343538873</v>
          </cell>
          <cell r="W1185">
            <v>9.0890674461861393E-5</v>
          </cell>
          <cell r="X1185">
            <v>9</v>
          </cell>
          <cell r="Y1185" t="str">
            <v>Proteger</v>
          </cell>
        </row>
        <row r="1186">
          <cell r="A1186" t="str">
            <v>C871</v>
          </cell>
          <cell r="B1186" t="str">
            <v>C871 - FARMADESCUENTO 23, C.A.</v>
          </cell>
          <cell r="C1186" t="str">
            <v>INDEPENDIENTE</v>
          </cell>
          <cell r="D1186">
            <v>3</v>
          </cell>
          <cell r="E1186"/>
          <cell r="F1186" t="str">
            <v>CARACAS</v>
          </cell>
          <cell r="G1186" t="str">
            <v>MAIRUBI QUIJADA</v>
          </cell>
          <cell r="H1186"/>
          <cell r="I1186" t="str">
            <v>C7</v>
          </cell>
          <cell r="J1186" t="str">
            <v>Inactivo</v>
          </cell>
          <cell r="K1186">
            <v>21419.572810723363</v>
          </cell>
          <cell r="L1186">
            <v>2141.9572810723362</v>
          </cell>
          <cell r="M1186">
            <v>1439.1356778700117</v>
          </cell>
          <cell r="N1186" t="str">
            <v>Si Compra</v>
          </cell>
          <cell r="O1186">
            <v>10</v>
          </cell>
          <cell r="P1186">
            <v>42730.218582499292</v>
          </cell>
          <cell r="Q1186">
            <v>4273.0218582499292</v>
          </cell>
          <cell r="R1186">
            <v>3187.1789768633171</v>
          </cell>
          <cell r="T1186"/>
          <cell r="U1186"/>
          <cell r="V1186">
            <v>0.50127459023802001</v>
          </cell>
          <cell r="W1186">
            <v>8.1788207489466686E-5</v>
          </cell>
          <cell r="X1186">
            <v>10</v>
          </cell>
          <cell r="Y1186" t="str">
            <v>Potenciar</v>
          </cell>
        </row>
        <row r="1187">
          <cell r="A1187" t="str">
            <v>C856</v>
          </cell>
          <cell r="B1187" t="str">
            <v>C856 - FARMACIA A-B-C COMPAÑIA ANONIMA</v>
          </cell>
          <cell r="C1187" t="str">
            <v>INDEPENDIENTE</v>
          </cell>
          <cell r="D1187">
            <v>3</v>
          </cell>
          <cell r="E1187"/>
          <cell r="F1187" t="str">
            <v>ANDES</v>
          </cell>
          <cell r="G1187" t="str">
            <v>LUCIA DUGARTE</v>
          </cell>
          <cell r="H1187"/>
          <cell r="I1187" t="str">
            <v>6</v>
          </cell>
          <cell r="J1187" t="str">
            <v>Activo</v>
          </cell>
          <cell r="K1187">
            <v>21377.577312165318</v>
          </cell>
          <cell r="L1187">
            <v>2137.7577312165317</v>
          </cell>
          <cell r="M1187">
            <v>1493.6595333333335</v>
          </cell>
          <cell r="N1187" t="str">
            <v>Si Compra</v>
          </cell>
          <cell r="O1187">
            <v>10</v>
          </cell>
          <cell r="P1187">
            <v>39806.796695723613</v>
          </cell>
          <cell r="Q1187">
            <v>3980.6796695723615</v>
          </cell>
          <cell r="R1187">
            <v>2998.490933333333</v>
          </cell>
          <cell r="T1187"/>
          <cell r="U1187"/>
          <cell r="V1187">
            <v>0.53703334823879156</v>
          </cell>
          <cell r="W1187">
            <v>8.1627852445038842E-5</v>
          </cell>
          <cell r="X1187">
            <v>10</v>
          </cell>
          <cell r="Y1187" t="str">
            <v>Potenciar</v>
          </cell>
        </row>
        <row r="1188">
          <cell r="A1188" t="str">
            <v>7830</v>
          </cell>
          <cell r="B1188" t="str">
            <v>7830 - FARMACIA DE LA CRUZ C.A.</v>
          </cell>
          <cell r="C1188" t="str">
            <v>INDEPENDIENTE</v>
          </cell>
          <cell r="D1188">
            <v>3</v>
          </cell>
          <cell r="E1188"/>
          <cell r="F1188" t="str">
            <v>ANDES</v>
          </cell>
          <cell r="G1188" t="str">
            <v>ANYERSSON TORRES</v>
          </cell>
          <cell r="H1188"/>
          <cell r="I1188" t="str">
            <v>4</v>
          </cell>
          <cell r="J1188" t="str">
            <v>Activo</v>
          </cell>
          <cell r="K1188">
            <v>21246.062317405216</v>
          </cell>
          <cell r="L1188">
            <v>2124.6062317405217</v>
          </cell>
          <cell r="M1188">
            <v>2965.4251666666664</v>
          </cell>
          <cell r="N1188" t="str">
            <v>Si Compra</v>
          </cell>
          <cell r="O1188">
            <v>10</v>
          </cell>
          <cell r="P1188">
            <v>40806.643945465614</v>
          </cell>
          <cell r="Q1188">
            <v>4080.6643945465612</v>
          </cell>
          <cell r="R1188">
            <v>3044.8881999999999</v>
          </cell>
          <cell r="T1188"/>
          <cell r="U1188"/>
          <cell r="V1188">
            <v>0.52065203758972822</v>
          </cell>
          <cell r="W1188">
            <v>8.1125677365523243E-5</v>
          </cell>
          <cell r="X1188">
            <v>10</v>
          </cell>
          <cell r="Y1188" t="str">
            <v>Potenciar</v>
          </cell>
        </row>
        <row r="1189">
          <cell r="A1189" t="str">
            <v>D450</v>
          </cell>
          <cell r="B1189" t="str">
            <v>D450 - FARMACIA  FARMA 40  1 , C.A.</v>
          </cell>
          <cell r="C1189" t="str">
            <v>INDEPENDIENTE</v>
          </cell>
          <cell r="D1189">
            <v>3</v>
          </cell>
          <cell r="E1189"/>
          <cell r="F1189" t="str">
            <v>MARACAIBO</v>
          </cell>
          <cell r="G1189">
            <v>0</v>
          </cell>
          <cell r="H1189"/>
          <cell r="I1189" t="str">
            <v>B</v>
          </cell>
          <cell r="J1189" t="str">
            <v>Activo</v>
          </cell>
          <cell r="K1189">
            <v>21179.103500000001</v>
          </cell>
          <cell r="L1189">
            <v>2117.9103500000001</v>
          </cell>
          <cell r="M1189">
            <v>2237.1544666666668</v>
          </cell>
          <cell r="N1189" t="str">
            <v>Si Compra</v>
          </cell>
          <cell r="O1189">
            <v>10</v>
          </cell>
          <cell r="P1189">
            <v>0</v>
          </cell>
          <cell r="Q1189">
            <v>0</v>
          </cell>
          <cell r="R1189">
            <v>0</v>
          </cell>
          <cell r="T1189"/>
          <cell r="U1189"/>
          <cell r="V1189">
            <v>0</v>
          </cell>
          <cell r="W1189">
            <v>8.0870002721608519E-5</v>
          </cell>
          <cell r="X1189">
            <v>0</v>
          </cell>
          <cell r="Y1189" t="str">
            <v>Conquistar</v>
          </cell>
        </row>
        <row r="1190">
          <cell r="A1190" t="str">
            <v>A956</v>
          </cell>
          <cell r="B1190" t="str">
            <v>A956 - FARMACIA EL ROBLE DE CAPUCHINOS, C.A.</v>
          </cell>
          <cell r="C1190" t="str">
            <v>INDEPENDIENTE</v>
          </cell>
          <cell r="D1190">
            <v>3</v>
          </cell>
          <cell r="E1190"/>
          <cell r="F1190" t="str">
            <v>CARACAS</v>
          </cell>
          <cell r="G1190" t="str">
            <v>WILLIAM ARAQUE</v>
          </cell>
          <cell r="H1190"/>
          <cell r="I1190" t="str">
            <v>C3</v>
          </cell>
          <cell r="J1190" t="str">
            <v>Activo</v>
          </cell>
          <cell r="K1190">
            <v>21151.705862310981</v>
          </cell>
          <cell r="L1190">
            <v>2115.1705862310982</v>
          </cell>
          <cell r="M1190">
            <v>2153.9107892864845</v>
          </cell>
          <cell r="N1190" t="str">
            <v>Si Compra</v>
          </cell>
          <cell r="O1190">
            <v>10</v>
          </cell>
          <cell r="P1190">
            <v>50423.829327725296</v>
          </cell>
          <cell r="Q1190">
            <v>5042.3829327725298</v>
          </cell>
          <cell r="R1190">
            <v>5569.1574166512655</v>
          </cell>
          <cell r="T1190"/>
          <cell r="U1190"/>
          <cell r="V1190">
            <v>0.41947837251386261</v>
          </cell>
          <cell r="W1190">
            <v>8.0765387951938197E-5</v>
          </cell>
          <cell r="X1190">
            <v>10</v>
          </cell>
          <cell r="Y1190" t="str">
            <v>Potenciar</v>
          </cell>
        </row>
        <row r="1191">
          <cell r="A1191" t="str">
            <v>Q219</v>
          </cell>
          <cell r="B1191" t="str">
            <v>Q219 - FARMACIA FLEMING,C.A</v>
          </cell>
          <cell r="C1191" t="str">
            <v>INDEPENDIENTE</v>
          </cell>
          <cell r="D1191">
            <v>3</v>
          </cell>
          <cell r="F1191" t="str">
            <v>MARACAIBO</v>
          </cell>
          <cell r="G1191" t="str">
            <v>ADRIANA ALBORNOZ</v>
          </cell>
          <cell r="H1191"/>
          <cell r="I1191" t="str">
            <v>BD</v>
          </cell>
          <cell r="J1191" t="str">
            <v>Activo</v>
          </cell>
          <cell r="K1191">
            <v>21133.012997782091</v>
          </cell>
          <cell r="L1191">
            <v>2113.3012997782089</v>
          </cell>
          <cell r="M1191">
            <v>2206.1226333333339</v>
          </cell>
          <cell r="N1191" t="str">
            <v>Si Compra</v>
          </cell>
          <cell r="O1191">
            <v>10</v>
          </cell>
          <cell r="P1191">
            <v>34616.267903708082</v>
          </cell>
          <cell r="Q1191">
            <v>3461.6267903708081</v>
          </cell>
          <cell r="R1191">
            <v>2851.0263333333332</v>
          </cell>
          <cell r="V1191">
            <v>0.61049368627974854</v>
          </cell>
          <cell r="W1191">
            <v>8.0694011370520272E-5</v>
          </cell>
          <cell r="X1191">
            <v>10</v>
          </cell>
          <cell r="Y1191" t="str">
            <v>Proteger</v>
          </cell>
        </row>
        <row r="1192">
          <cell r="A1192" t="str">
            <v>5410</v>
          </cell>
          <cell r="B1192" t="str">
            <v>5410 - FARMACIA FARMA SALUD INTEGRAL II, C.A.</v>
          </cell>
          <cell r="C1192" t="str">
            <v>INDEPENDIENTE</v>
          </cell>
          <cell r="D1192">
            <v>3</v>
          </cell>
          <cell r="E1192"/>
          <cell r="F1192" t="str">
            <v>ESTE</v>
          </cell>
          <cell r="G1192" t="str">
            <v>JOSE RAMIREZ</v>
          </cell>
          <cell r="H1192"/>
          <cell r="I1192" t="str">
            <v>A4</v>
          </cell>
          <cell r="J1192" t="str">
            <v>Activo</v>
          </cell>
          <cell r="K1192">
            <v>21100.122250752662</v>
          </cell>
          <cell r="L1192">
            <v>2110.0122250752661</v>
          </cell>
          <cell r="M1192">
            <v>2016.0615161874628</v>
          </cell>
          <cell r="N1192" t="str">
            <v>Si Compra</v>
          </cell>
          <cell r="O1192">
            <v>10</v>
          </cell>
          <cell r="P1192">
            <v>49035.689273565651</v>
          </cell>
          <cell r="Q1192">
            <v>4903.5689273565649</v>
          </cell>
          <cell r="R1192">
            <v>3728.1186172325965</v>
          </cell>
          <cell r="T1192"/>
          <cell r="U1192"/>
          <cell r="V1192">
            <v>0.43030132875336979</v>
          </cell>
          <cell r="W1192">
            <v>8.0568421786344273E-5</v>
          </cell>
          <cell r="X1192">
            <v>10</v>
          </cell>
          <cell r="Y1192" t="str">
            <v>Potenciar</v>
          </cell>
        </row>
        <row r="1193">
          <cell r="A1193" t="str">
            <v>D036</v>
          </cell>
          <cell r="B1193" t="str">
            <v>D036 - NOSSA FARMACIA C.A.</v>
          </cell>
          <cell r="C1193" t="str">
            <v>INDEPENDIENTE</v>
          </cell>
          <cell r="D1193">
            <v>3</v>
          </cell>
          <cell r="E1193"/>
          <cell r="F1193" t="str">
            <v>ESTE</v>
          </cell>
          <cell r="G1193" t="str">
            <v>ADOLFO GONZALEZ</v>
          </cell>
          <cell r="H1193"/>
          <cell r="I1193" t="str">
            <v>A8</v>
          </cell>
          <cell r="J1193" t="str">
            <v>Activo</v>
          </cell>
          <cell r="K1193">
            <v>21096.669074875739</v>
          </cell>
          <cell r="L1193">
            <v>2109.666907487574</v>
          </cell>
          <cell r="M1193">
            <v>1654.7992000000002</v>
          </cell>
          <cell r="N1193" t="str">
            <v>Si Compra</v>
          </cell>
          <cell r="O1193">
            <v>10</v>
          </cell>
          <cell r="P1193">
            <v>47509.285340212293</v>
          </cell>
          <cell r="Q1193">
            <v>4750.9285340212291</v>
          </cell>
          <cell r="R1193">
            <v>5021.6392999999998</v>
          </cell>
          <cell r="T1193"/>
          <cell r="U1193"/>
          <cell r="V1193">
            <v>0.44405359760314744</v>
          </cell>
          <cell r="W1193">
            <v>8.0555236226220595E-5</v>
          </cell>
          <cell r="X1193">
            <v>10</v>
          </cell>
          <cell r="Y1193" t="str">
            <v>Potenciar</v>
          </cell>
        </row>
        <row r="1194">
          <cell r="A1194" t="str">
            <v>B472</v>
          </cell>
          <cell r="B1194" t="str">
            <v>B472 - FARMACIA LA DRA MOYA, C.A.</v>
          </cell>
          <cell r="C1194" t="str">
            <v>INDEPENDIENTE</v>
          </cell>
          <cell r="D1194">
            <v>3</v>
          </cell>
          <cell r="E1194"/>
          <cell r="F1194" t="str">
            <v>ESTE</v>
          </cell>
          <cell r="G1194" t="str">
            <v>IRAIDA RODRIGUEZ</v>
          </cell>
          <cell r="H1194"/>
          <cell r="I1194" t="str">
            <v>AB</v>
          </cell>
          <cell r="J1194" t="str">
            <v>Activo</v>
          </cell>
          <cell r="K1194">
            <v>21061.575631110296</v>
          </cell>
          <cell r="L1194">
            <v>2106.1575631110295</v>
          </cell>
          <cell r="M1194">
            <v>1637.9147961437602</v>
          </cell>
          <cell r="N1194" t="str">
            <v>Si Compra</v>
          </cell>
          <cell r="O1194">
            <v>10</v>
          </cell>
          <cell r="P1194">
            <v>76607.589600316962</v>
          </cell>
          <cell r="Q1194">
            <v>7660.758960031696</v>
          </cell>
          <cell r="R1194">
            <v>4309.626014150992</v>
          </cell>
          <cell r="T1194"/>
          <cell r="U1194"/>
          <cell r="V1194">
            <v>0.27492805531402797</v>
          </cell>
          <cell r="W1194">
            <v>8.0421235894581329E-5</v>
          </cell>
          <cell r="X1194">
            <v>10</v>
          </cell>
          <cell r="Y1194" t="str">
            <v>Potenciar</v>
          </cell>
        </row>
        <row r="1195">
          <cell r="A1195" t="str">
            <v>D055</v>
          </cell>
          <cell r="B1195" t="str">
            <v>D055 - FARMACIA LA SALINA DEL SUR, C.A.</v>
          </cell>
          <cell r="C1195" t="str">
            <v>INDEPENDIENTE</v>
          </cell>
          <cell r="D1195">
            <v>0</v>
          </cell>
          <cell r="E1195"/>
          <cell r="F1195" t="str">
            <v>MARACAIBO</v>
          </cell>
          <cell r="G1195" t="str">
            <v>JOEL JIMENEZ</v>
          </cell>
          <cell r="H1195"/>
          <cell r="I1195" t="str">
            <v>S1</v>
          </cell>
          <cell r="J1195" t="str">
            <v>Inactivo</v>
          </cell>
          <cell r="K1195">
            <v>21019.121300000003</v>
          </cell>
          <cell r="L1195">
            <v>3503.1868833333338</v>
          </cell>
          <cell r="M1195">
            <v>0</v>
          </cell>
          <cell r="N1195" t="str">
            <v>No Compra</v>
          </cell>
          <cell r="O1195">
            <v>6</v>
          </cell>
          <cell r="P1195">
            <v>34663.290300000001</v>
          </cell>
          <cell r="Q1195">
            <v>5777.2150499999998</v>
          </cell>
          <cell r="R1195">
            <v>0</v>
          </cell>
          <cell r="T1195"/>
          <cell r="U1195"/>
          <cell r="V1195">
            <v>0.60637986521435339</v>
          </cell>
          <cell r="W1195">
            <v>1.3376521475022299E-4</v>
          </cell>
          <cell r="X1195">
            <v>6</v>
          </cell>
          <cell r="Y1195" t="str">
            <v>Potenciar</v>
          </cell>
        </row>
        <row r="1196">
          <cell r="A1196" t="str">
            <v>H264</v>
          </cell>
          <cell r="B1196" t="str">
            <v>H264 - FARMACIA SAN RAFAEL, C.A</v>
          </cell>
          <cell r="C1196" t="str">
            <v>INDEPENDIENTE</v>
          </cell>
          <cell r="D1196">
            <v>3</v>
          </cell>
          <cell r="F1196" t="str">
            <v>CENTRO ESTE</v>
          </cell>
          <cell r="G1196" t="str">
            <v>KARLA SALAZAR</v>
          </cell>
          <cell r="H1196"/>
          <cell r="I1196" t="str">
            <v>H</v>
          </cell>
          <cell r="J1196" t="str">
            <v>Activo</v>
          </cell>
          <cell r="K1196">
            <v>20967.023342197135</v>
          </cell>
          <cell r="L1196">
            <v>2096.7023342197135</v>
          </cell>
          <cell r="M1196">
            <v>1918.9131333333332</v>
          </cell>
          <cell r="N1196" t="str">
            <v>Si Compra</v>
          </cell>
          <cell r="O1196">
            <v>10</v>
          </cell>
          <cell r="P1196">
            <v>40977.487757240444</v>
          </cell>
          <cell r="Q1196">
            <v>4097.7487757240442</v>
          </cell>
          <cell r="R1196">
            <v>3230.5452333333328</v>
          </cell>
          <cell r="V1196">
            <v>0.51167176149036631</v>
          </cell>
          <cell r="W1196">
            <v>8.0060198711787384E-5</v>
          </cell>
          <cell r="X1196">
            <v>10</v>
          </cell>
          <cell r="Y1196" t="str">
            <v>Potenciar</v>
          </cell>
        </row>
        <row r="1197">
          <cell r="A1197" t="str">
            <v>2684</v>
          </cell>
          <cell r="B1197" t="str">
            <v>Alfredo Calderon - 1</v>
          </cell>
          <cell r="C1197" t="str">
            <v>CADENA</v>
          </cell>
          <cell r="D1197">
            <v>6</v>
          </cell>
          <cell r="E1197"/>
          <cell r="F1197" t="str">
            <v>ANDES</v>
          </cell>
          <cell r="H1197"/>
          <cell r="I1197"/>
          <cell r="J1197" t="str">
            <v>Activo</v>
          </cell>
          <cell r="K1197">
            <v>20893.107492740728</v>
          </cell>
          <cell r="L1197">
            <v>2089.3107492740728</v>
          </cell>
          <cell r="M1197">
            <v>2751.1315333333332</v>
          </cell>
          <cell r="N1197" t="str">
            <v>Si Compra</v>
          </cell>
          <cell r="O1197">
            <v>10</v>
          </cell>
          <cell r="P1197">
            <v>213866.18774836214</v>
          </cell>
          <cell r="Q1197">
            <v>21386.618774836214</v>
          </cell>
          <cell r="R1197">
            <v>6428.8423666666667</v>
          </cell>
          <cell r="S1197"/>
          <cell r="T1197"/>
          <cell r="U1197"/>
          <cell r="V1197">
            <v>9.7692429610817408E-2</v>
          </cell>
          <cell r="W1197">
            <v>7.9777959430662486E-5</v>
          </cell>
          <cell r="X1197">
            <v>10</v>
          </cell>
          <cell r="Y1197" t="str">
            <v>Conquistar</v>
          </cell>
        </row>
        <row r="1198">
          <cell r="A1198" t="str">
            <v>OC01</v>
          </cell>
          <cell r="B1198" t="str">
            <v>OC01 - FARMACIA VENUS C.A.</v>
          </cell>
          <cell r="C1198" t="str">
            <v>INDEPENDIENTE</v>
          </cell>
          <cell r="D1198">
            <v>3</v>
          </cell>
          <cell r="F1198" t="str">
            <v>CARACAS</v>
          </cell>
          <cell r="G1198" t="str">
            <v>JHON TORRES</v>
          </cell>
          <cell r="H1198"/>
          <cell r="I1198" t="str">
            <v>C4</v>
          </cell>
          <cell r="J1198" t="str">
            <v>Activo</v>
          </cell>
          <cell r="K1198">
            <v>20870.991374733952</v>
          </cell>
          <cell r="L1198">
            <v>2087.0991374733953</v>
          </cell>
          <cell r="M1198">
            <v>2445.1760613525425</v>
          </cell>
          <cell r="N1198" t="str">
            <v>Si Compra</v>
          </cell>
          <cell r="O1198">
            <v>10</v>
          </cell>
          <cell r="P1198">
            <v>30577.798096025799</v>
          </cell>
          <cell r="Q1198">
            <v>3057.7798096025799</v>
          </cell>
          <cell r="R1198">
            <v>3116.0364229253496</v>
          </cell>
          <cell r="V1198">
            <v>0.68255377019598273</v>
          </cell>
          <cell r="W1198">
            <v>7.9693511544405208E-5</v>
          </cell>
          <cell r="X1198">
            <v>10</v>
          </cell>
          <cell r="Y1198" t="str">
            <v>Proteger</v>
          </cell>
        </row>
        <row r="1199">
          <cell r="A1199" t="str">
            <v>8692</v>
          </cell>
          <cell r="B1199" t="str">
            <v>8692 - FARMACIA SALUD Y HOGAR C.A.</v>
          </cell>
          <cell r="C1199" t="str">
            <v>INDEPENDIENTE</v>
          </cell>
          <cell r="D1199">
            <v>3</v>
          </cell>
          <cell r="E1199"/>
          <cell r="F1199" t="str">
            <v>MARACAIBO</v>
          </cell>
          <cell r="G1199" t="str">
            <v>ADRIANA ALBORNOZ</v>
          </cell>
          <cell r="H1199"/>
          <cell r="I1199" t="str">
            <v>BD</v>
          </cell>
          <cell r="J1199" t="str">
            <v>Activo</v>
          </cell>
          <cell r="K1199">
            <v>20839.773852842984</v>
          </cell>
          <cell r="L1199">
            <v>2083.9773852842982</v>
          </cell>
          <cell r="M1199">
            <v>1807.3223666666665</v>
          </cell>
          <cell r="N1199" t="str">
            <v>Si Compra</v>
          </cell>
          <cell r="O1199">
            <v>10</v>
          </cell>
          <cell r="P1199">
            <v>437196.08651168831</v>
          </cell>
          <cell r="Q1199">
            <v>43719.608651168834</v>
          </cell>
          <cell r="R1199">
            <v>26073.513133333337</v>
          </cell>
          <cell r="T1199"/>
          <cell r="U1199"/>
          <cell r="V1199">
            <v>4.7666881053579226E-2</v>
          </cell>
          <cell r="W1199">
            <v>7.9574310980496312E-5</v>
          </cell>
          <cell r="X1199">
            <v>10</v>
          </cell>
          <cell r="Y1199" t="str">
            <v>Conquistar</v>
          </cell>
        </row>
        <row r="1200">
          <cell r="A1200" t="str">
            <v>E347</v>
          </cell>
          <cell r="B1200" t="str">
            <v>E347 - FARMACIA SURTIMEDIC, C.A</v>
          </cell>
          <cell r="C1200" t="e">
            <v>#N/A</v>
          </cell>
          <cell r="D1200">
            <v>3</v>
          </cell>
          <cell r="F1200" t="str">
            <v>ANDES</v>
          </cell>
          <cell r="G1200">
            <v>0</v>
          </cell>
          <cell r="H1200"/>
          <cell r="I1200" t="str">
            <v>4</v>
          </cell>
          <cell r="J1200" t="str">
            <v>Activo</v>
          </cell>
          <cell r="K1200">
            <v>20782.736400000002</v>
          </cell>
          <cell r="L1200">
            <v>3463.7894000000001</v>
          </cell>
          <cell r="M1200">
            <v>3441.6002333333331</v>
          </cell>
          <cell r="N1200" t="str">
            <v>Si Compra</v>
          </cell>
          <cell r="O1200">
            <v>6</v>
          </cell>
          <cell r="P1200">
            <v>0</v>
          </cell>
          <cell r="Q1200">
            <v>0</v>
          </cell>
          <cell r="R1200">
            <v>0</v>
          </cell>
          <cell r="V1200">
            <v>0</v>
          </cell>
          <cell r="W1200">
            <v>1.3226086656835062E-4</v>
          </cell>
          <cell r="X1200">
            <v>0</v>
          </cell>
          <cell r="Y1200" t="str">
            <v>Conquistar</v>
          </cell>
        </row>
        <row r="1201">
          <cell r="A1201" t="str">
            <v>3379</v>
          </cell>
          <cell r="B1201" t="str">
            <v>3379 - FARMACIA SOLIDARIA Y  POPULAR,C.A</v>
          </cell>
          <cell r="C1201" t="str">
            <v>INDEPENDIENTE</v>
          </cell>
          <cell r="D1201">
            <v>3</v>
          </cell>
          <cell r="E1201"/>
          <cell r="F1201" t="str">
            <v>CENTRO ESTE</v>
          </cell>
          <cell r="G1201" t="str">
            <v>LAURA FLORES</v>
          </cell>
          <cell r="H1201"/>
          <cell r="I1201" t="str">
            <v>+</v>
          </cell>
          <cell r="J1201" t="str">
            <v>Activo</v>
          </cell>
          <cell r="K1201">
            <v>20762.218460791952</v>
          </cell>
          <cell r="L1201">
            <v>2306.9131623102166</v>
          </cell>
          <cell r="M1201">
            <v>2106.7628096764743</v>
          </cell>
          <cell r="N1201" t="str">
            <v>Si Compra</v>
          </cell>
          <cell r="O1201">
            <v>9</v>
          </cell>
          <cell r="P1201">
            <v>23747.603972219335</v>
          </cell>
          <cell r="Q1201">
            <v>2638.6226635799262</v>
          </cell>
          <cell r="R1201">
            <v>2094.3937664991886</v>
          </cell>
          <cell r="T1201"/>
          <cell r="U1201"/>
          <cell r="V1201">
            <v>0.87428687479714673</v>
          </cell>
          <cell r="W1201">
            <v>8.8086860576766962E-5</v>
          </cell>
          <cell r="X1201">
            <v>9</v>
          </cell>
          <cell r="Y1201" t="str">
            <v>Proteger</v>
          </cell>
        </row>
        <row r="1202">
          <cell r="A1202" t="str">
            <v>C602</v>
          </cell>
          <cell r="B1202" t="str">
            <v>FARMACIAS 08</v>
          </cell>
          <cell r="C1202" t="str">
            <v>GRUPO</v>
          </cell>
          <cell r="D1202">
            <v>5</v>
          </cell>
          <cell r="E1202"/>
          <cell r="F1202" t="str">
            <v>ESTE</v>
          </cell>
          <cell r="H1202"/>
          <cell r="I1202"/>
          <cell r="J1202" t="str">
            <v>Activo</v>
          </cell>
          <cell r="K1202">
            <v>20742.100190558936</v>
          </cell>
          <cell r="L1202">
            <v>2592.7625238198671</v>
          </cell>
          <cell r="M1202">
            <v>3472.4159666666669</v>
          </cell>
          <cell r="N1202" t="str">
            <v>Si Compra</v>
          </cell>
          <cell r="O1202">
            <v>8</v>
          </cell>
          <cell r="P1202">
            <v>35820.460323492138</v>
          </cell>
          <cell r="Q1202">
            <v>4477.5575404365172</v>
          </cell>
          <cell r="R1202">
            <v>2298.8659000000002</v>
          </cell>
          <cell r="S1202"/>
          <cell r="T1202"/>
          <cell r="U1202"/>
          <cell r="V1202">
            <v>0.57905733212913635</v>
          </cell>
          <cell r="W1202">
            <v>9.9001693984732266E-5</v>
          </cell>
          <cell r="X1202">
            <v>6</v>
          </cell>
          <cell r="Y1202" t="str">
            <v>Potenciar</v>
          </cell>
        </row>
        <row r="1203">
          <cell r="A1203" t="str">
            <v>6266</v>
          </cell>
          <cell r="B1203" t="str">
            <v>6266 - FARMACIA COELHO C.A</v>
          </cell>
          <cell r="C1203" t="str">
            <v>INDEPENDIENTE</v>
          </cell>
          <cell r="D1203">
            <v>3</v>
          </cell>
          <cell r="E1203"/>
          <cell r="F1203" t="str">
            <v>CARACAS</v>
          </cell>
          <cell r="G1203" t="str">
            <v>RAMON SERRANO</v>
          </cell>
          <cell r="H1203"/>
          <cell r="I1203" t="str">
            <v>CB</v>
          </cell>
          <cell r="J1203" t="str">
            <v>Inactivo</v>
          </cell>
          <cell r="K1203">
            <v>20697.784517603817</v>
          </cell>
          <cell r="L1203">
            <v>2069.7784517603818</v>
          </cell>
          <cell r="M1203">
            <v>1548.7954333333334</v>
          </cell>
          <cell r="N1203" t="str">
            <v>Si Compra</v>
          </cell>
          <cell r="O1203">
            <v>10</v>
          </cell>
          <cell r="P1203">
            <v>124511.0399500881</v>
          </cell>
          <cell r="Q1203">
            <v>12451.103995008811</v>
          </cell>
          <cell r="R1203">
            <v>14289.816166666666</v>
          </cell>
          <cell r="T1203"/>
          <cell r="U1203"/>
          <cell r="V1203">
            <v>0.16623252464922628</v>
          </cell>
          <cell r="W1203">
            <v>7.9032140820780599E-5</v>
          </cell>
          <cell r="X1203">
            <v>10</v>
          </cell>
          <cell r="Y1203" t="str">
            <v>Conquistar</v>
          </cell>
        </row>
        <row r="1204">
          <cell r="A1204" t="str">
            <v>9022</v>
          </cell>
          <cell r="B1204" t="str">
            <v>9022 - FARMACIA PROVESALUD, C.A</v>
          </cell>
          <cell r="C1204" t="str">
            <v>INDEPENDIENTE</v>
          </cell>
          <cell r="D1204">
            <v>3</v>
          </cell>
          <cell r="E1204"/>
          <cell r="F1204" t="str">
            <v>ESTE</v>
          </cell>
          <cell r="G1204" t="str">
            <v>CARMEN ALCALA</v>
          </cell>
          <cell r="H1204"/>
          <cell r="I1204" t="str">
            <v>A0</v>
          </cell>
          <cell r="J1204" t="str">
            <v>Activo</v>
          </cell>
          <cell r="K1204">
            <v>20642.378215689667</v>
          </cell>
          <cell r="L1204">
            <v>2064.2378215689669</v>
          </cell>
          <cell r="M1204">
            <v>1361.3178507028558</v>
          </cell>
          <cell r="N1204" t="str">
            <v>Si Compra</v>
          </cell>
          <cell r="O1204">
            <v>10</v>
          </cell>
          <cell r="P1204">
            <v>20946.161847151605</v>
          </cell>
          <cell r="Q1204">
            <v>2094.6161847151607</v>
          </cell>
          <cell r="R1204">
            <v>1270.2515617112967</v>
          </cell>
          <cell r="T1204"/>
          <cell r="U1204"/>
          <cell r="V1204">
            <v>0.98549693095667312</v>
          </cell>
          <cell r="W1204">
            <v>7.8820578145968065E-5</v>
          </cell>
          <cell r="X1204">
            <v>10</v>
          </cell>
          <cell r="Y1204" t="str">
            <v>Proteger</v>
          </cell>
        </row>
        <row r="1205">
          <cell r="A1205" t="str">
            <v>E433</v>
          </cell>
          <cell r="B1205" t="str">
            <v>E433 - FARMACIA GUADALUPANA C.A.</v>
          </cell>
          <cell r="C1205" t="e">
            <v>#N/A</v>
          </cell>
          <cell r="D1205">
            <v>3</v>
          </cell>
          <cell r="F1205" t="str">
            <v>ESTE</v>
          </cell>
          <cell r="G1205">
            <v>0</v>
          </cell>
          <cell r="H1205"/>
          <cell r="I1205" t="str">
            <v>A5</v>
          </cell>
          <cell r="J1205" t="str">
            <v>Inactivo</v>
          </cell>
          <cell r="K1205">
            <v>20606.018372814513</v>
          </cell>
          <cell r="L1205">
            <v>4121.203674562903</v>
          </cell>
          <cell r="M1205">
            <v>4348.1811943292423</v>
          </cell>
          <cell r="N1205" t="str">
            <v>Si Compra</v>
          </cell>
          <cell r="O1205">
            <v>5</v>
          </cell>
          <cell r="P1205">
            <v>0</v>
          </cell>
          <cell r="Q1205">
            <v>0</v>
          </cell>
          <cell r="R1205">
            <v>0</v>
          </cell>
          <cell r="V1205">
            <v>0</v>
          </cell>
          <cell r="W1205">
            <v>1.5736348442614909E-4</v>
          </cell>
          <cell r="X1205">
            <v>0</v>
          </cell>
          <cell r="Y1205" t="str">
            <v>Conquistar</v>
          </cell>
        </row>
        <row r="1206">
          <cell r="A1206" t="str">
            <v>D073</v>
          </cell>
          <cell r="B1206" t="str">
            <v>LA VICTORIA</v>
          </cell>
          <cell r="C1206" t="str">
            <v>GRUPO</v>
          </cell>
          <cell r="D1206">
            <v>3</v>
          </cell>
          <cell r="E1206"/>
          <cell r="F1206" t="str">
            <v>ANDES</v>
          </cell>
          <cell r="H1206"/>
          <cell r="I1206"/>
          <cell r="J1206" t="str">
            <v>Activo</v>
          </cell>
          <cell r="K1206">
            <v>20564.410942275263</v>
          </cell>
          <cell r="L1206">
            <v>2937.7729917536089</v>
          </cell>
          <cell r="M1206">
            <v>221.7766</v>
          </cell>
          <cell r="N1206" t="str">
            <v>Si Compra</v>
          </cell>
          <cell r="O1206">
            <v>7</v>
          </cell>
          <cell r="P1206">
            <v>41990.786124175196</v>
          </cell>
          <cell r="Q1206">
            <v>5998.6837320250279</v>
          </cell>
          <cell r="R1206">
            <v>1488.1734999999999</v>
          </cell>
          <cell r="S1206"/>
          <cell r="T1206"/>
          <cell r="U1206"/>
          <cell r="V1206">
            <v>0.48973626932018288</v>
          </cell>
          <cell r="W1206">
            <v>1.121755270890396E-4</v>
          </cell>
          <cell r="X1206">
            <v>6</v>
          </cell>
          <cell r="Y1206" t="str">
            <v>Potenciar</v>
          </cell>
        </row>
        <row r="1207">
          <cell r="A1207" t="str">
            <v>A931</v>
          </cell>
          <cell r="B1207" t="str">
            <v>A931 - FARMACIA COTOPERI, C.A.</v>
          </cell>
          <cell r="C1207" t="str">
            <v>INDEPENDIENTE</v>
          </cell>
          <cell r="D1207">
            <v>3</v>
          </cell>
          <cell r="E1207"/>
          <cell r="F1207" t="str">
            <v>CENTRO ESTE</v>
          </cell>
          <cell r="G1207" t="str">
            <v>ELIANA PERAZA</v>
          </cell>
          <cell r="H1207"/>
          <cell r="I1207" t="str">
            <v>M</v>
          </cell>
          <cell r="J1207" t="str">
            <v>Activo</v>
          </cell>
          <cell r="K1207">
            <v>20563.207861751704</v>
          </cell>
          <cell r="L1207">
            <v>2056.3207861751703</v>
          </cell>
          <cell r="M1207">
            <v>1289.2908844256576</v>
          </cell>
          <cell r="N1207" t="str">
            <v>Si Compra</v>
          </cell>
          <cell r="O1207">
            <v>10</v>
          </cell>
          <cell r="P1207">
            <v>168073.69169709735</v>
          </cell>
          <cell r="Q1207">
            <v>16807.369169709735</v>
          </cell>
          <cell r="R1207">
            <v>22465.883572604973</v>
          </cell>
          <cell r="T1207"/>
          <cell r="U1207"/>
          <cell r="V1207">
            <v>0.12234638065076089</v>
          </cell>
          <cell r="W1207">
            <v>7.8518275135907515E-5</v>
          </cell>
          <cell r="X1207">
            <v>10</v>
          </cell>
          <cell r="Y1207" t="str">
            <v>Conquistar</v>
          </cell>
        </row>
        <row r="1208">
          <cell r="A1208" t="str">
            <v>A623</v>
          </cell>
          <cell r="B1208" t="str">
            <v>A623 - FARMACIA NOVO PHARMA EXPRESS, C.A.</v>
          </cell>
          <cell r="C1208" t="str">
            <v>INDEPENDIENTE</v>
          </cell>
          <cell r="D1208">
            <v>3</v>
          </cell>
          <cell r="E1208"/>
          <cell r="F1208" t="str">
            <v>ESTE</v>
          </cell>
          <cell r="G1208" t="str">
            <v>CARLOS BLONDELL</v>
          </cell>
          <cell r="H1208"/>
          <cell r="I1208" t="str">
            <v>A5</v>
          </cell>
          <cell r="J1208" t="str">
            <v>Activo</v>
          </cell>
          <cell r="K1208">
            <v>20552.684338727358</v>
          </cell>
          <cell r="L1208">
            <v>2055.2684338727358</v>
          </cell>
          <cell r="M1208">
            <v>2100.3957022351365</v>
          </cell>
          <cell r="N1208" t="str">
            <v>Si Compra</v>
          </cell>
          <cell r="O1208">
            <v>10</v>
          </cell>
          <cell r="P1208">
            <v>36912.880526339461</v>
          </cell>
          <cell r="Q1208">
            <v>3691.2880526339459</v>
          </cell>
          <cell r="R1208">
            <v>3359.1770558839057</v>
          </cell>
          <cell r="T1208"/>
          <cell r="U1208"/>
          <cell r="V1208">
            <v>0.55678895945446027</v>
          </cell>
          <cell r="W1208">
            <v>7.8478092257740852E-5</v>
          </cell>
          <cell r="X1208">
            <v>10</v>
          </cell>
          <cell r="Y1208" t="str">
            <v>Potenciar</v>
          </cell>
        </row>
        <row r="1209">
          <cell r="A1209" t="str">
            <v>C344</v>
          </cell>
          <cell r="B1209" t="str">
            <v>C344 - FARMACIA AMERICANA, C.A.</v>
          </cell>
          <cell r="C1209" t="str">
            <v>INDEPENDIENTE</v>
          </cell>
          <cell r="D1209">
            <v>3</v>
          </cell>
          <cell r="E1209"/>
          <cell r="F1209" t="str">
            <v>CARACAS</v>
          </cell>
          <cell r="G1209" t="str">
            <v>JHON TORRES</v>
          </cell>
          <cell r="H1209"/>
          <cell r="I1209" t="str">
            <v>C4</v>
          </cell>
          <cell r="J1209" t="str">
            <v>Activo</v>
          </cell>
          <cell r="K1209">
            <v>20506.801868770235</v>
          </cell>
          <cell r="L1209">
            <v>2050.6801868770235</v>
          </cell>
          <cell r="M1209">
            <v>2066.0113333333334</v>
          </cell>
          <cell r="N1209" t="str">
            <v>Si Compra</v>
          </cell>
          <cell r="O1209">
            <v>10</v>
          </cell>
          <cell r="P1209">
            <v>68590.30955381089</v>
          </cell>
          <cell r="Q1209">
            <v>6859.0309553810894</v>
          </cell>
          <cell r="R1209">
            <v>7704.8426333333337</v>
          </cell>
          <cell r="T1209"/>
          <cell r="U1209"/>
          <cell r="V1209">
            <v>0.29897520512984582</v>
          </cell>
          <cell r="W1209">
            <v>7.8302895254227153E-5</v>
          </cell>
          <cell r="X1209">
            <v>10</v>
          </cell>
          <cell r="Y1209" t="str">
            <v>Potenciar</v>
          </cell>
        </row>
        <row r="1210">
          <cell r="A1210" t="str">
            <v>C39</v>
          </cell>
          <cell r="B1210" t="str">
            <v>C39 - FARMACIA SAN ANTONIO C.A.</v>
          </cell>
          <cell r="C1210" t="str">
            <v>INDEPENDIENTE</v>
          </cell>
          <cell r="D1210">
            <v>3</v>
          </cell>
          <cell r="E1210"/>
          <cell r="F1210" t="str">
            <v>CENTRO OESTE</v>
          </cell>
          <cell r="G1210" t="str">
            <v>SORALI SILVA</v>
          </cell>
          <cell r="H1210"/>
          <cell r="I1210" t="str">
            <v>C</v>
          </cell>
          <cell r="J1210" t="str">
            <v>Activo</v>
          </cell>
          <cell r="K1210">
            <v>20498.634224755104</v>
          </cell>
          <cell r="L1210">
            <v>2049.8634224755106</v>
          </cell>
          <cell r="M1210">
            <v>2626.7824502721801</v>
          </cell>
          <cell r="N1210" t="str">
            <v>Si Compra</v>
          </cell>
          <cell r="O1210">
            <v>10</v>
          </cell>
          <cell r="P1210">
            <v>25273.218479216455</v>
          </cell>
          <cell r="Q1210">
            <v>2527.3218479216457</v>
          </cell>
          <cell r="R1210">
            <v>2751.4197497795371</v>
          </cell>
          <cell r="T1210"/>
          <cell r="U1210"/>
          <cell r="V1210">
            <v>0.8110812733096201</v>
          </cell>
          <cell r="W1210">
            <v>7.8271708032646561E-5</v>
          </cell>
          <cell r="X1210">
            <v>10</v>
          </cell>
          <cell r="Y1210" t="str">
            <v>Proteger</v>
          </cell>
        </row>
        <row r="1211">
          <cell r="A1211" t="str">
            <v>9093</v>
          </cell>
          <cell r="B1211" t="str">
            <v>9093 - FARMACIA LAS EUGENIAS,C.A.</v>
          </cell>
          <cell r="C1211" t="str">
            <v>INDEPENDIENTE</v>
          </cell>
          <cell r="D1211">
            <v>3</v>
          </cell>
          <cell r="E1211"/>
          <cell r="F1211" t="str">
            <v>MARACAIBO</v>
          </cell>
          <cell r="G1211" t="str">
            <v>MARIA FUSELLA</v>
          </cell>
          <cell r="H1211"/>
          <cell r="I1211" t="str">
            <v>BZ</v>
          </cell>
          <cell r="J1211" t="str">
            <v>Activo</v>
          </cell>
          <cell r="K1211">
            <v>20450.224558375361</v>
          </cell>
          <cell r="L1211">
            <v>2045.0224558375362</v>
          </cell>
          <cell r="M1211">
            <v>1792.4352999999999</v>
          </cell>
          <cell r="N1211" t="str">
            <v>Si Compra</v>
          </cell>
          <cell r="O1211">
            <v>10</v>
          </cell>
          <cell r="P1211">
            <v>43298.20591023616</v>
          </cell>
          <cell r="Q1211">
            <v>4329.8205910236156</v>
          </cell>
          <cell r="R1211">
            <v>3984.8809666666662</v>
          </cell>
          <cell r="T1211"/>
          <cell r="U1211"/>
          <cell r="V1211">
            <v>0.47231112995240088</v>
          </cell>
          <cell r="W1211">
            <v>7.8086861216449552E-5</v>
          </cell>
          <cell r="X1211">
            <v>10</v>
          </cell>
          <cell r="Y1211" t="str">
            <v>Potenciar</v>
          </cell>
        </row>
        <row r="1212">
          <cell r="A1212" t="str">
            <v>A185</v>
          </cell>
          <cell r="B1212" t="str">
            <v>A185 - RAFAEL DARIO ROMERO MEZA  (FARMACIA SAN RAFAEL)</v>
          </cell>
          <cell r="C1212" t="str">
            <v>INDEPENDIENTE</v>
          </cell>
          <cell r="D1212">
            <v>3</v>
          </cell>
          <cell r="E1212"/>
          <cell r="F1212" t="str">
            <v>CENTRO ESTE</v>
          </cell>
          <cell r="G1212" t="str">
            <v>WILLIBETTI GONZALEZ</v>
          </cell>
          <cell r="H1212"/>
          <cell r="I1212" t="str">
            <v>AG</v>
          </cell>
          <cell r="J1212" t="str">
            <v>Activo</v>
          </cell>
          <cell r="K1212">
            <v>20349.190866261786</v>
          </cell>
          <cell r="L1212">
            <v>2034.9190866261786</v>
          </cell>
          <cell r="M1212">
            <v>2440.4238333333337</v>
          </cell>
          <cell r="N1212" t="str">
            <v>Si Compra</v>
          </cell>
          <cell r="O1212">
            <v>10</v>
          </cell>
          <cell r="P1212">
            <v>183633.71389461838</v>
          </cell>
          <cell r="Q1212">
            <v>18363.371389461838</v>
          </cell>
          <cell r="R1212">
            <v>18076.524033333331</v>
          </cell>
          <cell r="T1212"/>
          <cell r="U1212"/>
          <cell r="V1212">
            <v>0.11081402447667942</v>
          </cell>
          <cell r="W1212">
            <v>7.7701075531224525E-5</v>
          </cell>
          <cell r="X1212">
            <v>10</v>
          </cell>
          <cell r="Y1212" t="str">
            <v>Conquistar</v>
          </cell>
        </row>
        <row r="1213">
          <cell r="A1213" t="str">
            <v>C676</v>
          </cell>
          <cell r="B1213" t="str">
            <v>C676 - FARMACIA CARIPE, C.A.</v>
          </cell>
          <cell r="C1213" t="str">
            <v>INDEPENDIENTE</v>
          </cell>
          <cell r="D1213">
            <v>1</v>
          </cell>
          <cell r="E1213"/>
          <cell r="F1213" t="str">
            <v>CARACAS</v>
          </cell>
          <cell r="G1213" t="str">
            <v>RAMON SERRANO</v>
          </cell>
          <cell r="H1213"/>
          <cell r="I1213" t="str">
            <v>CB</v>
          </cell>
          <cell r="J1213" t="str">
            <v>Inactivo</v>
          </cell>
          <cell r="K1213">
            <v>20306.138574129025</v>
          </cell>
          <cell r="L1213">
            <v>2900.8769391612891</v>
          </cell>
          <cell r="M1213">
            <v>2859.4580999999998</v>
          </cell>
          <cell r="N1213" t="str">
            <v>Si Compra</v>
          </cell>
          <cell r="O1213">
            <v>6</v>
          </cell>
          <cell r="P1213">
            <v>48126.34951220017</v>
          </cell>
          <cell r="Q1213">
            <v>6875.1927874571675</v>
          </cell>
          <cell r="R1213">
            <v>2761.0428000000002</v>
          </cell>
          <cell r="T1213"/>
          <cell r="U1213"/>
          <cell r="V1213">
            <v>0.42193390481406362</v>
          </cell>
          <cell r="W1213">
            <v>1.1076669320069418E-4</v>
          </cell>
          <cell r="X1213">
            <v>7</v>
          </cell>
          <cell r="Y1213" t="str">
            <v>Potenciar</v>
          </cell>
        </row>
        <row r="1214">
          <cell r="A1214" t="str">
            <v>D855</v>
          </cell>
          <cell r="B1214" t="str">
            <v>D855 - FARMACIA BELEN 21, C.A</v>
          </cell>
          <cell r="C1214" t="str">
            <v>INDEPENDIENTE</v>
          </cell>
          <cell r="D1214">
            <v>2</v>
          </cell>
          <cell r="E1214"/>
          <cell r="F1214" t="str">
            <v>MARACAIBO</v>
          </cell>
          <cell r="G1214" t="str">
            <v>MARIA FUSELLA</v>
          </cell>
          <cell r="H1214"/>
          <cell r="I1214" t="str">
            <v>BZ</v>
          </cell>
          <cell r="J1214" t="str">
            <v>Inactivo</v>
          </cell>
          <cell r="K1214">
            <v>20270.996587521433</v>
          </cell>
          <cell r="L1214">
            <v>2533.8745734401791</v>
          </cell>
          <cell r="M1214">
            <v>3215.1113937607147</v>
          </cell>
          <cell r="N1214" t="str">
            <v>Si Compra</v>
          </cell>
          <cell r="O1214">
            <v>8</v>
          </cell>
          <cell r="P1214">
            <v>2381428.7075452199</v>
          </cell>
          <cell r="Q1214">
            <v>297678.58844315249</v>
          </cell>
          <cell r="R1214">
            <v>384240.98082260991</v>
          </cell>
          <cell r="T1214"/>
          <cell r="U1214"/>
          <cell r="V1214">
            <v>8.5121156569985274E-3</v>
          </cell>
          <cell r="W1214">
            <v>9.6753124441892406E-5</v>
          </cell>
          <cell r="X1214">
            <v>8</v>
          </cell>
          <cell r="Y1214" t="str">
            <v>Conquistar</v>
          </cell>
        </row>
        <row r="1215">
          <cell r="A1215" t="str">
            <v>4145</v>
          </cell>
          <cell r="B1215" t="str">
            <v>4145 - FARMACIA LA VILLA C.A</v>
          </cell>
          <cell r="C1215" t="str">
            <v>INDEPENDIENTE</v>
          </cell>
          <cell r="D1215">
            <v>3</v>
          </cell>
          <cell r="E1215"/>
          <cell r="F1215" t="str">
            <v>ANDES</v>
          </cell>
          <cell r="G1215" t="str">
            <v>MARIA GABRIELA FORTUL</v>
          </cell>
          <cell r="H1215"/>
          <cell r="I1215" t="str">
            <v>3</v>
          </cell>
          <cell r="J1215" t="str">
            <v>Activo</v>
          </cell>
          <cell r="K1215">
            <v>20265.836332112125</v>
          </cell>
          <cell r="L1215">
            <v>2026.5836332112126</v>
          </cell>
          <cell r="M1215">
            <v>2174.5051107040417</v>
          </cell>
          <cell r="N1215" t="str">
            <v>Si Compra</v>
          </cell>
          <cell r="O1215">
            <v>10</v>
          </cell>
          <cell r="P1215">
            <v>148979.68464466603</v>
          </cell>
          <cell r="Q1215">
            <v>14897.968464466603</v>
          </cell>
          <cell r="R1215">
            <v>13114.561314888682</v>
          </cell>
          <cell r="T1215"/>
          <cell r="U1215"/>
          <cell r="V1215">
            <v>0.13603087146041767</v>
          </cell>
          <cell r="W1215">
            <v>7.7382795703962652E-5</v>
          </cell>
          <cell r="X1215">
            <v>10</v>
          </cell>
          <cell r="Y1215" t="str">
            <v>Conquistar</v>
          </cell>
        </row>
        <row r="1216">
          <cell r="A1216" t="str">
            <v>C67</v>
          </cell>
          <cell r="B1216" t="str">
            <v>FARMAVAL</v>
          </cell>
          <cell r="C1216" t="str">
            <v>INDEPENDIENTE</v>
          </cell>
          <cell r="D1216">
            <v>6</v>
          </cell>
          <cell r="E1216"/>
          <cell r="F1216" t="str">
            <v>CENTRO OESTE</v>
          </cell>
          <cell r="H1216"/>
          <cell r="I1216"/>
          <cell r="J1216" t="str">
            <v>Activo</v>
          </cell>
          <cell r="K1216">
            <v>20264.815557559919</v>
          </cell>
          <cell r="L1216">
            <v>2026.4815557559918</v>
          </cell>
          <cell r="M1216">
            <v>1728.7735</v>
          </cell>
          <cell r="N1216" t="str">
            <v>Si Compra</v>
          </cell>
          <cell r="O1216">
            <v>10</v>
          </cell>
          <cell r="P1216">
            <v>75852.193030470909</v>
          </cell>
          <cell r="Q1216">
            <v>7585.2193030470908</v>
          </cell>
          <cell r="R1216">
            <v>5725.2125999999998</v>
          </cell>
          <cell r="S1216"/>
          <cell r="T1216"/>
          <cell r="U1216"/>
          <cell r="V1216">
            <v>0.26716189404595397</v>
          </cell>
          <cell r="W1216">
            <v>7.7378897992200907E-5</v>
          </cell>
          <cell r="X1216">
            <v>10</v>
          </cell>
          <cell r="Y1216" t="str">
            <v>Potenciar</v>
          </cell>
        </row>
        <row r="1217">
          <cell r="A1217" t="str">
            <v>C636</v>
          </cell>
          <cell r="B1217" t="str">
            <v>C636 - PUERTOFARMA CA</v>
          </cell>
          <cell r="C1217" t="str">
            <v>INDEPENDIENTE</v>
          </cell>
          <cell r="D1217">
            <v>3</v>
          </cell>
          <cell r="E1217"/>
          <cell r="F1217" t="str">
            <v>CENTRO ESTE</v>
          </cell>
          <cell r="G1217" t="str">
            <v>ELIANA PERAZA</v>
          </cell>
          <cell r="H1217" t="str">
            <v>HECTOR</v>
          </cell>
          <cell r="I1217" t="str">
            <v>I</v>
          </cell>
          <cell r="J1217" t="str">
            <v>Activo</v>
          </cell>
          <cell r="K1217">
            <v>20262.084395651713</v>
          </cell>
          <cell r="L1217">
            <v>2026.2084395651714</v>
          </cell>
          <cell r="M1217">
            <v>1874.7821318839058</v>
          </cell>
          <cell r="N1217" t="str">
            <v>Si Compra</v>
          </cell>
          <cell r="O1217">
            <v>10</v>
          </cell>
          <cell r="P1217">
            <v>42242.550686714414</v>
          </cell>
          <cell r="Q1217">
            <v>4224.2550686714412</v>
          </cell>
          <cell r="R1217">
            <v>2348.0323955714707</v>
          </cell>
          <cell r="T1217"/>
          <cell r="U1217"/>
          <cell r="V1217">
            <v>0.47966053342570258</v>
          </cell>
          <cell r="W1217">
            <v>7.7368469360462573E-5</v>
          </cell>
          <cell r="X1217">
            <v>10</v>
          </cell>
          <cell r="Y1217" t="str">
            <v>Potenciar</v>
          </cell>
        </row>
        <row r="1218">
          <cell r="A1218" t="str">
            <v>C637</v>
          </cell>
          <cell r="B1218" t="str">
            <v>C637 - FARMACIA FLORIDA MALL, C.A</v>
          </cell>
          <cell r="C1218" t="str">
            <v>INDEPENDIENTE</v>
          </cell>
          <cell r="D1218">
            <v>3</v>
          </cell>
          <cell r="E1218"/>
          <cell r="F1218" t="str">
            <v>CENTRO ESTE</v>
          </cell>
          <cell r="G1218" t="str">
            <v>ELIANA PERAZA</v>
          </cell>
          <cell r="H1218"/>
          <cell r="I1218" t="str">
            <v>M</v>
          </cell>
          <cell r="J1218" t="str">
            <v>Inactivo</v>
          </cell>
          <cell r="K1218">
            <v>20243.431148920183</v>
          </cell>
          <cell r="L1218">
            <v>2024.3431148920183</v>
          </cell>
          <cell r="M1218">
            <v>1864.2580488402111</v>
          </cell>
          <cell r="N1218" t="str">
            <v>Si Compra</v>
          </cell>
          <cell r="O1218">
            <v>10</v>
          </cell>
          <cell r="P1218">
            <v>28506.510375611844</v>
          </cell>
          <cell r="Q1218">
            <v>2850.6510375611842</v>
          </cell>
          <cell r="R1218">
            <v>2034.6012743736464</v>
          </cell>
          <cell r="T1218"/>
          <cell r="U1218"/>
          <cell r="V1218">
            <v>0.71013361096063987</v>
          </cell>
          <cell r="W1218">
            <v>7.729724405510695E-5</v>
          </cell>
          <cell r="X1218">
            <v>10</v>
          </cell>
          <cell r="Y1218" t="str">
            <v>Proteger</v>
          </cell>
        </row>
        <row r="1219">
          <cell r="A1219" t="str">
            <v>E2</v>
          </cell>
          <cell r="B1219" t="str">
            <v>E2 - FARMACIA SUCRE</v>
          </cell>
          <cell r="C1219" t="e">
            <v>#N/A</v>
          </cell>
          <cell r="D1219">
            <v>3</v>
          </cell>
          <cell r="F1219" t="str">
            <v>CENTRO OESTE</v>
          </cell>
          <cell r="G1219" t="str">
            <v>LUIS PLACERES</v>
          </cell>
          <cell r="H1219"/>
          <cell r="I1219" t="str">
            <v>E</v>
          </cell>
          <cell r="J1219" t="str">
            <v>Activo</v>
          </cell>
          <cell r="K1219">
            <v>20165.86119127486</v>
          </cell>
          <cell r="L1219">
            <v>2016.586119127486</v>
          </cell>
          <cell r="M1219">
            <v>2493.5344970916208</v>
          </cell>
          <cell r="N1219" t="str">
            <v>Si Compra</v>
          </cell>
          <cell r="O1219">
            <v>10</v>
          </cell>
          <cell r="P1219">
            <v>19338.128300022199</v>
          </cell>
          <cell r="Q1219">
            <v>1933.8128300022199</v>
          </cell>
          <cell r="R1219">
            <v>1963.3741666740643</v>
          </cell>
          <cell r="V1219">
            <v>1.0428031543906817</v>
          </cell>
          <cell r="W1219">
            <v>7.700105197663242E-5</v>
          </cell>
          <cell r="X1219">
            <v>10</v>
          </cell>
          <cell r="Y1219" t="str">
            <v>Proteger</v>
          </cell>
        </row>
        <row r="1220">
          <cell r="A1220" t="str">
            <v>N127</v>
          </cell>
          <cell r="B1220" t="str">
            <v>N127 - FARMACIA CARORA,C.A.</v>
          </cell>
          <cell r="C1220" t="str">
            <v>INDEPENDIENTE</v>
          </cell>
          <cell r="D1220">
            <v>3</v>
          </cell>
          <cell r="F1220" t="str">
            <v>CENTRO OESTE</v>
          </cell>
          <cell r="G1220" t="str">
            <v>JOSE LUIS GARCIA</v>
          </cell>
          <cell r="H1220" t="str">
            <v>HECTOR</v>
          </cell>
          <cell r="I1220" t="str">
            <v xml:space="preserve">Y </v>
          </cell>
          <cell r="J1220" t="str">
            <v>Activo</v>
          </cell>
          <cell r="K1220">
            <v>20146.624053988326</v>
          </cell>
          <cell r="L1220">
            <v>2014.6624053988326</v>
          </cell>
          <cell r="M1220">
            <v>1734.016772025936</v>
          </cell>
          <cell r="N1220" t="str">
            <v>Si Compra</v>
          </cell>
          <cell r="O1220">
            <v>10</v>
          </cell>
          <cell r="P1220">
            <v>28469.868980794927</v>
          </cell>
          <cell r="Q1220">
            <v>2846.9868980794927</v>
          </cell>
          <cell r="R1220">
            <v>2309.9946112923326</v>
          </cell>
          <cell r="V1220">
            <v>0.70764723461069468</v>
          </cell>
          <cell r="W1220">
            <v>7.6927597151468644E-5</v>
          </cell>
          <cell r="X1220">
            <v>10</v>
          </cell>
          <cell r="Y1220" t="str">
            <v>Proteger</v>
          </cell>
        </row>
        <row r="1221">
          <cell r="A1221" t="str">
            <v>7599</v>
          </cell>
          <cell r="B1221" t="str">
            <v>7599 - FARMADIANA, C.A</v>
          </cell>
          <cell r="C1221" t="str">
            <v>INDEPENDIENTE</v>
          </cell>
          <cell r="D1221">
            <v>3</v>
          </cell>
          <cell r="E1221"/>
          <cell r="F1221" t="str">
            <v>ESTE</v>
          </cell>
          <cell r="G1221" t="str">
            <v>ADOLFO GONZALEZ</v>
          </cell>
          <cell r="H1221"/>
          <cell r="I1221" t="str">
            <v>A8</v>
          </cell>
          <cell r="J1221" t="str">
            <v>Activo</v>
          </cell>
          <cell r="K1221">
            <v>20131.83873580983</v>
          </cell>
          <cell r="L1221">
            <v>2013.1838735809829</v>
          </cell>
          <cell r="M1221">
            <v>1833.2374750875781</v>
          </cell>
          <cell r="N1221" t="str">
            <v>Si Compra</v>
          </cell>
          <cell r="O1221">
            <v>10</v>
          </cell>
          <cell r="P1221">
            <v>63250.759011844406</v>
          </cell>
          <cell r="Q1221">
            <v>6325.0759011844402</v>
          </cell>
          <cell r="R1221">
            <v>5003.72124503539</v>
          </cell>
          <cell r="T1221"/>
          <cell r="U1221"/>
          <cell r="V1221">
            <v>0.31828612099405668</v>
          </cell>
          <cell r="W1221">
            <v>7.687114109225278E-5</v>
          </cell>
          <cell r="X1221">
            <v>10</v>
          </cell>
          <cell r="Y1221" t="str">
            <v>Potenciar</v>
          </cell>
        </row>
        <row r="1222">
          <cell r="A1222" t="str">
            <v>3123</v>
          </cell>
          <cell r="B1222" t="str">
            <v>3123 - FARMACIA LAS AMERICAS C.A.</v>
          </cell>
          <cell r="C1222" t="str">
            <v>INDEPENDIENTE</v>
          </cell>
          <cell r="D1222">
            <v>3</v>
          </cell>
          <cell r="E1222"/>
          <cell r="F1222" t="str">
            <v>ANDES</v>
          </cell>
          <cell r="G1222" t="str">
            <v>ANYERSSON TORRES</v>
          </cell>
          <cell r="H1222"/>
          <cell r="I1222" t="str">
            <v>4</v>
          </cell>
          <cell r="J1222" t="str">
            <v>Activo</v>
          </cell>
          <cell r="K1222">
            <v>20121.88116004214</v>
          </cell>
          <cell r="L1222">
            <v>2012.188116004214</v>
          </cell>
          <cell r="M1222">
            <v>3136.7354533473795</v>
          </cell>
          <cell r="N1222" t="str">
            <v>Si Compra</v>
          </cell>
          <cell r="O1222">
            <v>10</v>
          </cell>
          <cell r="P1222">
            <v>71887.652002261268</v>
          </cell>
          <cell r="Q1222">
            <v>7188.7652002261266</v>
          </cell>
          <cell r="R1222">
            <v>8041.6930674204241</v>
          </cell>
          <cell r="T1222"/>
          <cell r="U1222"/>
          <cell r="V1222">
            <v>0.27990733595540435</v>
          </cell>
          <cell r="W1222">
            <v>7.6833119219446233E-5</v>
          </cell>
          <cell r="X1222">
            <v>10</v>
          </cell>
          <cell r="Y1222" t="str">
            <v>Potenciar</v>
          </cell>
        </row>
        <row r="1223">
          <cell r="A1223" t="str">
            <v>1400</v>
          </cell>
          <cell r="B1223" t="str">
            <v>1400 - FARMACIA LA MACARENA, C.A.</v>
          </cell>
          <cell r="C1223" t="str">
            <v>INDEPENDIENTE</v>
          </cell>
          <cell r="D1223">
            <v>3</v>
          </cell>
          <cell r="E1223"/>
          <cell r="F1223" t="str">
            <v>CENTRO ESTE</v>
          </cell>
          <cell r="G1223" t="str">
            <v>MARCOS CRUCES</v>
          </cell>
          <cell r="H1223"/>
          <cell r="I1223" t="str">
            <v>$</v>
          </cell>
          <cell r="J1223" t="str">
            <v>Activo</v>
          </cell>
          <cell r="K1223">
            <v>20091.313228236872</v>
          </cell>
          <cell r="L1223">
            <v>2009.1313228236872</v>
          </cell>
          <cell r="M1223">
            <v>2037.8955980050516</v>
          </cell>
          <cell r="N1223" t="str">
            <v>Si Compra</v>
          </cell>
          <cell r="O1223">
            <v>10</v>
          </cell>
          <cell r="P1223">
            <v>22062.519429495434</v>
          </cell>
          <cell r="Q1223">
            <v>2206.2519429495433</v>
          </cell>
          <cell r="R1223">
            <v>2027.6958536692509</v>
          </cell>
          <cell r="T1223"/>
          <cell r="U1223"/>
          <cell r="V1223">
            <v>0.91065362196924571</v>
          </cell>
          <cell r="W1223">
            <v>7.6716399041546079E-5</v>
          </cell>
          <cell r="X1223">
            <v>10</v>
          </cell>
          <cell r="Y1223" t="str">
            <v>Proteger</v>
          </cell>
        </row>
        <row r="1224">
          <cell r="A1224" t="str">
            <v>D311</v>
          </cell>
          <cell r="B1224" t="str">
            <v>MEDICAL PC</v>
          </cell>
          <cell r="C1224" t="str">
            <v>GRUPO</v>
          </cell>
          <cell r="D1224">
            <v>6</v>
          </cell>
          <cell r="E1224">
            <v>0</v>
          </cell>
          <cell r="F1224" t="str">
            <v>CENTRO ESTE</v>
          </cell>
          <cell r="G1224" t="str">
            <v>KARLA SALAZAR</v>
          </cell>
          <cell r="H1224" t="str">
            <v>HECTOR</v>
          </cell>
          <cell r="I1224">
            <v>0</v>
          </cell>
          <cell r="J1224" t="str">
            <v>Activo</v>
          </cell>
          <cell r="K1224">
            <v>20077.819887643622</v>
          </cell>
          <cell r="L1224">
            <v>2007.7819887643623</v>
          </cell>
          <cell r="M1224">
            <v>866.48933333333332</v>
          </cell>
          <cell r="N1224" t="str">
            <v>Si Compra</v>
          </cell>
          <cell r="O1224">
            <v>10</v>
          </cell>
          <cell r="P1224">
            <v>0</v>
          </cell>
          <cell r="Q1224">
            <v>0</v>
          </cell>
          <cell r="R1224">
            <v>0</v>
          </cell>
          <cell r="S1224">
            <v>15000</v>
          </cell>
          <cell r="T1224">
            <v>0</v>
          </cell>
          <cell r="U1224">
            <v>0</v>
          </cell>
          <cell r="V1224">
            <v>0</v>
          </cell>
          <cell r="W1224">
            <v>7.6664876252089968E-5</v>
          </cell>
          <cell r="X1224">
            <v>0</v>
          </cell>
          <cell r="Y1224" t="str">
            <v>Conquistar</v>
          </cell>
        </row>
        <row r="1225">
          <cell r="A1225" t="str">
            <v>8677</v>
          </cell>
          <cell r="B1225" t="str">
            <v>8677 - FARMACIA CANAAN MONAY C.A.</v>
          </cell>
          <cell r="C1225" t="str">
            <v>INDEPENDIENTE</v>
          </cell>
          <cell r="D1225">
            <v>2</v>
          </cell>
          <cell r="E1225"/>
          <cell r="F1225" t="str">
            <v>ANDES</v>
          </cell>
          <cell r="G1225" t="str">
            <v>RAYNE ANDREINA NAVA</v>
          </cell>
          <cell r="H1225"/>
          <cell r="I1225" t="str">
            <v>G1</v>
          </cell>
          <cell r="J1225" t="str">
            <v>Activo</v>
          </cell>
          <cell r="K1225">
            <v>20047.826069424878</v>
          </cell>
          <cell r="L1225">
            <v>2505.9782586781098</v>
          </cell>
          <cell r="M1225">
            <v>1775.3991347124388</v>
          </cell>
          <cell r="N1225" t="str">
            <v>Si Compra</v>
          </cell>
          <cell r="O1225">
            <v>8</v>
          </cell>
          <cell r="P1225">
            <v>110169.87892455191</v>
          </cell>
          <cell r="Q1225">
            <v>13771.234865568989</v>
          </cell>
          <cell r="R1225">
            <v>29299.264662275957</v>
          </cell>
          <cell r="T1225"/>
          <cell r="U1225"/>
          <cell r="V1225">
            <v>0.18197193520702978</v>
          </cell>
          <cell r="W1225">
            <v>9.5687935327191966E-5</v>
          </cell>
          <cell r="X1225">
            <v>6</v>
          </cell>
          <cell r="Y1225" t="str">
            <v>Conquistar</v>
          </cell>
        </row>
        <row r="1226">
          <cell r="A1226" t="str">
            <v>B721</v>
          </cell>
          <cell r="B1226" t="str">
            <v>B721 - FARMACIA MI FARMACIA LA PEDREGOSA, C.A.</v>
          </cell>
          <cell r="C1226" t="str">
            <v>INDEPENDIENTE</v>
          </cell>
          <cell r="D1226">
            <v>3</v>
          </cell>
          <cell r="E1226"/>
          <cell r="F1226" t="str">
            <v>ANDES</v>
          </cell>
          <cell r="G1226" t="str">
            <v>LUCIA DUGARTE</v>
          </cell>
          <cell r="H1226"/>
          <cell r="I1226" t="str">
            <v>6</v>
          </cell>
          <cell r="J1226" t="str">
            <v>Suspendido</v>
          </cell>
          <cell r="K1226">
            <v>20027.041691627073</v>
          </cell>
          <cell r="L1226">
            <v>2002.7041691627073</v>
          </cell>
          <cell r="M1226">
            <v>2041.810772515204</v>
          </cell>
          <cell r="N1226" t="str">
            <v>Si Compra</v>
          </cell>
          <cell r="O1226">
            <v>10</v>
          </cell>
          <cell r="P1226">
            <v>40142.383193642818</v>
          </cell>
          <cell r="Q1226">
            <v>4014.2383193642818</v>
          </cell>
          <cell r="R1226">
            <v>2243.8376860946951</v>
          </cell>
          <cell r="T1226"/>
          <cell r="U1226"/>
          <cell r="V1226">
            <v>0.49890016731240494</v>
          </cell>
          <cell r="W1226">
            <v>7.647098547432136E-5</v>
          </cell>
          <cell r="X1226">
            <v>10</v>
          </cell>
          <cell r="Y1226" t="str">
            <v>Potenciar</v>
          </cell>
        </row>
        <row r="1227">
          <cell r="A1227" t="str">
            <v>D078</v>
          </cell>
          <cell r="B1227" t="str">
            <v>D078 - GENESIS FARMA C.A</v>
          </cell>
          <cell r="C1227" t="str">
            <v>INDEPENDIENTE</v>
          </cell>
          <cell r="D1227">
            <v>3</v>
          </cell>
          <cell r="E1227"/>
          <cell r="F1227" t="str">
            <v>ESTE</v>
          </cell>
          <cell r="G1227" t="str">
            <v>PEDRO VIRE</v>
          </cell>
          <cell r="H1227"/>
          <cell r="I1227" t="str">
            <v>A7</v>
          </cell>
          <cell r="J1227" t="str">
            <v>Activo</v>
          </cell>
          <cell r="K1227">
            <v>20000.899245314169</v>
          </cell>
          <cell r="L1227">
            <v>2000.089924531417</v>
          </cell>
          <cell r="M1227">
            <v>2529.8313525692415</v>
          </cell>
          <cell r="N1227" t="str">
            <v>Si Compra</v>
          </cell>
          <cell r="O1227">
            <v>10</v>
          </cell>
          <cell r="P1227">
            <v>59740.418026748666</v>
          </cell>
          <cell r="Q1227">
            <v>5974.0418026748666</v>
          </cell>
          <cell r="R1227">
            <v>6560.2193665081431</v>
          </cell>
          <cell r="T1227"/>
          <cell r="U1227"/>
          <cell r="V1227">
            <v>0.33479677421002985</v>
          </cell>
          <cell r="W1227">
            <v>7.6371163510446723E-5</v>
          </cell>
          <cell r="X1227">
            <v>10</v>
          </cell>
          <cell r="Y1227" t="str">
            <v>Potenciar</v>
          </cell>
        </row>
        <row r="1228">
          <cell r="A1228" t="str">
            <v>+205</v>
          </cell>
          <cell r="B1228" t="str">
            <v>+205 - FARMAPRO FARMACIA LA PROFESIONAL, C.A</v>
          </cell>
          <cell r="C1228" t="str">
            <v>INDEPENDIENTE</v>
          </cell>
          <cell r="D1228">
            <v>3</v>
          </cell>
          <cell r="E1228"/>
          <cell r="F1228" t="str">
            <v>CARACAS</v>
          </cell>
          <cell r="G1228" t="str">
            <v>RAMON SERRANO</v>
          </cell>
          <cell r="H1228"/>
          <cell r="I1228" t="str">
            <v>C6</v>
          </cell>
          <cell r="J1228" t="str">
            <v>Activo</v>
          </cell>
          <cell r="K1228">
            <v>19960.469900000004</v>
          </cell>
          <cell r="L1228">
            <v>1996.0469900000003</v>
          </cell>
          <cell r="M1228">
            <v>2225.7178666666664</v>
          </cell>
          <cell r="N1228" t="str">
            <v>Si Compra</v>
          </cell>
          <cell r="O1228">
            <v>10</v>
          </cell>
          <cell r="P1228">
            <v>21796.013200000001</v>
          </cell>
          <cell r="Q1228">
            <v>2179.6013200000002</v>
          </cell>
          <cell r="R1228">
            <v>2292.5886666666665</v>
          </cell>
          <cell r="T1228"/>
          <cell r="U1228"/>
          <cell r="V1228">
            <v>0.91578536482075545</v>
          </cell>
          <cell r="W1228">
            <v>7.6216788644410048E-5</v>
          </cell>
          <cell r="X1228">
            <v>10</v>
          </cell>
          <cell r="Y1228" t="str">
            <v>Proteger</v>
          </cell>
        </row>
        <row r="1229">
          <cell r="A1229" t="str">
            <v>B413</v>
          </cell>
          <cell r="B1229" t="str">
            <v>B413 - FARMADEPOT, C.A.</v>
          </cell>
          <cell r="C1229" t="str">
            <v>INDEPENDIENTE</v>
          </cell>
          <cell r="D1229">
            <v>3</v>
          </cell>
          <cell r="E1229"/>
          <cell r="F1229" t="str">
            <v>ESTE</v>
          </cell>
          <cell r="G1229" t="str">
            <v>ADOLFO GONZALEZ</v>
          </cell>
          <cell r="H1229" t="str">
            <v>HECTOR</v>
          </cell>
          <cell r="I1229" t="str">
            <v>A8</v>
          </cell>
          <cell r="J1229" t="str">
            <v>Activo</v>
          </cell>
          <cell r="K1229">
            <v>19936.579377509792</v>
          </cell>
          <cell r="L1229">
            <v>1993.6579377509793</v>
          </cell>
          <cell r="M1229">
            <v>1988.9579591699305</v>
          </cell>
          <cell r="N1229" t="str">
            <v>Si Compra</v>
          </cell>
          <cell r="O1229">
            <v>10</v>
          </cell>
          <cell r="P1229">
            <v>150746.47562340868</v>
          </cell>
          <cell r="Q1229">
            <v>15074.647562340868</v>
          </cell>
          <cell r="R1229">
            <v>14910.475874469565</v>
          </cell>
          <cell r="T1229"/>
          <cell r="U1229"/>
          <cell r="V1229">
            <v>0.13225237469109985</v>
          </cell>
          <cell r="W1229">
            <v>7.6125565396041489E-5</v>
          </cell>
          <cell r="X1229">
            <v>10</v>
          </cell>
          <cell r="Y1229" t="str">
            <v>Conquistar</v>
          </cell>
        </row>
        <row r="1230">
          <cell r="A1230" t="str">
            <v>D060</v>
          </cell>
          <cell r="B1230" t="str">
            <v>D060 - FARMACIA FARMA WORLD HUMBOLTD C.A</v>
          </cell>
          <cell r="C1230" t="str">
            <v>INDEPENDIENTE</v>
          </cell>
          <cell r="D1230">
            <v>3</v>
          </cell>
          <cell r="E1230"/>
          <cell r="F1230" t="str">
            <v>ANDES</v>
          </cell>
          <cell r="G1230" t="str">
            <v>LUCIA DUGARTE</v>
          </cell>
          <cell r="H1230"/>
          <cell r="I1230" t="str">
            <v>6</v>
          </cell>
          <cell r="J1230" t="str">
            <v>Activo</v>
          </cell>
          <cell r="K1230">
            <v>19926.75580392468</v>
          </cell>
          <cell r="L1230">
            <v>1992.675580392468</v>
          </cell>
          <cell r="M1230">
            <v>1692.4547333333333</v>
          </cell>
          <cell r="N1230" t="str">
            <v>Si Compra</v>
          </cell>
          <cell r="O1230">
            <v>10</v>
          </cell>
          <cell r="P1230">
            <v>37237.487124697647</v>
          </cell>
          <cell r="Q1230">
            <v>3723.7487124697645</v>
          </cell>
          <cell r="R1230">
            <v>3663.8737666666661</v>
          </cell>
          <cell r="T1230"/>
          <cell r="U1230"/>
          <cell r="V1230">
            <v>0.5351262220567059</v>
          </cell>
          <cell r="W1230">
            <v>7.6088055195358816E-5</v>
          </cell>
          <cell r="X1230">
            <v>10</v>
          </cell>
          <cell r="Y1230" t="str">
            <v>Potenciar</v>
          </cell>
        </row>
        <row r="1231">
          <cell r="A1231" t="str">
            <v>A813</v>
          </cell>
          <cell r="B1231" t="str">
            <v>A813 - FARMACIA ORINOKIA PLUS, C.A</v>
          </cell>
          <cell r="C1231" t="str">
            <v>INDEPENDIENTE</v>
          </cell>
          <cell r="D1231">
            <v>3</v>
          </cell>
          <cell r="E1231"/>
          <cell r="F1231" t="str">
            <v>CENTRO ESTE</v>
          </cell>
          <cell r="G1231" t="str">
            <v>KARLA SALAZAR</v>
          </cell>
          <cell r="H1231"/>
          <cell r="I1231" t="str">
            <v>O</v>
          </cell>
          <cell r="J1231" t="str">
            <v>Activo</v>
          </cell>
          <cell r="K1231">
            <v>19881.884863905801</v>
          </cell>
          <cell r="L1231">
            <v>1988.1884863905802</v>
          </cell>
          <cell r="M1231">
            <v>2585.7127504979985</v>
          </cell>
          <cell r="N1231" t="str">
            <v>Si Compra</v>
          </cell>
          <cell r="O1231">
            <v>10</v>
          </cell>
          <cell r="P1231">
            <v>22758.618998644004</v>
          </cell>
          <cell r="Q1231">
            <v>2275.8618998644006</v>
          </cell>
          <cell r="R1231">
            <v>2651.2117044948163</v>
          </cell>
          <cell r="T1231"/>
          <cell r="U1231"/>
          <cell r="V1231">
            <v>0.87359803620291709</v>
          </cell>
          <cell r="W1231">
            <v>7.5916720604097778E-5</v>
          </cell>
          <cell r="X1231">
            <v>10</v>
          </cell>
          <cell r="Y1231" t="str">
            <v>Proteger</v>
          </cell>
        </row>
        <row r="1232">
          <cell r="A1232" t="str">
            <v>A960</v>
          </cell>
          <cell r="B1232" t="str">
            <v>A960 - FARMACIA LUCAS 2413</v>
          </cell>
          <cell r="C1232" t="str">
            <v>INDEPENDIENTE</v>
          </cell>
          <cell r="D1232">
            <v>3</v>
          </cell>
          <cell r="E1232"/>
          <cell r="F1232" t="str">
            <v>ESTE</v>
          </cell>
          <cell r="G1232" t="str">
            <v>IRAIDA RODRIGUEZ</v>
          </cell>
          <cell r="H1232"/>
          <cell r="I1232" t="str">
            <v>AB</v>
          </cell>
          <cell r="J1232" t="str">
            <v>Activo</v>
          </cell>
          <cell r="K1232">
            <v>19863.5867</v>
          </cell>
          <cell r="L1232">
            <v>1986.3586700000001</v>
          </cell>
          <cell r="M1232">
            <v>1127.8435999999999</v>
          </cell>
          <cell r="N1232" t="str">
            <v>Si Compra</v>
          </cell>
          <cell r="O1232">
            <v>10</v>
          </cell>
          <cell r="P1232">
            <v>30492.181500000002</v>
          </cell>
          <cell r="Q1232">
            <v>3049.2181500000002</v>
          </cell>
          <cell r="R1232">
            <v>1461.7356</v>
          </cell>
          <cell r="T1232"/>
          <cell r="U1232"/>
          <cell r="V1232">
            <v>0.65143212859335764</v>
          </cell>
          <cell r="W1232">
            <v>7.5846851142207541E-5</v>
          </cell>
          <cell r="X1232">
            <v>10</v>
          </cell>
          <cell r="Y1232" t="str">
            <v>Proteger</v>
          </cell>
        </row>
        <row r="1233">
          <cell r="A1233" t="str">
            <v>B209</v>
          </cell>
          <cell r="B1233" t="str">
            <v>B209 - SGP FARMACIA, C.A.</v>
          </cell>
          <cell r="C1233" t="str">
            <v>INDEPENDIENTE</v>
          </cell>
          <cell r="D1233">
            <v>3</v>
          </cell>
          <cell r="E1233"/>
          <cell r="F1233" t="str">
            <v>ANDES</v>
          </cell>
          <cell r="G1233" t="str">
            <v>JESUS CONTRERAS</v>
          </cell>
          <cell r="H1233"/>
          <cell r="I1233" t="str">
            <v>G2</v>
          </cell>
          <cell r="J1233" t="str">
            <v>Activo</v>
          </cell>
          <cell r="K1233">
            <v>19825.984940512437</v>
          </cell>
          <cell r="L1233">
            <v>1982.5984940512437</v>
          </cell>
          <cell r="M1233">
            <v>1059.5727127563614</v>
          </cell>
          <cell r="N1233" t="str">
            <v>Si Compra</v>
          </cell>
          <cell r="O1233">
            <v>10</v>
          </cell>
          <cell r="P1233">
            <v>125622.45459346788</v>
          </cell>
          <cell r="Q1233">
            <v>12562.245459346788</v>
          </cell>
          <cell r="R1233">
            <v>9994.8105120509717</v>
          </cell>
          <cell r="T1233"/>
          <cell r="U1233"/>
          <cell r="V1233">
            <v>0.15782198337607828</v>
          </cell>
          <cell r="W1233">
            <v>7.5703273091696748E-5</v>
          </cell>
          <cell r="X1233">
            <v>10</v>
          </cell>
          <cell r="Y1233" t="str">
            <v>Conquistar</v>
          </cell>
        </row>
        <row r="1234">
          <cell r="A1234" t="str">
            <v>B382</v>
          </cell>
          <cell r="B1234" t="str">
            <v>B382 - FARMACIA JHADA, C.A.</v>
          </cell>
          <cell r="C1234" t="str">
            <v>INDEPENDIENTE</v>
          </cell>
          <cell r="D1234">
            <v>3</v>
          </cell>
          <cell r="E1234"/>
          <cell r="F1234" t="str">
            <v>ANDES</v>
          </cell>
          <cell r="G1234" t="str">
            <v>LUCIA DUGARTE</v>
          </cell>
          <cell r="H1234"/>
          <cell r="I1234" t="str">
            <v>6</v>
          </cell>
          <cell r="J1234" t="str">
            <v>Activo</v>
          </cell>
          <cell r="K1234">
            <v>19819.190356368788</v>
          </cell>
          <cell r="L1234">
            <v>1981.9190356368788</v>
          </cell>
          <cell r="M1234">
            <v>2222.3018860994071</v>
          </cell>
          <cell r="N1234" t="str">
            <v>Si Compra</v>
          </cell>
          <cell r="O1234">
            <v>10</v>
          </cell>
          <cell r="P1234">
            <v>28793.856524336181</v>
          </cell>
          <cell r="Q1234">
            <v>2879.3856524336179</v>
          </cell>
          <cell r="R1234">
            <v>3441.0887970732288</v>
          </cell>
          <cell r="T1234"/>
          <cell r="U1234"/>
          <cell r="V1234">
            <v>0.68831315942752846</v>
          </cell>
          <cell r="W1234">
            <v>7.5677328743382411E-5</v>
          </cell>
          <cell r="X1234">
            <v>10</v>
          </cell>
          <cell r="Y1234" t="str">
            <v>Proteger</v>
          </cell>
        </row>
        <row r="1235">
          <cell r="A1235" t="str">
            <v>M164</v>
          </cell>
          <cell r="B1235" t="str">
            <v>M164 - FARMACIA FARMA MAS DESCUENTOS VII,C.A.</v>
          </cell>
          <cell r="C1235" t="str">
            <v>INDEPENDIENTE</v>
          </cell>
          <cell r="D1235">
            <v>3</v>
          </cell>
          <cell r="F1235" t="str">
            <v>CENTRO ESTE</v>
          </cell>
          <cell r="G1235" t="str">
            <v>ELIANA PERAZA</v>
          </cell>
          <cell r="H1235"/>
          <cell r="I1235" t="str">
            <v>M</v>
          </cell>
          <cell r="J1235" t="str">
            <v>Activo</v>
          </cell>
          <cell r="K1235">
            <v>19764.443227322961</v>
          </cell>
          <cell r="L1235">
            <v>1976.4443227322961</v>
          </cell>
          <cell r="M1235">
            <v>2097.5752532000606</v>
          </cell>
          <cell r="N1235" t="str">
            <v>Si Compra</v>
          </cell>
          <cell r="O1235">
            <v>10</v>
          </cell>
          <cell r="P1235">
            <v>34480.475026857152</v>
          </cell>
          <cell r="Q1235">
            <v>3448.0475026857152</v>
          </cell>
          <cell r="R1235">
            <v>3370.8263542844584</v>
          </cell>
          <cell r="V1235">
            <v>0.57320681376716121</v>
          </cell>
          <cell r="W1235">
            <v>7.5468283045346319E-5</v>
          </cell>
          <cell r="X1235">
            <v>10</v>
          </cell>
          <cell r="Y1235" t="str">
            <v>Potenciar</v>
          </cell>
        </row>
        <row r="1236">
          <cell r="A1236" t="str">
            <v>B122</v>
          </cell>
          <cell r="B1236" t="str">
            <v>B122 - FARMACIA SANTA ANA DE URDANETA, C.A.</v>
          </cell>
          <cell r="C1236" t="e">
            <v>#N/A</v>
          </cell>
          <cell r="D1236">
            <v>2</v>
          </cell>
          <cell r="E1236"/>
          <cell r="F1236" t="str">
            <v>MARACAIBO</v>
          </cell>
          <cell r="G1236" t="str">
            <v>YENNIFER LUZARDO</v>
          </cell>
          <cell r="H1236" t="str">
            <v>VICTOR</v>
          </cell>
          <cell r="I1236" t="str">
            <v xml:space="preserve">B </v>
          </cell>
          <cell r="J1236" t="str">
            <v>Activo</v>
          </cell>
          <cell r="K1236">
            <v>19762.221665659516</v>
          </cell>
          <cell r="L1236">
            <v>9881.1108328297578</v>
          </cell>
          <cell r="M1236">
            <v>9881.1108328297578</v>
          </cell>
          <cell r="N1236" t="str">
            <v>Si Compra</v>
          </cell>
          <cell r="O1236">
            <v>2</v>
          </cell>
          <cell r="P1236">
            <v>82491.128184921079</v>
          </cell>
          <cell r="Q1236">
            <v>41245.56409246054</v>
          </cell>
          <cell r="R1236">
            <v>41245.56409246054</v>
          </cell>
          <cell r="T1236"/>
          <cell r="U1236"/>
          <cell r="V1236">
            <v>0.23956784323955871</v>
          </cell>
          <cell r="W1236">
            <v>3.7729900132149499E-4</v>
          </cell>
          <cell r="X1236">
            <v>2</v>
          </cell>
          <cell r="Y1236" t="str">
            <v>Potenciar</v>
          </cell>
        </row>
        <row r="1237">
          <cell r="A1237" t="str">
            <v>E379</v>
          </cell>
          <cell r="B1237" t="str">
            <v>E379 - FARMACIA MI FORTALEZA C.A.</v>
          </cell>
          <cell r="C1237" t="e">
            <v>#N/A</v>
          </cell>
          <cell r="D1237">
            <v>3</v>
          </cell>
          <cell r="F1237" t="str">
            <v>ESTE</v>
          </cell>
          <cell r="G1237">
            <v>0</v>
          </cell>
          <cell r="H1237"/>
          <cell r="I1237" t="str">
            <v>A4</v>
          </cell>
          <cell r="J1237" t="str">
            <v>Activo</v>
          </cell>
          <cell r="K1237">
            <v>19740.537613022359</v>
          </cell>
          <cell r="L1237">
            <v>3948.1075226044718</v>
          </cell>
          <cell r="M1237">
            <v>3813.2231999999999</v>
          </cell>
          <cell r="N1237" t="str">
            <v>Si Compra</v>
          </cell>
          <cell r="O1237">
            <v>5</v>
          </cell>
          <cell r="P1237">
            <v>0</v>
          </cell>
          <cell r="Q1237">
            <v>0</v>
          </cell>
          <cell r="R1237">
            <v>0</v>
          </cell>
          <cell r="V1237">
            <v>0</v>
          </cell>
          <cell r="W1237">
            <v>1.5075400434122564E-4</v>
          </cell>
          <cell r="X1237">
            <v>0</v>
          </cell>
          <cell r="Y1237" t="str">
            <v>Conquistar</v>
          </cell>
        </row>
        <row r="1238">
          <cell r="A1238">
            <v>0</v>
          </cell>
          <cell r="B1238" t="str">
            <v>B379 - FARMACIA VIDA &amp; SALUD PLUS, C.A.</v>
          </cell>
          <cell r="C1238" t="str">
            <v>INDEPENDIENTE</v>
          </cell>
          <cell r="D1238">
            <v>0</v>
          </cell>
          <cell r="E1238"/>
          <cell r="F1238" t="str">
            <v>CENTRO ESTE</v>
          </cell>
          <cell r="G1238" t="str">
            <v>KARLA SALAZAR</v>
          </cell>
          <cell r="H1238"/>
          <cell r="I1238" t="str">
            <v>H</v>
          </cell>
          <cell r="J1238" t="str">
            <v>Suspendido</v>
          </cell>
          <cell r="K1238">
            <v>19696.467875781815</v>
          </cell>
          <cell r="L1238">
            <v>3282.7446459636358</v>
          </cell>
          <cell r="M1238">
            <v>567.11059999999998</v>
          </cell>
          <cell r="N1238" t="str">
            <v>Si Compra</v>
          </cell>
          <cell r="O1238">
            <v>6</v>
          </cell>
          <cell r="P1238">
            <v>32371.002867778221</v>
          </cell>
          <cell r="Q1238">
            <v>5395.1671446297032</v>
          </cell>
          <cell r="R1238">
            <v>545.41499999999996</v>
          </cell>
          <cell r="T1238"/>
          <cell r="U1238"/>
          <cell r="V1238">
            <v>0.60846023078844702</v>
          </cell>
          <cell r="W1238">
            <v>1.2534787813536349E-4</v>
          </cell>
          <cell r="X1238">
            <v>6</v>
          </cell>
          <cell r="Y1238" t="str">
            <v>Potenciar</v>
          </cell>
        </row>
        <row r="1239">
          <cell r="A1239" t="str">
            <v>A616</v>
          </cell>
          <cell r="B1239" t="str">
            <v>A616 - FARMA NENA 2021, C.A.</v>
          </cell>
          <cell r="C1239" t="str">
            <v>INDEPENDIENTE</v>
          </cell>
          <cell r="D1239">
            <v>3</v>
          </cell>
          <cell r="E1239"/>
          <cell r="F1239" t="str">
            <v>CARACAS</v>
          </cell>
          <cell r="G1239" t="str">
            <v>RAMON SERRANO</v>
          </cell>
          <cell r="H1239"/>
          <cell r="I1239" t="str">
            <v>CB</v>
          </cell>
          <cell r="J1239" t="str">
            <v>Activo</v>
          </cell>
          <cell r="K1239">
            <v>19681.19239991044</v>
          </cell>
          <cell r="L1239">
            <v>1968.119239991044</v>
          </cell>
          <cell r="M1239">
            <v>2634.4476599726795</v>
          </cell>
          <cell r="N1239" t="str">
            <v>Si Compra</v>
          </cell>
          <cell r="O1239">
            <v>10</v>
          </cell>
          <cell r="P1239">
            <v>68088.767846520335</v>
          </cell>
          <cell r="Q1239">
            <v>6808.8767846520332</v>
          </cell>
          <cell r="R1239">
            <v>6862.0212228704067</v>
          </cell>
          <cell r="T1239"/>
          <cell r="U1239"/>
          <cell r="V1239">
            <v>0.28905196881039236</v>
          </cell>
          <cell r="W1239">
            <v>7.5150399210488679E-5</v>
          </cell>
          <cell r="X1239">
            <v>10</v>
          </cell>
          <cell r="Y1239" t="str">
            <v>Potenciar</v>
          </cell>
        </row>
        <row r="1240">
          <cell r="A1240" t="str">
            <v>E067</v>
          </cell>
          <cell r="B1240" t="str">
            <v>E067 - FARMACIA MY SAGRADA FAMILIA. C.A</v>
          </cell>
          <cell r="C1240" t="str">
            <v>INDEPENDIENTE</v>
          </cell>
          <cell r="D1240">
            <v>3</v>
          </cell>
          <cell r="F1240" t="str">
            <v>CENTRO ESTE</v>
          </cell>
          <cell r="G1240">
            <v>0</v>
          </cell>
          <cell r="H1240"/>
          <cell r="I1240" t="str">
            <v>H</v>
          </cell>
          <cell r="J1240" t="str">
            <v>Activo</v>
          </cell>
          <cell r="K1240">
            <v>19676.408393320649</v>
          </cell>
          <cell r="L1240">
            <v>2459.5510491650812</v>
          </cell>
          <cell r="M1240">
            <v>1939.377667105394</v>
          </cell>
          <cell r="N1240" t="str">
            <v>Si Compra</v>
          </cell>
          <cell r="O1240">
            <v>8</v>
          </cell>
          <cell r="P1240">
            <v>0</v>
          </cell>
          <cell r="Q1240">
            <v>0</v>
          </cell>
          <cell r="R1240">
            <v>0</v>
          </cell>
          <cell r="V1240">
            <v>0</v>
          </cell>
          <cell r="W1240">
            <v>9.3915165030434452E-5</v>
          </cell>
          <cell r="X1240">
            <v>0</v>
          </cell>
          <cell r="Y1240" t="str">
            <v>Conquistar</v>
          </cell>
        </row>
        <row r="1241">
          <cell r="A1241" t="str">
            <v>B226</v>
          </cell>
          <cell r="B1241" t="str">
            <v>B226 - FARMACOR, C.A.</v>
          </cell>
          <cell r="C1241" t="str">
            <v>INDEPENDIENTE</v>
          </cell>
          <cell r="D1241">
            <v>3</v>
          </cell>
          <cell r="E1241"/>
          <cell r="F1241" t="str">
            <v>ANDES</v>
          </cell>
          <cell r="G1241" t="str">
            <v>JESUS CONTRERAS</v>
          </cell>
          <cell r="H1241"/>
          <cell r="I1241" t="str">
            <v>G2</v>
          </cell>
          <cell r="J1241" t="str">
            <v>Activo</v>
          </cell>
          <cell r="K1241">
            <v>19652.449999999997</v>
          </cell>
          <cell r="L1241">
            <v>2807.4928571428568</v>
          </cell>
          <cell r="M1241">
            <v>2318.0328666666665</v>
          </cell>
          <cell r="N1241" t="str">
            <v>Si Compra</v>
          </cell>
          <cell r="O1241">
            <v>7</v>
          </cell>
          <cell r="P1241">
            <v>41940.089799999994</v>
          </cell>
          <cell r="Q1241">
            <v>5991.4413999999988</v>
          </cell>
          <cell r="R1241">
            <v>4766.2272666666668</v>
          </cell>
          <cell r="T1241"/>
          <cell r="U1241"/>
          <cell r="V1241">
            <v>0.46858387985616573</v>
          </cell>
          <cell r="W1241">
            <v>1.0720092802702405E-4</v>
          </cell>
          <cell r="X1241">
            <v>7</v>
          </cell>
          <cell r="Y1241" t="str">
            <v>Potenciar</v>
          </cell>
        </row>
        <row r="1242">
          <cell r="A1242" t="str">
            <v>4013</v>
          </cell>
          <cell r="B1242" t="str">
            <v>4013 - FARMA VITAL II,C.A</v>
          </cell>
          <cell r="C1242" t="str">
            <v>INDEPENDIENTE</v>
          </cell>
          <cell r="D1242">
            <v>0</v>
          </cell>
          <cell r="E1242"/>
          <cell r="F1242" t="str">
            <v>CENTRO ESTE</v>
          </cell>
          <cell r="G1242" t="str">
            <v>LAURA FLORES</v>
          </cell>
          <cell r="H1242"/>
          <cell r="I1242" t="str">
            <v>+</v>
          </cell>
          <cell r="J1242" t="str">
            <v>Suspendido</v>
          </cell>
          <cell r="K1242">
            <v>19617.300709074378</v>
          </cell>
          <cell r="L1242">
            <v>3923.4601418148754</v>
          </cell>
          <cell r="M1242">
            <v>0</v>
          </cell>
          <cell r="N1242" t="str">
            <v>No Compra</v>
          </cell>
          <cell r="O1242">
            <v>5</v>
          </cell>
          <cell r="P1242">
            <v>169702.16474416596</v>
          </cell>
          <cell r="Q1242">
            <v>33940.432948833193</v>
          </cell>
          <cell r="R1242">
            <v>0</v>
          </cell>
          <cell r="T1242"/>
          <cell r="U1242"/>
          <cell r="V1242">
            <v>0.11559841171530361</v>
          </cell>
          <cell r="W1242">
            <v>1.4981287208247105E-4</v>
          </cell>
          <cell r="X1242">
            <v>5</v>
          </cell>
          <cell r="Y1242" t="str">
            <v>Conquistar</v>
          </cell>
        </row>
        <row r="1243">
          <cell r="A1243" t="str">
            <v>D788</v>
          </cell>
          <cell r="B1243" t="str">
            <v>D788 - EXPENDIO DE MEDICINAS EL MANANTIAL, C.A</v>
          </cell>
          <cell r="C1243" t="str">
            <v>INDEPENDIENTE</v>
          </cell>
          <cell r="D1243">
            <v>3</v>
          </cell>
          <cell r="E1243"/>
          <cell r="F1243" t="str">
            <v>CENTRO OESTE</v>
          </cell>
          <cell r="G1243">
            <v>0</v>
          </cell>
          <cell r="H1243"/>
          <cell r="I1243" t="str">
            <v>C</v>
          </cell>
          <cell r="J1243" t="str">
            <v>Activo</v>
          </cell>
          <cell r="K1243">
            <v>19584.5808353836</v>
          </cell>
          <cell r="L1243">
            <v>1958.4580835383599</v>
          </cell>
          <cell r="M1243">
            <v>2081.9648000000002</v>
          </cell>
          <cell r="N1243" t="str">
            <v>Si Compra</v>
          </cell>
          <cell r="O1243">
            <v>10</v>
          </cell>
          <cell r="P1243">
            <v>0</v>
          </cell>
          <cell r="Q1243">
            <v>0</v>
          </cell>
          <cell r="R1243">
            <v>0</v>
          </cell>
          <cell r="T1243"/>
          <cell r="U1243"/>
          <cell r="V1243">
            <v>0</v>
          </cell>
          <cell r="W1243">
            <v>7.4781498917507705E-5</v>
          </cell>
          <cell r="X1243">
            <v>0</v>
          </cell>
          <cell r="Y1243" t="str">
            <v>Conquistar</v>
          </cell>
        </row>
        <row r="1244">
          <cell r="A1244" t="str">
            <v>9665</v>
          </cell>
          <cell r="B1244" t="str">
            <v>9665 - FARMACIA EL VALLE 2012, C.A</v>
          </cell>
          <cell r="C1244" t="str">
            <v>INDEPENDIENTE</v>
          </cell>
          <cell r="D1244">
            <v>3</v>
          </cell>
          <cell r="E1244"/>
          <cell r="F1244" t="str">
            <v>ESTE</v>
          </cell>
          <cell r="G1244" t="str">
            <v>ADOLFO GONZALEZ</v>
          </cell>
          <cell r="H1244"/>
          <cell r="I1244" t="str">
            <v>A8</v>
          </cell>
          <cell r="J1244" t="str">
            <v>Inactivo</v>
          </cell>
          <cell r="K1244">
            <v>19492.139891782575</v>
          </cell>
          <cell r="L1244">
            <v>1949.2139891782576</v>
          </cell>
          <cell r="M1244">
            <v>579.9067</v>
          </cell>
          <cell r="N1244" t="str">
            <v>Si Compra</v>
          </cell>
          <cell r="O1244">
            <v>10</v>
          </cell>
          <cell r="P1244">
            <v>20557.5478</v>
          </cell>
          <cell r="Q1244">
            <v>2284.171977777778</v>
          </cell>
          <cell r="R1244">
            <v>0</v>
          </cell>
          <cell r="T1244"/>
          <cell r="U1244"/>
          <cell r="V1244">
            <v>0.85335693115130773</v>
          </cell>
          <cell r="W1244">
            <v>7.4428523667134015E-5</v>
          </cell>
          <cell r="X1244">
            <v>4</v>
          </cell>
          <cell r="Y1244" t="str">
            <v>Proteger</v>
          </cell>
        </row>
        <row r="1245">
          <cell r="A1245" t="str">
            <v>9764</v>
          </cell>
          <cell r="B1245" t="str">
            <v>FARMACIAS SAN JUAN</v>
          </cell>
          <cell r="C1245" t="str">
            <v>GRUPO</v>
          </cell>
          <cell r="D1245">
            <v>9</v>
          </cell>
          <cell r="E1245"/>
          <cell r="F1245" t="str">
            <v>ANDES</v>
          </cell>
          <cell r="H1245"/>
          <cell r="I1245"/>
          <cell r="J1245" t="str">
            <v>Activo</v>
          </cell>
          <cell r="K1245">
            <v>19475.6613</v>
          </cell>
          <cell r="L1245">
            <v>2782.2373285714284</v>
          </cell>
          <cell r="M1245">
            <v>1652.0900333333332</v>
          </cell>
          <cell r="N1245" t="str">
            <v>Si Compra</v>
          </cell>
          <cell r="O1245">
            <v>7</v>
          </cell>
          <cell r="P1245">
            <v>0</v>
          </cell>
          <cell r="Q1245">
            <v>0</v>
          </cell>
          <cell r="R1245">
            <v>0</v>
          </cell>
          <cell r="S1245"/>
          <cell r="T1245"/>
          <cell r="U1245"/>
          <cell r="V1245">
            <v>0</v>
          </cell>
          <cell r="W1245">
            <v>1.0623657433551529E-4</v>
          </cell>
          <cell r="X1245">
            <v>0</v>
          </cell>
          <cell r="Y1245" t="str">
            <v>Conquistar</v>
          </cell>
        </row>
        <row r="1246">
          <cell r="A1246" t="str">
            <v>D777</v>
          </cell>
          <cell r="B1246" t="str">
            <v>D777 - FARMACIA SAN JOSE MILAGROSO LG, C.A</v>
          </cell>
          <cell r="C1246" t="str">
            <v>INDEPENDIENTE</v>
          </cell>
          <cell r="D1246">
            <v>2</v>
          </cell>
          <cell r="E1246"/>
          <cell r="F1246" t="str">
            <v>ANDES</v>
          </cell>
          <cell r="G1246">
            <v>0</v>
          </cell>
          <cell r="H1246"/>
          <cell r="I1246" t="str">
            <v>G2</v>
          </cell>
          <cell r="J1246" t="str">
            <v>Activo</v>
          </cell>
          <cell r="K1246">
            <v>19460.587799999998</v>
          </cell>
          <cell r="L1246">
            <v>2162.2875333333332</v>
          </cell>
          <cell r="M1246">
            <v>3263.54745</v>
          </cell>
          <cell r="N1246" t="str">
            <v>Si Compra</v>
          </cell>
          <cell r="O1246">
            <v>9</v>
          </cell>
          <cell r="P1246">
            <v>0</v>
          </cell>
          <cell r="Q1246">
            <v>0</v>
          </cell>
          <cell r="R1246">
            <v>0</v>
          </cell>
          <cell r="T1246"/>
          <cell r="U1246"/>
          <cell r="V1246">
            <v>0</v>
          </cell>
          <cell r="W1246">
            <v>8.2564495095633684E-5</v>
          </cell>
          <cell r="X1246">
            <v>0</v>
          </cell>
          <cell r="Y1246" t="str">
            <v>Conquistar</v>
          </cell>
        </row>
        <row r="1247">
          <cell r="A1247" t="str">
            <v>8244</v>
          </cell>
          <cell r="B1247" t="str">
            <v>8244 - BIOFARMACIA RIO DE ORO,C.A.</v>
          </cell>
          <cell r="C1247" t="str">
            <v>INDEPENDIENTE</v>
          </cell>
          <cell r="D1247">
            <v>3</v>
          </cell>
          <cell r="E1247"/>
          <cell r="F1247" t="str">
            <v>CARACAS</v>
          </cell>
          <cell r="G1247" t="str">
            <v>WILLIAM ARAQUE</v>
          </cell>
          <cell r="H1247"/>
          <cell r="I1247" t="str">
            <v>C8</v>
          </cell>
          <cell r="J1247" t="str">
            <v>Activo</v>
          </cell>
          <cell r="K1247">
            <v>19411.361458344785</v>
          </cell>
          <cell r="L1247">
            <v>1941.1361458344786</v>
          </cell>
          <cell r="M1247">
            <v>1628.9351184876393</v>
          </cell>
          <cell r="N1247" t="str">
            <v>Si Compra</v>
          </cell>
          <cell r="O1247">
            <v>10</v>
          </cell>
          <cell r="P1247">
            <v>49688.069875914276</v>
          </cell>
          <cell r="Q1247">
            <v>4968.806987591428</v>
          </cell>
          <cell r="R1247">
            <v>3923.1306455657518</v>
          </cell>
          <cell r="T1247"/>
          <cell r="U1247"/>
          <cell r="V1247">
            <v>0.39066442924469924</v>
          </cell>
          <cell r="W1247">
            <v>7.4120080388032929E-5</v>
          </cell>
          <cell r="X1247">
            <v>10</v>
          </cell>
          <cell r="Y1247" t="str">
            <v>Potenciar</v>
          </cell>
        </row>
        <row r="1248">
          <cell r="A1248" t="str">
            <v>E677</v>
          </cell>
          <cell r="B1248" t="str">
            <v>E677 - FARMACIA MEGA FARMACIA XXI, C.A</v>
          </cell>
          <cell r="C1248" t="e">
            <v>#N/A</v>
          </cell>
          <cell r="D1248">
            <v>2</v>
          </cell>
          <cell r="F1248" t="str">
            <v>MARACAIBO</v>
          </cell>
          <cell r="G1248">
            <v>0</v>
          </cell>
          <cell r="H1248"/>
          <cell r="I1248" t="str">
            <v>D</v>
          </cell>
          <cell r="J1248" t="str">
            <v>Activo</v>
          </cell>
          <cell r="K1248">
            <v>19389.3109</v>
          </cell>
          <cell r="L1248">
            <v>9694.6554500000002</v>
          </cell>
          <cell r="M1248">
            <v>9694.6554500000002</v>
          </cell>
          <cell r="N1248" t="str">
            <v>Si Compra</v>
          </cell>
          <cell r="O1248">
            <v>2</v>
          </cell>
          <cell r="P1248">
            <v>0</v>
          </cell>
          <cell r="Q1248">
            <v>0</v>
          </cell>
          <cell r="R1248">
            <v>0</v>
          </cell>
          <cell r="V1248">
            <v>0</v>
          </cell>
          <cell r="W1248">
            <v>3.7017941416951709E-4</v>
          </cell>
          <cell r="X1248">
            <v>0</v>
          </cell>
          <cell r="Y1248" t="str">
            <v>Conquistar</v>
          </cell>
        </row>
        <row r="1249">
          <cell r="A1249" t="str">
            <v>E066</v>
          </cell>
          <cell r="B1249" t="str">
            <v>E066 - EXPENDIO DE MEDICINAS SAN IGNACIO, C.A.</v>
          </cell>
          <cell r="C1249" t="str">
            <v>INDEPENDIENTE</v>
          </cell>
          <cell r="D1249">
            <v>3</v>
          </cell>
          <cell r="F1249" t="str">
            <v>MARACAIBO</v>
          </cell>
          <cell r="G1249">
            <v>0</v>
          </cell>
          <cell r="H1249"/>
          <cell r="I1249" t="str">
            <v>BE</v>
          </cell>
          <cell r="J1249" t="str">
            <v>Activo</v>
          </cell>
          <cell r="K1249">
            <v>19386.517699999997</v>
          </cell>
          <cell r="L1249">
            <v>2154.0575222222219</v>
          </cell>
          <cell r="M1249">
            <v>1677.7091</v>
          </cell>
          <cell r="N1249" t="str">
            <v>Si Compra</v>
          </cell>
          <cell r="O1249">
            <v>9</v>
          </cell>
          <cell r="P1249">
            <v>0</v>
          </cell>
          <cell r="Q1249">
            <v>0</v>
          </cell>
          <cell r="R1249">
            <v>0</v>
          </cell>
          <cell r="V1249">
            <v>0</v>
          </cell>
          <cell r="W1249">
            <v>8.2250241463059271E-5</v>
          </cell>
          <cell r="X1249">
            <v>0</v>
          </cell>
          <cell r="Y1249" t="str">
            <v>Conquistar</v>
          </cell>
        </row>
        <row r="1250">
          <cell r="A1250" t="str">
            <v>E427</v>
          </cell>
          <cell r="B1250" t="str">
            <v>E427 - FARMACIA IPAZULCA, C.A</v>
          </cell>
          <cell r="C1250" t="e">
            <v>#N/A</v>
          </cell>
          <cell r="D1250">
            <v>3</v>
          </cell>
          <cell r="F1250" t="str">
            <v>MARACAIBO</v>
          </cell>
          <cell r="G1250">
            <v>0</v>
          </cell>
          <cell r="H1250"/>
          <cell r="I1250" t="str">
            <v>BD</v>
          </cell>
          <cell r="J1250" t="str">
            <v>Activo</v>
          </cell>
          <cell r="K1250">
            <v>19348.292326083891</v>
          </cell>
          <cell r="L1250">
            <v>3869.658465216778</v>
          </cell>
          <cell r="M1250">
            <v>4496.7536</v>
          </cell>
          <cell r="N1250" t="str">
            <v>Si Compra</v>
          </cell>
          <cell r="O1250">
            <v>5</v>
          </cell>
          <cell r="P1250">
            <v>0</v>
          </cell>
          <cell r="Q1250">
            <v>0</v>
          </cell>
          <cell r="R1250">
            <v>0</v>
          </cell>
          <cell r="V1250">
            <v>0</v>
          </cell>
          <cell r="W1250">
            <v>1.477585161306645E-4</v>
          </cell>
          <cell r="X1250">
            <v>0</v>
          </cell>
          <cell r="Y1250" t="str">
            <v>Conquistar</v>
          </cell>
        </row>
        <row r="1251">
          <cell r="A1251" t="str">
            <v>H146</v>
          </cell>
          <cell r="B1251" t="str">
            <v>H146 - FARMACIA DESCUENTO A SU SALUD 2, C.A.</v>
          </cell>
          <cell r="C1251" t="e">
            <v>#N/A</v>
          </cell>
          <cell r="D1251">
            <v>3</v>
          </cell>
          <cell r="F1251" t="str">
            <v>CENTRO ESTE</v>
          </cell>
          <cell r="G1251" t="str">
            <v>KARLA SALAZAR</v>
          </cell>
          <cell r="H1251"/>
          <cell r="I1251" t="str">
            <v>H</v>
          </cell>
          <cell r="J1251" t="str">
            <v>Activo</v>
          </cell>
          <cell r="K1251">
            <v>19345.47055226779</v>
          </cell>
          <cell r="L1251">
            <v>3224.2450920446317</v>
          </cell>
          <cell r="M1251">
            <v>3054.3827812935574</v>
          </cell>
          <cell r="N1251" t="str">
            <v>Si Compra</v>
          </cell>
          <cell r="O1251">
            <v>6</v>
          </cell>
          <cell r="P1251">
            <v>54542.936377470418</v>
          </cell>
          <cell r="Q1251">
            <v>9090.4893962450697</v>
          </cell>
          <cell r="R1251">
            <v>9200.6715181571653</v>
          </cell>
          <cell r="V1251">
            <v>0.35468333458223306</v>
          </cell>
          <cell r="W1251">
            <v>1.2311413907051461E-4</v>
          </cell>
          <cell r="X1251">
            <v>6</v>
          </cell>
          <cell r="Y1251" t="str">
            <v>Potenciar</v>
          </cell>
        </row>
        <row r="1252">
          <cell r="A1252" t="str">
            <v>D421</v>
          </cell>
          <cell r="B1252" t="str">
            <v>D421 - MAQUIMEDICS, C.A.</v>
          </cell>
          <cell r="C1252" t="str">
            <v>INDEPENDIENTE</v>
          </cell>
          <cell r="D1252">
            <v>3</v>
          </cell>
          <cell r="E1252"/>
          <cell r="F1252" t="str">
            <v>ANDES</v>
          </cell>
          <cell r="G1252" t="str">
            <v>MILAGRO BRICEñO</v>
          </cell>
          <cell r="H1252"/>
          <cell r="I1252" t="str">
            <v>G</v>
          </cell>
          <cell r="J1252" t="str">
            <v>Activo</v>
          </cell>
          <cell r="K1252">
            <v>19299.7045</v>
          </cell>
          <cell r="L1252">
            <v>2412.4630625</v>
          </cell>
          <cell r="M1252">
            <v>2322.0432333333333</v>
          </cell>
          <cell r="N1252" t="str">
            <v>Si Compra</v>
          </cell>
          <cell r="O1252">
            <v>8</v>
          </cell>
          <cell r="P1252">
            <v>19236.376400000001</v>
          </cell>
          <cell r="Q1252">
            <v>2404.5470500000001</v>
          </cell>
          <cell r="R1252">
            <v>2389.2473</v>
          </cell>
          <cell r="T1252"/>
          <cell r="U1252"/>
          <cell r="V1252">
            <v>1.0032921013128022</v>
          </cell>
          <cell r="W1252">
            <v>9.2117163708159332E-5</v>
          </cell>
          <cell r="X1252">
            <v>8</v>
          </cell>
          <cell r="Y1252" t="str">
            <v>Proteger</v>
          </cell>
        </row>
        <row r="1253">
          <cell r="A1253" t="str">
            <v>D230</v>
          </cell>
          <cell r="B1253" t="str">
            <v>D230 - PHARMATECNICA 24 HORAS</v>
          </cell>
          <cell r="C1253" t="str">
            <v>INDEPENDIENTE</v>
          </cell>
          <cell r="D1253">
            <v>3</v>
          </cell>
          <cell r="E1253"/>
          <cell r="F1253" t="str">
            <v>CARACAS</v>
          </cell>
          <cell r="G1253" t="str">
            <v>WILLIAM ARAQUE</v>
          </cell>
          <cell r="H1253"/>
          <cell r="I1253" t="str">
            <v>C3</v>
          </cell>
          <cell r="J1253" t="str">
            <v>Inactivo</v>
          </cell>
          <cell r="K1253">
            <v>19248.878488947303</v>
          </cell>
          <cell r="L1253">
            <v>2138.7642765497003</v>
          </cell>
          <cell r="M1253">
            <v>1813.2539326865469</v>
          </cell>
          <cell r="N1253" t="str">
            <v>Si Compra</v>
          </cell>
          <cell r="O1253">
            <v>9</v>
          </cell>
          <cell r="P1253">
            <v>22598.690485694915</v>
          </cell>
          <cell r="Q1253">
            <v>2510.9656095216574</v>
          </cell>
          <cell r="R1253">
            <v>1881.8683359936877</v>
          </cell>
          <cell r="T1253"/>
          <cell r="U1253"/>
          <cell r="V1253">
            <v>0.85176964130430211</v>
          </cell>
          <cell r="W1253">
            <v>8.1666286236078568E-5</v>
          </cell>
          <cell r="X1253">
            <v>8</v>
          </cell>
          <cell r="Y1253" t="str">
            <v>Proteger</v>
          </cell>
        </row>
        <row r="1254">
          <cell r="A1254" t="str">
            <v>9131</v>
          </cell>
          <cell r="B1254" t="str">
            <v>9131 - FARMACIA VAZQUEZ X 4, C.A.</v>
          </cell>
          <cell r="C1254" t="str">
            <v>INDEPENDIENTE</v>
          </cell>
          <cell r="D1254">
            <v>3</v>
          </cell>
          <cell r="E1254"/>
          <cell r="F1254" t="str">
            <v>CARACAS</v>
          </cell>
          <cell r="G1254" t="str">
            <v>MAIRUBI QUIJADA</v>
          </cell>
          <cell r="H1254"/>
          <cell r="I1254" t="str">
            <v>C1</v>
          </cell>
          <cell r="J1254" t="str">
            <v>Activo</v>
          </cell>
          <cell r="K1254">
            <v>19197.124562173634</v>
          </cell>
          <cell r="L1254">
            <v>1919.7124562173635</v>
          </cell>
          <cell r="M1254">
            <v>1873.4294339548326</v>
          </cell>
          <cell r="N1254" t="str">
            <v>Si Compra</v>
          </cell>
          <cell r="O1254">
            <v>10</v>
          </cell>
          <cell r="P1254">
            <v>59430.366757262309</v>
          </cell>
          <cell r="Q1254">
            <v>5943.0366757262309</v>
          </cell>
          <cell r="R1254">
            <v>4792.632733769994</v>
          </cell>
          <cell r="T1254"/>
          <cell r="U1254"/>
          <cell r="V1254">
            <v>0.32301877995440392</v>
          </cell>
          <cell r="W1254">
            <v>7.3302041117559089E-5</v>
          </cell>
          <cell r="X1254">
            <v>10</v>
          </cell>
          <cell r="Y1254" t="str">
            <v>Potenciar</v>
          </cell>
        </row>
        <row r="1255">
          <cell r="A1255" t="str">
            <v>D858</v>
          </cell>
          <cell r="B1255" t="str">
            <v>D858 - FARMASANNA C.A</v>
          </cell>
          <cell r="C1255" t="str">
            <v>INDEPENDIENTE</v>
          </cell>
          <cell r="D1255">
            <v>3</v>
          </cell>
          <cell r="E1255"/>
          <cell r="F1255" t="str">
            <v>CENTRO OESTE</v>
          </cell>
          <cell r="G1255" t="str">
            <v>LUIS PLACERES</v>
          </cell>
          <cell r="H1255"/>
          <cell r="I1255" t="str">
            <v>E</v>
          </cell>
          <cell r="J1255" t="str">
            <v>Activo</v>
          </cell>
          <cell r="K1255">
            <v>19061.082093242512</v>
          </cell>
          <cell r="L1255">
            <v>2117.8980103602789</v>
          </cell>
          <cell r="M1255">
            <v>2735.0393598586747</v>
          </cell>
          <cell r="N1255" t="str">
            <v>Si Compra</v>
          </cell>
          <cell r="O1255">
            <v>9</v>
          </cell>
          <cell r="P1255">
            <v>222627.92020017316</v>
          </cell>
          <cell r="Q1255">
            <v>24736.43557779702</v>
          </cell>
          <cell r="R1255">
            <v>23812.709175667376</v>
          </cell>
          <cell r="T1255"/>
          <cell r="U1255"/>
          <cell r="V1255">
            <v>8.5618560673360156E-2</v>
          </cell>
          <cell r="W1255">
            <v>8.0869531546472217E-5</v>
          </cell>
          <cell r="X1255">
            <v>9</v>
          </cell>
          <cell r="Y1255" t="str">
            <v>Conquistar</v>
          </cell>
        </row>
        <row r="1256">
          <cell r="A1256" t="str">
            <v>C997</v>
          </cell>
          <cell r="B1256" t="str">
            <v>C997 - FARMACIA AMERICA DE MARIGUITAR C.A.</v>
          </cell>
          <cell r="C1256" t="str">
            <v>INDEPENDIENTE</v>
          </cell>
          <cell r="D1256">
            <v>2</v>
          </cell>
          <cell r="E1256"/>
          <cell r="F1256" t="str">
            <v>ESTE</v>
          </cell>
          <cell r="G1256">
            <v>0</v>
          </cell>
          <cell r="H1256"/>
          <cell r="I1256" t="str">
            <v>A5</v>
          </cell>
          <cell r="J1256" t="str">
            <v>Inactivo</v>
          </cell>
          <cell r="K1256">
            <v>19050.695252157166</v>
          </cell>
          <cell r="L1256">
            <v>2381.3369065196457</v>
          </cell>
          <cell r="M1256">
            <v>2650.7366000000002</v>
          </cell>
          <cell r="N1256" t="str">
            <v>Si Compra</v>
          </cell>
          <cell r="O1256">
            <v>8</v>
          </cell>
          <cell r="P1256">
            <v>0</v>
          </cell>
          <cell r="Q1256">
            <v>0</v>
          </cell>
          <cell r="R1256">
            <v>0</v>
          </cell>
          <cell r="T1256"/>
          <cell r="U1256"/>
          <cell r="V1256">
            <v>0</v>
          </cell>
          <cell r="W1256">
            <v>9.0928646772659932E-5</v>
          </cell>
          <cell r="X1256">
            <v>0</v>
          </cell>
          <cell r="Y1256" t="str">
            <v>Conquistar</v>
          </cell>
        </row>
        <row r="1257">
          <cell r="A1257">
            <v>0</v>
          </cell>
          <cell r="B1257" t="str">
            <v>S348 - FARMACIA SARIMAR KM , C.A.</v>
          </cell>
          <cell r="C1257" t="e">
            <v>#N/A</v>
          </cell>
          <cell r="D1257">
            <v>0</v>
          </cell>
          <cell r="E1257"/>
          <cell r="F1257" t="str">
            <v>ANDES</v>
          </cell>
          <cell r="G1257" t="str">
            <v>ANYERSSON TORRES</v>
          </cell>
          <cell r="H1257"/>
          <cell r="I1257" t="str">
            <v>4</v>
          </cell>
          <cell r="J1257" t="str">
            <v>Activo</v>
          </cell>
          <cell r="K1257">
            <v>19039.853800000001</v>
          </cell>
          <cell r="L1257">
            <v>1903.9853800000001</v>
          </cell>
          <cell r="M1257">
            <v>1379.2043333333334</v>
          </cell>
          <cell r="N1257" t="str">
            <v>Si Compra</v>
          </cell>
          <cell r="O1257">
            <v>10</v>
          </cell>
          <cell r="P1257">
            <v>27431.723599999998</v>
          </cell>
          <cell r="Q1257">
            <v>2743.1723599999996</v>
          </cell>
          <cell r="R1257">
            <v>1537.3130000000001</v>
          </cell>
          <cell r="T1257"/>
          <cell r="U1257"/>
          <cell r="V1257">
            <v>0.69408157057983788</v>
          </cell>
          <cell r="W1257">
            <v>7.2701520563655029E-5</v>
          </cell>
          <cell r="X1257">
            <v>10</v>
          </cell>
          <cell r="Y1257" t="str">
            <v>Proteger</v>
          </cell>
        </row>
        <row r="1258">
          <cell r="A1258" t="str">
            <v>6649</v>
          </cell>
          <cell r="B1258" t="str">
            <v>6649 - FARMACIA BETANIA,C.A</v>
          </cell>
          <cell r="C1258" t="str">
            <v>INDEPENDIENTE</v>
          </cell>
          <cell r="D1258">
            <v>0</v>
          </cell>
          <cell r="E1258"/>
          <cell r="F1258" t="str">
            <v>ANDES</v>
          </cell>
          <cell r="G1258" t="str">
            <v>ZULAY PARRA</v>
          </cell>
          <cell r="H1258"/>
          <cell r="I1258" t="str">
            <v>5</v>
          </cell>
          <cell r="J1258" t="str">
            <v>Suspendido</v>
          </cell>
          <cell r="K1258">
            <v>19031.681363563344</v>
          </cell>
          <cell r="L1258">
            <v>4757.9203408908361</v>
          </cell>
          <cell r="M1258">
            <v>0</v>
          </cell>
          <cell r="N1258" t="str">
            <v>No Compra</v>
          </cell>
          <cell r="O1258">
            <v>4</v>
          </cell>
          <cell r="P1258">
            <v>25618.032859309798</v>
          </cell>
          <cell r="Q1258">
            <v>6404.5082148274496</v>
          </cell>
          <cell r="R1258">
            <v>0</v>
          </cell>
          <cell r="T1258"/>
          <cell r="U1258"/>
          <cell r="V1258">
            <v>0.74290174690938771</v>
          </cell>
          <cell r="W1258">
            <v>1.8167578760689207E-4</v>
          </cell>
          <cell r="X1258">
            <v>4</v>
          </cell>
          <cell r="Y1258" t="str">
            <v>Proteger</v>
          </cell>
        </row>
        <row r="1259">
          <cell r="A1259" t="str">
            <v>D550</v>
          </cell>
          <cell r="B1259" t="str">
            <v>D550 - FARMACIA SARAMIEL, C.A</v>
          </cell>
          <cell r="C1259" t="str">
            <v>INDEPENDIENTE</v>
          </cell>
          <cell r="D1259">
            <v>3</v>
          </cell>
          <cell r="E1259"/>
          <cell r="F1259" t="str">
            <v>CENTRO OESTE</v>
          </cell>
          <cell r="G1259" t="str">
            <v>YAMILEX LAMEDA</v>
          </cell>
          <cell r="H1259"/>
          <cell r="I1259" t="str">
            <v>Y1</v>
          </cell>
          <cell r="J1259" t="str">
            <v>Activo</v>
          </cell>
          <cell r="K1259">
            <v>19028.418799999999</v>
          </cell>
          <cell r="L1259">
            <v>1902.8418799999999</v>
          </cell>
          <cell r="M1259">
            <v>1395.5989</v>
          </cell>
          <cell r="N1259" t="str">
            <v>Si Compra</v>
          </cell>
          <cell r="O1259">
            <v>10</v>
          </cell>
          <cell r="P1259">
            <v>40036.211999999992</v>
          </cell>
          <cell r="Q1259">
            <v>4003.6211999999991</v>
          </cell>
          <cell r="R1259">
            <v>4583.3588666666665</v>
          </cell>
          <cell r="T1259"/>
          <cell r="U1259"/>
          <cell r="V1259">
            <v>0.47528019883599387</v>
          </cell>
          <cell r="W1259">
            <v>7.2657857314116554E-5</v>
          </cell>
          <cell r="X1259">
            <v>10</v>
          </cell>
          <cell r="Y1259" t="str">
            <v>Potenciar</v>
          </cell>
        </row>
        <row r="1260">
          <cell r="A1260" t="str">
            <v>A650</v>
          </cell>
          <cell r="B1260" t="str">
            <v>A650 - FARMACIA FARMAHOGAR LA PUERTA, C.A</v>
          </cell>
          <cell r="C1260" t="str">
            <v>INDEPENDIENTE</v>
          </cell>
          <cell r="D1260">
            <v>0</v>
          </cell>
          <cell r="E1260"/>
          <cell r="F1260" t="str">
            <v>MARACAIBO</v>
          </cell>
          <cell r="G1260" t="str">
            <v>MARIA FUSELLA</v>
          </cell>
          <cell r="H1260"/>
          <cell r="I1260" t="str">
            <v>Z</v>
          </cell>
          <cell r="J1260" t="str">
            <v>Bloqueado</v>
          </cell>
          <cell r="K1260">
            <v>18950.157578601607</v>
          </cell>
          <cell r="L1260">
            <v>9475.0787893008037</v>
          </cell>
          <cell r="M1260">
            <v>0</v>
          </cell>
          <cell r="N1260" t="str">
            <v>No Compra</v>
          </cell>
          <cell r="O1260">
            <v>2</v>
          </cell>
          <cell r="P1260">
            <v>31998.793196691404</v>
          </cell>
          <cell r="Q1260">
            <v>15999.396598345702</v>
          </cell>
          <cell r="R1260">
            <v>0</v>
          </cell>
          <cell r="T1260"/>
          <cell r="U1260"/>
          <cell r="V1260">
            <v>0.59221475829160353</v>
          </cell>
          <cell r="W1260">
            <v>3.6179512861732376E-4</v>
          </cell>
          <cell r="X1260">
            <v>2</v>
          </cell>
          <cell r="Y1260" t="str">
            <v>Potenciar</v>
          </cell>
        </row>
        <row r="1261">
          <cell r="A1261" t="str">
            <v>D473</v>
          </cell>
          <cell r="B1261" t="str">
            <v>D473 - FARMACIA BARI-LISBOA CA</v>
          </cell>
          <cell r="C1261" t="str">
            <v>INDEPENDIENTE</v>
          </cell>
          <cell r="D1261">
            <v>3</v>
          </cell>
          <cell r="E1261"/>
          <cell r="F1261" t="str">
            <v>CENTRO OESTE</v>
          </cell>
          <cell r="G1261" t="str">
            <v>LUIS PLACERES</v>
          </cell>
          <cell r="H1261"/>
          <cell r="I1261" t="str">
            <v>E</v>
          </cell>
          <cell r="J1261" t="str">
            <v>Activo</v>
          </cell>
          <cell r="K1261">
            <v>18938.684245583183</v>
          </cell>
          <cell r="L1261">
            <v>1893.8684245583183</v>
          </cell>
          <cell r="M1261">
            <v>1843.5895380141737</v>
          </cell>
          <cell r="N1261" t="str">
            <v>Si Compra</v>
          </cell>
          <cell r="O1261">
            <v>10</v>
          </cell>
          <cell r="P1261">
            <v>99169.919731845075</v>
          </cell>
          <cell r="Q1261">
            <v>9916.9919731845075</v>
          </cell>
          <cell r="R1261">
            <v>18882.717715947194</v>
          </cell>
          <cell r="T1261"/>
          <cell r="U1261"/>
          <cell r="V1261">
            <v>0.19097206387575266</v>
          </cell>
          <cell r="W1261">
            <v>7.2315216103646521E-5</v>
          </cell>
          <cell r="X1261">
            <v>10</v>
          </cell>
          <cell r="Y1261" t="str">
            <v>Conquistar</v>
          </cell>
        </row>
        <row r="1262">
          <cell r="A1262" t="str">
            <v>8603</v>
          </cell>
          <cell r="B1262" t="str">
            <v>8603 - FARMACIA LA MUNDIAL,C.A</v>
          </cell>
          <cell r="C1262" t="str">
            <v>INDEPENDIENTE</v>
          </cell>
          <cell r="D1262">
            <v>3</v>
          </cell>
          <cell r="E1262"/>
          <cell r="F1262" t="str">
            <v>CENTRO OESTE</v>
          </cell>
          <cell r="G1262" t="str">
            <v>SORALI SILVA</v>
          </cell>
          <cell r="H1262"/>
          <cell r="I1262" t="str">
            <v>C</v>
          </cell>
          <cell r="J1262" t="str">
            <v>Activo</v>
          </cell>
          <cell r="K1262">
            <v>18857.778088481788</v>
          </cell>
          <cell r="L1262">
            <v>1885.7778088481787</v>
          </cell>
          <cell r="M1262">
            <v>3477.1904329304311</v>
          </cell>
          <cell r="N1262" t="str">
            <v>Si Compra</v>
          </cell>
          <cell r="O1262">
            <v>10</v>
          </cell>
          <cell r="P1262">
            <v>277608.84569905826</v>
          </cell>
          <cell r="Q1262">
            <v>27760.884569905826</v>
          </cell>
          <cell r="R1262">
            <v>16822.906074258372</v>
          </cell>
          <cell r="T1262"/>
          <cell r="U1262"/>
          <cell r="V1262">
            <v>6.7929312702537409E-2</v>
          </cell>
          <cell r="W1262">
            <v>7.2006285126233579E-5</v>
          </cell>
          <cell r="X1262">
            <v>10</v>
          </cell>
          <cell r="Y1262" t="str">
            <v>Conquistar</v>
          </cell>
        </row>
        <row r="1263">
          <cell r="A1263" t="str">
            <v>Q122</v>
          </cell>
          <cell r="B1263" t="str">
            <v>Q122 - FARMACIA ROYAL C.A.</v>
          </cell>
          <cell r="C1263" t="str">
            <v>INDEPENDIENTE</v>
          </cell>
          <cell r="D1263">
            <v>3</v>
          </cell>
          <cell r="F1263" t="str">
            <v>MARACAIBO</v>
          </cell>
          <cell r="G1263" t="str">
            <v>ADRIANA ALBORNOZ</v>
          </cell>
          <cell r="H1263"/>
          <cell r="I1263" t="str">
            <v>Q</v>
          </cell>
          <cell r="J1263" t="str">
            <v>Activo</v>
          </cell>
          <cell r="K1263">
            <v>18852.39029486915</v>
          </cell>
          <cell r="L1263">
            <v>1885.2390294869151</v>
          </cell>
          <cell r="M1263">
            <v>1661.0784666666666</v>
          </cell>
          <cell r="N1263" t="str">
            <v>Si Compra</v>
          </cell>
          <cell r="O1263">
            <v>10</v>
          </cell>
          <cell r="P1263">
            <v>30166.531618275854</v>
          </cell>
          <cell r="Q1263">
            <v>3016.6531618275853</v>
          </cell>
          <cell r="R1263">
            <v>3389.2755666666667</v>
          </cell>
          <cell r="V1263">
            <v>0.62494391245985226</v>
          </cell>
          <cell r="W1263">
            <v>7.1985712447880255E-5</v>
          </cell>
          <cell r="X1263">
            <v>10</v>
          </cell>
          <cell r="Y1263" t="str">
            <v>Proteger</v>
          </cell>
        </row>
        <row r="1264">
          <cell r="A1264" t="str">
            <v>A671</v>
          </cell>
          <cell r="B1264" t="str">
            <v>A671 - FARMACIA GUAFARMA, C.A.</v>
          </cell>
          <cell r="C1264" t="str">
            <v>INDEPENDIENTE</v>
          </cell>
          <cell r="D1264">
            <v>3</v>
          </cell>
          <cell r="E1264"/>
          <cell r="F1264" t="str">
            <v>CENTRO OESTE</v>
          </cell>
          <cell r="G1264" t="str">
            <v>SORALI SILVA</v>
          </cell>
          <cell r="H1264"/>
          <cell r="I1264" t="str">
            <v>L</v>
          </cell>
          <cell r="J1264" t="str">
            <v>Activo</v>
          </cell>
          <cell r="K1264">
            <v>18847.633402855212</v>
          </cell>
          <cell r="L1264">
            <v>1884.7633402855213</v>
          </cell>
          <cell r="M1264">
            <v>1738.8199000000002</v>
          </cell>
          <cell r="N1264" t="str">
            <v>Si Compra</v>
          </cell>
          <cell r="O1264">
            <v>10</v>
          </cell>
          <cell r="P1264">
            <v>95302.930164435427</v>
          </cell>
          <cell r="Q1264">
            <v>9530.293016443542</v>
          </cell>
          <cell r="R1264">
            <v>11067.680833333332</v>
          </cell>
          <cell r="T1264"/>
          <cell r="U1264"/>
          <cell r="V1264">
            <v>0.19776551854529087</v>
          </cell>
          <cell r="W1264">
            <v>7.1967548795669306E-5</v>
          </cell>
          <cell r="X1264">
            <v>10</v>
          </cell>
          <cell r="Y1264" t="str">
            <v>Conquistar</v>
          </cell>
        </row>
        <row r="1265">
          <cell r="A1265" t="str">
            <v>D575</v>
          </cell>
          <cell r="B1265" t="str">
            <v>D575 - INVERSIONES FARMAZITA ALTAGRACIA, C.A</v>
          </cell>
          <cell r="C1265" t="str">
            <v>INDEPENDIENTE</v>
          </cell>
          <cell r="D1265">
            <v>3</v>
          </cell>
          <cell r="E1265"/>
          <cell r="F1265" t="str">
            <v>CARACAS</v>
          </cell>
          <cell r="G1265">
            <v>0</v>
          </cell>
          <cell r="H1265"/>
          <cell r="I1265" t="str">
            <v>C4</v>
          </cell>
          <cell r="J1265" t="str">
            <v>Activo</v>
          </cell>
          <cell r="K1265">
            <v>18822.554495024735</v>
          </cell>
          <cell r="L1265">
            <v>1882.2554495024735</v>
          </cell>
          <cell r="M1265">
            <v>982.98546666666664</v>
          </cell>
          <cell r="N1265" t="str">
            <v>Si Compra</v>
          </cell>
          <cell r="O1265">
            <v>10</v>
          </cell>
          <cell r="P1265">
            <v>0</v>
          </cell>
          <cell r="Q1265">
            <v>0</v>
          </cell>
          <cell r="R1265">
            <v>0</v>
          </cell>
          <cell r="T1265"/>
          <cell r="U1265"/>
          <cell r="V1265">
            <v>0</v>
          </cell>
          <cell r="W1265">
            <v>7.1871787832769932E-5</v>
          </cell>
          <cell r="X1265">
            <v>0</v>
          </cell>
          <cell r="Y1265" t="str">
            <v>Conquistar</v>
          </cell>
        </row>
        <row r="1266">
          <cell r="A1266" t="str">
            <v>N35</v>
          </cell>
          <cell r="B1266" t="str">
            <v>N35 - FARMACIA BARRIO EL CARMEN C.A.</v>
          </cell>
          <cell r="C1266" t="str">
            <v>INDEPENDIENTE</v>
          </cell>
          <cell r="D1266">
            <v>2</v>
          </cell>
          <cell r="F1266" t="str">
            <v>CENTRO OESTE</v>
          </cell>
          <cell r="G1266" t="str">
            <v>DIEGO TORI</v>
          </cell>
          <cell r="H1266"/>
          <cell r="I1266" t="str">
            <v xml:space="preserve">A </v>
          </cell>
          <cell r="J1266" t="str">
            <v>Inactivo</v>
          </cell>
          <cell r="K1266">
            <v>18790.156326484033</v>
          </cell>
          <cell r="L1266">
            <v>2087.7951473871149</v>
          </cell>
          <cell r="M1266">
            <v>2018.1397187359794</v>
          </cell>
          <cell r="N1266" t="str">
            <v>Si Compra</v>
          </cell>
          <cell r="O1266">
            <v>9</v>
          </cell>
          <cell r="P1266">
            <v>21190.582609944264</v>
          </cell>
          <cell r="Q1266">
            <v>2354.5091788826958</v>
          </cell>
          <cell r="R1266">
            <v>1929.568518111369</v>
          </cell>
          <cell r="V1266">
            <v>0.88672202517292931</v>
          </cell>
          <cell r="W1266">
            <v>7.9720087892935147E-5</v>
          </cell>
          <cell r="X1266">
            <v>9</v>
          </cell>
          <cell r="Y1266" t="str">
            <v>Proteger</v>
          </cell>
        </row>
        <row r="1267">
          <cell r="A1267" t="str">
            <v>C702</v>
          </cell>
          <cell r="B1267" t="str">
            <v>C702 - OXIFARMA, C.A.</v>
          </cell>
          <cell r="C1267" t="str">
            <v>INDEPENDIENTE</v>
          </cell>
          <cell r="D1267">
            <v>3</v>
          </cell>
          <cell r="E1267"/>
          <cell r="F1267" t="str">
            <v>CARACAS</v>
          </cell>
          <cell r="G1267" t="str">
            <v>RAMON SERRANO</v>
          </cell>
          <cell r="H1267" t="str">
            <v>VICTOR</v>
          </cell>
          <cell r="I1267" t="str">
            <v>CB</v>
          </cell>
          <cell r="J1267" t="str">
            <v>Activo</v>
          </cell>
          <cell r="K1267">
            <v>18782.48389622142</v>
          </cell>
          <cell r="L1267">
            <v>1878.248389622142</v>
          </cell>
          <cell r="M1267">
            <v>958.26760205992957</v>
          </cell>
          <cell r="N1267" t="str">
            <v>Si Compra</v>
          </cell>
          <cell r="O1267">
            <v>10</v>
          </cell>
          <cell r="P1267">
            <v>146505.64784487308</v>
          </cell>
          <cell r="Q1267">
            <v>14650.564784487307</v>
          </cell>
          <cell r="R1267">
            <v>11593.391299852185</v>
          </cell>
          <cell r="T1267"/>
          <cell r="U1267"/>
          <cell r="V1267">
            <v>0.12820313873571057</v>
          </cell>
          <cell r="W1267">
            <v>7.1718782799564407E-5</v>
          </cell>
          <cell r="X1267">
            <v>10</v>
          </cell>
          <cell r="Y1267" t="str">
            <v>Conquistar</v>
          </cell>
        </row>
        <row r="1268">
          <cell r="A1268" t="str">
            <v>6463</v>
          </cell>
          <cell r="B1268" t="str">
            <v>6463 - FARMACIA CHARITO, C.A</v>
          </cell>
          <cell r="C1268" t="str">
            <v>INDEPENDIENTE</v>
          </cell>
          <cell r="D1268">
            <v>2</v>
          </cell>
          <cell r="E1268"/>
          <cell r="F1268" t="str">
            <v>ESTE</v>
          </cell>
          <cell r="G1268" t="str">
            <v>JOSE RAMIREZ</v>
          </cell>
          <cell r="H1268"/>
          <cell r="I1268" t="str">
            <v>A4</v>
          </cell>
          <cell r="J1268" t="str">
            <v>Inactivo</v>
          </cell>
          <cell r="K1268">
            <v>18774.348553356758</v>
          </cell>
          <cell r="L1268">
            <v>2346.7935691695948</v>
          </cell>
          <cell r="M1268">
            <v>2938.8240048728362</v>
          </cell>
          <cell r="N1268" t="str">
            <v>Si Compra</v>
          </cell>
          <cell r="O1268">
            <v>7</v>
          </cell>
          <cell r="P1268">
            <v>74378.991816325797</v>
          </cell>
          <cell r="Q1268">
            <v>9297.3739770407246</v>
          </cell>
          <cell r="R1268">
            <v>3485.8197886140115</v>
          </cell>
          <cell r="T1268"/>
          <cell r="U1268"/>
          <cell r="V1268">
            <v>0.25241466837462412</v>
          </cell>
          <cell r="W1268">
            <v>8.9609648645325564E-5</v>
          </cell>
          <cell r="X1268">
            <v>8</v>
          </cell>
          <cell r="Y1268" t="str">
            <v>Potenciar</v>
          </cell>
        </row>
        <row r="1269">
          <cell r="A1269" t="str">
            <v>5680</v>
          </cell>
          <cell r="B1269" t="str">
            <v>5680 - CORPORACION FARMA ORO 1, C.A.</v>
          </cell>
          <cell r="C1269" t="str">
            <v>INDEPENDIENTE</v>
          </cell>
          <cell r="D1269">
            <v>3</v>
          </cell>
          <cell r="E1269"/>
          <cell r="F1269" t="str">
            <v>CARACAS</v>
          </cell>
          <cell r="G1269" t="str">
            <v>MAIRUBI QUIJADA</v>
          </cell>
          <cell r="H1269"/>
          <cell r="I1269" t="str">
            <v>C2</v>
          </cell>
          <cell r="J1269" t="str">
            <v>Activo</v>
          </cell>
          <cell r="K1269">
            <v>18739.460904256262</v>
          </cell>
          <cell r="L1269">
            <v>1873.9460904256262</v>
          </cell>
          <cell r="M1269">
            <v>1566.2806362618655</v>
          </cell>
          <cell r="N1269" t="str">
            <v>Si Compra</v>
          </cell>
          <cell r="O1269">
            <v>10</v>
          </cell>
          <cell r="P1269">
            <v>29858.520533082909</v>
          </cell>
          <cell r="Q1269">
            <v>2985.852053308291</v>
          </cell>
          <cell r="R1269">
            <v>3382.5630270188981</v>
          </cell>
          <cell r="T1269"/>
          <cell r="U1269"/>
          <cell r="V1269">
            <v>0.62760848728232022</v>
          </cell>
          <cell r="W1269">
            <v>7.1554504388190001E-5</v>
          </cell>
          <cell r="X1269">
            <v>10</v>
          </cell>
          <cell r="Y1269" t="str">
            <v>Proteger</v>
          </cell>
        </row>
        <row r="1270">
          <cell r="A1270" t="str">
            <v>5067</v>
          </cell>
          <cell r="B1270" t="str">
            <v>5067 - FARMACIA SIEGERT C.A</v>
          </cell>
          <cell r="C1270" t="str">
            <v>INDEPENDIENTE</v>
          </cell>
          <cell r="D1270">
            <v>3</v>
          </cell>
          <cell r="E1270"/>
          <cell r="F1270" t="str">
            <v>ESTE</v>
          </cell>
          <cell r="G1270" t="str">
            <v>IRAIDA RODRIGUEZ</v>
          </cell>
          <cell r="H1270"/>
          <cell r="I1270" t="str">
            <v>AB</v>
          </cell>
          <cell r="J1270" t="str">
            <v>Activo</v>
          </cell>
          <cell r="K1270">
            <v>18732.074902605349</v>
          </cell>
          <cell r="L1270">
            <v>1873.207490260535</v>
          </cell>
          <cell r="M1270">
            <v>1463.8427114975821</v>
          </cell>
          <cell r="N1270" t="str">
            <v>Si Compra</v>
          </cell>
          <cell r="O1270">
            <v>10</v>
          </cell>
          <cell r="P1270">
            <v>302850.22215165361</v>
          </cell>
          <cell r="Q1270">
            <v>30285.022215165362</v>
          </cell>
          <cell r="R1270">
            <v>38461.959045926618</v>
          </cell>
          <cell r="T1270"/>
          <cell r="U1270"/>
          <cell r="V1270">
            <v>6.1852604133884964E-2</v>
          </cell>
          <cell r="W1270">
            <v>7.1526301779254695E-5</v>
          </cell>
          <cell r="X1270">
            <v>10</v>
          </cell>
          <cell r="Y1270" t="str">
            <v>Conquistar</v>
          </cell>
        </row>
        <row r="1271">
          <cell r="A1271" t="str">
            <v>+239</v>
          </cell>
          <cell r="B1271" t="str">
            <v>+239 - MI FARMACIA, C.A</v>
          </cell>
          <cell r="C1271" t="str">
            <v>INDEPENDIENTE</v>
          </cell>
          <cell r="D1271">
            <v>3</v>
          </cell>
          <cell r="E1271"/>
          <cell r="F1271" t="str">
            <v>CENTRO ESTE</v>
          </cell>
          <cell r="G1271" t="str">
            <v>MARCOS CRUCES</v>
          </cell>
          <cell r="H1271"/>
          <cell r="I1271" t="str">
            <v>AV</v>
          </cell>
          <cell r="J1271" t="str">
            <v>Activo</v>
          </cell>
          <cell r="K1271">
            <v>18731.153724702282</v>
          </cell>
          <cell r="L1271">
            <v>1873.1153724702283</v>
          </cell>
          <cell r="M1271">
            <v>1626.5834096723413</v>
          </cell>
          <cell r="N1271" t="str">
            <v>Si Compra</v>
          </cell>
          <cell r="O1271">
            <v>10</v>
          </cell>
          <cell r="P1271">
            <v>102322.30870094863</v>
          </cell>
          <cell r="Q1271">
            <v>10232.230870094863</v>
          </cell>
          <cell r="R1271">
            <v>10138.113467584695</v>
          </cell>
          <cell r="T1271"/>
          <cell r="U1271"/>
          <cell r="V1271">
            <v>0.18306031170042028</v>
          </cell>
          <cell r="W1271">
            <v>7.15227843659927E-5</v>
          </cell>
          <cell r="X1271">
            <v>10</v>
          </cell>
          <cell r="Y1271" t="str">
            <v>Conquistar</v>
          </cell>
        </row>
        <row r="1272">
          <cell r="A1272" t="str">
            <v>S43</v>
          </cell>
          <cell r="B1272" t="str">
            <v>S43 - FARMACIA LUZ # 2, S.R.L</v>
          </cell>
          <cell r="C1272" t="str">
            <v>INDEPENDIENTE</v>
          </cell>
          <cell r="D1272">
            <v>3</v>
          </cell>
          <cell r="F1272" t="str">
            <v>MARACAIBO</v>
          </cell>
          <cell r="G1272" t="str">
            <v>JOEL JIMENEZ</v>
          </cell>
          <cell r="H1272"/>
          <cell r="I1272" t="str">
            <v>S1</v>
          </cell>
          <cell r="J1272" t="str">
            <v>Activo</v>
          </cell>
          <cell r="K1272">
            <v>18727.526176108702</v>
          </cell>
          <cell r="L1272">
            <v>1872.7526176108702</v>
          </cell>
          <cell r="M1272">
            <v>3287.1192253695667</v>
          </cell>
          <cell r="N1272" t="str">
            <v>Si Compra</v>
          </cell>
          <cell r="O1272">
            <v>10</v>
          </cell>
          <cell r="P1272">
            <v>38879.313428227833</v>
          </cell>
          <cell r="Q1272">
            <v>3887.9313428227833</v>
          </cell>
          <cell r="R1272">
            <v>6914.4340094092768</v>
          </cell>
          <cell r="V1272">
            <v>0.48168356189417222</v>
          </cell>
          <cell r="W1272">
            <v>7.1508932983443114E-5</v>
          </cell>
          <cell r="X1272">
            <v>10</v>
          </cell>
          <cell r="Y1272" t="str">
            <v>Potenciar</v>
          </cell>
        </row>
        <row r="1273">
          <cell r="A1273" t="str">
            <v>$303</v>
          </cell>
          <cell r="B1273" t="str">
            <v>$303 - FARMACIA AEROPUERTO C.A.</v>
          </cell>
          <cell r="C1273" t="str">
            <v>INDEPENDIENTE</v>
          </cell>
          <cell r="D1273">
            <v>2</v>
          </cell>
          <cell r="E1273"/>
          <cell r="F1273" t="str">
            <v>CENTRO ESTE</v>
          </cell>
          <cell r="G1273" t="str">
            <v>MARCOS CRUCES</v>
          </cell>
          <cell r="H1273"/>
          <cell r="I1273" t="str">
            <v>$</v>
          </cell>
          <cell r="J1273" t="str">
            <v>Activo</v>
          </cell>
          <cell r="K1273">
            <v>18701.696512827708</v>
          </cell>
          <cell r="L1273">
            <v>1870.1696512827707</v>
          </cell>
          <cell r="M1273">
            <v>545.24127094257005</v>
          </cell>
          <cell r="N1273" t="str">
            <v>Si Compra</v>
          </cell>
          <cell r="O1273">
            <v>9</v>
          </cell>
          <cell r="P1273">
            <v>77706.882397263413</v>
          </cell>
          <cell r="Q1273">
            <v>7770.6882397263416</v>
          </cell>
          <cell r="R1273">
            <v>2589.0000657544679</v>
          </cell>
          <cell r="T1273"/>
          <cell r="U1273"/>
          <cell r="V1273">
            <v>0.24066975711647287</v>
          </cell>
          <cell r="W1273">
            <v>7.1410305346072519E-5</v>
          </cell>
          <cell r="X1273">
            <v>10</v>
          </cell>
          <cell r="Y1273" t="str">
            <v>Potenciar</v>
          </cell>
        </row>
        <row r="1274">
          <cell r="A1274" t="str">
            <v>B750</v>
          </cell>
          <cell r="B1274" t="str">
            <v>B750 - FARMACIA MULTI-EDEN, C.A.</v>
          </cell>
          <cell r="C1274" t="str">
            <v>INDEPENDIENTE</v>
          </cell>
          <cell r="D1274">
            <v>3</v>
          </cell>
          <cell r="E1274"/>
          <cell r="F1274" t="str">
            <v>CARACAS</v>
          </cell>
          <cell r="G1274" t="str">
            <v>JHON TORRES</v>
          </cell>
          <cell r="H1274"/>
          <cell r="I1274" t="str">
            <v>C4</v>
          </cell>
          <cell r="J1274" t="str">
            <v>Inactivo</v>
          </cell>
          <cell r="K1274">
            <v>18631.686170640816</v>
          </cell>
          <cell r="L1274">
            <v>1863.1686170640817</v>
          </cell>
          <cell r="M1274">
            <v>2703.3948650946859</v>
          </cell>
          <cell r="N1274" t="str">
            <v>Si Compra</v>
          </cell>
          <cell r="O1274">
            <v>10</v>
          </cell>
          <cell r="P1274">
            <v>31148.827221118889</v>
          </cell>
          <cell r="Q1274">
            <v>3114.8827221118891</v>
          </cell>
          <cell r="R1274">
            <v>3704.3748934221862</v>
          </cell>
          <cell r="T1274"/>
          <cell r="U1274"/>
          <cell r="V1274">
            <v>0.59815048696307072</v>
          </cell>
          <cell r="W1274">
            <v>7.1142978801150798E-5</v>
          </cell>
          <cell r="X1274">
            <v>10</v>
          </cell>
          <cell r="Y1274" t="str">
            <v>Potenciar</v>
          </cell>
        </row>
        <row r="1275">
          <cell r="A1275" t="str">
            <v>4403</v>
          </cell>
          <cell r="B1275" t="str">
            <v>4403 - FARMACIA PHARMA SALUD, C.A</v>
          </cell>
          <cell r="C1275" t="str">
            <v>INDEPENDIENTE</v>
          </cell>
          <cell r="D1275">
            <v>3</v>
          </cell>
          <cell r="E1275"/>
          <cell r="F1275" t="str">
            <v>CENTRO OESTE</v>
          </cell>
          <cell r="G1275" t="str">
            <v>LUIS PLACERES</v>
          </cell>
          <cell r="H1275"/>
          <cell r="I1275" t="str">
            <v>E</v>
          </cell>
          <cell r="J1275" t="str">
            <v>Activo</v>
          </cell>
          <cell r="K1275">
            <v>18556.107845469578</v>
          </cell>
          <cell r="L1275">
            <v>1855.6107845469578</v>
          </cell>
          <cell r="M1275">
            <v>1556.014268966275</v>
          </cell>
          <cell r="N1275" t="str">
            <v>Si Compra</v>
          </cell>
          <cell r="O1275">
            <v>10</v>
          </cell>
          <cell r="P1275">
            <v>68853.530150991239</v>
          </cell>
          <cell r="Q1275">
            <v>6885.3530150991237</v>
          </cell>
          <cell r="R1275">
            <v>4663.8612126899907</v>
          </cell>
          <cell r="T1275"/>
          <cell r="U1275"/>
          <cell r="V1275">
            <v>0.269501183233122</v>
          </cell>
          <cell r="W1275">
            <v>7.0854391545212752E-5</v>
          </cell>
          <cell r="X1275">
            <v>10</v>
          </cell>
          <cell r="Y1275" t="str">
            <v>Potenciar</v>
          </cell>
        </row>
        <row r="1276">
          <cell r="A1276" t="str">
            <v>D756</v>
          </cell>
          <cell r="B1276" t="str">
            <v>D756 - FARMACIA MEDIPUERTO VIRGEN DEL VALLE C.A.</v>
          </cell>
          <cell r="C1276" t="str">
            <v>INDEPENDIENTE</v>
          </cell>
          <cell r="D1276">
            <v>3</v>
          </cell>
          <cell r="E1276"/>
          <cell r="F1276" t="str">
            <v>ESTE</v>
          </cell>
          <cell r="G1276" t="str">
            <v>ALEXMAR CASTILLO</v>
          </cell>
          <cell r="H1276"/>
          <cell r="I1276" t="str">
            <v>A1</v>
          </cell>
          <cell r="J1276" t="str">
            <v>Activo</v>
          </cell>
          <cell r="K1276">
            <v>18523.812797580526</v>
          </cell>
          <cell r="L1276">
            <v>1852.3812797580526</v>
          </cell>
          <cell r="M1276">
            <v>1353.3263750179942</v>
          </cell>
          <cell r="N1276" t="str">
            <v>Si Compra</v>
          </cell>
          <cell r="O1276">
            <v>10</v>
          </cell>
          <cell r="P1276">
            <v>1418319.1923204456</v>
          </cell>
          <cell r="Q1276">
            <v>141831.91923204454</v>
          </cell>
          <cell r="R1276">
            <v>153099.73354646537</v>
          </cell>
          <cell r="T1276"/>
          <cell r="U1276"/>
          <cell r="V1276">
            <v>1.3060397756639383E-2</v>
          </cell>
          <cell r="W1276">
            <v>7.0731076570587786E-5</v>
          </cell>
          <cell r="X1276">
            <v>10</v>
          </cell>
          <cell r="Y1276" t="str">
            <v>Conquistar</v>
          </cell>
        </row>
        <row r="1277">
          <cell r="A1277" t="str">
            <v>6477</v>
          </cell>
          <cell r="B1277" t="str">
            <v>6477 - FARMACIA COSTAFARMA, C.A</v>
          </cell>
          <cell r="C1277" t="str">
            <v>INDEPENDIENTE</v>
          </cell>
          <cell r="D1277">
            <v>3</v>
          </cell>
          <cell r="E1277"/>
          <cell r="F1277" t="str">
            <v>ESTE</v>
          </cell>
          <cell r="G1277" t="str">
            <v>CARLOS BLONDELL</v>
          </cell>
          <cell r="H1277"/>
          <cell r="I1277" t="str">
            <v>A3</v>
          </cell>
          <cell r="J1277" t="str">
            <v>Activo</v>
          </cell>
          <cell r="K1277">
            <v>18513.909746559126</v>
          </cell>
          <cell r="L1277">
            <v>1851.3909746559125</v>
          </cell>
          <cell r="M1277">
            <v>924.29462502393301</v>
          </cell>
          <cell r="N1277" t="str">
            <v>Si Compra</v>
          </cell>
          <cell r="O1277">
            <v>10</v>
          </cell>
          <cell r="P1277">
            <v>67754.0214541936</v>
          </cell>
          <cell r="Q1277">
            <v>6775.4021454193598</v>
          </cell>
          <cell r="R1277">
            <v>8410.0636373348425</v>
          </cell>
          <cell r="T1277"/>
          <cell r="U1277"/>
          <cell r="V1277">
            <v>0.27325182106092122</v>
          </cell>
          <cell r="W1277">
            <v>7.0693262894335962E-5</v>
          </cell>
          <cell r="X1277">
            <v>10</v>
          </cell>
          <cell r="Y1277" t="str">
            <v>Potenciar</v>
          </cell>
        </row>
        <row r="1278">
          <cell r="A1278" t="str">
            <v>4277</v>
          </cell>
          <cell r="B1278" t="str">
            <v>4277 - FARMACIA GLOBAL,C.A</v>
          </cell>
          <cell r="C1278" t="str">
            <v>INDEPENDIENTE</v>
          </cell>
          <cell r="D1278">
            <v>3</v>
          </cell>
          <cell r="E1278"/>
          <cell r="F1278" t="str">
            <v>MARACAIBO</v>
          </cell>
          <cell r="G1278" t="str">
            <v>YENNIFER LUZARDO</v>
          </cell>
          <cell r="H1278"/>
          <cell r="I1278" t="str">
            <v>B</v>
          </cell>
          <cell r="J1278" t="str">
            <v>Activo</v>
          </cell>
          <cell r="K1278">
            <v>18501.357807184984</v>
          </cell>
          <cell r="L1278">
            <v>1850.1357807184984</v>
          </cell>
          <cell r="M1278">
            <v>1521.7067609950391</v>
          </cell>
          <cell r="N1278" t="str">
            <v>Si Compra</v>
          </cell>
          <cell r="O1278">
            <v>10</v>
          </cell>
          <cell r="P1278">
            <v>24470.591197538011</v>
          </cell>
          <cell r="Q1278">
            <v>2447.059119753801</v>
          </cell>
          <cell r="R1278">
            <v>2340.2029465968494</v>
          </cell>
          <cell r="T1278"/>
          <cell r="U1278"/>
          <cell r="V1278">
            <v>0.75606501117334701</v>
          </cell>
          <cell r="W1278">
            <v>7.0645334738578651E-5</v>
          </cell>
          <cell r="X1278">
            <v>10</v>
          </cell>
          <cell r="Y1278" t="str">
            <v>Proteger</v>
          </cell>
        </row>
        <row r="1279">
          <cell r="A1279" t="str">
            <v>M109</v>
          </cell>
          <cell r="B1279" t="str">
            <v>M109 - FARMACIA SANTA CRUZ C.A.</v>
          </cell>
          <cell r="C1279" t="str">
            <v>INDEPENDIENTE</v>
          </cell>
          <cell r="D1279">
            <v>3</v>
          </cell>
          <cell r="F1279" t="str">
            <v>CENTRO ESTE</v>
          </cell>
          <cell r="G1279" t="str">
            <v>ELIANA PERAZA</v>
          </cell>
          <cell r="H1279"/>
          <cell r="I1279" t="str">
            <v>M</v>
          </cell>
          <cell r="J1279" t="str">
            <v>Activo</v>
          </cell>
          <cell r="K1279">
            <v>18443.81690117819</v>
          </cell>
          <cell r="L1279">
            <v>1844.3816901178191</v>
          </cell>
          <cell r="M1279">
            <v>1732.5658395895541</v>
          </cell>
          <cell r="N1279" t="str">
            <v>Si Compra</v>
          </cell>
          <cell r="O1279">
            <v>10</v>
          </cell>
          <cell r="P1279">
            <v>55812.04354630287</v>
          </cell>
          <cell r="Q1279">
            <v>5581.2043546302866</v>
          </cell>
          <cell r="R1279">
            <v>5448.8826514575167</v>
          </cell>
          <cell r="V1279">
            <v>0.33046302785664539</v>
          </cell>
          <cell r="W1279">
            <v>7.0425621320332536E-5</v>
          </cell>
          <cell r="X1279">
            <v>10</v>
          </cell>
          <cell r="Y1279" t="str">
            <v>Potenciar</v>
          </cell>
        </row>
        <row r="1280">
          <cell r="A1280" t="str">
            <v>6954</v>
          </cell>
          <cell r="B1280" t="str">
            <v>6954 - FARMACIA CODAZZI F.P</v>
          </cell>
          <cell r="C1280" t="str">
            <v>INDEPENDIENTE</v>
          </cell>
          <cell r="D1280">
            <v>3</v>
          </cell>
          <cell r="E1280"/>
          <cell r="F1280" t="str">
            <v>CENTRO OESTE</v>
          </cell>
          <cell r="G1280" t="str">
            <v>LUIS PLACERES</v>
          </cell>
          <cell r="H1280"/>
          <cell r="I1280" t="str">
            <v>E</v>
          </cell>
          <cell r="J1280" t="str">
            <v>Activo</v>
          </cell>
          <cell r="K1280">
            <v>18427.584789978791</v>
          </cell>
          <cell r="L1280">
            <v>1842.7584789978791</v>
          </cell>
          <cell r="M1280">
            <v>1910.4143803981358</v>
          </cell>
          <cell r="N1280" t="str">
            <v>Si Compra</v>
          </cell>
          <cell r="O1280">
            <v>10</v>
          </cell>
          <cell r="P1280">
            <v>24737.768550880432</v>
          </cell>
          <cell r="Q1280">
            <v>2473.7768550880432</v>
          </cell>
          <cell r="R1280">
            <v>1964.5992505136167</v>
          </cell>
          <cell r="T1280"/>
          <cell r="U1280"/>
          <cell r="V1280">
            <v>0.74491701836716162</v>
          </cell>
          <cell r="W1280">
            <v>7.0363640846188633E-5</v>
          </cell>
          <cell r="X1280">
            <v>10</v>
          </cell>
          <cell r="Y1280" t="str">
            <v>Proteger</v>
          </cell>
        </row>
        <row r="1281">
          <cell r="A1281" t="str">
            <v>A423</v>
          </cell>
          <cell r="B1281" t="str">
            <v>A423 - FARMACIA DANIVAN II,C.A.</v>
          </cell>
          <cell r="C1281" t="str">
            <v>INDEPENDIENTE</v>
          </cell>
          <cell r="D1281">
            <v>3</v>
          </cell>
          <cell r="E1281"/>
          <cell r="F1281" t="str">
            <v>ESTE</v>
          </cell>
          <cell r="G1281" t="str">
            <v>ADOLFO GONZALEZ</v>
          </cell>
          <cell r="H1281"/>
          <cell r="I1281" t="str">
            <v>A8</v>
          </cell>
          <cell r="J1281" t="str">
            <v>Activo</v>
          </cell>
          <cell r="K1281">
            <v>18412.601022383842</v>
          </cell>
          <cell r="L1281">
            <v>1841.2601022383842</v>
          </cell>
          <cell r="M1281">
            <v>2196.317698435018</v>
          </cell>
          <cell r="N1281" t="str">
            <v>Si Compra</v>
          </cell>
          <cell r="O1281">
            <v>10</v>
          </cell>
          <cell r="P1281">
            <v>33363.493771773865</v>
          </cell>
          <cell r="Q1281">
            <v>3336.3493771773865</v>
          </cell>
          <cell r="R1281">
            <v>3668.4165634387132</v>
          </cell>
          <cell r="T1281"/>
          <cell r="U1281"/>
          <cell r="V1281">
            <v>0.55187868357963288</v>
          </cell>
          <cell r="W1281">
            <v>7.03064270304016E-5</v>
          </cell>
          <cell r="X1281">
            <v>10</v>
          </cell>
          <cell r="Y1281" t="str">
            <v>Potenciar</v>
          </cell>
        </row>
        <row r="1282">
          <cell r="A1282" t="str">
            <v>D332</v>
          </cell>
          <cell r="B1282" t="str">
            <v>D332 - FARMACIA SALUD Y VIDA, C.A.</v>
          </cell>
          <cell r="C1282" t="str">
            <v>INDEPENDIENTE</v>
          </cell>
          <cell r="D1282">
            <v>3</v>
          </cell>
          <cell r="E1282"/>
          <cell r="F1282" t="str">
            <v>ANDES</v>
          </cell>
          <cell r="G1282" t="str">
            <v>MARIA GABRIELA FORTUL</v>
          </cell>
          <cell r="H1282"/>
          <cell r="I1282" t="str">
            <v>3</v>
          </cell>
          <cell r="J1282" t="str">
            <v>Activo</v>
          </cell>
          <cell r="K1282">
            <v>18396.741030198424</v>
          </cell>
          <cell r="L1282">
            <v>1839.6741030198423</v>
          </cell>
          <cell r="M1282">
            <v>2456.9673077002476</v>
          </cell>
          <cell r="N1282" t="str">
            <v>Si Compra</v>
          </cell>
          <cell r="O1282">
            <v>10</v>
          </cell>
          <cell r="P1282">
            <v>31668.758187284235</v>
          </cell>
          <cell r="Q1282">
            <v>3166.8758187284234</v>
          </cell>
          <cell r="R1282">
            <v>3126.8028569876474</v>
          </cell>
          <cell r="T1282"/>
          <cell r="U1282"/>
          <cell r="V1282">
            <v>0.58091134869902017</v>
          </cell>
          <cell r="W1282">
            <v>7.0245867450474165E-5</v>
          </cell>
          <cell r="X1282">
            <v>10</v>
          </cell>
          <cell r="Y1282" t="str">
            <v>Potenciar</v>
          </cell>
        </row>
        <row r="1283">
          <cell r="A1283" t="str">
            <v>B536</v>
          </cell>
          <cell r="B1283" t="str">
            <v>GRUPO AQUI</v>
          </cell>
          <cell r="C1283" t="str">
            <v>GRUPO</v>
          </cell>
          <cell r="D1283">
            <v>3</v>
          </cell>
          <cell r="E1283"/>
          <cell r="F1283" t="str">
            <v>ESTE</v>
          </cell>
          <cell r="H1283"/>
          <cell r="I1283"/>
          <cell r="J1283" t="str">
            <v>Activo</v>
          </cell>
          <cell r="K1283">
            <v>18352.422640094093</v>
          </cell>
          <cell r="L1283">
            <v>2621.774662870585</v>
          </cell>
          <cell r="M1283">
            <v>859.19770000000005</v>
          </cell>
          <cell r="N1283" t="str">
            <v>Si Compra</v>
          </cell>
          <cell r="O1283">
            <v>7</v>
          </cell>
          <cell r="P1283">
            <v>104915.93797037899</v>
          </cell>
          <cell r="Q1283">
            <v>14987.99113862557</v>
          </cell>
          <cell r="R1283">
            <v>1331.9601</v>
          </cell>
          <cell r="S1283"/>
          <cell r="T1283"/>
          <cell r="U1283"/>
          <cell r="V1283">
            <v>0.17492502087981668</v>
          </cell>
          <cell r="W1283">
            <v>1.0010948958334731E-4</v>
          </cell>
          <cell r="X1283">
            <v>7</v>
          </cell>
          <cell r="Y1283" t="str">
            <v>Conquistar</v>
          </cell>
        </row>
        <row r="1284">
          <cell r="A1284" t="str">
            <v>B378</v>
          </cell>
          <cell r="B1284" t="str">
            <v>B378 - FARMACIA LA VIGIA S &amp; S, C.A</v>
          </cell>
          <cell r="C1284" t="str">
            <v>INDEPENDIENTE</v>
          </cell>
          <cell r="D1284">
            <v>3</v>
          </cell>
          <cell r="E1284"/>
          <cell r="F1284" t="str">
            <v>CENTRO ESTE</v>
          </cell>
          <cell r="G1284">
            <v>0</v>
          </cell>
          <cell r="H1284"/>
          <cell r="I1284" t="str">
            <v>AF</v>
          </cell>
          <cell r="J1284" t="str">
            <v>Activo</v>
          </cell>
          <cell r="K1284">
            <v>18342.367563138851</v>
          </cell>
          <cell r="L1284">
            <v>1834.2367563138851</v>
          </cell>
          <cell r="M1284">
            <v>1854.6008990472044</v>
          </cell>
          <cell r="N1284" t="str">
            <v>Si Compra</v>
          </cell>
          <cell r="O1284">
            <v>10</v>
          </cell>
          <cell r="P1284">
            <v>0</v>
          </cell>
          <cell r="Q1284">
            <v>0</v>
          </cell>
          <cell r="R1284">
            <v>0</v>
          </cell>
          <cell r="T1284"/>
          <cell r="U1284"/>
          <cell r="V1284">
            <v>0</v>
          </cell>
          <cell r="W1284">
            <v>7.0038248538319045E-5</v>
          </cell>
          <cell r="X1284">
            <v>0</v>
          </cell>
          <cell r="Y1284" t="str">
            <v>Conquistar</v>
          </cell>
        </row>
        <row r="1285">
          <cell r="A1285">
            <v>0</v>
          </cell>
          <cell r="B1285" t="str">
            <v>B547 - RANDIY YOJAN CHONA BLANCO (EXPENDIO DE MEDICINAS ENMANUEL 2017 CHONA)</v>
          </cell>
          <cell r="C1285" t="str">
            <v>INDEPENDIENTE</v>
          </cell>
          <cell r="D1285">
            <v>0</v>
          </cell>
          <cell r="E1285"/>
          <cell r="F1285" t="str">
            <v>ANDES</v>
          </cell>
          <cell r="G1285">
            <v>0</v>
          </cell>
          <cell r="H1285"/>
          <cell r="I1285" t="str">
            <v>4</v>
          </cell>
          <cell r="J1285" t="str">
            <v>Permiso</v>
          </cell>
          <cell r="K1285">
            <v>18316.425199999998</v>
          </cell>
          <cell r="L1285">
            <v>1831.6425199999999</v>
          </cell>
          <cell r="M1285">
            <v>2002.8948666666665</v>
          </cell>
          <cell r="N1285" t="str">
            <v>Si Compra</v>
          </cell>
          <cell r="O1285">
            <v>10</v>
          </cell>
          <cell r="P1285">
            <v>0</v>
          </cell>
          <cell r="Q1285">
            <v>0</v>
          </cell>
          <cell r="R1285">
            <v>0</v>
          </cell>
          <cell r="T1285"/>
          <cell r="U1285"/>
          <cell r="V1285">
            <v>0</v>
          </cell>
          <cell r="W1285">
            <v>6.993919056933353E-5</v>
          </cell>
          <cell r="X1285">
            <v>0</v>
          </cell>
          <cell r="Y1285" t="str">
            <v>Conquistar</v>
          </cell>
        </row>
        <row r="1286">
          <cell r="A1286" t="str">
            <v>B537</v>
          </cell>
          <cell r="B1286" t="str">
            <v>B537 - FARMACIA LA MADRILEÑA, C.A.</v>
          </cell>
          <cell r="C1286" t="e">
            <v>#N/A</v>
          </cell>
          <cell r="D1286">
            <v>0</v>
          </cell>
          <cell r="E1286"/>
          <cell r="F1286" t="str">
            <v>ANDES</v>
          </cell>
          <cell r="G1286" t="str">
            <v>LUCIA DUGARTE</v>
          </cell>
          <cell r="H1286"/>
          <cell r="I1286" t="str">
            <v>6</v>
          </cell>
          <cell r="J1286" t="str">
            <v>Bloqueado</v>
          </cell>
          <cell r="K1286">
            <v>18284.238532300526</v>
          </cell>
          <cell r="L1286">
            <v>4571.0596330751314</v>
          </cell>
          <cell r="M1286">
            <v>0</v>
          </cell>
          <cell r="N1286" t="str">
            <v>No Compra</v>
          </cell>
          <cell r="O1286">
            <v>4</v>
          </cell>
          <cell r="P1286">
            <v>25369.504673032545</v>
          </cell>
          <cell r="Q1286">
            <v>6342.3761682581362</v>
          </cell>
          <cell r="R1286">
            <v>0</v>
          </cell>
          <cell r="T1286"/>
          <cell r="U1286"/>
          <cell r="V1286">
            <v>0.72071720626601099</v>
          </cell>
          <cell r="W1286">
            <v>1.7454072358040118E-4</v>
          </cell>
          <cell r="X1286">
            <v>4</v>
          </cell>
          <cell r="Y1286" t="str">
            <v>Proteger</v>
          </cell>
        </row>
        <row r="1287">
          <cell r="A1287" t="str">
            <v>9658</v>
          </cell>
          <cell r="B1287" t="str">
            <v>9658 - AUTOMERCADO EXPRESS 2707 C.A.</v>
          </cell>
          <cell r="C1287" t="str">
            <v>INDEPENDIENTE</v>
          </cell>
          <cell r="D1287">
            <v>1</v>
          </cell>
          <cell r="E1287"/>
          <cell r="F1287" t="str">
            <v>CARACAS</v>
          </cell>
          <cell r="G1287">
            <v>0</v>
          </cell>
          <cell r="H1287"/>
          <cell r="I1287" t="str">
            <v>CB</v>
          </cell>
          <cell r="J1287" t="str">
            <v>Activo</v>
          </cell>
          <cell r="K1287">
            <v>18258.24788332971</v>
          </cell>
          <cell r="L1287">
            <v>2608.3211261899587</v>
          </cell>
          <cell r="M1287">
            <v>3407.4295999999999</v>
          </cell>
          <cell r="N1287" t="str">
            <v>Si Compra</v>
          </cell>
          <cell r="O1287">
            <v>7</v>
          </cell>
          <cell r="P1287">
            <v>0</v>
          </cell>
          <cell r="Q1287">
            <v>0</v>
          </cell>
          <cell r="R1287">
            <v>0</v>
          </cell>
          <cell r="T1287"/>
          <cell r="U1287"/>
          <cell r="V1287">
            <v>0</v>
          </cell>
          <cell r="W1287">
            <v>9.9595781556009185E-5</v>
          </cell>
          <cell r="X1287">
            <v>0</v>
          </cell>
          <cell r="Y1287" t="str">
            <v>Conquistar</v>
          </cell>
        </row>
        <row r="1288">
          <cell r="A1288" t="str">
            <v>B712</v>
          </cell>
          <cell r="B1288" t="str">
            <v>B712 - FARMAPLUS 2021, C.A.</v>
          </cell>
          <cell r="C1288" t="str">
            <v>INDEPENDIENTE</v>
          </cell>
          <cell r="D1288">
            <v>3</v>
          </cell>
          <cell r="E1288"/>
          <cell r="F1288" t="str">
            <v>CARACAS</v>
          </cell>
          <cell r="G1288" t="str">
            <v>JHON TORRES</v>
          </cell>
          <cell r="H1288"/>
          <cell r="I1288" t="str">
            <v>C4</v>
          </cell>
          <cell r="J1288" t="str">
            <v>Activo</v>
          </cell>
          <cell r="K1288">
            <v>18246.226625066072</v>
          </cell>
          <cell r="L1288">
            <v>1824.6226625066072</v>
          </cell>
          <cell r="M1288">
            <v>2081.3250733128893</v>
          </cell>
          <cell r="N1288" t="str">
            <v>Si Compra</v>
          </cell>
          <cell r="O1288">
            <v>10</v>
          </cell>
          <cell r="P1288">
            <v>48624.044641560678</v>
          </cell>
          <cell r="Q1288">
            <v>4862.4044641560677</v>
          </cell>
          <cell r="R1288">
            <v>4953.1971363475177</v>
          </cell>
          <cell r="T1288"/>
          <cell r="U1288"/>
          <cell r="V1288">
            <v>0.37525110795637889</v>
          </cell>
          <cell r="W1288">
            <v>6.9671145279033125E-5</v>
          </cell>
          <cell r="X1288">
            <v>10</v>
          </cell>
          <cell r="Y1288" t="str">
            <v>Potenciar</v>
          </cell>
        </row>
        <row r="1289">
          <cell r="A1289" t="str">
            <v>B611</v>
          </cell>
          <cell r="B1289" t="str">
            <v>B611 - FARMACIA GRAN JARDIN, C.A.</v>
          </cell>
          <cell r="C1289" t="str">
            <v>INDEPENDIENTE</v>
          </cell>
          <cell r="D1289">
            <v>3</v>
          </cell>
          <cell r="E1289"/>
          <cell r="F1289" t="str">
            <v>CENTRO OESTE</v>
          </cell>
          <cell r="G1289" t="str">
            <v>LUIS PLACERES</v>
          </cell>
          <cell r="H1289"/>
          <cell r="I1289" t="str">
            <v>E</v>
          </cell>
          <cell r="J1289" t="str">
            <v>Activo</v>
          </cell>
          <cell r="K1289">
            <v>18234.820949098663</v>
          </cell>
          <cell r="L1289">
            <v>1823.4820949098662</v>
          </cell>
          <cell r="M1289">
            <v>1325.2308194135123</v>
          </cell>
          <cell r="N1289" t="str">
            <v>Si Compra</v>
          </cell>
          <cell r="O1289">
            <v>10</v>
          </cell>
          <cell r="P1289">
            <v>32344.11795750897</v>
          </cell>
          <cell r="Q1289">
            <v>3234.411795750897</v>
          </cell>
          <cell r="R1289">
            <v>2119.1263341945933</v>
          </cell>
          <cell r="T1289"/>
          <cell r="U1289"/>
          <cell r="V1289">
            <v>0.56377548996865712</v>
          </cell>
          <cell r="W1289">
            <v>6.9627593999984592E-5</v>
          </cell>
          <cell r="X1289">
            <v>10</v>
          </cell>
          <cell r="Y1289" t="str">
            <v>Potenciar</v>
          </cell>
        </row>
        <row r="1290">
          <cell r="A1290" t="str">
            <v>B204</v>
          </cell>
          <cell r="B1290" t="str">
            <v>FARMADITO</v>
          </cell>
          <cell r="C1290" t="str">
            <v>GRUPO</v>
          </cell>
          <cell r="D1290">
            <v>4</v>
          </cell>
          <cell r="E1290">
            <v>0</v>
          </cell>
          <cell r="F1290" t="str">
            <v>CENTRO ESTE</v>
          </cell>
          <cell r="G1290" t="str">
            <v>LAURA FLORES</v>
          </cell>
          <cell r="H1290" t="str">
            <v>HECTOR</v>
          </cell>
          <cell r="I1290">
            <v>0</v>
          </cell>
          <cell r="J1290" t="str">
            <v>Activo</v>
          </cell>
          <cell r="K1290">
            <v>18223.499668885106</v>
          </cell>
          <cell r="L1290">
            <v>1822.3499668885106</v>
          </cell>
          <cell r="M1290">
            <v>1588.3873372257804</v>
          </cell>
          <cell r="N1290" t="str">
            <v>Si Compra</v>
          </cell>
          <cell r="O1290">
            <v>10</v>
          </cell>
          <cell r="P1290">
            <v>134548.41694022182</v>
          </cell>
          <cell r="Q1290">
            <v>13454.841694022183</v>
          </cell>
          <cell r="R1290">
            <v>12585.96356485525</v>
          </cell>
          <cell r="S1290">
            <v>36000</v>
          </cell>
          <cell r="T1290">
            <v>0</v>
          </cell>
          <cell r="U1290">
            <v>0</v>
          </cell>
          <cell r="V1290">
            <v>0.135441947837867</v>
          </cell>
          <cell r="W1290">
            <v>6.9584364976542576E-5</v>
          </cell>
          <cell r="X1290">
            <v>10</v>
          </cell>
          <cell r="Y1290" t="str">
            <v>Conquistar</v>
          </cell>
        </row>
        <row r="1291">
          <cell r="A1291" t="str">
            <v>A770</v>
          </cell>
          <cell r="B1291" t="str">
            <v>A770 - FARMAVEN, C.A.</v>
          </cell>
          <cell r="C1291" t="str">
            <v>INDEPENDIENTE</v>
          </cell>
          <cell r="D1291">
            <v>3</v>
          </cell>
          <cell r="E1291"/>
          <cell r="F1291" t="str">
            <v>CARACAS</v>
          </cell>
          <cell r="G1291" t="str">
            <v>MAIRUBI QUIJADA</v>
          </cell>
          <cell r="H1291" t="str">
            <v>VICTOR</v>
          </cell>
          <cell r="I1291" t="str">
            <v>C1</v>
          </cell>
          <cell r="J1291" t="str">
            <v>Activo</v>
          </cell>
          <cell r="K1291">
            <v>18199.153543132754</v>
          </cell>
          <cell r="L1291">
            <v>1819.9153543132754</v>
          </cell>
          <cell r="M1291">
            <v>1219.1455666666668</v>
          </cell>
          <cell r="N1291" t="str">
            <v>Si Compra</v>
          </cell>
          <cell r="O1291">
            <v>10</v>
          </cell>
          <cell r="P1291">
            <v>52908.906704569221</v>
          </cell>
          <cell r="Q1291">
            <v>5290.8906704569217</v>
          </cell>
          <cell r="R1291">
            <v>4924.991133333333</v>
          </cell>
          <cell r="T1291"/>
          <cell r="U1291"/>
          <cell r="V1291">
            <v>0.34397145351637126</v>
          </cell>
          <cell r="W1291">
            <v>6.9491402058832058E-5</v>
          </cell>
          <cell r="X1291">
            <v>10</v>
          </cell>
          <cell r="Y1291" t="str">
            <v>Potenciar</v>
          </cell>
        </row>
        <row r="1292">
          <cell r="A1292" t="str">
            <v>C675</v>
          </cell>
          <cell r="B1292" t="str">
            <v>C675 - FARMACIAS LEID 58, C.A.</v>
          </cell>
          <cell r="C1292" t="str">
            <v>INDEPENDIENTE</v>
          </cell>
          <cell r="D1292">
            <v>1</v>
          </cell>
          <cell r="E1292"/>
          <cell r="F1292" t="str">
            <v>CARACAS</v>
          </cell>
          <cell r="G1292" t="str">
            <v>RAMON SERRANO</v>
          </cell>
          <cell r="H1292"/>
          <cell r="I1292" t="str">
            <v>C6</v>
          </cell>
          <cell r="J1292" t="str">
            <v>Inactivo</v>
          </cell>
          <cell r="K1292">
            <v>18138.580775308663</v>
          </cell>
          <cell r="L1292">
            <v>2591.2258250440946</v>
          </cell>
          <cell r="M1292">
            <v>960.64030000000002</v>
          </cell>
          <cell r="N1292" t="str">
            <v>Si Compra</v>
          </cell>
          <cell r="O1292">
            <v>7</v>
          </cell>
          <cell r="P1292">
            <v>27410.955859453501</v>
          </cell>
          <cell r="Q1292">
            <v>3915.850837064786</v>
          </cell>
          <cell r="R1292">
            <v>2810.826</v>
          </cell>
          <cell r="T1292"/>
          <cell r="U1292"/>
          <cell r="V1292">
            <v>0.6617274081324318</v>
          </cell>
          <cell r="W1292">
            <v>9.8943016886252153E-5</v>
          </cell>
          <cell r="X1292">
            <v>7</v>
          </cell>
          <cell r="Y1292" t="str">
            <v>Proteger</v>
          </cell>
        </row>
        <row r="1293">
          <cell r="A1293" t="str">
            <v>C749</v>
          </cell>
          <cell r="B1293" t="str">
            <v>C749 - FARMACIA SUCRE AV 28, C.A.</v>
          </cell>
          <cell r="C1293" t="str">
            <v>INDEPENDIENTE</v>
          </cell>
          <cell r="D1293">
            <v>3</v>
          </cell>
          <cell r="E1293"/>
          <cell r="F1293" t="str">
            <v>MARACAIBO</v>
          </cell>
          <cell r="G1293" t="str">
            <v>ADRIANA ALBORNOZ</v>
          </cell>
          <cell r="H1293"/>
          <cell r="I1293" t="str">
            <v>Q</v>
          </cell>
          <cell r="J1293" t="str">
            <v>Activo</v>
          </cell>
          <cell r="K1293">
            <v>18137.095317869313</v>
          </cell>
          <cell r="L1293">
            <v>1813.7095317869312</v>
          </cell>
          <cell r="M1293">
            <v>1585.183543431066</v>
          </cell>
          <cell r="N1293" t="str">
            <v>Si Compra</v>
          </cell>
          <cell r="O1293">
            <v>10</v>
          </cell>
          <cell r="P1293">
            <v>53948.375291632277</v>
          </cell>
          <cell r="Q1293">
            <v>5394.8375291632274</v>
          </cell>
          <cell r="R1293">
            <v>5835.2184239421704</v>
          </cell>
          <cell r="T1293"/>
          <cell r="U1293"/>
          <cell r="V1293">
            <v>0.33619354095140819</v>
          </cell>
          <cell r="W1293">
            <v>6.9254439769755332E-5</v>
          </cell>
          <cell r="X1293">
            <v>10</v>
          </cell>
          <cell r="Y1293" t="str">
            <v>Potenciar</v>
          </cell>
        </row>
        <row r="1294">
          <cell r="A1294" t="str">
            <v>B351</v>
          </cell>
          <cell r="B1294" t="str">
            <v>B351 - HIPERMERCADO GRAN AVENIDA, C.A.</v>
          </cell>
          <cell r="C1294" t="str">
            <v>INDEPENDIENTE</v>
          </cell>
          <cell r="D1294">
            <v>3</v>
          </cell>
          <cell r="E1294"/>
          <cell r="F1294" t="str">
            <v>MARACAIBO</v>
          </cell>
          <cell r="G1294" t="str">
            <v>JOEL JIMENEZ</v>
          </cell>
          <cell r="H1294"/>
          <cell r="I1294" t="str">
            <v>S</v>
          </cell>
          <cell r="J1294" t="str">
            <v>Inactivo</v>
          </cell>
          <cell r="K1294">
            <v>18045.873234788138</v>
          </cell>
          <cell r="L1294">
            <v>1804.5873234788137</v>
          </cell>
          <cell r="M1294">
            <v>2730.9263790180244</v>
          </cell>
          <cell r="N1294" t="str">
            <v>Si Compra</v>
          </cell>
          <cell r="O1294">
            <v>10</v>
          </cell>
          <cell r="P1294">
            <v>89593.353915109023</v>
          </cell>
          <cell r="Q1294">
            <v>8959.3353915109019</v>
          </cell>
          <cell r="R1294">
            <v>8713.6954840062881</v>
          </cell>
          <cell r="T1294"/>
          <cell r="U1294"/>
          <cell r="V1294">
            <v>0.20141977553253401</v>
          </cell>
          <cell r="W1294">
            <v>6.8906118599926518E-5</v>
          </cell>
          <cell r="X1294">
            <v>10</v>
          </cell>
          <cell r="Y1294" t="str">
            <v>Conquistar</v>
          </cell>
        </row>
        <row r="1295">
          <cell r="A1295" t="str">
            <v>8059</v>
          </cell>
          <cell r="B1295" t="str">
            <v>8059 - FARMACIA MEDIFARM LA MARINA, C.A</v>
          </cell>
          <cell r="C1295" t="str">
            <v>INDEPENDIENTE</v>
          </cell>
          <cell r="D1295">
            <v>3</v>
          </cell>
          <cell r="E1295"/>
          <cell r="F1295" t="str">
            <v>ESTE</v>
          </cell>
          <cell r="G1295" t="str">
            <v>ADOLFO GONZALEZ</v>
          </cell>
          <cell r="H1295"/>
          <cell r="I1295" t="str">
            <v>A8</v>
          </cell>
          <cell r="J1295" t="str">
            <v>Activo</v>
          </cell>
          <cell r="K1295">
            <v>18010.023279318702</v>
          </cell>
          <cell r="L1295">
            <v>1801.0023279318702</v>
          </cell>
          <cell r="M1295">
            <v>1540.0024597729009</v>
          </cell>
          <cell r="N1295" t="str">
            <v>Si Compra</v>
          </cell>
          <cell r="O1295">
            <v>10</v>
          </cell>
          <cell r="P1295">
            <v>111802.14966056404</v>
          </cell>
          <cell r="Q1295">
            <v>11180.214966056405</v>
          </cell>
          <cell r="R1295">
            <v>14122.20935352135</v>
          </cell>
          <cell r="T1295"/>
          <cell r="U1295"/>
          <cell r="V1295">
            <v>0.16108834520622259</v>
          </cell>
          <cell r="W1295">
            <v>6.8769229614215545E-5</v>
          </cell>
          <cell r="X1295">
            <v>10</v>
          </cell>
          <cell r="Y1295" t="str">
            <v>Conquistar</v>
          </cell>
        </row>
        <row r="1296">
          <cell r="A1296" t="str">
            <v>2891</v>
          </cell>
          <cell r="B1296" t="str">
            <v>2891 - FARMACIA MEDIA LUNA, C.A</v>
          </cell>
          <cell r="C1296" t="str">
            <v>INDEPENDIENTE</v>
          </cell>
          <cell r="D1296">
            <v>3</v>
          </cell>
          <cell r="E1296"/>
          <cell r="F1296" t="str">
            <v>CARACAS</v>
          </cell>
          <cell r="G1296" t="str">
            <v>MAIRUBI QUIJADA</v>
          </cell>
          <cell r="H1296"/>
          <cell r="I1296" t="str">
            <v>C1</v>
          </cell>
          <cell r="J1296" t="str">
            <v>Activo</v>
          </cell>
          <cell r="K1296">
            <v>17966.942596556688</v>
          </cell>
          <cell r="L1296">
            <v>1796.6942596556687</v>
          </cell>
          <cell r="M1296">
            <v>2174.7162078558754</v>
          </cell>
          <cell r="N1296" t="str">
            <v>Si Compra</v>
          </cell>
          <cell r="O1296">
            <v>10</v>
          </cell>
          <cell r="P1296">
            <v>39990.643112700302</v>
          </cell>
          <cell r="Q1296">
            <v>3999.06431127003</v>
          </cell>
          <cell r="R1296">
            <v>2679.3602777522174</v>
          </cell>
          <cell r="T1296"/>
          <cell r="U1296"/>
          <cell r="V1296">
            <v>0.44927866115888276</v>
          </cell>
          <cell r="W1296">
            <v>6.8604730917081697E-5</v>
          </cell>
          <cell r="X1296">
            <v>10</v>
          </cell>
          <cell r="Y1296" t="str">
            <v>Potenciar</v>
          </cell>
        </row>
        <row r="1297">
          <cell r="A1297" t="str">
            <v>D465</v>
          </cell>
          <cell r="B1297" t="str">
            <v>D465 - EXPENDIO DE MEDICINA MIFARMA C.A.</v>
          </cell>
          <cell r="C1297" t="str">
            <v>INDEPENDIENTE</v>
          </cell>
          <cell r="D1297">
            <v>3</v>
          </cell>
          <cell r="E1297"/>
          <cell r="F1297" t="str">
            <v>ESTE</v>
          </cell>
          <cell r="G1297">
            <v>0</v>
          </cell>
          <cell r="H1297"/>
          <cell r="I1297" t="str">
            <v>A5</v>
          </cell>
          <cell r="J1297" t="str">
            <v>Activo</v>
          </cell>
          <cell r="K1297">
            <v>17951.8583</v>
          </cell>
          <cell r="L1297">
            <v>1795.1858299999999</v>
          </cell>
          <cell r="M1297">
            <v>1669.1468333333335</v>
          </cell>
          <cell r="N1297" t="str">
            <v>Si Compra</v>
          </cell>
          <cell r="O1297">
            <v>10</v>
          </cell>
          <cell r="P1297">
            <v>0</v>
          </cell>
          <cell r="Q1297">
            <v>0</v>
          </cell>
          <cell r="R1297">
            <v>0</v>
          </cell>
          <cell r="T1297"/>
          <cell r="U1297"/>
          <cell r="V1297">
            <v>0</v>
          </cell>
          <cell r="W1297">
            <v>6.8547133242865085E-5</v>
          </cell>
          <cell r="X1297">
            <v>0</v>
          </cell>
          <cell r="Y1297" t="str">
            <v>Conquistar</v>
          </cell>
        </row>
        <row r="1298">
          <cell r="A1298" t="str">
            <v>B775</v>
          </cell>
          <cell r="B1298" t="str">
            <v>B775 - FARMACIA LA VITAL C.A.</v>
          </cell>
          <cell r="C1298" t="e">
            <v>#N/A</v>
          </cell>
          <cell r="D1298">
            <v>3</v>
          </cell>
          <cell r="E1298"/>
          <cell r="F1298" t="str">
            <v>CENTRO ESTE</v>
          </cell>
          <cell r="G1298" t="str">
            <v>MARCOS CRUCES</v>
          </cell>
          <cell r="H1298"/>
          <cell r="I1298" t="str">
            <v>$</v>
          </cell>
          <cell r="J1298" t="str">
            <v>Activo</v>
          </cell>
          <cell r="K1298">
            <v>17940.200175443948</v>
          </cell>
          <cell r="L1298">
            <v>1993.3555750493276</v>
          </cell>
          <cell r="M1298">
            <v>2137.4663689250569</v>
          </cell>
          <cell r="N1298" t="str">
            <v>Si Compra</v>
          </cell>
          <cell r="O1298">
            <v>9</v>
          </cell>
          <cell r="P1298">
            <v>115696.91477107635</v>
          </cell>
          <cell r="Q1298">
            <v>12855.212752341817</v>
          </cell>
          <cell r="R1298">
            <v>13064.100725650396</v>
          </cell>
          <cell r="T1298"/>
          <cell r="U1298"/>
          <cell r="V1298">
            <v>0.15506204474804983</v>
          </cell>
          <cell r="W1298">
            <v>7.6114020019484128E-5</v>
          </cell>
          <cell r="X1298">
            <v>9</v>
          </cell>
          <cell r="Y1298" t="str">
            <v>Conquistar</v>
          </cell>
        </row>
        <row r="1299">
          <cell r="A1299" t="str">
            <v>E197</v>
          </cell>
          <cell r="B1299" t="str">
            <v>E197 - FARMACIA PORTO 2023, C.A</v>
          </cell>
          <cell r="C1299" t="str">
            <v>INDEPENDIENTE</v>
          </cell>
          <cell r="D1299">
            <v>3</v>
          </cell>
          <cell r="F1299" t="str">
            <v>MARACAIBO</v>
          </cell>
          <cell r="G1299">
            <v>0</v>
          </cell>
          <cell r="H1299"/>
          <cell r="I1299" t="str">
            <v>S1</v>
          </cell>
          <cell r="J1299" t="str">
            <v>Activo</v>
          </cell>
          <cell r="K1299">
            <v>17939.830606489992</v>
          </cell>
          <cell r="L1299">
            <v>2242.478825811249</v>
          </cell>
          <cell r="M1299">
            <v>3032.998</v>
          </cell>
          <cell r="N1299" t="str">
            <v>Si Compra</v>
          </cell>
          <cell r="O1299">
            <v>8</v>
          </cell>
          <cell r="P1299">
            <v>0</v>
          </cell>
          <cell r="Q1299">
            <v>0</v>
          </cell>
          <cell r="R1299">
            <v>0</v>
          </cell>
          <cell r="V1299">
            <v>0</v>
          </cell>
          <cell r="W1299">
            <v>8.5626508575542475E-5</v>
          </cell>
          <cell r="X1299">
            <v>0</v>
          </cell>
          <cell r="Y1299" t="str">
            <v>Conquistar</v>
          </cell>
        </row>
        <row r="1300">
          <cell r="A1300" t="str">
            <v>8264</v>
          </cell>
          <cell r="B1300" t="str">
            <v>8264 - FARMACIA MÉRIDA TURISTICA C.A</v>
          </cell>
          <cell r="C1300" t="str">
            <v>INDEPENDIENTE</v>
          </cell>
          <cell r="D1300">
            <v>3</v>
          </cell>
          <cell r="E1300"/>
          <cell r="F1300" t="str">
            <v>ANDES</v>
          </cell>
          <cell r="G1300" t="str">
            <v>LUCIA DUGARTE</v>
          </cell>
          <cell r="H1300"/>
          <cell r="I1300" t="str">
            <v>6</v>
          </cell>
          <cell r="J1300" t="str">
            <v>Activo</v>
          </cell>
          <cell r="K1300">
            <v>17907.73704794162</v>
          </cell>
          <cell r="L1300">
            <v>1790.7737047941621</v>
          </cell>
          <cell r="M1300">
            <v>1643.1649607782601</v>
          </cell>
          <cell r="N1300" t="str">
            <v>Si Compra</v>
          </cell>
          <cell r="O1300">
            <v>10</v>
          </cell>
          <cell r="P1300">
            <v>39709.131464054808</v>
          </cell>
          <cell r="Q1300">
            <v>3970.9131464054808</v>
          </cell>
          <cell r="R1300">
            <v>2889.8821146611022</v>
          </cell>
          <cell r="T1300"/>
          <cell r="U1300"/>
          <cell r="V1300">
            <v>0.45097277093939775</v>
          </cell>
          <cell r="W1300">
            <v>6.8378661249985799E-5</v>
          </cell>
          <cell r="X1300">
            <v>10</v>
          </cell>
          <cell r="Y1300" t="str">
            <v>Potenciar</v>
          </cell>
        </row>
        <row r="1301">
          <cell r="A1301" t="str">
            <v>L13</v>
          </cell>
          <cell r="B1301" t="str">
            <v>L13 - FARMACIA CORIMAR C.A.</v>
          </cell>
          <cell r="C1301" t="str">
            <v>INDEPENDIENTE</v>
          </cell>
          <cell r="D1301">
            <v>3</v>
          </cell>
          <cell r="F1301" t="str">
            <v>CENTRO OESTE</v>
          </cell>
          <cell r="G1301" t="str">
            <v>SORALI SILVA</v>
          </cell>
          <cell r="H1301"/>
          <cell r="I1301" t="str">
            <v>L</v>
          </cell>
          <cell r="J1301" t="str">
            <v>Activo</v>
          </cell>
          <cell r="K1301">
            <v>17871.659866483707</v>
          </cell>
          <cell r="L1301">
            <v>1787.1659866483708</v>
          </cell>
          <cell r="M1301">
            <v>2182.9513662583859</v>
          </cell>
          <cell r="N1301" t="str">
            <v>Si Compra</v>
          </cell>
          <cell r="O1301">
            <v>10</v>
          </cell>
          <cell r="P1301">
            <v>16614.333842869695</v>
          </cell>
          <cell r="Q1301">
            <v>1661.4333842869696</v>
          </cell>
          <cell r="R1301">
            <v>1437.2902999999999</v>
          </cell>
          <cell r="V1301">
            <v>1.075677185465586</v>
          </cell>
          <cell r="W1301">
            <v>6.8240904627629733E-5</v>
          </cell>
          <cell r="X1301">
            <v>9</v>
          </cell>
          <cell r="Y1301" t="str">
            <v>Proteger</v>
          </cell>
        </row>
        <row r="1302">
          <cell r="A1302" t="str">
            <v>B014</v>
          </cell>
          <cell r="B1302" t="str">
            <v>B014 - FARMACIA PADRE CLARET 3741, C.A.</v>
          </cell>
          <cell r="C1302" t="str">
            <v>INDEPENDIENTE</v>
          </cell>
          <cell r="D1302">
            <v>3</v>
          </cell>
          <cell r="E1302"/>
          <cell r="F1302" t="str">
            <v>CENTRO OESTE</v>
          </cell>
          <cell r="G1302" t="str">
            <v>SORALI SILVA</v>
          </cell>
          <cell r="H1302"/>
          <cell r="I1302" t="str">
            <v>C</v>
          </cell>
          <cell r="J1302" t="str">
            <v>Inactivo</v>
          </cell>
          <cell r="K1302">
            <v>17867.936677479946</v>
          </cell>
          <cell r="L1302">
            <v>1786.7936677479945</v>
          </cell>
          <cell r="M1302">
            <v>1571.681863885319</v>
          </cell>
          <cell r="N1302" t="str">
            <v>Si Compra</v>
          </cell>
          <cell r="O1302">
            <v>10</v>
          </cell>
          <cell r="P1302">
            <v>24577.031714671906</v>
          </cell>
          <cell r="Q1302">
            <v>2457.7031714671907</v>
          </cell>
          <cell r="R1302">
            <v>2412.2393952394459</v>
          </cell>
          <cell r="T1302"/>
          <cell r="U1302"/>
          <cell r="V1302">
            <v>0.72701768402785638</v>
          </cell>
          <cell r="W1302">
            <v>6.8226688053029815E-5</v>
          </cell>
          <cell r="X1302">
            <v>10</v>
          </cell>
          <cell r="Y1302" t="str">
            <v>Proteger</v>
          </cell>
        </row>
        <row r="1303">
          <cell r="A1303" t="str">
            <v>E362</v>
          </cell>
          <cell r="B1303" t="str">
            <v>E362 - FARMACIA SANTISIMA TRINIDAD 2, C.A.</v>
          </cell>
          <cell r="C1303" t="e">
            <v>#N/A</v>
          </cell>
          <cell r="D1303">
            <v>3</v>
          </cell>
          <cell r="F1303" t="str">
            <v>ANDES</v>
          </cell>
          <cell r="G1303">
            <v>0</v>
          </cell>
          <cell r="H1303"/>
          <cell r="I1303" t="str">
            <v>G2</v>
          </cell>
          <cell r="J1303" t="str">
            <v>Activo</v>
          </cell>
          <cell r="K1303">
            <v>17856.340850825658</v>
          </cell>
          <cell r="L1303">
            <v>2976.056808470943</v>
          </cell>
          <cell r="M1303">
            <v>3184.0093869229636</v>
          </cell>
          <cell r="N1303" t="str">
            <v>Si Compra</v>
          </cell>
          <cell r="O1303">
            <v>6</v>
          </cell>
          <cell r="P1303">
            <v>0</v>
          </cell>
          <cell r="Q1303">
            <v>0</v>
          </cell>
          <cell r="R1303">
            <v>0</v>
          </cell>
          <cell r="V1303">
            <v>0</v>
          </cell>
          <cell r="W1303">
            <v>1.1363735117527836E-4</v>
          </cell>
          <cell r="X1303">
            <v>0</v>
          </cell>
          <cell r="Y1303" t="str">
            <v>Conquistar</v>
          </cell>
        </row>
        <row r="1304">
          <cell r="A1304" t="str">
            <v>D355</v>
          </cell>
          <cell r="B1304" t="str">
            <v>FARMA ACTIVE</v>
          </cell>
          <cell r="C1304" t="str">
            <v>GRUPO</v>
          </cell>
          <cell r="D1304">
            <v>1</v>
          </cell>
          <cell r="E1304"/>
          <cell r="F1304" t="str">
            <v>ANDES</v>
          </cell>
          <cell r="H1304"/>
          <cell r="I1304"/>
          <cell r="J1304" t="str">
            <v>Suspendido</v>
          </cell>
          <cell r="K1304">
            <v>17853.47872580179</v>
          </cell>
          <cell r="L1304">
            <v>2975.5797876336314</v>
          </cell>
          <cell r="M1304">
            <v>17.16273162082706</v>
          </cell>
          <cell r="N1304" t="str">
            <v>Si Compra</v>
          </cell>
          <cell r="O1304">
            <v>6</v>
          </cell>
          <cell r="P1304">
            <v>55861.909761836534</v>
          </cell>
          <cell r="Q1304">
            <v>11172.381952367306</v>
          </cell>
          <cell r="R1304">
            <v>0</v>
          </cell>
          <cell r="S1304"/>
          <cell r="T1304"/>
          <cell r="U1304"/>
          <cell r="V1304">
            <v>0.26633351780487047</v>
          </cell>
          <cell r="W1304">
            <v>1.1361913667606142E-4</v>
          </cell>
          <cell r="X1304">
            <v>5</v>
          </cell>
          <cell r="Y1304" t="str">
            <v>Potenciar</v>
          </cell>
        </row>
        <row r="1305">
          <cell r="A1305" t="str">
            <v>B740</v>
          </cell>
          <cell r="B1305" t="str">
            <v>B740 - FARMACIA FARMA-KFE 2022, C.A.</v>
          </cell>
          <cell r="C1305" t="str">
            <v>INDEPENDIENTE</v>
          </cell>
          <cell r="D1305">
            <v>3</v>
          </cell>
          <cell r="E1305"/>
          <cell r="F1305" t="str">
            <v>ESTE</v>
          </cell>
          <cell r="G1305" t="str">
            <v>CARLOS BLONDELL</v>
          </cell>
          <cell r="H1305" t="str">
            <v>HECTOR</v>
          </cell>
          <cell r="I1305" t="str">
            <v>A3</v>
          </cell>
          <cell r="J1305" t="str">
            <v>Activo</v>
          </cell>
          <cell r="K1305">
            <v>17835.014545491784</v>
          </cell>
          <cell r="L1305">
            <v>1981.6682828324203</v>
          </cell>
          <cell r="M1305">
            <v>1668.2454805126115</v>
          </cell>
          <cell r="N1305" t="str">
            <v>Si Compra</v>
          </cell>
          <cell r="O1305">
            <v>9</v>
          </cell>
          <cell r="P1305">
            <v>58396.767072433417</v>
          </cell>
          <cell r="Q1305">
            <v>6488.5296747148241</v>
          </cell>
          <cell r="R1305">
            <v>10118.725592580537</v>
          </cell>
          <cell r="T1305"/>
          <cell r="U1305"/>
          <cell r="V1305">
            <v>0.30541099173126862</v>
          </cell>
          <cell r="W1305">
            <v>7.5667754032168131E-5</v>
          </cell>
          <cell r="X1305">
            <v>9</v>
          </cell>
          <cell r="Y1305" t="str">
            <v>Potenciar</v>
          </cell>
        </row>
        <row r="1306">
          <cell r="A1306" t="str">
            <v>6706</v>
          </cell>
          <cell r="B1306" t="str">
            <v>6706 - FARMACIA COLSALUD, C.A</v>
          </cell>
          <cell r="C1306" t="str">
            <v>INDEPENDIENTE</v>
          </cell>
          <cell r="D1306">
            <v>3</v>
          </cell>
          <cell r="E1306"/>
          <cell r="F1306" t="str">
            <v>MARACAIBO</v>
          </cell>
          <cell r="G1306" t="str">
            <v>JOEL JIMENEZ</v>
          </cell>
          <cell r="H1306"/>
          <cell r="I1306" t="str">
            <v>S1</v>
          </cell>
          <cell r="J1306" t="str">
            <v>Activo</v>
          </cell>
          <cell r="K1306">
            <v>17817.155938846503</v>
          </cell>
          <cell r="L1306">
            <v>1781.7155938846504</v>
          </cell>
          <cell r="M1306">
            <v>1970.0697183151763</v>
          </cell>
          <cell r="N1306" t="str">
            <v>Si Compra</v>
          </cell>
          <cell r="O1306">
            <v>10</v>
          </cell>
          <cell r="P1306">
            <v>0</v>
          </cell>
          <cell r="Q1306">
            <v>0</v>
          </cell>
          <cell r="R1306">
            <v>0</v>
          </cell>
          <cell r="T1306"/>
          <cell r="U1306"/>
          <cell r="V1306">
            <v>0</v>
          </cell>
          <cell r="W1306">
            <v>6.8032787566567207E-5</v>
          </cell>
          <cell r="X1306">
            <v>0</v>
          </cell>
          <cell r="Y1306" t="str">
            <v>Conquistar</v>
          </cell>
        </row>
        <row r="1307">
          <cell r="A1307" t="str">
            <v>D136</v>
          </cell>
          <cell r="B1307" t="str">
            <v>D136 - FARMACIA SERVI-FARMA C.A.</v>
          </cell>
          <cell r="C1307" t="str">
            <v>INDEPENDIENTE</v>
          </cell>
          <cell r="D1307">
            <v>3</v>
          </cell>
          <cell r="E1307"/>
          <cell r="F1307" t="str">
            <v>MARACAIBO</v>
          </cell>
          <cell r="G1307" t="str">
            <v>YENNIFER LUZARDO</v>
          </cell>
          <cell r="H1307"/>
          <cell r="I1307" t="str">
            <v>BE</v>
          </cell>
          <cell r="J1307" t="str">
            <v>Activo</v>
          </cell>
          <cell r="K1307">
            <v>17796.366259577459</v>
          </cell>
          <cell r="L1307">
            <v>2542.3380370824939</v>
          </cell>
          <cell r="M1307">
            <v>2813.5568605362992</v>
          </cell>
          <cell r="N1307" t="str">
            <v>Si Compra</v>
          </cell>
          <cell r="O1307">
            <v>7</v>
          </cell>
          <cell r="P1307">
            <v>195102.38439301436</v>
          </cell>
          <cell r="Q1307">
            <v>27871.76919900205</v>
          </cell>
          <cell r="R1307">
            <v>28934.606874009067</v>
          </cell>
          <cell r="T1307"/>
          <cell r="U1307"/>
          <cell r="V1307">
            <v>9.1215524171803286E-2</v>
          </cell>
          <cell r="W1307">
            <v>9.7076292194384021E-5</v>
          </cell>
          <cell r="X1307">
            <v>7</v>
          </cell>
          <cell r="Y1307" t="str">
            <v>Conquistar</v>
          </cell>
        </row>
        <row r="1308">
          <cell r="A1308" t="str">
            <v>4249</v>
          </cell>
          <cell r="B1308" t="str">
            <v>4249 - FARMACIA NUEVO PINAR,C.A</v>
          </cell>
          <cell r="C1308" t="str">
            <v>INDEPENDIENTE</v>
          </cell>
          <cell r="D1308">
            <v>3</v>
          </cell>
          <cell r="E1308"/>
          <cell r="F1308" t="str">
            <v>MARACAIBO</v>
          </cell>
          <cell r="G1308" t="str">
            <v>YENNIFER LUZARDO</v>
          </cell>
          <cell r="H1308"/>
          <cell r="I1308" t="str">
            <v xml:space="preserve">B </v>
          </cell>
          <cell r="J1308" t="str">
            <v>Activo</v>
          </cell>
          <cell r="K1308">
            <v>17792.325111766007</v>
          </cell>
          <cell r="L1308">
            <v>1779.2325111766008</v>
          </cell>
          <cell r="M1308">
            <v>1762.889980725736</v>
          </cell>
          <cell r="N1308" t="str">
            <v>Si Compra</v>
          </cell>
          <cell r="O1308">
            <v>10</v>
          </cell>
          <cell r="P1308">
            <v>21088.784249705077</v>
          </cell>
          <cell r="Q1308">
            <v>2108.8784249705077</v>
          </cell>
          <cell r="R1308">
            <v>1692.9949341139309</v>
          </cell>
          <cell r="T1308"/>
          <cell r="U1308"/>
          <cell r="V1308">
            <v>0.84368662038992748</v>
          </cell>
          <cell r="W1308">
            <v>6.7937973871852543E-5</v>
          </cell>
          <cell r="X1308">
            <v>10</v>
          </cell>
          <cell r="Y1308" t="str">
            <v>Proteger</v>
          </cell>
        </row>
        <row r="1309">
          <cell r="A1309" t="str">
            <v>3705</v>
          </cell>
          <cell r="B1309" t="str">
            <v>3705 - ARIBRASCA, C.A</v>
          </cell>
          <cell r="C1309" t="str">
            <v>INDEPENDIENTE</v>
          </cell>
          <cell r="D1309">
            <v>3</v>
          </cell>
          <cell r="E1309"/>
          <cell r="F1309" t="str">
            <v>ANDES</v>
          </cell>
          <cell r="G1309">
            <v>0</v>
          </cell>
          <cell r="H1309"/>
          <cell r="I1309" t="str">
            <v>G</v>
          </cell>
          <cell r="J1309" t="str">
            <v>Activo</v>
          </cell>
          <cell r="K1309">
            <v>17783.443052650247</v>
          </cell>
          <cell r="L1309">
            <v>1778.3443052650248</v>
          </cell>
          <cell r="M1309">
            <v>1284.8976666666667</v>
          </cell>
          <cell r="N1309" t="str">
            <v>Si Compra</v>
          </cell>
          <cell r="O1309">
            <v>10</v>
          </cell>
          <cell r="P1309">
            <v>0</v>
          </cell>
          <cell r="Q1309">
            <v>0</v>
          </cell>
          <cell r="R1309">
            <v>0</v>
          </cell>
          <cell r="T1309"/>
          <cell r="U1309"/>
          <cell r="V1309">
            <v>0</v>
          </cell>
          <cell r="W1309">
            <v>6.7904058737301866E-5</v>
          </cell>
          <cell r="X1309">
            <v>0</v>
          </cell>
          <cell r="Y1309" t="str">
            <v>Conquistar</v>
          </cell>
        </row>
        <row r="1310">
          <cell r="A1310" t="str">
            <v>-24</v>
          </cell>
          <cell r="B1310" t="str">
            <v>-24 - FARMALIDER C.A.</v>
          </cell>
          <cell r="C1310" t="str">
            <v>INDEPENDIENTE</v>
          </cell>
          <cell r="D1310">
            <v>3</v>
          </cell>
          <cell r="E1310"/>
          <cell r="F1310" t="str">
            <v>CARACAS</v>
          </cell>
          <cell r="G1310" t="str">
            <v>RAMON SERRANO</v>
          </cell>
          <cell r="H1310"/>
          <cell r="I1310" t="str">
            <v>CB</v>
          </cell>
          <cell r="J1310" t="str">
            <v>Activo</v>
          </cell>
          <cell r="K1310">
            <v>17776.520044188972</v>
          </cell>
          <cell r="L1310">
            <v>1975.1688937987747</v>
          </cell>
          <cell r="M1310">
            <v>2631.6494675011945</v>
          </cell>
          <cell r="N1310" t="str">
            <v>Si Compra</v>
          </cell>
          <cell r="O1310">
            <v>9</v>
          </cell>
          <cell r="P1310">
            <v>66812.242892423586</v>
          </cell>
          <cell r="Q1310">
            <v>7423.5825436026207</v>
          </cell>
          <cell r="R1310">
            <v>6794.8426295453892</v>
          </cell>
          <cell r="T1310"/>
          <cell r="U1310"/>
          <cell r="V1310">
            <v>0.26606680564236534</v>
          </cell>
          <cell r="W1310">
            <v>7.541958223923094E-5</v>
          </cell>
          <cell r="X1310">
            <v>9</v>
          </cell>
          <cell r="Y1310" t="str">
            <v>Potenciar</v>
          </cell>
        </row>
        <row r="1311">
          <cell r="A1311" t="str">
            <v>U005</v>
          </cell>
          <cell r="B1311" t="str">
            <v>U005 - FARMACIA RESCARVEN,  C.A</v>
          </cell>
          <cell r="C1311" t="str">
            <v>INDEPENDIENTE</v>
          </cell>
          <cell r="D1311">
            <v>3</v>
          </cell>
          <cell r="F1311" t="str">
            <v>CARACAS</v>
          </cell>
          <cell r="G1311" t="str">
            <v>WILLIAM ARAQUE</v>
          </cell>
          <cell r="H1311"/>
          <cell r="I1311" t="str">
            <v>C8</v>
          </cell>
          <cell r="J1311" t="str">
            <v>Activo</v>
          </cell>
          <cell r="K1311">
            <v>17760.382152172991</v>
          </cell>
          <cell r="L1311">
            <v>1776.0382152172992</v>
          </cell>
          <cell r="M1311">
            <v>1452.5829273136533</v>
          </cell>
          <cell r="N1311" t="str">
            <v>Si Compra</v>
          </cell>
          <cell r="O1311">
            <v>10</v>
          </cell>
          <cell r="P1311">
            <v>19905.600911883968</v>
          </cell>
          <cell r="Q1311">
            <v>1990.5600911883969</v>
          </cell>
          <cell r="R1311">
            <v>1463.8658074703637</v>
          </cell>
          <cell r="V1311">
            <v>0.89223039438963903</v>
          </cell>
          <cell r="W1311">
            <v>6.781600330642122E-5</v>
          </cell>
          <cell r="X1311">
            <v>10</v>
          </cell>
          <cell r="Y1311" t="str">
            <v>Proteger</v>
          </cell>
        </row>
        <row r="1312">
          <cell r="A1312" t="str">
            <v>8093</v>
          </cell>
          <cell r="B1312" t="str">
            <v>GRUPO SIGO</v>
          </cell>
          <cell r="C1312" t="str">
            <v>CADENA</v>
          </cell>
          <cell r="D1312">
            <v>3</v>
          </cell>
          <cell r="E1312"/>
          <cell r="F1312" t="str">
            <v>ESTE</v>
          </cell>
          <cell r="H1312"/>
          <cell r="I1312"/>
          <cell r="J1312" t="str">
            <v>Inactivo</v>
          </cell>
          <cell r="K1312">
            <v>17754.353268289487</v>
          </cell>
          <cell r="L1312">
            <v>2959.0588780482481</v>
          </cell>
          <cell r="M1312">
            <v>10047.058594183296</v>
          </cell>
          <cell r="N1312" t="str">
            <v>Si Compra</v>
          </cell>
          <cell r="O1312">
            <v>6</v>
          </cell>
          <cell r="P1312">
            <v>0</v>
          </cell>
          <cell r="Q1312">
            <v>0</v>
          </cell>
          <cell r="R1312">
            <v>0</v>
          </cell>
          <cell r="S1312"/>
          <cell r="T1312"/>
          <cell r="U1312"/>
          <cell r="V1312">
            <v>0</v>
          </cell>
          <cell r="W1312">
            <v>1.129883044960622E-4</v>
          </cell>
          <cell r="X1312">
            <v>0</v>
          </cell>
          <cell r="Y1312" t="str">
            <v>Conquistar</v>
          </cell>
        </row>
        <row r="1313">
          <cell r="A1313" t="str">
            <v>E039</v>
          </cell>
          <cell r="B1313" t="str">
            <v>E039 - FARMACIA LA POMONA, C.A</v>
          </cell>
          <cell r="C1313" t="str">
            <v>INDEPENDIENTE</v>
          </cell>
          <cell r="D1313">
            <v>3</v>
          </cell>
          <cell r="F1313" t="str">
            <v>MARACAIBO</v>
          </cell>
          <cell r="G1313">
            <v>0</v>
          </cell>
          <cell r="H1313"/>
          <cell r="I1313" t="str">
            <v>D</v>
          </cell>
          <cell r="J1313" t="str">
            <v>Activo</v>
          </cell>
          <cell r="K1313">
            <v>17706.636280038583</v>
          </cell>
          <cell r="L1313">
            <v>1770.6636280038583</v>
          </cell>
          <cell r="M1313">
            <v>1378.3768666666665</v>
          </cell>
          <cell r="N1313" t="str">
            <v>Si Compra</v>
          </cell>
          <cell r="O1313">
            <v>10</v>
          </cell>
          <cell r="P1313">
            <v>0</v>
          </cell>
          <cell r="Q1313">
            <v>0</v>
          </cell>
          <cell r="R1313">
            <v>0</v>
          </cell>
          <cell r="V1313">
            <v>0</v>
          </cell>
          <cell r="W1313">
            <v>6.7610780794250921E-5</v>
          </cell>
          <cell r="X1313">
            <v>0</v>
          </cell>
          <cell r="Y1313" t="str">
            <v>Conquistar</v>
          </cell>
        </row>
        <row r="1314">
          <cell r="A1314" t="str">
            <v>E321</v>
          </cell>
          <cell r="B1314" t="str">
            <v>E321 - VITAL FARMACIA 1, C.A.</v>
          </cell>
          <cell r="C1314" t="e">
            <v>#N/A</v>
          </cell>
          <cell r="D1314">
            <v>3</v>
          </cell>
          <cell r="F1314" t="str">
            <v>ANDES</v>
          </cell>
          <cell r="G1314">
            <v>0</v>
          </cell>
          <cell r="H1314"/>
          <cell r="I1314" t="str">
            <v>G2</v>
          </cell>
          <cell r="J1314" t="str">
            <v>Activo</v>
          </cell>
          <cell r="K1314">
            <v>17640.315837682137</v>
          </cell>
          <cell r="L1314">
            <v>2940.0526396136897</v>
          </cell>
          <cell r="M1314">
            <v>4248.2240125607123</v>
          </cell>
          <cell r="N1314" t="str">
            <v>Si Compra</v>
          </cell>
          <cell r="O1314">
            <v>6</v>
          </cell>
          <cell r="P1314">
            <v>0</v>
          </cell>
          <cell r="Q1314">
            <v>0</v>
          </cell>
          <cell r="R1314">
            <v>0</v>
          </cell>
          <cell r="V1314">
            <v>0</v>
          </cell>
          <cell r="W1314">
            <v>1.1226257285499898E-4</v>
          </cell>
          <cell r="X1314">
            <v>0</v>
          </cell>
          <cell r="Y1314" t="str">
            <v>Conquistar</v>
          </cell>
        </row>
        <row r="1315">
          <cell r="A1315" t="str">
            <v>A434</v>
          </cell>
          <cell r="B1315" t="str">
            <v>A434 - FARMACIA PROFARMA-HOSPITAL,C.A.</v>
          </cell>
          <cell r="C1315" t="str">
            <v>INDEPENDIENTE</v>
          </cell>
          <cell r="D1315">
            <v>2</v>
          </cell>
          <cell r="E1315"/>
          <cell r="F1315" t="str">
            <v>ESTE</v>
          </cell>
          <cell r="G1315" t="str">
            <v>ADOLFO GONZALEZ</v>
          </cell>
          <cell r="H1315"/>
          <cell r="I1315" t="str">
            <v>A8</v>
          </cell>
          <cell r="J1315" t="str">
            <v>Activo</v>
          </cell>
          <cell r="K1315">
            <v>17584.992193943726</v>
          </cell>
          <cell r="L1315">
            <v>1953.8880215493029</v>
          </cell>
          <cell r="M1315">
            <v>1377.5628875211607</v>
          </cell>
          <cell r="N1315" t="str">
            <v>Si Compra</v>
          </cell>
          <cell r="O1315">
            <v>9</v>
          </cell>
          <cell r="P1315">
            <v>21262.039424234245</v>
          </cell>
          <cell r="Q1315">
            <v>2362.4488249149163</v>
          </cell>
          <cell r="R1315">
            <v>1447.8949949425296</v>
          </cell>
          <cell r="T1315"/>
          <cell r="U1315"/>
          <cell r="V1315">
            <v>0.82706046410113132</v>
          </cell>
          <cell r="W1315">
            <v>7.4606996287831731E-5</v>
          </cell>
          <cell r="X1315">
            <v>9</v>
          </cell>
          <cell r="Y1315" t="str">
            <v>Proteger</v>
          </cell>
        </row>
        <row r="1316">
          <cell r="A1316" t="str">
            <v>9088</v>
          </cell>
          <cell r="B1316" t="str">
            <v>9088 - FARMACIA LA GANADERA,C.A</v>
          </cell>
          <cell r="C1316" t="str">
            <v>INDEPENDIENTE</v>
          </cell>
          <cell r="D1316">
            <v>0</v>
          </cell>
          <cell r="E1316"/>
          <cell r="F1316" t="str">
            <v>CENTRO ESTE</v>
          </cell>
          <cell r="G1316" t="str">
            <v>LAURA FLORES</v>
          </cell>
          <cell r="H1316"/>
          <cell r="I1316" t="str">
            <v>+</v>
          </cell>
          <cell r="J1316" t="str">
            <v>Inactivo</v>
          </cell>
          <cell r="K1316">
            <v>17552.453234560093</v>
          </cell>
          <cell r="L1316">
            <v>4388.1133086400232</v>
          </cell>
          <cell r="M1316">
            <v>0</v>
          </cell>
          <cell r="N1316" t="str">
            <v>No Compra</v>
          </cell>
          <cell r="O1316">
            <v>3</v>
          </cell>
          <cell r="P1316">
            <v>22499.241173470535</v>
          </cell>
          <cell r="Q1316">
            <v>5624.8102933676337</v>
          </cell>
          <cell r="R1316">
            <v>0</v>
          </cell>
          <cell r="T1316"/>
          <cell r="U1316"/>
          <cell r="V1316">
            <v>0.78013534319800382</v>
          </cell>
          <cell r="W1316">
            <v>1.6755512584016845E-4</v>
          </cell>
          <cell r="X1316">
            <v>4</v>
          </cell>
          <cell r="Y1316" t="str">
            <v>Proteger</v>
          </cell>
        </row>
        <row r="1317">
          <cell r="A1317" t="str">
            <v>6579</v>
          </cell>
          <cell r="B1317" t="str">
            <v>6579 - FARMACIA SANTA ELENA S.A.</v>
          </cell>
          <cell r="C1317" t="str">
            <v>INDEPENDIENTE</v>
          </cell>
          <cell r="D1317">
            <v>3</v>
          </cell>
          <cell r="E1317"/>
          <cell r="F1317" t="str">
            <v>ANDES</v>
          </cell>
          <cell r="G1317" t="str">
            <v>LUCIA DUGARTE</v>
          </cell>
          <cell r="H1317"/>
          <cell r="I1317" t="str">
            <v>6</v>
          </cell>
          <cell r="J1317" t="str">
            <v>Activo</v>
          </cell>
          <cell r="K1317">
            <v>17545.213082828257</v>
          </cell>
          <cell r="L1317">
            <v>1754.5213082828257</v>
          </cell>
          <cell r="M1317">
            <v>1444.0084666666664</v>
          </cell>
          <cell r="N1317" t="str">
            <v>Si Compra</v>
          </cell>
          <cell r="O1317">
            <v>10</v>
          </cell>
          <cell r="P1317">
            <v>33220.7209554976</v>
          </cell>
          <cell r="Q1317">
            <v>3322.07209554976</v>
          </cell>
          <cell r="R1317">
            <v>2661.6906666666669</v>
          </cell>
          <cell r="T1317"/>
          <cell r="U1317"/>
          <cell r="V1317">
            <v>0.52814064770995739</v>
          </cell>
          <cell r="W1317">
            <v>6.6994404638492962E-5</v>
          </cell>
          <cell r="X1317">
            <v>10</v>
          </cell>
          <cell r="Y1317" t="str">
            <v>Potenciar</v>
          </cell>
        </row>
        <row r="1318">
          <cell r="A1318" t="str">
            <v>D912</v>
          </cell>
          <cell r="B1318" t="str">
            <v>D912 - TUTTOFARMA, C.A.</v>
          </cell>
          <cell r="C1318" t="str">
            <v>INDEPENDIENTE</v>
          </cell>
          <cell r="D1318">
            <v>3</v>
          </cell>
          <cell r="E1318"/>
          <cell r="F1318" t="str">
            <v>CARACAS</v>
          </cell>
          <cell r="G1318" t="str">
            <v>MAIRE ACOSTA FERNANDEZ</v>
          </cell>
          <cell r="H1318"/>
          <cell r="I1318" t="str">
            <v>C9</v>
          </cell>
          <cell r="J1318" t="str">
            <v>Activo</v>
          </cell>
          <cell r="K1318">
            <v>17481.862183486239</v>
          </cell>
          <cell r="L1318">
            <v>1748.1862183486239</v>
          </cell>
          <cell r="M1318">
            <v>2164.0267487242309</v>
          </cell>
          <cell r="N1318" t="str">
            <v>Si Compra</v>
          </cell>
          <cell r="O1318">
            <v>10</v>
          </cell>
          <cell r="P1318">
            <v>309059.80134339962</v>
          </cell>
          <cell r="Q1318">
            <v>30905.980134339963</v>
          </cell>
          <cell r="R1318">
            <v>48971.313341013905</v>
          </cell>
          <cell r="T1318"/>
          <cell r="U1318"/>
          <cell r="V1318">
            <v>5.6564658708435384E-2</v>
          </cell>
          <cell r="W1318">
            <v>6.6752506420175774E-5</v>
          </cell>
          <cell r="X1318">
            <v>10</v>
          </cell>
          <cell r="Y1318" t="str">
            <v>Conquistar</v>
          </cell>
        </row>
        <row r="1319">
          <cell r="A1319" t="str">
            <v>7003</v>
          </cell>
          <cell r="B1319" t="str">
            <v>7003 - FARMACIA LA VENEZOLANA SAN FRANCISCO, COMPAÑIA ANONIMA</v>
          </cell>
          <cell r="C1319" t="str">
            <v>INDEPENDIENTE</v>
          </cell>
          <cell r="D1319">
            <v>3</v>
          </cell>
          <cell r="E1319"/>
          <cell r="F1319" t="str">
            <v>MARACAIBO</v>
          </cell>
          <cell r="G1319" t="str">
            <v>YENNIFER LUZARDO</v>
          </cell>
          <cell r="H1319"/>
          <cell r="I1319" t="str">
            <v xml:space="preserve">B </v>
          </cell>
          <cell r="J1319" t="str">
            <v>Inactivo</v>
          </cell>
          <cell r="K1319">
            <v>17479.050900000002</v>
          </cell>
          <cell r="L1319">
            <v>1747.9050900000002</v>
          </cell>
          <cell r="M1319">
            <v>1154.2382</v>
          </cell>
          <cell r="N1319" t="str">
            <v>Si Compra</v>
          </cell>
          <cell r="O1319">
            <v>10</v>
          </cell>
          <cell r="P1319">
            <v>66078.064200000008</v>
          </cell>
          <cell r="Q1319">
            <v>6607.8064200000008</v>
          </cell>
          <cell r="R1319">
            <v>3982.1922333333337</v>
          </cell>
          <cell r="T1319"/>
          <cell r="U1319"/>
          <cell r="V1319">
            <v>0.26452123123788485</v>
          </cell>
          <cell r="W1319">
            <v>6.6741771853286137E-5</v>
          </cell>
          <cell r="X1319">
            <v>10</v>
          </cell>
          <cell r="Y1319" t="str">
            <v>Potenciar</v>
          </cell>
        </row>
        <row r="1320">
          <cell r="A1320" t="str">
            <v>9018</v>
          </cell>
          <cell r="B1320" t="str">
            <v>9018 - FARMACIA ABELLA IV, C.A.</v>
          </cell>
          <cell r="C1320" t="str">
            <v>INDEPENDIENTE</v>
          </cell>
          <cell r="D1320">
            <v>3</v>
          </cell>
          <cell r="E1320"/>
          <cell r="F1320" t="str">
            <v>CARACAS</v>
          </cell>
          <cell r="G1320" t="str">
            <v>MAIRE ACOSTA FERNANDEZ</v>
          </cell>
          <cell r="H1320"/>
          <cell r="I1320" t="str">
            <v>C9</v>
          </cell>
          <cell r="J1320" t="str">
            <v>Inactivo</v>
          </cell>
          <cell r="K1320">
            <v>17441.751855451621</v>
          </cell>
          <cell r="L1320">
            <v>1937.9724283835135</v>
          </cell>
          <cell r="M1320">
            <v>2103.1944666666668</v>
          </cell>
          <cell r="N1320" t="str">
            <v>Si Compra</v>
          </cell>
          <cell r="O1320">
            <v>9</v>
          </cell>
          <cell r="P1320">
            <v>25245.464737866456</v>
          </cell>
          <cell r="Q1320">
            <v>2805.0516375407174</v>
          </cell>
          <cell r="R1320">
            <v>2198.2297666666668</v>
          </cell>
          <cell r="T1320"/>
          <cell r="U1320"/>
          <cell r="V1320">
            <v>0.69088654285259388</v>
          </cell>
          <cell r="W1320">
            <v>7.3999277428233443E-5</v>
          </cell>
          <cell r="X1320">
            <v>9</v>
          </cell>
          <cell r="Y1320" t="str">
            <v>Proteger</v>
          </cell>
        </row>
        <row r="1321">
          <cell r="A1321" t="str">
            <v>5667</v>
          </cell>
          <cell r="B1321" t="str">
            <v>5667 - PARTY STIL C.A.</v>
          </cell>
          <cell r="C1321" t="str">
            <v>INDEPENDIENTE</v>
          </cell>
          <cell r="D1321">
            <v>3</v>
          </cell>
          <cell r="E1321"/>
          <cell r="F1321" t="str">
            <v>ESTE</v>
          </cell>
          <cell r="G1321" t="str">
            <v>ALEXMAR CASTILLO</v>
          </cell>
          <cell r="H1321"/>
          <cell r="I1321" t="str">
            <v>A1</v>
          </cell>
          <cell r="J1321" t="str">
            <v>Activo</v>
          </cell>
          <cell r="K1321">
            <v>17356.978955772771</v>
          </cell>
          <cell r="L1321">
            <v>1735.697895577277</v>
          </cell>
          <cell r="M1321">
            <v>2062.9465103894895</v>
          </cell>
          <cell r="N1321" t="str">
            <v>Si Compra</v>
          </cell>
          <cell r="O1321">
            <v>10</v>
          </cell>
          <cell r="P1321">
            <v>65855.696300964861</v>
          </cell>
          <cell r="Q1321">
            <v>6585.5696300964864</v>
          </cell>
          <cell r="R1321">
            <v>6590.6676933489753</v>
          </cell>
          <cell r="T1321"/>
          <cell r="U1321"/>
          <cell r="V1321">
            <v>0.2635607841188139</v>
          </cell>
          <cell r="W1321">
            <v>6.6275653990370537E-5</v>
          </cell>
          <cell r="X1321">
            <v>10</v>
          </cell>
          <cell r="Y1321" t="str">
            <v>Potenciar</v>
          </cell>
        </row>
        <row r="1322">
          <cell r="A1322" t="str">
            <v>2595</v>
          </cell>
          <cell r="B1322" t="str">
            <v>2595 - FARMACIA DOÑA MIRIAM, C.A.</v>
          </cell>
          <cell r="C1322" t="str">
            <v>INDEPENDIENTE</v>
          </cell>
          <cell r="D1322">
            <v>3</v>
          </cell>
          <cell r="E1322"/>
          <cell r="F1322" t="str">
            <v>CENTRO OESTE</v>
          </cell>
          <cell r="G1322" t="str">
            <v>LUIS PLACERES</v>
          </cell>
          <cell r="H1322"/>
          <cell r="I1322" t="str">
            <v>E</v>
          </cell>
          <cell r="J1322" t="str">
            <v>Inactivo</v>
          </cell>
          <cell r="K1322">
            <v>17318.206804461923</v>
          </cell>
          <cell r="L1322">
            <v>1731.8206804461922</v>
          </cell>
          <cell r="M1322">
            <v>2278.1894666666667</v>
          </cell>
          <cell r="N1322" t="str">
            <v>Si Compra</v>
          </cell>
          <cell r="O1322">
            <v>10</v>
          </cell>
          <cell r="P1322">
            <v>29124.630756595332</v>
          </cell>
          <cell r="Q1322">
            <v>2912.4630756595334</v>
          </cell>
          <cell r="R1322">
            <v>2856.560633333334</v>
          </cell>
          <cell r="T1322"/>
          <cell r="U1322"/>
          <cell r="V1322">
            <v>0.59462408121827182</v>
          </cell>
          <cell r="W1322">
            <v>6.6127606931531114E-5</v>
          </cell>
          <cell r="X1322">
            <v>10</v>
          </cell>
          <cell r="Y1322" t="str">
            <v>Potenciar</v>
          </cell>
        </row>
        <row r="1323">
          <cell r="A1323" t="str">
            <v>0030</v>
          </cell>
          <cell r="B1323" t="str">
            <v>0030 - FARMACIA ZONA LIBRE, S.A</v>
          </cell>
          <cell r="C1323" t="str">
            <v>INDEPENDIENTE</v>
          </cell>
          <cell r="D1323">
            <v>3</v>
          </cell>
          <cell r="E1323"/>
          <cell r="F1323" t="str">
            <v>ESTE</v>
          </cell>
          <cell r="G1323" t="str">
            <v>ADOLFO GONZALEZ</v>
          </cell>
          <cell r="H1323"/>
          <cell r="I1323" t="str">
            <v>A8</v>
          </cell>
          <cell r="J1323" t="str">
            <v>Activo</v>
          </cell>
          <cell r="K1323">
            <v>17285.868175709013</v>
          </cell>
          <cell r="L1323">
            <v>1728.5868175709013</v>
          </cell>
          <cell r="M1323">
            <v>1881.7034938501656</v>
          </cell>
          <cell r="N1323" t="str">
            <v>Si Compra</v>
          </cell>
          <cell r="O1323">
            <v>10</v>
          </cell>
          <cell r="P1323">
            <v>47649.143989312826</v>
          </cell>
          <cell r="Q1323">
            <v>4764.9143989312824</v>
          </cell>
          <cell r="R1323">
            <v>4832.7650681162932</v>
          </cell>
          <cell r="T1323"/>
          <cell r="U1323"/>
          <cell r="V1323">
            <v>0.36277394992837736</v>
          </cell>
          <cell r="W1323">
            <v>6.6004125548324273E-5</v>
          </cell>
          <cell r="X1323">
            <v>10</v>
          </cell>
          <cell r="Y1323" t="str">
            <v>Potenciar</v>
          </cell>
        </row>
        <row r="1324">
          <cell r="A1324" t="str">
            <v>0844</v>
          </cell>
          <cell r="B1324" t="str">
            <v>0844 - FARMACIA LOS PROCERES, C.A.</v>
          </cell>
          <cell r="C1324" t="str">
            <v>INDEPENDIENTE</v>
          </cell>
          <cell r="D1324">
            <v>2</v>
          </cell>
          <cell r="E1324"/>
          <cell r="F1324" t="str">
            <v>ESTE</v>
          </cell>
          <cell r="G1324" t="str">
            <v>IRAIDA RODRIGUEZ</v>
          </cell>
          <cell r="H1324"/>
          <cell r="I1324" t="str">
            <v>AB</v>
          </cell>
          <cell r="J1324" t="str">
            <v>Activo</v>
          </cell>
          <cell r="K1324">
            <v>17224.349507429732</v>
          </cell>
          <cell r="L1324">
            <v>1913.8166119366369</v>
          </cell>
          <cell r="M1324">
            <v>3127.1723954565864</v>
          </cell>
          <cell r="N1324" t="str">
            <v>Si Compra</v>
          </cell>
          <cell r="O1324">
            <v>9</v>
          </cell>
          <cell r="P1324">
            <v>36669.321705268252</v>
          </cell>
          <cell r="Q1324">
            <v>4074.3690783631391</v>
          </cell>
          <cell r="R1324">
            <v>5200.1504199045175</v>
          </cell>
          <cell r="T1324"/>
          <cell r="U1324"/>
          <cell r="V1324">
            <v>0.46972097400304857</v>
          </cell>
          <cell r="W1324">
            <v>7.3076914995941837E-5</v>
          </cell>
          <cell r="X1324">
            <v>9</v>
          </cell>
          <cell r="Y1324" t="str">
            <v>Potenciar</v>
          </cell>
        </row>
        <row r="1325">
          <cell r="A1325" t="str">
            <v>3163</v>
          </cell>
          <cell r="B1325" t="str">
            <v>3163 - TORTOSA DE SANCHEZ ROSA  (FARMACIA JAUREGUI)</v>
          </cell>
          <cell r="C1325" t="str">
            <v>INDEPENDIENTE</v>
          </cell>
          <cell r="D1325">
            <v>3</v>
          </cell>
          <cell r="E1325"/>
          <cell r="F1325" t="str">
            <v>ANDES</v>
          </cell>
          <cell r="G1325" t="str">
            <v>MARIA GABRIELA FORTUL</v>
          </cell>
          <cell r="H1325"/>
          <cell r="I1325" t="str">
            <v>3</v>
          </cell>
          <cell r="J1325" t="str">
            <v>Activo</v>
          </cell>
          <cell r="K1325">
            <v>17169.9108737182</v>
          </cell>
          <cell r="L1325">
            <v>1716.99108737182</v>
          </cell>
          <cell r="M1325">
            <v>1000.0137666666666</v>
          </cell>
          <cell r="N1325" t="str">
            <v>Si Compra</v>
          </cell>
          <cell r="O1325">
            <v>10</v>
          </cell>
          <cell r="P1325">
            <v>32096.586948394011</v>
          </cell>
          <cell r="Q1325">
            <v>3209.6586948394011</v>
          </cell>
          <cell r="R1325">
            <v>1641.8710666666666</v>
          </cell>
          <cell r="T1325"/>
          <cell r="U1325"/>
          <cell r="V1325">
            <v>0.53494506756511429</v>
          </cell>
          <cell r="W1325">
            <v>6.556135575272893E-5</v>
          </cell>
          <cell r="X1325">
            <v>10</v>
          </cell>
          <cell r="Y1325" t="str">
            <v>Potenciar</v>
          </cell>
        </row>
        <row r="1326">
          <cell r="A1326" t="str">
            <v>E414</v>
          </cell>
          <cell r="B1326" t="str">
            <v>E414 - FARMACIA VIRGEN DE LA MILAGROSA 27-11, C.A.</v>
          </cell>
          <cell r="C1326" t="e">
            <v>#N/A</v>
          </cell>
          <cell r="D1326">
            <v>3</v>
          </cell>
          <cell r="F1326" t="str">
            <v>CARACAS</v>
          </cell>
          <cell r="G1326">
            <v>0</v>
          </cell>
          <cell r="H1326"/>
          <cell r="I1326" t="str">
            <v>CB</v>
          </cell>
          <cell r="J1326" t="str">
            <v>Activo</v>
          </cell>
          <cell r="K1326">
            <v>17156.023265491815</v>
          </cell>
          <cell r="L1326">
            <v>3431.204653098363</v>
          </cell>
          <cell r="M1326">
            <v>3201.1294936912509</v>
          </cell>
          <cell r="N1326" t="str">
            <v>Si Compra</v>
          </cell>
          <cell r="O1326">
            <v>5</v>
          </cell>
          <cell r="P1326">
            <v>0</v>
          </cell>
          <cell r="Q1326">
            <v>0</v>
          </cell>
          <cell r="R1326">
            <v>0</v>
          </cell>
          <cell r="V1326">
            <v>0</v>
          </cell>
          <cell r="W1326">
            <v>1.3101665499413629E-4</v>
          </cell>
          <cell r="X1326">
            <v>0</v>
          </cell>
          <cell r="Y1326" t="str">
            <v>Conquistar</v>
          </cell>
        </row>
        <row r="1327">
          <cell r="A1327" t="str">
            <v>B767</v>
          </cell>
          <cell r="B1327" t="str">
            <v>24/7 PLUS</v>
          </cell>
          <cell r="C1327" t="e">
            <v>#N/A</v>
          </cell>
          <cell r="D1327">
            <v>6</v>
          </cell>
          <cell r="E1327"/>
          <cell r="F1327" t="str">
            <v>ESTE</v>
          </cell>
          <cell r="H1327"/>
          <cell r="I1327"/>
          <cell r="J1327" t="str">
            <v>Suspendido</v>
          </cell>
          <cell r="K1327">
            <v>17115.657513956419</v>
          </cell>
          <cell r="L1327">
            <v>2852.6095856594034</v>
          </cell>
          <cell r="M1327">
            <v>4731.1162046521395</v>
          </cell>
          <cell r="N1327" t="str">
            <v>Si Compra</v>
          </cell>
          <cell r="O1327">
            <v>6</v>
          </cell>
          <cell r="P1327">
            <v>104135.36591842007</v>
          </cell>
          <cell r="Q1327">
            <v>26033.841479605017</v>
          </cell>
          <cell r="R1327">
            <v>14662.244072806689</v>
          </cell>
          <cell r="S1327"/>
          <cell r="T1327"/>
          <cell r="U1327"/>
          <cell r="V1327">
            <v>0.10957313341153074</v>
          </cell>
          <cell r="W1327">
            <v>1.0892365909442886E-4</v>
          </cell>
          <cell r="X1327">
            <v>4</v>
          </cell>
          <cell r="Y1327" t="str">
            <v>Conquistar</v>
          </cell>
        </row>
        <row r="1328">
          <cell r="A1328">
            <v>0</v>
          </cell>
          <cell r="B1328" t="str">
            <v>S317 - FARMACIA MUCUCHIES, C.A.</v>
          </cell>
          <cell r="C1328" t="e">
            <v>#N/A</v>
          </cell>
          <cell r="D1328">
            <v>0</v>
          </cell>
          <cell r="E1328"/>
          <cell r="F1328" t="str">
            <v>ANDES</v>
          </cell>
          <cell r="G1328" t="str">
            <v>LUCIA DUGARTE</v>
          </cell>
          <cell r="H1328"/>
          <cell r="I1328" t="str">
            <v>6</v>
          </cell>
          <cell r="J1328" t="str">
            <v>Activo</v>
          </cell>
          <cell r="K1328">
            <v>17109.026715341475</v>
          </cell>
          <cell r="L1328">
            <v>2138.6283394176844</v>
          </cell>
          <cell r="M1328">
            <v>1932.2286333333332</v>
          </cell>
          <cell r="N1328" t="str">
            <v>Si Compra</v>
          </cell>
          <cell r="O1328">
            <v>8</v>
          </cell>
          <cell r="P1328">
            <v>304159.27527152986</v>
          </cell>
          <cell r="Q1328">
            <v>38019.909408941232</v>
          </cell>
          <cell r="R1328">
            <v>27633.919066666665</v>
          </cell>
          <cell r="T1328"/>
          <cell r="U1328"/>
          <cell r="V1328">
            <v>5.6250221861779033E-2</v>
          </cell>
          <cell r="W1328">
            <v>8.1661095630991762E-5</v>
          </cell>
          <cell r="X1328">
            <v>8</v>
          </cell>
          <cell r="Y1328" t="str">
            <v>Conquistar</v>
          </cell>
        </row>
        <row r="1329">
          <cell r="A1329" t="str">
            <v>C773</v>
          </cell>
          <cell r="B1329" t="str">
            <v>C773 - FARMACIA FARMASALUD SAINT MICHEL, C.A.</v>
          </cell>
          <cell r="C1329" t="str">
            <v>INDEPENDIENTE</v>
          </cell>
          <cell r="D1329">
            <v>3</v>
          </cell>
          <cell r="E1329"/>
          <cell r="F1329" t="str">
            <v>ESTE</v>
          </cell>
          <cell r="G1329" t="str">
            <v>JOSE RAMIREZ</v>
          </cell>
          <cell r="H1329" t="str">
            <v>HECTOR</v>
          </cell>
          <cell r="I1329" t="str">
            <v>A2</v>
          </cell>
          <cell r="J1329" t="str">
            <v>Activo</v>
          </cell>
          <cell r="K1329">
            <v>17108.753092058232</v>
          </cell>
          <cell r="L1329">
            <v>2444.1075845797473</v>
          </cell>
          <cell r="M1329">
            <v>1535.0397973527445</v>
          </cell>
          <cell r="N1329" t="str">
            <v>Si Compra</v>
          </cell>
          <cell r="O1329">
            <v>7</v>
          </cell>
          <cell r="P1329">
            <v>50093.131160973717</v>
          </cell>
          <cell r="Q1329">
            <v>7156.1615944248169</v>
          </cell>
          <cell r="R1329">
            <v>6212.6591203245725</v>
          </cell>
          <cell r="T1329"/>
          <cell r="U1329"/>
          <cell r="V1329">
            <v>0.3415389035490603</v>
          </cell>
          <cell r="W1329">
            <v>9.3325473864778164E-5</v>
          </cell>
          <cell r="X1329">
            <v>7</v>
          </cell>
          <cell r="Y1329" t="str">
            <v>Potenciar</v>
          </cell>
        </row>
        <row r="1330">
          <cell r="A1330" t="str">
            <v>2687</v>
          </cell>
          <cell r="B1330" t="str">
            <v>HNOS SABU</v>
          </cell>
          <cell r="C1330" t="e">
            <v>#N/A</v>
          </cell>
          <cell r="D1330">
            <v>4</v>
          </cell>
          <cell r="E1330"/>
          <cell r="F1330" t="str">
            <v>CARACAS</v>
          </cell>
          <cell r="H1330"/>
          <cell r="I1330"/>
          <cell r="J1330" t="str">
            <v>Inactivo</v>
          </cell>
          <cell r="K1330">
            <v>17083.35953545849</v>
          </cell>
          <cell r="L1330">
            <v>3416.6719070916979</v>
          </cell>
          <cell r="M1330">
            <v>3956.4597974682742</v>
          </cell>
          <cell r="N1330" t="str">
            <v>Si Compra</v>
          </cell>
          <cell r="O1330">
            <v>5</v>
          </cell>
          <cell r="P1330">
            <v>22424.233319630825</v>
          </cell>
          <cell r="Q1330">
            <v>4484.8466639261651</v>
          </cell>
          <cell r="R1330">
            <v>6047.044572427716</v>
          </cell>
          <cell r="S1330"/>
          <cell r="T1330"/>
          <cell r="U1330"/>
          <cell r="V1330">
            <v>0.76182580211129092</v>
          </cell>
          <cell r="W1330">
            <v>1.3046173858366998E-4</v>
          </cell>
          <cell r="X1330">
            <v>5</v>
          </cell>
          <cell r="Y1330" t="str">
            <v>Proteger</v>
          </cell>
        </row>
        <row r="1331">
          <cell r="A1331" t="str">
            <v>D462</v>
          </cell>
          <cell r="B1331" t="str">
            <v>D462 - FARMACIA FARMAPLAZA C.A.</v>
          </cell>
          <cell r="C1331" t="str">
            <v>INDEPENDIENTE</v>
          </cell>
          <cell r="D1331">
            <v>3</v>
          </cell>
          <cell r="E1331"/>
          <cell r="F1331" t="str">
            <v>ESTE</v>
          </cell>
          <cell r="G1331" t="str">
            <v>CARLOS BLONDELL</v>
          </cell>
          <cell r="H1331"/>
          <cell r="I1331" t="str">
            <v>A5</v>
          </cell>
          <cell r="J1331" t="str">
            <v>Activo</v>
          </cell>
          <cell r="K1331">
            <v>17071.696223456762</v>
          </cell>
          <cell r="L1331">
            <v>1707.1696223456761</v>
          </cell>
          <cell r="M1331">
            <v>1610.7191666666668</v>
          </cell>
          <cell r="N1331" t="str">
            <v>Si Compra</v>
          </cell>
          <cell r="O1331">
            <v>10</v>
          </cell>
          <cell r="P1331">
            <v>121779.68918751183</v>
          </cell>
          <cell r="Q1331">
            <v>12177.968918751183</v>
          </cell>
          <cell r="R1331">
            <v>13156.541433333332</v>
          </cell>
          <cell r="T1331"/>
          <cell r="U1331"/>
          <cell r="V1331">
            <v>0.14018508617779768</v>
          </cell>
          <cell r="W1331">
            <v>6.5186334258833105E-5</v>
          </cell>
          <cell r="X1331">
            <v>10</v>
          </cell>
          <cell r="Y1331" t="str">
            <v>Conquistar</v>
          </cell>
        </row>
        <row r="1332">
          <cell r="A1332" t="str">
            <v>E615</v>
          </cell>
          <cell r="B1332" t="str">
            <v>E615 - TRENO FARMACIA FARMADTODITOPLUS BARINAS, F.P</v>
          </cell>
          <cell r="C1332" t="e">
            <v>#N/A</v>
          </cell>
          <cell r="D1332">
            <v>2</v>
          </cell>
          <cell r="F1332" t="str">
            <v>CENTRO OESTE</v>
          </cell>
          <cell r="G1332">
            <v>0</v>
          </cell>
          <cell r="H1332"/>
          <cell r="I1332" t="str">
            <v>E</v>
          </cell>
          <cell r="J1332" t="str">
            <v>Suspendido</v>
          </cell>
          <cell r="K1332">
            <v>17067.838187042216</v>
          </cell>
          <cell r="L1332">
            <v>8533.9190935211082</v>
          </cell>
          <cell r="M1332">
            <v>8533.9190935211082</v>
          </cell>
          <cell r="N1332" t="str">
            <v>Si Compra</v>
          </cell>
          <cell r="O1332">
            <v>2</v>
          </cell>
          <cell r="P1332">
            <v>0</v>
          </cell>
          <cell r="Q1332">
            <v>0</v>
          </cell>
          <cell r="R1332">
            <v>0</v>
          </cell>
          <cell r="V1332">
            <v>0</v>
          </cell>
          <cell r="W1332">
            <v>3.2585801392350666E-4</v>
          </cell>
          <cell r="X1332">
            <v>0</v>
          </cell>
          <cell r="Y1332" t="str">
            <v>Conquistar</v>
          </cell>
        </row>
        <row r="1333">
          <cell r="A1333" t="str">
            <v>D188</v>
          </cell>
          <cell r="B1333" t="str">
            <v>D188 - FARMACIA LIDER, C. A.</v>
          </cell>
          <cell r="C1333" t="str">
            <v>INDEPENDIENTE</v>
          </cell>
          <cell r="D1333">
            <v>3</v>
          </cell>
          <cell r="E1333"/>
          <cell r="F1333" t="str">
            <v>MARACAIBO</v>
          </cell>
          <cell r="G1333" t="str">
            <v>JOEL JIMENEZ</v>
          </cell>
          <cell r="H1333"/>
          <cell r="I1333" t="str">
            <v>S1</v>
          </cell>
          <cell r="J1333" t="str">
            <v>Inactivo</v>
          </cell>
          <cell r="K1333">
            <v>17021.633598656146</v>
          </cell>
          <cell r="L1333">
            <v>1891.292622072905</v>
          </cell>
          <cell r="M1333">
            <v>1882.942815431823</v>
          </cell>
          <cell r="N1333" t="str">
            <v>Si Compra</v>
          </cell>
          <cell r="O1333">
            <v>9</v>
          </cell>
          <cell r="P1333">
            <v>31743.581308657635</v>
          </cell>
          <cell r="Q1333">
            <v>3527.0645898508483</v>
          </cell>
          <cell r="R1333">
            <v>4307.7880844413294</v>
          </cell>
          <cell r="T1333"/>
          <cell r="U1333"/>
          <cell r="V1333">
            <v>0.53622284874371517</v>
          </cell>
          <cell r="W1333">
            <v>7.2216862009477376E-5</v>
          </cell>
          <cell r="X1333">
            <v>9</v>
          </cell>
          <cell r="Y1333" t="str">
            <v>Potenciar</v>
          </cell>
        </row>
        <row r="1334">
          <cell r="A1334" t="str">
            <v>D753</v>
          </cell>
          <cell r="B1334" t="str">
            <v>D753 - FARMACOSMETICOS C.A.</v>
          </cell>
          <cell r="C1334" t="str">
            <v>INDEPENDIENTE</v>
          </cell>
          <cell r="D1334">
            <v>2</v>
          </cell>
          <cell r="E1334"/>
          <cell r="F1334" t="str">
            <v>ESTE</v>
          </cell>
          <cell r="G1334">
            <v>0</v>
          </cell>
          <cell r="H1334"/>
          <cell r="I1334" t="str">
            <v>A7</v>
          </cell>
          <cell r="J1334" t="str">
            <v>Activo</v>
          </cell>
          <cell r="K1334">
            <v>17021.470013308157</v>
          </cell>
          <cell r="L1334">
            <v>1891.2744459231285</v>
          </cell>
          <cell r="M1334">
            <v>2041.9782500000001</v>
          </cell>
          <cell r="N1334" t="str">
            <v>Si Compra</v>
          </cell>
          <cell r="O1334">
            <v>9</v>
          </cell>
          <cell r="P1334">
            <v>0</v>
          </cell>
          <cell r="Q1334">
            <v>0</v>
          </cell>
          <cell r="R1334">
            <v>0</v>
          </cell>
          <cell r="T1334"/>
          <cell r="U1334"/>
          <cell r="V1334">
            <v>0</v>
          </cell>
          <cell r="W1334">
            <v>7.2216167973829508E-5</v>
          </cell>
          <cell r="X1334">
            <v>0</v>
          </cell>
          <cell r="Y1334" t="str">
            <v>Conquistar</v>
          </cell>
        </row>
        <row r="1335">
          <cell r="A1335" t="str">
            <v>D786</v>
          </cell>
          <cell r="B1335" t="str">
            <v>D786 - FARMACIA Y ORTOPEDIA SANA SANA RINCON C.A.</v>
          </cell>
          <cell r="C1335" t="str">
            <v>INDEPENDIENTE</v>
          </cell>
          <cell r="D1335">
            <v>3</v>
          </cell>
          <cell r="E1335"/>
          <cell r="F1335" t="str">
            <v>ESTE</v>
          </cell>
          <cell r="G1335" t="str">
            <v>PEDRO VIRE</v>
          </cell>
          <cell r="H1335" t="str">
            <v>HECTOR</v>
          </cell>
          <cell r="I1335" t="str">
            <v>A7</v>
          </cell>
          <cell r="J1335" t="str">
            <v>Activo</v>
          </cell>
          <cell r="K1335">
            <v>16979.49132544559</v>
          </cell>
          <cell r="L1335">
            <v>1697.949132544559</v>
          </cell>
          <cell r="M1335">
            <v>1819.7959270377287</v>
          </cell>
          <cell r="N1335" t="str">
            <v>Si Compra</v>
          </cell>
          <cell r="O1335">
            <v>10</v>
          </cell>
          <cell r="P1335">
            <v>79281.693672355803</v>
          </cell>
          <cell r="Q1335">
            <v>7928.1693672355805</v>
          </cell>
          <cell r="R1335">
            <v>9328.236729607901</v>
          </cell>
          <cell r="T1335"/>
          <cell r="U1335"/>
          <cell r="V1335">
            <v>0.21416660692966571</v>
          </cell>
          <cell r="W1335">
            <v>6.4834260321751253E-5</v>
          </cell>
          <cell r="X1335">
            <v>10</v>
          </cell>
          <cell r="Y1335" t="str">
            <v>Potenciar</v>
          </cell>
        </row>
        <row r="1336">
          <cell r="A1336" t="str">
            <v>J16</v>
          </cell>
          <cell r="B1336" t="str">
            <v>J16 - SUAREZ FRANCO,YENNY MARIBEL (FARMACIA FARMA UNO)</v>
          </cell>
          <cell r="C1336" t="str">
            <v>INDEPENDIENTE</v>
          </cell>
          <cell r="D1336">
            <v>3</v>
          </cell>
          <cell r="F1336" t="str">
            <v>CENTRO OESTE</v>
          </cell>
          <cell r="G1336" t="str">
            <v>YAMILEX LAMEDA</v>
          </cell>
          <cell r="H1336"/>
          <cell r="I1336" t="str">
            <v>Y1</v>
          </cell>
          <cell r="J1336" t="str">
            <v>Permiso</v>
          </cell>
          <cell r="K1336">
            <v>16967.121925663596</v>
          </cell>
          <cell r="L1336">
            <v>1696.7121925663596</v>
          </cell>
          <cell r="M1336">
            <v>1252.5389333333335</v>
          </cell>
          <cell r="N1336" t="str">
            <v>Si Compra</v>
          </cell>
          <cell r="O1336">
            <v>10</v>
          </cell>
          <cell r="P1336">
            <v>18152.510667588678</v>
          </cell>
          <cell r="Q1336">
            <v>1815.2510667588679</v>
          </cell>
          <cell r="R1336">
            <v>1206.0918999999999</v>
          </cell>
          <cell r="V1336">
            <v>0.93469835861098849</v>
          </cell>
          <cell r="W1336">
            <v>6.4787029172706881E-5</v>
          </cell>
          <cell r="X1336">
            <v>10</v>
          </cell>
          <cell r="Y1336" t="str">
            <v>Proteger</v>
          </cell>
        </row>
        <row r="1337">
          <cell r="A1337" t="str">
            <v>E520</v>
          </cell>
          <cell r="B1337" t="str">
            <v>E520 - FARMA KO, C.A</v>
          </cell>
          <cell r="C1337" t="e">
            <v>#N/A</v>
          </cell>
          <cell r="D1337">
            <v>3</v>
          </cell>
          <cell r="F1337" t="str">
            <v>MARACAIBO</v>
          </cell>
          <cell r="G1337">
            <v>0</v>
          </cell>
          <cell r="H1337"/>
          <cell r="I1337" t="str">
            <v>Z</v>
          </cell>
          <cell r="J1337" t="str">
            <v>Suspendido</v>
          </cell>
          <cell r="K1337">
            <v>16945.250093737613</v>
          </cell>
          <cell r="L1337">
            <v>4236.3125234344034</v>
          </cell>
          <cell r="M1337">
            <v>5163.5292979125379</v>
          </cell>
          <cell r="N1337" t="str">
            <v>Si Compra</v>
          </cell>
          <cell r="O1337">
            <v>4</v>
          </cell>
          <cell r="P1337">
            <v>0</v>
          </cell>
          <cell r="Q1337">
            <v>0</v>
          </cell>
          <cell r="R1337">
            <v>0</v>
          </cell>
          <cell r="V1337">
            <v>0</v>
          </cell>
          <cell r="W1337">
            <v>1.6175878516280185E-4</v>
          </cell>
          <cell r="X1337">
            <v>0</v>
          </cell>
          <cell r="Y1337" t="str">
            <v>Conquistar</v>
          </cell>
        </row>
        <row r="1338">
          <cell r="A1338" t="str">
            <v>8206</v>
          </cell>
          <cell r="B1338" t="str">
            <v>8206 - INVERSIONES MIGUENA 123, C.A</v>
          </cell>
          <cell r="C1338" t="str">
            <v>INDEPENDIENTE</v>
          </cell>
          <cell r="D1338">
            <v>3</v>
          </cell>
          <cell r="E1338"/>
          <cell r="F1338" t="str">
            <v>CARACAS</v>
          </cell>
          <cell r="G1338" t="str">
            <v>MAIRUBI QUIJADA</v>
          </cell>
          <cell r="H1338"/>
          <cell r="I1338" t="str">
            <v>C2</v>
          </cell>
          <cell r="J1338" t="str">
            <v>Activo</v>
          </cell>
          <cell r="K1338">
            <v>16933.15985658237</v>
          </cell>
          <cell r="L1338">
            <v>1881.46220628693</v>
          </cell>
          <cell r="M1338">
            <v>2062.7502279037767</v>
          </cell>
          <cell r="N1338" t="str">
            <v>Si Compra</v>
          </cell>
          <cell r="O1338">
            <v>8</v>
          </cell>
          <cell r="P1338">
            <v>53402.664979361783</v>
          </cell>
          <cell r="Q1338">
            <v>5933.6294421513094</v>
          </cell>
          <cell r="R1338">
            <v>3951.0974191503469</v>
          </cell>
          <cell r="T1338"/>
          <cell r="U1338"/>
          <cell r="V1338">
            <v>0.31708454743085257</v>
          </cell>
          <cell r="W1338">
            <v>7.1841498740977207E-5</v>
          </cell>
          <cell r="X1338">
            <v>9</v>
          </cell>
          <cell r="Y1338" t="str">
            <v>Potenciar</v>
          </cell>
        </row>
        <row r="1339">
          <cell r="A1339" t="str">
            <v>M128</v>
          </cell>
          <cell r="B1339" t="str">
            <v>M128 - FARMACIA KERDELL, C. A.</v>
          </cell>
          <cell r="C1339" t="str">
            <v>INDEPENDIENTE</v>
          </cell>
          <cell r="D1339">
            <v>3</v>
          </cell>
          <cell r="F1339" t="str">
            <v>CENTRO ESTE</v>
          </cell>
          <cell r="G1339" t="str">
            <v>ELIANA PERAZA</v>
          </cell>
          <cell r="H1339"/>
          <cell r="I1339" t="str">
            <v>M</v>
          </cell>
          <cell r="J1339" t="str">
            <v>Activo</v>
          </cell>
          <cell r="K1339">
            <v>16916.733654192842</v>
          </cell>
          <cell r="L1339">
            <v>1691.6733654192842</v>
          </cell>
          <cell r="M1339">
            <v>1177.4403568415319</v>
          </cell>
          <cell r="N1339" t="str">
            <v>Si Compra</v>
          </cell>
          <cell r="O1339">
            <v>10</v>
          </cell>
          <cell r="P1339">
            <v>81458.533096727318</v>
          </cell>
          <cell r="Q1339">
            <v>8145.8533096727315</v>
          </cell>
          <cell r="R1339">
            <v>6487.3360073851482</v>
          </cell>
          <cell r="V1339">
            <v>0.20767294734003122</v>
          </cell>
          <cell r="W1339">
            <v>6.4594627277556936E-5</v>
          </cell>
          <cell r="X1339">
            <v>10</v>
          </cell>
          <cell r="Y1339" t="str">
            <v>Conquistar</v>
          </cell>
        </row>
        <row r="1340">
          <cell r="A1340" t="str">
            <v>C891</v>
          </cell>
          <cell r="B1340" t="str">
            <v>C891 - FARMACIA ARIAN (FARMARIAN), C.A.</v>
          </cell>
          <cell r="C1340" t="str">
            <v>INDEPENDIENTE</v>
          </cell>
          <cell r="D1340">
            <v>3</v>
          </cell>
          <cell r="E1340"/>
          <cell r="F1340" t="str">
            <v>ANDES</v>
          </cell>
          <cell r="G1340" t="str">
            <v>MILAGRO BRICEñO</v>
          </cell>
          <cell r="H1340"/>
          <cell r="I1340" t="str">
            <v>G</v>
          </cell>
          <cell r="J1340" t="str">
            <v>Activo</v>
          </cell>
          <cell r="K1340">
            <v>16906.9103</v>
          </cell>
          <cell r="L1340">
            <v>1690.69103</v>
          </cell>
          <cell r="M1340">
            <v>914.90020000000004</v>
          </cell>
          <cell r="N1340" t="str">
            <v>Si Compra</v>
          </cell>
          <cell r="O1340">
            <v>10</v>
          </cell>
          <cell r="P1340">
            <v>94738.930299999993</v>
          </cell>
          <cell r="Q1340">
            <v>9473.8930299999993</v>
          </cell>
          <cell r="R1340">
            <v>8120.1773666666668</v>
          </cell>
          <cell r="T1340"/>
          <cell r="U1340"/>
          <cell r="V1340">
            <v>0.17845789736555639</v>
          </cell>
          <cell r="W1340">
            <v>6.4557117914598752E-5</v>
          </cell>
          <cell r="X1340">
            <v>10</v>
          </cell>
          <cell r="Y1340" t="str">
            <v>Conquistar</v>
          </cell>
        </row>
        <row r="1341">
          <cell r="A1341" t="str">
            <v>7371</v>
          </cell>
          <cell r="B1341" t="str">
            <v>7371 - FARMACIA FARMA IDEAL, C.A.</v>
          </cell>
          <cell r="C1341" t="str">
            <v>INDEPENDIENTE</v>
          </cell>
          <cell r="D1341">
            <v>3</v>
          </cell>
          <cell r="E1341"/>
          <cell r="F1341" t="str">
            <v>CENTRO ESTE</v>
          </cell>
          <cell r="G1341" t="str">
            <v>ELIANA PERAZA</v>
          </cell>
          <cell r="H1341"/>
          <cell r="I1341" t="str">
            <v>M</v>
          </cell>
          <cell r="J1341" t="str">
            <v>Activo</v>
          </cell>
          <cell r="K1341">
            <v>16894.326076722726</v>
          </cell>
          <cell r="L1341">
            <v>1689.4326076722725</v>
          </cell>
          <cell r="M1341">
            <v>901.28140612351297</v>
          </cell>
          <cell r="N1341" t="str">
            <v>Si Compra</v>
          </cell>
          <cell r="O1341">
            <v>10</v>
          </cell>
          <cell r="P1341">
            <v>74495.87223670879</v>
          </cell>
          <cell r="Q1341">
            <v>8277.319137412087</v>
          </cell>
          <cell r="R1341">
            <v>7058.8966391524227</v>
          </cell>
          <cell r="T1341"/>
          <cell r="U1341"/>
          <cell r="V1341">
            <v>0.20410383840781515</v>
          </cell>
          <cell r="W1341">
            <v>6.4509066486421798E-5</v>
          </cell>
          <cell r="X1341">
            <v>9</v>
          </cell>
          <cell r="Y1341" t="str">
            <v>Conquistar</v>
          </cell>
        </row>
        <row r="1342">
          <cell r="A1342" t="str">
            <v>D758</v>
          </cell>
          <cell r="B1342" t="str">
            <v>D758 - FARMACIA EL IMPERIO DE GERSON PIÑA, C.A</v>
          </cell>
          <cell r="C1342" t="str">
            <v>INDEPENDIENTE</v>
          </cell>
          <cell r="D1342">
            <v>3</v>
          </cell>
          <cell r="E1342"/>
          <cell r="F1342" t="str">
            <v>MARACAIBO</v>
          </cell>
          <cell r="G1342">
            <v>0</v>
          </cell>
          <cell r="H1342"/>
          <cell r="I1342" t="str">
            <v>BZ</v>
          </cell>
          <cell r="J1342" t="str">
            <v>Activo</v>
          </cell>
          <cell r="K1342">
            <v>16886.000960832622</v>
          </cell>
          <cell r="L1342">
            <v>1876.2223289814024</v>
          </cell>
          <cell r="M1342">
            <v>2275.1335804083651</v>
          </cell>
          <cell r="N1342" t="str">
            <v>Si Compra</v>
          </cell>
          <cell r="O1342">
            <v>9</v>
          </cell>
          <cell r="P1342">
            <v>0</v>
          </cell>
          <cell r="Q1342">
            <v>0</v>
          </cell>
          <cell r="R1342">
            <v>0</v>
          </cell>
          <cell r="T1342"/>
          <cell r="U1342"/>
          <cell r="V1342">
            <v>0</v>
          </cell>
          <cell r="W1342">
            <v>7.1641419973734338E-5</v>
          </cell>
          <cell r="X1342">
            <v>0</v>
          </cell>
          <cell r="Y1342" t="str">
            <v>Conquistar</v>
          </cell>
        </row>
        <row r="1343">
          <cell r="A1343" t="str">
            <v>B013</v>
          </cell>
          <cell r="B1343" t="str">
            <v>B013 - LA FARMACIA EL TIGRE, C.A.</v>
          </cell>
          <cell r="C1343" t="str">
            <v>INDEPENDIENTE</v>
          </cell>
          <cell r="D1343">
            <v>3</v>
          </cell>
          <cell r="E1343"/>
          <cell r="F1343" t="str">
            <v>ESTE</v>
          </cell>
          <cell r="G1343" t="str">
            <v>IRAIDA RODRIGUEZ</v>
          </cell>
          <cell r="H1343"/>
          <cell r="I1343" t="str">
            <v>AB</v>
          </cell>
          <cell r="J1343" t="str">
            <v>Activo</v>
          </cell>
          <cell r="K1343">
            <v>16831.528913109854</v>
          </cell>
          <cell r="L1343">
            <v>1683.1528913109855</v>
          </cell>
          <cell r="M1343">
            <v>1206.8757984498709</v>
          </cell>
          <cell r="N1343" t="str">
            <v>Si Compra</v>
          </cell>
          <cell r="O1343">
            <v>10</v>
          </cell>
          <cell r="P1343">
            <v>68115.481567634546</v>
          </cell>
          <cell r="Q1343">
            <v>6811.5481567634542</v>
          </cell>
          <cell r="R1343">
            <v>4991.7038080083958</v>
          </cell>
          <cell r="T1343"/>
          <cell r="U1343"/>
          <cell r="V1343">
            <v>0.24710283955633738</v>
          </cell>
          <cell r="W1343">
            <v>6.4269282645133038E-5</v>
          </cell>
          <cell r="X1343">
            <v>10</v>
          </cell>
          <cell r="Y1343" t="str">
            <v>Potenciar</v>
          </cell>
        </row>
        <row r="1344">
          <cell r="A1344" t="str">
            <v>A094</v>
          </cell>
          <cell r="B1344" t="str">
            <v>A094 - FOTOPIEL C.A.</v>
          </cell>
          <cell r="C1344" t="str">
            <v>INDEPENDIENTE</v>
          </cell>
          <cell r="D1344">
            <v>3</v>
          </cell>
          <cell r="E1344"/>
          <cell r="F1344" t="str">
            <v>CARACAS</v>
          </cell>
          <cell r="G1344" t="str">
            <v>WILLIAM ARAQUE</v>
          </cell>
          <cell r="H1344"/>
          <cell r="I1344" t="str">
            <v>C8</v>
          </cell>
          <cell r="J1344" t="str">
            <v>Activo</v>
          </cell>
          <cell r="K1344">
            <v>16810.170130376933</v>
          </cell>
          <cell r="L1344">
            <v>1681.0170130376932</v>
          </cell>
          <cell r="M1344">
            <v>2663.9425475696748</v>
          </cell>
          <cell r="N1344" t="str">
            <v>Si Compra</v>
          </cell>
          <cell r="O1344">
            <v>10</v>
          </cell>
          <cell r="P1344">
            <v>20569.513419538955</v>
          </cell>
          <cell r="Q1344">
            <v>2056.9513419538953</v>
          </cell>
          <cell r="R1344">
            <v>2821.7335537393938</v>
          </cell>
          <cell r="T1344"/>
          <cell r="U1344"/>
          <cell r="V1344">
            <v>0.81723713087004646</v>
          </cell>
          <cell r="W1344">
            <v>6.4187726557655511E-5</v>
          </cell>
          <cell r="X1344">
            <v>10</v>
          </cell>
          <cell r="Y1344" t="str">
            <v>Proteger</v>
          </cell>
        </row>
        <row r="1345">
          <cell r="A1345" t="str">
            <v>D773</v>
          </cell>
          <cell r="B1345" t="str">
            <v>D773 - EXPENDIO DE MEDICINAS FARMAFE C.A</v>
          </cell>
          <cell r="C1345" t="str">
            <v>INDEPENDIENTE</v>
          </cell>
          <cell r="D1345">
            <v>1</v>
          </cell>
          <cell r="E1345"/>
          <cell r="F1345" t="str">
            <v>ANDES</v>
          </cell>
          <cell r="G1345">
            <v>0</v>
          </cell>
          <cell r="H1345"/>
          <cell r="I1345" t="str">
            <v>G</v>
          </cell>
          <cell r="J1345" t="str">
            <v>Activo</v>
          </cell>
          <cell r="K1345">
            <v>16804.081048981272</v>
          </cell>
          <cell r="L1345">
            <v>2100.510131122659</v>
          </cell>
          <cell r="M1345">
            <v>2891.6412999999998</v>
          </cell>
          <cell r="N1345" t="str">
            <v>Si Compra</v>
          </cell>
          <cell r="O1345">
            <v>8</v>
          </cell>
          <cell r="P1345">
            <v>0</v>
          </cell>
          <cell r="Q1345">
            <v>0</v>
          </cell>
          <cell r="R1345">
            <v>0</v>
          </cell>
          <cell r="T1345"/>
          <cell r="U1345"/>
          <cell r="V1345">
            <v>0</v>
          </cell>
          <cell r="W1345">
            <v>8.0205595114380405E-5</v>
          </cell>
          <cell r="X1345">
            <v>0</v>
          </cell>
          <cell r="Y1345" t="str">
            <v>Conquistar</v>
          </cell>
        </row>
        <row r="1346">
          <cell r="A1346" t="str">
            <v>C873</v>
          </cell>
          <cell r="B1346" t="str">
            <v>C873 - FARMACIA Y SUMINISTROS ESTETOSCOPIO VENEZUELA C A</v>
          </cell>
          <cell r="C1346" t="str">
            <v>INDEPENDIENTE</v>
          </cell>
          <cell r="D1346">
            <v>3</v>
          </cell>
          <cell r="E1346"/>
          <cell r="F1346" t="str">
            <v>ESTE</v>
          </cell>
          <cell r="G1346" t="str">
            <v>PEDRO VIRE</v>
          </cell>
          <cell r="H1346" t="str">
            <v>HECTOR</v>
          </cell>
          <cell r="I1346" t="str">
            <v>A7</v>
          </cell>
          <cell r="J1346" t="str">
            <v>Inactivo</v>
          </cell>
          <cell r="K1346">
            <v>16793.698424116967</v>
          </cell>
          <cell r="L1346">
            <v>1865.9664915685519</v>
          </cell>
          <cell r="M1346">
            <v>1638.5725722143281</v>
          </cell>
          <cell r="N1346" t="str">
            <v>Si Compra</v>
          </cell>
          <cell r="O1346">
            <v>9</v>
          </cell>
          <cell r="P1346">
            <v>85599.404965726921</v>
          </cell>
          <cell r="Q1346">
            <v>9511.0449961918803</v>
          </cell>
          <cell r="R1346">
            <v>9375.6155222630587</v>
          </cell>
          <cell r="T1346"/>
          <cell r="U1346"/>
          <cell r="V1346">
            <v>0.19618942948074208</v>
          </cell>
          <cell r="W1346">
            <v>7.1249812463298592E-5</v>
          </cell>
          <cell r="X1346">
            <v>9</v>
          </cell>
          <cell r="Y1346" t="str">
            <v>Conquistar</v>
          </cell>
        </row>
        <row r="1347">
          <cell r="A1347" t="str">
            <v>8017</v>
          </cell>
          <cell r="B1347" t="str">
            <v>8017 - FARMACIA  MEDIFARM, C.A</v>
          </cell>
          <cell r="C1347" t="str">
            <v>INDEPENDIENTE</v>
          </cell>
          <cell r="D1347">
            <v>3</v>
          </cell>
          <cell r="E1347"/>
          <cell r="F1347" t="str">
            <v>ESTE</v>
          </cell>
          <cell r="G1347" t="str">
            <v>ADOLFO GONZALEZ</v>
          </cell>
          <cell r="H1347"/>
          <cell r="I1347" t="str">
            <v>A8</v>
          </cell>
          <cell r="J1347" t="str">
            <v>Activo</v>
          </cell>
          <cell r="K1347">
            <v>16778.901010507532</v>
          </cell>
          <cell r="L1347">
            <v>1677.8901010507532</v>
          </cell>
          <cell r="M1347">
            <v>1412.0704999999998</v>
          </cell>
          <cell r="N1347" t="str">
            <v>Si Compra</v>
          </cell>
          <cell r="O1347">
            <v>10</v>
          </cell>
          <cell r="P1347">
            <v>811848.09077713278</v>
          </cell>
          <cell r="Q1347">
            <v>81184.809077713275</v>
          </cell>
          <cell r="R1347">
            <v>73669.506699999998</v>
          </cell>
          <cell r="T1347"/>
          <cell r="U1347"/>
          <cell r="V1347">
            <v>2.0667537684847064E-2</v>
          </cell>
          <cell r="W1347">
            <v>6.4068328972722758E-5</v>
          </cell>
          <cell r="X1347">
            <v>10</v>
          </cell>
          <cell r="Y1347" t="str">
            <v>Conquistar</v>
          </cell>
        </row>
        <row r="1348">
          <cell r="A1348" t="str">
            <v>8595</v>
          </cell>
          <cell r="B1348" t="str">
            <v>8595 - FARMACIA RIBERO, C.A</v>
          </cell>
          <cell r="C1348" t="str">
            <v>INDEPENDIENTE</v>
          </cell>
          <cell r="D1348">
            <v>3</v>
          </cell>
          <cell r="E1348"/>
          <cell r="F1348" t="str">
            <v>ESTE</v>
          </cell>
          <cell r="G1348" t="str">
            <v>CARLOS BLONDELL</v>
          </cell>
          <cell r="H1348"/>
          <cell r="I1348" t="str">
            <v>A5</v>
          </cell>
          <cell r="J1348" t="str">
            <v>Activo</v>
          </cell>
          <cell r="K1348">
            <v>16764.434699999998</v>
          </cell>
          <cell r="L1348">
            <v>1676.4434699999997</v>
          </cell>
          <cell r="M1348">
            <v>1231.7793333333332</v>
          </cell>
          <cell r="N1348" t="str">
            <v>Si Compra</v>
          </cell>
          <cell r="O1348">
            <v>10</v>
          </cell>
          <cell r="P1348">
            <v>102812.03170000001</v>
          </cell>
          <cell r="Q1348">
            <v>10281.203170000001</v>
          </cell>
          <cell r="R1348">
            <v>9956.3149666666668</v>
          </cell>
          <cell r="T1348"/>
          <cell r="U1348"/>
          <cell r="V1348">
            <v>0.1630590741453074</v>
          </cell>
          <cell r="W1348">
            <v>6.401309100808861E-5</v>
          </cell>
          <cell r="X1348">
            <v>10</v>
          </cell>
          <cell r="Y1348" t="str">
            <v>Conquistar</v>
          </cell>
        </row>
        <row r="1349">
          <cell r="A1349" t="str">
            <v>D234</v>
          </cell>
          <cell r="B1349" t="str">
            <v>D234 - INVERSIONES GRANPHARMA, C.A.</v>
          </cell>
          <cell r="C1349" t="str">
            <v>INDEPENDIENTE</v>
          </cell>
          <cell r="D1349">
            <v>3</v>
          </cell>
          <cell r="E1349"/>
          <cell r="F1349" t="str">
            <v>CARACAS</v>
          </cell>
          <cell r="G1349">
            <v>0</v>
          </cell>
          <cell r="H1349"/>
          <cell r="I1349" t="str">
            <v>CF</v>
          </cell>
          <cell r="J1349" t="str">
            <v>Inactivo</v>
          </cell>
          <cell r="K1349">
            <v>16733.270555651117</v>
          </cell>
          <cell r="L1349">
            <v>2788.878425941853</v>
          </cell>
          <cell r="M1349">
            <v>1751.0434333333333</v>
          </cell>
          <cell r="N1349" t="str">
            <v>Si Compra</v>
          </cell>
          <cell r="O1349">
            <v>5</v>
          </cell>
          <cell r="P1349">
            <v>0</v>
          </cell>
          <cell r="Q1349">
            <v>0</v>
          </cell>
          <cell r="R1349">
            <v>0</v>
          </cell>
          <cell r="T1349"/>
          <cell r="U1349"/>
          <cell r="V1349">
            <v>0</v>
          </cell>
          <cell r="W1349">
            <v>1.0649015710044239E-4</v>
          </cell>
          <cell r="X1349">
            <v>0</v>
          </cell>
          <cell r="Y1349" t="str">
            <v>Conquistar</v>
          </cell>
        </row>
        <row r="1350">
          <cell r="A1350" t="str">
            <v>0235</v>
          </cell>
          <cell r="B1350" t="str">
            <v>0235 - ASOCIACION COOPERATIVA DE SERVICIOS MULTIPLES ARAYA, R.L.</v>
          </cell>
          <cell r="C1350" t="str">
            <v>INDEPENDIENTE</v>
          </cell>
          <cell r="D1350">
            <v>3</v>
          </cell>
          <cell r="E1350"/>
          <cell r="F1350" t="str">
            <v>ESTE</v>
          </cell>
          <cell r="G1350">
            <v>0</v>
          </cell>
          <cell r="H1350"/>
          <cell r="I1350" t="str">
            <v>A3</v>
          </cell>
          <cell r="J1350" t="str">
            <v>Permiso</v>
          </cell>
          <cell r="K1350">
            <v>16686.512015617089</v>
          </cell>
          <cell r="L1350">
            <v>1854.056890624121</v>
          </cell>
          <cell r="M1350">
            <v>2359.5063036556494</v>
          </cell>
          <cell r="N1350" t="str">
            <v>Si Compra</v>
          </cell>
          <cell r="O1350">
            <v>9</v>
          </cell>
          <cell r="P1350">
            <v>0</v>
          </cell>
          <cell r="Q1350">
            <v>0</v>
          </cell>
          <cell r="R1350">
            <v>0</v>
          </cell>
          <cell r="T1350"/>
          <cell r="U1350"/>
          <cell r="V1350">
            <v>0</v>
          </cell>
          <cell r="W1350">
            <v>7.0795057869559814E-5</v>
          </cell>
          <cell r="X1350">
            <v>0</v>
          </cell>
          <cell r="Y1350" t="str">
            <v>Conquistar</v>
          </cell>
        </row>
        <row r="1351">
          <cell r="A1351" t="str">
            <v>B398</v>
          </cell>
          <cell r="B1351" t="str">
            <v>B398 - FOTOPIEL AVILA, C.A.</v>
          </cell>
          <cell r="C1351" t="str">
            <v>INDEPENDIENTE</v>
          </cell>
          <cell r="D1351">
            <v>3</v>
          </cell>
          <cell r="E1351"/>
          <cell r="F1351" t="str">
            <v>CARACAS</v>
          </cell>
          <cell r="G1351" t="str">
            <v>JHON TORRES</v>
          </cell>
          <cell r="H1351"/>
          <cell r="I1351" t="str">
            <v>C4</v>
          </cell>
          <cell r="J1351" t="str">
            <v>Inactivo</v>
          </cell>
          <cell r="K1351">
            <v>16668.902007015495</v>
          </cell>
          <cell r="L1351">
            <v>1666.8902007015495</v>
          </cell>
          <cell r="M1351">
            <v>2624.6190751216072</v>
          </cell>
          <cell r="N1351" t="str">
            <v>Si Compra</v>
          </cell>
          <cell r="O1351">
            <v>10</v>
          </cell>
          <cell r="P1351">
            <v>23155.0095183062</v>
          </cell>
          <cell r="Q1351">
            <v>2315.5009518306201</v>
          </cell>
          <cell r="R1351">
            <v>2780.4380149125227</v>
          </cell>
          <cell r="T1351"/>
          <cell r="U1351"/>
          <cell r="V1351">
            <v>0.71988318527086625</v>
          </cell>
          <cell r="W1351">
            <v>6.3648310263631733E-5</v>
          </cell>
          <cell r="X1351">
            <v>10</v>
          </cell>
          <cell r="Y1351" t="str">
            <v>Proteger</v>
          </cell>
        </row>
        <row r="1352">
          <cell r="A1352" t="str">
            <v>D313</v>
          </cell>
          <cell r="B1352" t="str">
            <v>D313 - SERVI FARMA 12, C.A.</v>
          </cell>
          <cell r="C1352" t="str">
            <v>INDEPENDIENTE</v>
          </cell>
          <cell r="D1352">
            <v>3</v>
          </cell>
          <cell r="E1352"/>
          <cell r="F1352" t="str">
            <v>CARACAS</v>
          </cell>
          <cell r="G1352" t="str">
            <v>RAMON SERRANO</v>
          </cell>
          <cell r="H1352"/>
          <cell r="I1352" t="str">
            <v>CB</v>
          </cell>
          <cell r="J1352" t="str">
            <v>Activo</v>
          </cell>
          <cell r="K1352">
            <v>16652.341425389128</v>
          </cell>
          <cell r="L1352">
            <v>1665.2341425389127</v>
          </cell>
          <cell r="M1352">
            <v>1031.543008795046</v>
          </cell>
          <cell r="N1352" t="str">
            <v>Si Compra</v>
          </cell>
          <cell r="O1352">
            <v>10</v>
          </cell>
          <cell r="P1352">
            <v>56102.471450384721</v>
          </cell>
          <cell r="Q1352">
            <v>5610.2471450384719</v>
          </cell>
          <cell r="R1352">
            <v>4058.1668176662838</v>
          </cell>
          <cell r="T1352"/>
          <cell r="U1352"/>
          <cell r="V1352">
            <v>0.29682010426431821</v>
          </cell>
          <cell r="W1352">
            <v>6.3585075562446391E-5</v>
          </cell>
          <cell r="X1352">
            <v>10</v>
          </cell>
          <cell r="Y1352" t="str">
            <v>Potenciar</v>
          </cell>
        </row>
        <row r="1353">
          <cell r="A1353" t="str">
            <v>7027</v>
          </cell>
          <cell r="B1353" t="str">
            <v>7027 - FARMACIA SAN ANTONIO II,C.A</v>
          </cell>
          <cell r="C1353" t="str">
            <v>INDEPENDIENTE</v>
          </cell>
          <cell r="D1353">
            <v>3</v>
          </cell>
          <cell r="E1353"/>
          <cell r="F1353" t="str">
            <v>CENTRO OESTE</v>
          </cell>
          <cell r="G1353" t="str">
            <v>SORALI SILVA</v>
          </cell>
          <cell r="H1353"/>
          <cell r="I1353" t="str">
            <v>C</v>
          </cell>
          <cell r="J1353" t="str">
            <v>Activo</v>
          </cell>
          <cell r="K1353">
            <v>16630.792307748852</v>
          </cell>
          <cell r="L1353">
            <v>1663.0792307748852</v>
          </cell>
          <cell r="M1353">
            <v>1688.3334247231669</v>
          </cell>
          <cell r="N1353" t="str">
            <v>Si Compra</v>
          </cell>
          <cell r="O1353">
            <v>10</v>
          </cell>
          <cell r="P1353">
            <v>19826.193153802556</v>
          </cell>
          <cell r="Q1353">
            <v>1982.6193153802556</v>
          </cell>
          <cell r="R1353">
            <v>1771.0539737917552</v>
          </cell>
          <cell r="T1353"/>
          <cell r="U1353"/>
          <cell r="V1353">
            <v>0.83882932939948474</v>
          </cell>
          <cell r="W1353">
            <v>6.3502792702729632E-5</v>
          </cell>
          <cell r="X1353">
            <v>10</v>
          </cell>
          <cell r="Y1353" t="str">
            <v>Proteger</v>
          </cell>
        </row>
        <row r="1354">
          <cell r="A1354" t="str">
            <v>C890</v>
          </cell>
          <cell r="B1354" t="str">
            <v>C890 - FARMACIA FARMAFE, C.A.</v>
          </cell>
          <cell r="C1354" t="str">
            <v>INDEPENDIENTE</v>
          </cell>
          <cell r="D1354">
            <v>3</v>
          </cell>
          <cell r="E1354"/>
          <cell r="F1354" t="str">
            <v>ANDES</v>
          </cell>
          <cell r="G1354" t="str">
            <v>ZULAY PARRA</v>
          </cell>
          <cell r="H1354"/>
          <cell r="I1354" t="str">
            <v>5</v>
          </cell>
          <cell r="J1354" t="str">
            <v>Activo</v>
          </cell>
          <cell r="K1354">
            <v>16594.376743034038</v>
          </cell>
          <cell r="L1354">
            <v>1659.4376743034038</v>
          </cell>
          <cell r="M1354">
            <v>993.14063333333343</v>
          </cell>
          <cell r="N1354" t="str">
            <v>Si Compra</v>
          </cell>
          <cell r="O1354">
            <v>10</v>
          </cell>
          <cell r="P1354">
            <v>44599.821100133733</v>
          </cell>
          <cell r="Q1354">
            <v>4459.9821100133731</v>
          </cell>
          <cell r="R1354">
            <v>3256.6160666666669</v>
          </cell>
          <cell r="T1354"/>
          <cell r="U1354"/>
          <cell r="V1354">
            <v>0.37207271988327056</v>
          </cell>
          <cell r="W1354">
            <v>6.3363744002316227E-5</v>
          </cell>
          <cell r="X1354">
            <v>10</v>
          </cell>
          <cell r="Y1354" t="str">
            <v>Potenciar</v>
          </cell>
        </row>
        <row r="1355">
          <cell r="A1355" t="str">
            <v>8144</v>
          </cell>
          <cell r="B1355" t="str">
            <v>8144 - FARMACIA PHARMATENCION AGUERREVERE,C.A.</v>
          </cell>
          <cell r="C1355" t="e">
            <v>#N/A</v>
          </cell>
          <cell r="D1355">
            <v>2</v>
          </cell>
          <cell r="E1355"/>
          <cell r="F1355" t="str">
            <v>CARACAS</v>
          </cell>
          <cell r="G1355" t="str">
            <v>JHON TORRES</v>
          </cell>
          <cell r="H1355"/>
          <cell r="I1355" t="str">
            <v>2</v>
          </cell>
          <cell r="J1355" t="str">
            <v>Bloqueado</v>
          </cell>
          <cell r="K1355">
            <v>16511.631531738418</v>
          </cell>
          <cell r="L1355">
            <v>1834.6257257487132</v>
          </cell>
          <cell r="M1355">
            <v>1218.6437845037397</v>
          </cell>
          <cell r="N1355" t="str">
            <v>Si Compra</v>
          </cell>
          <cell r="O1355">
            <v>9</v>
          </cell>
          <cell r="P1355">
            <v>91315.357980709698</v>
          </cell>
          <cell r="Q1355">
            <v>10146.150886745521</v>
          </cell>
          <cell r="R1355">
            <v>7153.1887191900223</v>
          </cell>
          <cell r="T1355"/>
          <cell r="U1355"/>
          <cell r="V1355">
            <v>0.18081987408105535</v>
          </cell>
          <cell r="W1355">
            <v>7.0053100894677353E-5</v>
          </cell>
          <cell r="X1355">
            <v>9</v>
          </cell>
          <cell r="Y1355" t="str">
            <v>Conquistar</v>
          </cell>
        </row>
        <row r="1356">
          <cell r="A1356" t="str">
            <v>0431</v>
          </cell>
          <cell r="B1356" t="str">
            <v>BOTICA MAS</v>
          </cell>
          <cell r="C1356" t="str">
            <v>GRUPO</v>
          </cell>
          <cell r="D1356">
            <v>0</v>
          </cell>
          <cell r="E1356"/>
          <cell r="F1356" t="str">
            <v>ESTE</v>
          </cell>
          <cell r="G1356" t="str">
            <v>CARLOS BLONDELL</v>
          </cell>
          <cell r="H1356"/>
          <cell r="I1356" t="str">
            <v>A3</v>
          </cell>
          <cell r="J1356" t="str">
            <v>Bloqueado</v>
          </cell>
          <cell r="K1356">
            <v>16505.207618014781</v>
          </cell>
          <cell r="L1356">
            <v>4126.3019045036954</v>
          </cell>
          <cell r="M1356">
            <v>0</v>
          </cell>
          <cell r="N1356" t="str">
            <v>No Compra</v>
          </cell>
          <cell r="O1356">
            <v>4</v>
          </cell>
          <cell r="P1356">
            <v>83394.814218014973</v>
          </cell>
          <cell r="Q1356">
            <v>20848.703554503743</v>
          </cell>
          <cell r="R1356">
            <v>0</v>
          </cell>
          <cell r="T1356"/>
          <cell r="U1356"/>
          <cell r="V1356">
            <v>0.19791647445686522</v>
          </cell>
          <cell r="W1356">
            <v>1.5755815454955035E-4</v>
          </cell>
          <cell r="X1356">
            <v>4</v>
          </cell>
          <cell r="Y1356" t="str">
            <v>Conquistar</v>
          </cell>
        </row>
        <row r="1357">
          <cell r="A1357" t="str">
            <v>D874</v>
          </cell>
          <cell r="B1357" t="str">
            <v>D874 - FARMACIA GUARAQUE C.A.</v>
          </cell>
          <cell r="C1357" t="str">
            <v>INDEPENDIENTE</v>
          </cell>
          <cell r="D1357">
            <v>3</v>
          </cell>
          <cell r="E1357"/>
          <cell r="F1357" t="str">
            <v>ANDES</v>
          </cell>
          <cell r="G1357">
            <v>0</v>
          </cell>
          <cell r="H1357"/>
          <cell r="I1357" t="str">
            <v>5</v>
          </cell>
          <cell r="J1357" t="str">
            <v>Activo</v>
          </cell>
          <cell r="K1357">
            <v>16450.555400000001</v>
          </cell>
          <cell r="L1357">
            <v>1645.0555400000001</v>
          </cell>
          <cell r="M1357">
            <v>2087.8862666666664</v>
          </cell>
          <cell r="N1357" t="str">
            <v>Si Compra</v>
          </cell>
          <cell r="O1357">
            <v>10</v>
          </cell>
          <cell r="P1357">
            <v>0</v>
          </cell>
          <cell r="Q1357">
            <v>0</v>
          </cell>
          <cell r="R1357">
            <v>0</v>
          </cell>
          <cell r="T1357"/>
          <cell r="U1357"/>
          <cell r="V1357">
            <v>0</v>
          </cell>
          <cell r="W1357">
            <v>6.2814578528782943E-5</v>
          </cell>
          <cell r="X1357">
            <v>0</v>
          </cell>
          <cell r="Y1357" t="str">
            <v>Conquistar</v>
          </cell>
        </row>
        <row r="1358">
          <cell r="A1358" t="str">
            <v>383</v>
          </cell>
          <cell r="B1358" t="str">
            <v>383 - PABON  CARMEN  (FARMA MERIDA)</v>
          </cell>
          <cell r="C1358" t="str">
            <v>INDEPENDIENTE</v>
          </cell>
          <cell r="D1358">
            <v>3</v>
          </cell>
          <cell r="E1358"/>
          <cell r="F1358" t="str">
            <v>ANDES</v>
          </cell>
          <cell r="G1358" t="str">
            <v>JESUS CONTRERAS</v>
          </cell>
          <cell r="H1358"/>
          <cell r="I1358" t="str">
            <v>G2</v>
          </cell>
          <cell r="J1358" t="str">
            <v>Activo</v>
          </cell>
          <cell r="K1358">
            <v>16442.897594284197</v>
          </cell>
          <cell r="L1358">
            <v>1644.2897594284198</v>
          </cell>
          <cell r="M1358">
            <v>1598.7898000000002</v>
          </cell>
          <cell r="N1358" t="str">
            <v>Si Compra</v>
          </cell>
          <cell r="O1358">
            <v>10</v>
          </cell>
          <cell r="P1358">
            <v>18506.253866730451</v>
          </cell>
          <cell r="Q1358">
            <v>1850.6253866730451</v>
          </cell>
          <cell r="R1358">
            <v>1461.7792999999999</v>
          </cell>
          <cell r="T1358"/>
          <cell r="U1358"/>
          <cell r="V1358">
            <v>0.88850491907734797</v>
          </cell>
          <cell r="W1358">
            <v>6.2785338066877717E-5</v>
          </cell>
          <cell r="X1358">
            <v>10</v>
          </cell>
          <cell r="Y1358" t="str">
            <v>Proteger</v>
          </cell>
        </row>
        <row r="1359">
          <cell r="A1359" t="str">
            <v>5216</v>
          </cell>
          <cell r="B1359" t="str">
            <v>5216 - FARMACIA FARMALUZ EXPRESS, C.A.</v>
          </cell>
          <cell r="C1359" t="str">
            <v>INDEPENDIENTE</v>
          </cell>
          <cell r="D1359">
            <v>3</v>
          </cell>
          <cell r="E1359"/>
          <cell r="F1359" t="str">
            <v>CARACAS</v>
          </cell>
          <cell r="G1359" t="str">
            <v>MAIRE ACOSTA FERNANDEZ</v>
          </cell>
          <cell r="H1359"/>
          <cell r="I1359" t="str">
            <v>C9</v>
          </cell>
          <cell r="J1359" t="str">
            <v>Activo</v>
          </cell>
          <cell r="K1359">
            <v>16434.234277001982</v>
          </cell>
          <cell r="L1359">
            <v>1643.4234277001983</v>
          </cell>
          <cell r="M1359">
            <v>1164.1360666666667</v>
          </cell>
          <cell r="N1359" t="str">
            <v>Si Compra</v>
          </cell>
          <cell r="O1359">
            <v>10</v>
          </cell>
          <cell r="P1359">
            <v>45256.39851396186</v>
          </cell>
          <cell r="Q1359">
            <v>4525.6398513961858</v>
          </cell>
          <cell r="R1359">
            <v>2984.0697999999998</v>
          </cell>
          <cell r="T1359"/>
          <cell r="U1359"/>
          <cell r="V1359">
            <v>0.36313614906700825</v>
          </cell>
          <cell r="W1359">
            <v>6.2752258173189544E-5</v>
          </cell>
          <cell r="X1359">
            <v>10</v>
          </cell>
          <cell r="Y1359" t="str">
            <v>Potenciar</v>
          </cell>
        </row>
        <row r="1360">
          <cell r="A1360" t="str">
            <v>D252</v>
          </cell>
          <cell r="B1360" t="str">
            <v>D252 - FARMASUCA, C.A.</v>
          </cell>
          <cell r="C1360" t="str">
            <v>INDEPENDIENTE</v>
          </cell>
          <cell r="D1360">
            <v>3</v>
          </cell>
          <cell r="E1360"/>
          <cell r="F1360" t="str">
            <v>ANDES</v>
          </cell>
          <cell r="G1360" t="str">
            <v>ZULAY PARRA</v>
          </cell>
          <cell r="H1360"/>
          <cell r="I1360" t="str">
            <v>5</v>
          </cell>
          <cell r="J1360" t="str">
            <v>Activo</v>
          </cell>
          <cell r="K1360">
            <v>16392.697106739008</v>
          </cell>
          <cell r="L1360">
            <v>1639.2697106739008</v>
          </cell>
          <cell r="M1360">
            <v>1968.4758022463357</v>
          </cell>
          <cell r="N1360" t="str">
            <v>Si Compra</v>
          </cell>
          <cell r="O1360">
            <v>10</v>
          </cell>
          <cell r="P1360">
            <v>40557.164155579798</v>
          </cell>
          <cell r="Q1360">
            <v>4055.7164155579799</v>
          </cell>
          <cell r="R1360">
            <v>3974.2555185266006</v>
          </cell>
          <cell r="T1360"/>
          <cell r="U1360"/>
          <cell r="V1360">
            <v>0.4041874585672609</v>
          </cell>
          <cell r="W1360">
            <v>6.2593653203332598E-5</v>
          </cell>
          <cell r="X1360">
            <v>10</v>
          </cell>
          <cell r="Y1360" t="str">
            <v>Potenciar</v>
          </cell>
        </row>
        <row r="1361">
          <cell r="A1361" t="str">
            <v>B369</v>
          </cell>
          <cell r="B1361" t="str">
            <v>B369 - FARMADELI, C.A.</v>
          </cell>
          <cell r="C1361" t="str">
            <v>INDEPENDIENTE</v>
          </cell>
          <cell r="D1361">
            <v>3</v>
          </cell>
          <cell r="E1361"/>
          <cell r="F1361" t="str">
            <v>CENTRO OESTE</v>
          </cell>
          <cell r="G1361" t="str">
            <v>LUIS PLACERES</v>
          </cell>
          <cell r="H1361"/>
          <cell r="I1361" t="str">
            <v>E</v>
          </cell>
          <cell r="J1361" t="str">
            <v>Activo</v>
          </cell>
          <cell r="K1361">
            <v>16355.143735848011</v>
          </cell>
          <cell r="L1361">
            <v>1635.514373584801</v>
          </cell>
          <cell r="M1361">
            <v>2626.5102486713286</v>
          </cell>
          <cell r="N1361" t="str">
            <v>Si Compra</v>
          </cell>
          <cell r="O1361">
            <v>10</v>
          </cell>
          <cell r="P1361">
            <v>17135.938184105813</v>
          </cell>
          <cell r="Q1361">
            <v>1713.5938184105812</v>
          </cell>
          <cell r="R1361">
            <v>2632.7877306763253</v>
          </cell>
          <cell r="T1361"/>
          <cell r="U1361"/>
          <cell r="V1361">
            <v>0.95443526698864867</v>
          </cell>
          <cell r="W1361">
            <v>6.2450259919185296E-5</v>
          </cell>
          <cell r="X1361">
            <v>10</v>
          </cell>
          <cell r="Y1361" t="str">
            <v>Proteger</v>
          </cell>
        </row>
        <row r="1362">
          <cell r="A1362" t="str">
            <v>A348</v>
          </cell>
          <cell r="B1362" t="str">
            <v>A348 - FARMA MUNDO,C.A.</v>
          </cell>
          <cell r="C1362" t="str">
            <v>INDEPENDIENTE</v>
          </cell>
          <cell r="D1362">
            <v>2</v>
          </cell>
          <cell r="E1362"/>
          <cell r="F1362" t="str">
            <v>ESTE</v>
          </cell>
          <cell r="G1362" t="str">
            <v>JOSE RAMIREZ</v>
          </cell>
          <cell r="H1362"/>
          <cell r="I1362" t="str">
            <v>A4</v>
          </cell>
          <cell r="J1362" t="str">
            <v>Activo</v>
          </cell>
          <cell r="K1362">
            <v>16339.778720805649</v>
          </cell>
          <cell r="L1362">
            <v>1815.5309689784053</v>
          </cell>
          <cell r="M1362">
            <v>928.00013102522132</v>
          </cell>
          <cell r="N1362" t="str">
            <v>Si Compra</v>
          </cell>
          <cell r="O1362">
            <v>9</v>
          </cell>
          <cell r="P1362">
            <v>80157.555125006824</v>
          </cell>
          <cell r="Q1362">
            <v>8906.3950138896471</v>
          </cell>
          <cell r="R1362">
            <v>10945.389570568146</v>
          </cell>
          <cell r="T1362"/>
          <cell r="U1362"/>
          <cell r="V1362">
            <v>0.20384577218358937</v>
          </cell>
          <cell r="W1362">
            <v>6.9323989281438751E-5</v>
          </cell>
          <cell r="X1362">
            <v>9</v>
          </cell>
          <cell r="Y1362" t="str">
            <v>Conquistar</v>
          </cell>
        </row>
        <row r="1363">
          <cell r="A1363" t="str">
            <v>D205</v>
          </cell>
          <cell r="B1363" t="str">
            <v>D205 - FARMACIA FARMATEM HOGAR NRO 2, C.A.</v>
          </cell>
          <cell r="C1363" t="str">
            <v>INDEPENDIENTE</v>
          </cell>
          <cell r="D1363">
            <v>3</v>
          </cell>
          <cell r="E1363"/>
          <cell r="F1363" t="str">
            <v>MARACAIBO</v>
          </cell>
          <cell r="G1363" t="str">
            <v>JOEL JIMENEZ</v>
          </cell>
          <cell r="H1363"/>
          <cell r="I1363" t="str">
            <v>D</v>
          </cell>
          <cell r="J1363" t="str">
            <v>Activo</v>
          </cell>
          <cell r="K1363">
            <v>16320.538273295422</v>
          </cell>
          <cell r="L1363">
            <v>1632.0538273295422</v>
          </cell>
          <cell r="M1363">
            <v>3008.583084128657</v>
          </cell>
          <cell r="N1363" t="str">
            <v>Si Compra</v>
          </cell>
          <cell r="O1363">
            <v>10</v>
          </cell>
          <cell r="P1363">
            <v>77410.468584863993</v>
          </cell>
          <cell r="Q1363">
            <v>7741.0468584863993</v>
          </cell>
          <cell r="R1363">
            <v>25240.939526854359</v>
          </cell>
          <cell r="T1363"/>
          <cell r="U1363"/>
          <cell r="V1363">
            <v>0.21083115206056979</v>
          </cell>
          <cell r="W1363">
            <v>6.2318122888417672E-5</v>
          </cell>
          <cell r="X1363">
            <v>6</v>
          </cell>
          <cell r="Y1363" t="str">
            <v>Potenciar</v>
          </cell>
        </row>
        <row r="1364">
          <cell r="A1364" t="str">
            <v>1455</v>
          </cell>
          <cell r="B1364" t="str">
            <v>1455 - FARMACIA DON AHORRO, C.A</v>
          </cell>
          <cell r="C1364" t="e">
            <v>#N/A</v>
          </cell>
          <cell r="D1364">
            <v>3</v>
          </cell>
          <cell r="E1364"/>
          <cell r="F1364" t="str">
            <v>MARACAIBO</v>
          </cell>
          <cell r="G1364" t="str">
            <v>YENNIFER LUZARDO</v>
          </cell>
          <cell r="H1364"/>
          <cell r="I1364" t="str">
            <v>BE</v>
          </cell>
          <cell r="J1364" t="str">
            <v>Activo</v>
          </cell>
          <cell r="K1364">
            <v>16298.598215840353</v>
          </cell>
          <cell r="L1364">
            <v>5432.8660719467844</v>
          </cell>
          <cell r="M1364">
            <v>5432.8660719467844</v>
          </cell>
          <cell r="N1364" t="str">
            <v>Si Compra</v>
          </cell>
          <cell r="O1364">
            <v>3</v>
          </cell>
          <cell r="P1364">
            <v>26918.227855702669</v>
          </cell>
          <cell r="Q1364">
            <v>8972.7426185675558</v>
          </cell>
          <cell r="R1364">
            <v>8972.7426185675558</v>
          </cell>
          <cell r="T1364"/>
          <cell r="U1364"/>
          <cell r="V1364">
            <v>0.60548555808392379</v>
          </cell>
          <cell r="W1364">
            <v>2.0744782423130943E-4</v>
          </cell>
          <cell r="X1364">
            <v>3</v>
          </cell>
          <cell r="Y1364" t="str">
            <v>Potenciar</v>
          </cell>
        </row>
        <row r="1365">
          <cell r="A1365" t="str">
            <v>1583</v>
          </cell>
          <cell r="B1365" t="str">
            <v>1583 - TODOFARMA, C.A</v>
          </cell>
          <cell r="C1365" t="str">
            <v>INDEPENDIENTE</v>
          </cell>
          <cell r="D1365">
            <v>3</v>
          </cell>
          <cell r="E1365"/>
          <cell r="F1365" t="str">
            <v>ESTE</v>
          </cell>
          <cell r="G1365" t="str">
            <v>CARLOS BLONDELL</v>
          </cell>
          <cell r="H1365"/>
          <cell r="I1365" t="str">
            <v>A5</v>
          </cell>
          <cell r="J1365" t="str">
            <v>Inactivo</v>
          </cell>
          <cell r="K1365">
            <v>16232.686206767865</v>
          </cell>
          <cell r="L1365">
            <v>1623.2686206767864</v>
          </cell>
          <cell r="M1365">
            <v>973.9369999999999</v>
          </cell>
          <cell r="N1365" t="str">
            <v>Si Compra</v>
          </cell>
          <cell r="O1365">
            <v>10</v>
          </cell>
          <cell r="P1365">
            <v>91192.536730212742</v>
          </cell>
          <cell r="Q1365">
            <v>9119.2536730212742</v>
          </cell>
          <cell r="R1365">
            <v>5568.2492999999995</v>
          </cell>
          <cell r="T1365"/>
          <cell r="U1365"/>
          <cell r="V1365">
            <v>0.17800454717902214</v>
          </cell>
          <cell r="W1365">
            <v>6.1982669744275735E-5</v>
          </cell>
          <cell r="X1365">
            <v>10</v>
          </cell>
          <cell r="Y1365" t="str">
            <v>Conquistar</v>
          </cell>
        </row>
        <row r="1366">
          <cell r="A1366" t="str">
            <v>D776</v>
          </cell>
          <cell r="B1366" t="str">
            <v>D776 - VICTOR MANUEL GOMEZ ANAYA (FARMACIA GOMEZ, F.P)</v>
          </cell>
          <cell r="C1366" t="str">
            <v>INDEPENDIENTE</v>
          </cell>
          <cell r="D1366">
            <v>1</v>
          </cell>
          <cell r="E1366"/>
          <cell r="F1366" t="str">
            <v>ANDES</v>
          </cell>
          <cell r="G1366" t="str">
            <v>ANYERSSON TORRES</v>
          </cell>
          <cell r="H1366"/>
          <cell r="I1366" t="str">
            <v>4</v>
          </cell>
          <cell r="J1366" t="str">
            <v>Activo</v>
          </cell>
          <cell r="K1366">
            <v>16225.987300000001</v>
          </cell>
          <cell r="L1366">
            <v>3245.1974600000003</v>
          </cell>
          <cell r="M1366">
            <v>1432.3638000000001</v>
          </cell>
          <cell r="N1366" t="str">
            <v>Si Compra</v>
          </cell>
          <cell r="O1366">
            <v>5</v>
          </cell>
          <cell r="P1366">
            <v>1809093.594</v>
          </cell>
          <cell r="Q1366">
            <v>361818.71880000003</v>
          </cell>
          <cell r="R1366">
            <v>532852.08160000003</v>
          </cell>
          <cell r="T1366"/>
          <cell r="U1366"/>
          <cell r="V1366">
            <v>8.9691253972789212E-3</v>
          </cell>
          <cell r="W1366">
            <v>1.2391418145832144E-4</v>
          </cell>
          <cell r="X1366">
            <v>5</v>
          </cell>
          <cell r="Y1366" t="str">
            <v>Conquistar</v>
          </cell>
        </row>
        <row r="1367">
          <cell r="A1367" t="str">
            <v>4421</v>
          </cell>
          <cell r="B1367" t="str">
            <v>4421 - FARMACIA FARMACRYSTAL, C.A.</v>
          </cell>
          <cell r="C1367" t="str">
            <v>INDEPENDIENTE</v>
          </cell>
          <cell r="D1367">
            <v>3</v>
          </cell>
          <cell r="E1367"/>
          <cell r="F1367" t="str">
            <v>ESTE</v>
          </cell>
          <cell r="G1367" t="str">
            <v>IRAIDA RODRIGUEZ</v>
          </cell>
          <cell r="H1367"/>
          <cell r="I1367" t="str">
            <v>AB</v>
          </cell>
          <cell r="J1367" t="str">
            <v>Activo</v>
          </cell>
          <cell r="K1367">
            <v>16198.954891946694</v>
          </cell>
          <cell r="L1367">
            <v>1619.8954891946694</v>
          </cell>
          <cell r="M1367">
            <v>1572.3526157545475</v>
          </cell>
          <cell r="N1367" t="str">
            <v>Si Compra</v>
          </cell>
          <cell r="O1367">
            <v>10</v>
          </cell>
          <cell r="P1367">
            <v>19200.23188142342</v>
          </cell>
          <cell r="Q1367">
            <v>1920.023188142342</v>
          </cell>
          <cell r="R1367">
            <v>1610.5150888206481</v>
          </cell>
          <cell r="T1367"/>
          <cell r="U1367"/>
          <cell r="V1367">
            <v>0.84368537796772569</v>
          </cell>
          <cell r="W1367">
            <v>6.1853870547397941E-5</v>
          </cell>
          <cell r="X1367">
            <v>10</v>
          </cell>
          <cell r="Y1367" t="str">
            <v>Proteger</v>
          </cell>
        </row>
        <row r="1368">
          <cell r="A1368" t="str">
            <v>5925</v>
          </cell>
          <cell r="B1368" t="str">
            <v>5925 - FARMA KEILY,C.A</v>
          </cell>
          <cell r="C1368" t="str">
            <v>INDEPENDIENTE</v>
          </cell>
          <cell r="D1368">
            <v>3</v>
          </cell>
          <cell r="E1368"/>
          <cell r="F1368" t="str">
            <v>ANDES</v>
          </cell>
          <cell r="G1368" t="str">
            <v>MARIA GABRIELA FORTUL</v>
          </cell>
          <cell r="H1368"/>
          <cell r="I1368" t="str">
            <v>3</v>
          </cell>
          <cell r="J1368" t="str">
            <v>Activo</v>
          </cell>
          <cell r="K1368">
            <v>16184.67673884513</v>
          </cell>
          <cell r="L1368">
            <v>1618.467673884513</v>
          </cell>
          <cell r="M1368">
            <v>895.4138129483772</v>
          </cell>
          <cell r="N1368" t="str">
            <v>Si Compra</v>
          </cell>
          <cell r="O1368">
            <v>10</v>
          </cell>
          <cell r="P1368">
            <v>44999.83390633107</v>
          </cell>
          <cell r="Q1368">
            <v>4499.9833906331069</v>
          </cell>
          <cell r="R1368">
            <v>3441.0771687770216</v>
          </cell>
          <cell r="T1368"/>
          <cell r="U1368"/>
          <cell r="V1368">
            <v>0.3596608105828607</v>
          </cell>
          <cell r="W1368">
            <v>6.1799351040461167E-5</v>
          </cell>
          <cell r="X1368">
            <v>10</v>
          </cell>
          <cell r="Y1368" t="str">
            <v>Potenciar</v>
          </cell>
        </row>
        <row r="1369">
          <cell r="A1369" t="str">
            <v>0000</v>
          </cell>
          <cell r="B1369" t="str">
            <v>0000 - FARMACIA DOÑA GLADIS, C.A.</v>
          </cell>
          <cell r="C1369" t="str">
            <v>INDEPENDIENTE</v>
          </cell>
          <cell r="D1369">
            <v>3</v>
          </cell>
          <cell r="E1369"/>
          <cell r="F1369" t="str">
            <v>ESTE</v>
          </cell>
          <cell r="G1369" t="str">
            <v>ADOLFO GONZALEZ</v>
          </cell>
          <cell r="H1369"/>
          <cell r="I1369" t="str">
            <v>A8</v>
          </cell>
          <cell r="J1369" t="str">
            <v>Activo</v>
          </cell>
          <cell r="K1369">
            <v>16168.714999999998</v>
          </cell>
          <cell r="L1369">
            <v>1616.8714999999997</v>
          </cell>
          <cell r="M1369">
            <v>1551.8184000000001</v>
          </cell>
          <cell r="N1369" t="str">
            <v>Si Compra</v>
          </cell>
          <cell r="O1369">
            <v>10</v>
          </cell>
          <cell r="P1369">
            <v>30115.828300000001</v>
          </cell>
          <cell r="Q1369">
            <v>3011.5828300000003</v>
          </cell>
          <cell r="R1369">
            <v>2643.6920666666665</v>
          </cell>
          <cell r="T1369"/>
          <cell r="U1369"/>
          <cell r="V1369">
            <v>0.53688428685854861</v>
          </cell>
          <cell r="W1369">
            <v>6.1738402952462654E-5</v>
          </cell>
          <cell r="X1369">
            <v>10</v>
          </cell>
          <cell r="Y1369" t="str">
            <v>Potenciar</v>
          </cell>
        </row>
        <row r="1370">
          <cell r="A1370" t="str">
            <v>0205</v>
          </cell>
          <cell r="B1370" t="str">
            <v>0205 - MUNDOFARMA, C.A</v>
          </cell>
          <cell r="C1370" t="str">
            <v>INDEPENDIENTE</v>
          </cell>
          <cell r="D1370">
            <v>3</v>
          </cell>
          <cell r="E1370"/>
          <cell r="F1370" t="str">
            <v>ESTE</v>
          </cell>
          <cell r="G1370" t="str">
            <v>PEDRO VIRE</v>
          </cell>
          <cell r="H1370"/>
          <cell r="I1370" t="str">
            <v>A7</v>
          </cell>
          <cell r="J1370" t="str">
            <v>Activo</v>
          </cell>
          <cell r="K1370">
            <v>16167.584500000001</v>
          </cell>
          <cell r="L1370">
            <v>1796.3982777777778</v>
          </cell>
          <cell r="M1370">
            <v>2417.9546333333337</v>
          </cell>
          <cell r="N1370" t="str">
            <v>Si Compra</v>
          </cell>
          <cell r="O1370">
            <v>9</v>
          </cell>
          <cell r="P1370">
            <v>110017.35179999999</v>
          </cell>
          <cell r="Q1370">
            <v>12224.150199999998</v>
          </cell>
          <cell r="R1370">
            <v>12235.087333333335</v>
          </cell>
          <cell r="T1370"/>
          <cell r="U1370"/>
          <cell r="V1370">
            <v>0.14695485971513816</v>
          </cell>
          <cell r="W1370">
            <v>6.8593429185036914E-5</v>
          </cell>
          <cell r="X1370">
            <v>9</v>
          </cell>
          <cell r="Y1370" t="str">
            <v>Conquistar</v>
          </cell>
        </row>
        <row r="1371">
          <cell r="A1371" t="str">
            <v>D480</v>
          </cell>
          <cell r="B1371" t="str">
            <v>D480 - FARMA CASANDRA, C.A.</v>
          </cell>
          <cell r="C1371" t="str">
            <v>INDEPENDIENTE</v>
          </cell>
          <cell r="D1371">
            <v>2</v>
          </cell>
          <cell r="E1371"/>
          <cell r="F1371" t="str">
            <v>CENTRO ESTE</v>
          </cell>
          <cell r="G1371" t="str">
            <v>KARLA SALAZAR</v>
          </cell>
          <cell r="H1371"/>
          <cell r="I1371" t="str">
            <v>O</v>
          </cell>
          <cell r="J1371" t="str">
            <v>Inactivo</v>
          </cell>
          <cell r="K1371">
            <v>16148.542621201308</v>
          </cell>
          <cell r="L1371">
            <v>1794.2825134668119</v>
          </cell>
          <cell r="M1371">
            <v>2399.8668606006536</v>
          </cell>
          <cell r="N1371" t="str">
            <v>Si Compra</v>
          </cell>
          <cell r="O1371">
            <v>9</v>
          </cell>
          <cell r="P1371">
            <v>37703.679936839544</v>
          </cell>
          <cell r="Q1371">
            <v>4189.2977707599493</v>
          </cell>
          <cell r="R1371">
            <v>3277.6911684197721</v>
          </cell>
          <cell r="T1371"/>
          <cell r="U1371"/>
          <cell r="V1371">
            <v>0.42830149864026601</v>
          </cell>
          <cell r="W1371">
            <v>6.8512641126379902E-5</v>
          </cell>
          <cell r="X1371">
            <v>9</v>
          </cell>
          <cell r="Y1371" t="str">
            <v>Potenciar</v>
          </cell>
        </row>
        <row r="1372">
          <cell r="A1372" t="str">
            <v>E447</v>
          </cell>
          <cell r="B1372" t="str">
            <v>E447 - SUPERMERCADOS LEA &amp; YO, C.A</v>
          </cell>
          <cell r="C1372" t="e">
            <v>#N/A</v>
          </cell>
          <cell r="D1372">
            <v>3</v>
          </cell>
          <cell r="F1372" t="str">
            <v>MARACAIBO</v>
          </cell>
          <cell r="G1372">
            <v>0</v>
          </cell>
          <cell r="H1372"/>
          <cell r="I1372" t="str">
            <v>D</v>
          </cell>
          <cell r="J1372" t="str">
            <v>Activo</v>
          </cell>
          <cell r="K1372">
            <v>16131.842070707833</v>
          </cell>
          <cell r="L1372">
            <v>3226.3684141415665</v>
          </cell>
          <cell r="M1372">
            <v>3266.3267885888131</v>
          </cell>
          <cell r="N1372" t="str">
            <v>Si Compra</v>
          </cell>
          <cell r="O1372">
            <v>5</v>
          </cell>
          <cell r="P1372">
            <v>0</v>
          </cell>
          <cell r="Q1372">
            <v>0</v>
          </cell>
          <cell r="R1372">
            <v>0</v>
          </cell>
          <cell r="V1372">
            <v>0</v>
          </cell>
          <cell r="W1372">
            <v>1.2319521571465018E-4</v>
          </cell>
          <cell r="X1372">
            <v>0</v>
          </cell>
          <cell r="Y1372" t="str">
            <v>Conquistar</v>
          </cell>
        </row>
        <row r="1373">
          <cell r="A1373" t="str">
            <v>D540</v>
          </cell>
          <cell r="B1373" t="str">
            <v>D540 - FARMAHOGAR, SOCOPO, C.A</v>
          </cell>
          <cell r="C1373" t="str">
            <v>INDEPENDIENTE</v>
          </cell>
          <cell r="D1373">
            <v>2</v>
          </cell>
          <cell r="E1373"/>
          <cell r="F1373" t="str">
            <v>CENTRO OESTE</v>
          </cell>
          <cell r="G1373" t="str">
            <v>LUIS PLACERES</v>
          </cell>
          <cell r="H1373"/>
          <cell r="I1373" t="str">
            <v>E</v>
          </cell>
          <cell r="J1373" t="str">
            <v>Suspendido</v>
          </cell>
          <cell r="K1373">
            <v>16123.4728</v>
          </cell>
          <cell r="L1373">
            <v>2015.4340999999999</v>
          </cell>
          <cell r="M1373">
            <v>3966.7548999999999</v>
          </cell>
          <cell r="N1373" t="str">
            <v>Si Compra</v>
          </cell>
          <cell r="O1373">
            <v>8</v>
          </cell>
          <cell r="P1373">
            <v>26299.757700000002</v>
          </cell>
          <cell r="Q1373">
            <v>3287.4697125000002</v>
          </cell>
          <cell r="R1373">
            <v>5772.6245999999992</v>
          </cell>
          <cell r="T1373"/>
          <cell r="U1373"/>
          <cell r="V1373">
            <v>0.61306545040907345</v>
          </cell>
          <cell r="W1373">
            <v>7.6957063433880763E-5</v>
          </cell>
          <cell r="X1373">
            <v>8</v>
          </cell>
          <cell r="Y1373" t="str">
            <v>Proteger</v>
          </cell>
        </row>
        <row r="1374">
          <cell r="A1374" t="str">
            <v>A484</v>
          </cell>
          <cell r="B1374" t="str">
            <v>A484 - FARMACIA BOLIVAR CENTRO, C.A.</v>
          </cell>
          <cell r="C1374" t="str">
            <v>INDEPENDIENTE</v>
          </cell>
          <cell r="D1374">
            <v>3</v>
          </cell>
          <cell r="E1374"/>
          <cell r="F1374" t="str">
            <v>ESTE</v>
          </cell>
          <cell r="G1374" t="str">
            <v>ALEXMAR CASTILLO</v>
          </cell>
          <cell r="H1374"/>
          <cell r="I1374" t="str">
            <v>A1</v>
          </cell>
          <cell r="J1374" t="str">
            <v>Activo</v>
          </cell>
          <cell r="K1374">
            <v>16086.790620659694</v>
          </cell>
          <cell r="L1374">
            <v>1608.6790620659694</v>
          </cell>
          <cell r="M1374">
            <v>2375.8936107894551</v>
          </cell>
          <cell r="N1374" t="str">
            <v>Si Compra</v>
          </cell>
          <cell r="O1374">
            <v>10</v>
          </cell>
          <cell r="P1374">
            <v>28030.06244198565</v>
          </cell>
          <cell r="Q1374">
            <v>2803.0062441985651</v>
          </cell>
          <cell r="R1374">
            <v>3194.0815104567341</v>
          </cell>
          <cell r="T1374"/>
          <cell r="U1374"/>
          <cell r="V1374">
            <v>0.57391205081882457</v>
          </cell>
          <cell r="W1374">
            <v>6.1425584009006603E-5</v>
          </cell>
          <cell r="X1374">
            <v>10</v>
          </cell>
          <cell r="Y1374" t="str">
            <v>Potenciar</v>
          </cell>
        </row>
        <row r="1375">
          <cell r="A1375" t="str">
            <v>E198</v>
          </cell>
          <cell r="B1375" t="str">
            <v>E198 - FARMACIAS TU SALUD, C.A</v>
          </cell>
          <cell r="C1375" t="e">
            <v>#N/A</v>
          </cell>
          <cell r="D1375">
            <v>3</v>
          </cell>
          <cell r="F1375" t="str">
            <v>ANDES</v>
          </cell>
          <cell r="G1375">
            <v>0</v>
          </cell>
          <cell r="H1375"/>
          <cell r="I1375" t="str">
            <v>G</v>
          </cell>
          <cell r="J1375" t="str">
            <v>Activo</v>
          </cell>
          <cell r="K1375">
            <v>16086.502316176899</v>
          </cell>
          <cell r="L1375">
            <v>2681.0837193628163</v>
          </cell>
          <cell r="M1375">
            <v>2920.6476470865564</v>
          </cell>
          <cell r="N1375" t="str">
            <v>Si Compra</v>
          </cell>
          <cell r="O1375">
            <v>6</v>
          </cell>
          <cell r="P1375">
            <v>0</v>
          </cell>
          <cell r="Q1375">
            <v>0</v>
          </cell>
          <cell r="R1375">
            <v>0</v>
          </cell>
          <cell r="V1375">
            <v>0</v>
          </cell>
          <cell r="W1375">
            <v>1.0237413858510642E-4</v>
          </cell>
          <cell r="X1375">
            <v>0</v>
          </cell>
          <cell r="Y1375" t="str">
            <v>Conquistar</v>
          </cell>
        </row>
        <row r="1376">
          <cell r="A1376" t="str">
            <v>6055</v>
          </cell>
          <cell r="B1376" t="str">
            <v>6055 - FARMACIA HERES, CA</v>
          </cell>
          <cell r="C1376" t="str">
            <v>INDEPENDIENTE</v>
          </cell>
          <cell r="D1376">
            <v>3</v>
          </cell>
          <cell r="E1376"/>
          <cell r="F1376" t="str">
            <v>ESTE</v>
          </cell>
          <cell r="G1376" t="str">
            <v>IRAIDA RODRIGUEZ</v>
          </cell>
          <cell r="H1376"/>
          <cell r="I1376" t="str">
            <v>AB</v>
          </cell>
          <cell r="J1376" t="str">
            <v>Inactivo</v>
          </cell>
          <cell r="K1376">
            <v>16080.028323192801</v>
          </cell>
          <cell r="L1376">
            <v>1608.0028323192801</v>
          </cell>
          <cell r="M1376">
            <v>1888.5309568634684</v>
          </cell>
          <cell r="N1376" t="str">
            <v>Si Compra</v>
          </cell>
          <cell r="O1376">
            <v>10</v>
          </cell>
          <cell r="P1376">
            <v>50542.056469235933</v>
          </cell>
          <cell r="Q1376">
            <v>5054.2056469235931</v>
          </cell>
          <cell r="R1376">
            <v>5028.2445224389694</v>
          </cell>
          <cell r="T1376"/>
          <cell r="U1376"/>
          <cell r="V1376">
            <v>0.31815144547947777</v>
          </cell>
          <cell r="W1376">
            <v>6.139976294370268E-5</v>
          </cell>
          <cell r="X1376">
            <v>10</v>
          </cell>
          <cell r="Y1376" t="str">
            <v>Potenciar</v>
          </cell>
        </row>
        <row r="1377">
          <cell r="A1377" t="str">
            <v>G123</v>
          </cell>
          <cell r="B1377" t="str">
            <v>G123 - EXP. DE MED. PASTORINDA</v>
          </cell>
          <cell r="C1377" t="str">
            <v>INDEPENDIENTE</v>
          </cell>
          <cell r="D1377">
            <v>3</v>
          </cell>
          <cell r="F1377" t="str">
            <v>ANDES</v>
          </cell>
          <cell r="G1377">
            <v>0</v>
          </cell>
          <cell r="H1377"/>
          <cell r="I1377" t="str">
            <v>G1</v>
          </cell>
          <cell r="J1377" t="str">
            <v>Activo</v>
          </cell>
          <cell r="K1377">
            <v>16069.894899999999</v>
          </cell>
          <cell r="L1377">
            <v>1785.5438777777777</v>
          </cell>
          <cell r="M1377">
            <v>2016.430266666667</v>
          </cell>
          <cell r="N1377" t="str">
            <v>Si Compra</v>
          </cell>
          <cell r="O1377">
            <v>9</v>
          </cell>
          <cell r="P1377">
            <v>0</v>
          </cell>
          <cell r="Q1377">
            <v>0</v>
          </cell>
          <cell r="R1377">
            <v>0</v>
          </cell>
          <cell r="V1377">
            <v>0</v>
          </cell>
          <cell r="W1377">
            <v>6.8178966241626E-5</v>
          </cell>
          <cell r="X1377">
            <v>0</v>
          </cell>
          <cell r="Y1377" t="str">
            <v>Conquistar</v>
          </cell>
        </row>
        <row r="1378">
          <cell r="A1378" t="str">
            <v>4190</v>
          </cell>
          <cell r="B1378" t="str">
            <v>4190 - FARMACIA FARMA SAMAN C.A</v>
          </cell>
          <cell r="C1378" t="str">
            <v>INDEPENDIENTE</v>
          </cell>
          <cell r="D1378">
            <v>3</v>
          </cell>
          <cell r="E1378"/>
          <cell r="F1378" t="str">
            <v>ANDES</v>
          </cell>
          <cell r="G1378">
            <v>0</v>
          </cell>
          <cell r="H1378"/>
          <cell r="I1378" t="str">
            <v xml:space="preserve">3 </v>
          </cell>
          <cell r="J1378" t="str">
            <v>Activo</v>
          </cell>
          <cell r="K1378">
            <v>16056.032763027006</v>
          </cell>
          <cell r="L1378">
            <v>1784.003640336334</v>
          </cell>
          <cell r="M1378">
            <v>2427.0088391540353</v>
          </cell>
          <cell r="N1378" t="str">
            <v>Si Compra</v>
          </cell>
          <cell r="O1378">
            <v>9</v>
          </cell>
          <cell r="P1378">
            <v>0</v>
          </cell>
          <cell r="Q1378">
            <v>0</v>
          </cell>
          <cell r="R1378">
            <v>0</v>
          </cell>
          <cell r="T1378"/>
          <cell r="U1378"/>
          <cell r="V1378">
            <v>0</v>
          </cell>
          <cell r="W1378">
            <v>6.8120154023213893E-5</v>
          </cell>
          <cell r="X1378">
            <v>0</v>
          </cell>
          <cell r="Y1378" t="str">
            <v>Conquistar</v>
          </cell>
        </row>
        <row r="1379">
          <cell r="A1379" t="str">
            <v>1287</v>
          </cell>
          <cell r="B1379" t="str">
            <v>1287 - FARMACIA GUARAPICHE, C.A.</v>
          </cell>
          <cell r="C1379" t="str">
            <v>INDEPENDIENTE</v>
          </cell>
          <cell r="D1379">
            <v>3</v>
          </cell>
          <cell r="E1379"/>
          <cell r="F1379" t="str">
            <v>ESTE</v>
          </cell>
          <cell r="G1379" t="str">
            <v>JOSE RAMIREZ</v>
          </cell>
          <cell r="H1379"/>
          <cell r="I1379" t="str">
            <v>A2</v>
          </cell>
          <cell r="J1379" t="str">
            <v>Inactivo</v>
          </cell>
          <cell r="K1379">
            <v>16011.125071184961</v>
          </cell>
          <cell r="L1379">
            <v>1601.1125071184961</v>
          </cell>
          <cell r="M1379">
            <v>984.38668656828725</v>
          </cell>
          <cell r="N1379" t="str">
            <v>Si Compra</v>
          </cell>
          <cell r="O1379">
            <v>9</v>
          </cell>
          <cell r="P1379">
            <v>196452.45657911096</v>
          </cell>
          <cell r="Q1379">
            <v>19645.245657911095</v>
          </cell>
          <cell r="R1379">
            <v>19542.541892583355</v>
          </cell>
          <cell r="T1379"/>
          <cell r="U1379"/>
          <cell r="V1379">
            <v>8.1501271859826904E-2</v>
          </cell>
          <cell r="W1379">
            <v>6.1136663696966315E-5</v>
          </cell>
          <cell r="X1379">
            <v>10</v>
          </cell>
          <cell r="Y1379" t="str">
            <v>Conquistar</v>
          </cell>
        </row>
        <row r="1380">
          <cell r="A1380" t="str">
            <v>B928</v>
          </cell>
          <cell r="B1380" t="str">
            <v>B928 - FARMACIA V.I.P, C.A</v>
          </cell>
          <cell r="C1380" t="str">
            <v>INDEPENDIENTE</v>
          </cell>
          <cell r="D1380">
            <v>2</v>
          </cell>
          <cell r="E1380"/>
          <cell r="F1380" t="str">
            <v>ESTE</v>
          </cell>
          <cell r="G1380" t="str">
            <v>IRAIDA RODRIGUEZ</v>
          </cell>
          <cell r="H1380"/>
          <cell r="I1380" t="str">
            <v>AB</v>
          </cell>
          <cell r="J1380" t="str">
            <v>Inactivo</v>
          </cell>
          <cell r="K1380">
            <v>15967.741387520766</v>
          </cell>
          <cell r="L1380">
            <v>1995.9676734400957</v>
          </cell>
          <cell r="M1380">
            <v>2119.1558232585749</v>
          </cell>
          <cell r="N1380" t="str">
            <v>Si Compra</v>
          </cell>
          <cell r="O1380">
            <v>8</v>
          </cell>
          <cell r="P1380">
            <v>36839.105662480222</v>
          </cell>
          <cell r="Q1380">
            <v>4604.8882078100278</v>
          </cell>
          <cell r="R1380">
            <v>3783.1344537576661</v>
          </cell>
          <cell r="T1380"/>
          <cell r="U1380"/>
          <cell r="V1380">
            <v>0.43344541351837274</v>
          </cell>
          <cell r="W1380">
            <v>7.6213760031600559E-5</v>
          </cell>
          <cell r="X1380">
            <v>8</v>
          </cell>
          <cell r="Y1380" t="str">
            <v>Potenciar</v>
          </cell>
        </row>
        <row r="1381">
          <cell r="A1381" t="str">
            <v>1434</v>
          </cell>
          <cell r="B1381" t="str">
            <v>1434 - FARMAMIGA, C.A.</v>
          </cell>
          <cell r="C1381" t="str">
            <v>INDEPENDIENTE</v>
          </cell>
          <cell r="D1381">
            <v>3</v>
          </cell>
          <cell r="E1381"/>
          <cell r="F1381" t="str">
            <v>CENTRO ESTE</v>
          </cell>
          <cell r="G1381" t="str">
            <v>MARCOS CRUCES</v>
          </cell>
          <cell r="H1381"/>
          <cell r="I1381" t="str">
            <v>$</v>
          </cell>
          <cell r="J1381" t="str">
            <v>Activo</v>
          </cell>
          <cell r="K1381">
            <v>15958.452301279862</v>
          </cell>
          <cell r="L1381">
            <v>1595.8452301279863</v>
          </cell>
          <cell r="M1381">
            <v>1364.0033327217063</v>
          </cell>
          <cell r="N1381" t="str">
            <v>Si Compra</v>
          </cell>
          <cell r="O1381">
            <v>10</v>
          </cell>
          <cell r="P1381">
            <v>17958.27813057226</v>
          </cell>
          <cell r="Q1381">
            <v>1795.827813057226</v>
          </cell>
          <cell r="R1381">
            <v>1348.2120311609353</v>
          </cell>
          <cell r="T1381"/>
          <cell r="U1381"/>
          <cell r="V1381">
            <v>0.88864044677602561</v>
          </cell>
          <cell r="W1381">
            <v>6.0935538703853171E-5</v>
          </cell>
          <cell r="X1381">
            <v>10</v>
          </cell>
          <cell r="Y1381" t="str">
            <v>Proteger</v>
          </cell>
        </row>
        <row r="1382">
          <cell r="A1382" t="str">
            <v>I307</v>
          </cell>
          <cell r="B1382" t="str">
            <v>I307 - FARMACIA MARIA DE SAN JOSE C.A.</v>
          </cell>
          <cell r="C1382" t="str">
            <v>INDEPENDIENTE</v>
          </cell>
          <cell r="D1382">
            <v>3</v>
          </cell>
          <cell r="F1382" t="str">
            <v>CENTRO ESTE</v>
          </cell>
          <cell r="G1382" t="str">
            <v>ELIANA PERAZA</v>
          </cell>
          <cell r="H1382"/>
          <cell r="I1382" t="str">
            <v>I</v>
          </cell>
          <cell r="J1382" t="str">
            <v>Activo</v>
          </cell>
          <cell r="K1382">
            <v>15927.340272211719</v>
          </cell>
          <cell r="L1382">
            <v>1592.7340272211718</v>
          </cell>
          <cell r="M1382">
            <v>1524.2998610196773</v>
          </cell>
          <cell r="N1382" t="str">
            <v>Si Compra</v>
          </cell>
          <cell r="O1382">
            <v>10</v>
          </cell>
          <cell r="P1382">
            <v>50954.863026347361</v>
          </cell>
          <cell r="Q1382">
            <v>5095.4863026347357</v>
          </cell>
          <cell r="R1382">
            <v>4740.2487879628197</v>
          </cell>
          <cell r="V1382">
            <v>0.31257743277567301</v>
          </cell>
          <cell r="W1382">
            <v>6.0816740952313992E-5</v>
          </cell>
          <cell r="X1382">
            <v>10</v>
          </cell>
          <cell r="Y1382" t="str">
            <v>Potenciar</v>
          </cell>
        </row>
        <row r="1383">
          <cell r="A1383" t="str">
            <v>1346</v>
          </cell>
          <cell r="B1383" t="str">
            <v>1346 - URDANETA RODENIZ (FARMACIA ROKAFARMA)</v>
          </cell>
          <cell r="C1383" t="str">
            <v>INDEPENDIENTE</v>
          </cell>
          <cell r="D1383">
            <v>3</v>
          </cell>
          <cell r="E1383"/>
          <cell r="F1383" t="str">
            <v>ANDES</v>
          </cell>
          <cell r="G1383" t="str">
            <v>ZULAY PARRA</v>
          </cell>
          <cell r="H1383"/>
          <cell r="I1383" t="str">
            <v>5</v>
          </cell>
          <cell r="J1383" t="str">
            <v>Inactivo</v>
          </cell>
          <cell r="K1383">
            <v>15866.322067918296</v>
          </cell>
          <cell r="L1383">
            <v>1586.6322067918295</v>
          </cell>
          <cell r="M1383">
            <v>1467.1224670027959</v>
          </cell>
          <cell r="N1383" t="str">
            <v>Si Compra</v>
          </cell>
          <cell r="O1383">
            <v>10</v>
          </cell>
          <cell r="P1383">
            <v>18750.413242331517</v>
          </cell>
          <cell r="Q1383">
            <v>1875.0413242331517</v>
          </cell>
          <cell r="R1383">
            <v>1494.8447728408435</v>
          </cell>
          <cell r="T1383"/>
          <cell r="U1383"/>
          <cell r="V1383">
            <v>0.84618519404671</v>
          </cell>
          <cell r="W1383">
            <v>6.0583749865260813E-5</v>
          </cell>
          <cell r="X1383">
            <v>10</v>
          </cell>
          <cell r="Y1383" t="str">
            <v>Proteger</v>
          </cell>
        </row>
        <row r="1384">
          <cell r="A1384" t="str">
            <v>E464</v>
          </cell>
          <cell r="B1384" t="str">
            <v>E464 - FARMACIA LOS ANGELES M VERSOS M DE MARYELIN DAYANA SANTIAGO SALCEDO F.P</v>
          </cell>
          <cell r="C1384" t="e">
            <v>#N/A</v>
          </cell>
          <cell r="D1384">
            <v>3</v>
          </cell>
          <cell r="F1384" t="str">
            <v>ANDES</v>
          </cell>
          <cell r="G1384">
            <v>0</v>
          </cell>
          <cell r="H1384"/>
          <cell r="I1384" t="str">
            <v>6</v>
          </cell>
          <cell r="J1384" t="str">
            <v>Activo</v>
          </cell>
          <cell r="K1384">
            <v>15829.4149</v>
          </cell>
          <cell r="L1384">
            <v>3165.8829799999999</v>
          </cell>
          <cell r="M1384">
            <v>2463.4829666666665</v>
          </cell>
          <cell r="N1384" t="str">
            <v>Si Compra</v>
          </cell>
          <cell r="O1384">
            <v>5</v>
          </cell>
          <cell r="P1384">
            <v>0</v>
          </cell>
          <cell r="Q1384">
            <v>0</v>
          </cell>
          <cell r="R1384">
            <v>0</v>
          </cell>
          <cell r="V1384">
            <v>0</v>
          </cell>
          <cell r="W1384">
            <v>1.2088564806763141E-4</v>
          </cell>
          <cell r="X1384">
            <v>0</v>
          </cell>
          <cell r="Y1384" t="str">
            <v>Conquistar</v>
          </cell>
        </row>
        <row r="1385">
          <cell r="A1385" t="str">
            <v>C410</v>
          </cell>
          <cell r="B1385" t="str">
            <v>C410 - BOTICA DE VELASQUEZ,S.R.L.</v>
          </cell>
          <cell r="C1385" t="str">
            <v>INDEPENDIENTE</v>
          </cell>
          <cell r="D1385">
            <v>3</v>
          </cell>
          <cell r="E1385"/>
          <cell r="F1385" t="str">
            <v>CARACAS</v>
          </cell>
          <cell r="G1385">
            <v>0</v>
          </cell>
          <cell r="H1385"/>
          <cell r="I1385" t="str">
            <v>C4</v>
          </cell>
          <cell r="J1385" t="str">
            <v>Activo</v>
          </cell>
          <cell r="K1385">
            <v>15806.856214188321</v>
          </cell>
          <cell r="L1385">
            <v>1580.6856214188322</v>
          </cell>
          <cell r="M1385">
            <v>1828.0044909024575</v>
          </cell>
          <cell r="N1385" t="str">
            <v>Si Compra</v>
          </cell>
          <cell r="O1385">
            <v>10</v>
          </cell>
          <cell r="P1385">
            <v>0</v>
          </cell>
          <cell r="Q1385">
            <v>0</v>
          </cell>
          <cell r="R1385">
            <v>0</v>
          </cell>
          <cell r="T1385"/>
          <cell r="U1385"/>
          <cell r="V1385">
            <v>0</v>
          </cell>
          <cell r="W1385">
            <v>6.0356686252630293E-5</v>
          </cell>
          <cell r="X1385">
            <v>0</v>
          </cell>
          <cell r="Y1385" t="str">
            <v>Conquistar</v>
          </cell>
        </row>
        <row r="1386">
          <cell r="A1386" t="str">
            <v>5519</v>
          </cell>
          <cell r="B1386" t="str">
            <v>5519 - GIL DE GARCIA,NORAILES(EXPENDIO DE MEDICINAS OSCAR</v>
          </cell>
          <cell r="C1386" t="str">
            <v>INDEPENDIENTE</v>
          </cell>
          <cell r="D1386">
            <v>3</v>
          </cell>
          <cell r="E1386"/>
          <cell r="F1386" t="str">
            <v>CENTRO OESTE</v>
          </cell>
          <cell r="G1386">
            <v>0</v>
          </cell>
          <cell r="H1386"/>
          <cell r="I1386" t="str">
            <v xml:space="preserve">A </v>
          </cell>
          <cell r="J1386" t="str">
            <v>Activo</v>
          </cell>
          <cell r="K1386">
            <v>15806.017034315659</v>
          </cell>
          <cell r="L1386">
            <v>1580.601703431566</v>
          </cell>
          <cell r="M1386">
            <v>1333.7564191607335</v>
          </cell>
          <cell r="N1386" t="str">
            <v>Si Compra</v>
          </cell>
          <cell r="O1386">
            <v>10</v>
          </cell>
          <cell r="P1386">
            <v>0</v>
          </cell>
          <cell r="Q1386">
            <v>0</v>
          </cell>
          <cell r="R1386">
            <v>0</v>
          </cell>
          <cell r="T1386"/>
          <cell r="U1386"/>
          <cell r="V1386">
            <v>0</v>
          </cell>
          <cell r="W1386">
            <v>6.0353481939539982E-5</v>
          </cell>
          <cell r="X1386">
            <v>0</v>
          </cell>
          <cell r="Y1386" t="str">
            <v>Conquistar</v>
          </cell>
        </row>
        <row r="1387">
          <cell r="A1387" t="str">
            <v>0536</v>
          </cell>
          <cell r="B1387" t="str">
            <v>0536 - GUTIERREZ LUZ BRUMELI (FARMACIA BRUZUAL)</v>
          </cell>
          <cell r="C1387" t="str">
            <v>INDEPENDIENTE</v>
          </cell>
          <cell r="D1387">
            <v>3</v>
          </cell>
          <cell r="E1387"/>
          <cell r="F1387" t="str">
            <v>CENTRO OESTE</v>
          </cell>
          <cell r="G1387" t="str">
            <v>LUIS PLACERES</v>
          </cell>
          <cell r="H1387"/>
          <cell r="I1387" t="str">
            <v xml:space="preserve">E </v>
          </cell>
          <cell r="J1387" t="str">
            <v>Activo</v>
          </cell>
          <cell r="K1387">
            <v>15805.670494959633</v>
          </cell>
          <cell r="L1387">
            <v>1580.5670494959634</v>
          </cell>
          <cell r="M1387">
            <v>1279.6162331566734</v>
          </cell>
          <cell r="N1387" t="str">
            <v>Si Compra</v>
          </cell>
          <cell r="O1387">
            <v>10</v>
          </cell>
          <cell r="P1387">
            <v>24460.270595109534</v>
          </cell>
          <cell r="Q1387">
            <v>2446.0270595109532</v>
          </cell>
          <cell r="R1387">
            <v>1953.3002971058293</v>
          </cell>
          <cell r="T1387"/>
          <cell r="U1387"/>
          <cell r="V1387">
            <v>0.64617725439716689</v>
          </cell>
          <cell r="W1387">
            <v>6.0352158718343909E-5</v>
          </cell>
          <cell r="X1387">
            <v>10</v>
          </cell>
          <cell r="Y1387" t="str">
            <v>Proteger</v>
          </cell>
        </row>
        <row r="1388">
          <cell r="A1388" t="str">
            <v>A271</v>
          </cell>
          <cell r="B1388" t="str">
            <v>A271 - FARMACIA CHAGUARAMAS, C.A</v>
          </cell>
          <cell r="C1388" t="str">
            <v>INDEPENDIENTE</v>
          </cell>
          <cell r="D1388">
            <v>3</v>
          </cell>
          <cell r="E1388"/>
          <cell r="F1388" t="str">
            <v>CENTRO ESTE</v>
          </cell>
          <cell r="G1388" t="str">
            <v>WILLIBETTI GONZALEZ</v>
          </cell>
          <cell r="H1388"/>
          <cell r="I1388" t="str">
            <v>AF</v>
          </cell>
          <cell r="J1388" t="str">
            <v>Inactivo</v>
          </cell>
          <cell r="K1388">
            <v>15784.935799438454</v>
          </cell>
          <cell r="L1388">
            <v>1578.4935799438454</v>
          </cell>
          <cell r="M1388">
            <v>1702.9659162216642</v>
          </cell>
          <cell r="N1388" t="str">
            <v>Si Compra</v>
          </cell>
          <cell r="O1388">
            <v>10</v>
          </cell>
          <cell r="P1388">
            <v>30002.06440896164</v>
          </cell>
          <cell r="Q1388">
            <v>3000.2064408961642</v>
          </cell>
          <cell r="R1388">
            <v>2999.774718833778</v>
          </cell>
          <cell r="T1388"/>
          <cell r="U1388"/>
          <cell r="V1388">
            <v>0.52612832184719527</v>
          </cell>
          <cell r="W1388">
            <v>6.0272985637045663E-5</v>
          </cell>
          <cell r="X1388">
            <v>10</v>
          </cell>
          <cell r="Y1388" t="str">
            <v>Potenciar</v>
          </cell>
        </row>
        <row r="1389">
          <cell r="A1389" t="str">
            <v>D565</v>
          </cell>
          <cell r="B1389" t="str">
            <v>FARMASALUD VITAL</v>
          </cell>
          <cell r="C1389" t="str">
            <v>GRUPO</v>
          </cell>
          <cell r="D1389">
            <v>2</v>
          </cell>
          <cell r="E1389"/>
          <cell r="F1389" t="str">
            <v>CENTRO ESTE</v>
          </cell>
          <cell r="H1389"/>
          <cell r="I1389"/>
          <cell r="J1389" t="str">
            <v>Inactivo</v>
          </cell>
          <cell r="K1389">
            <v>15782.914737314117</v>
          </cell>
          <cell r="L1389">
            <v>1753.6571930349019</v>
          </cell>
          <cell r="M1389">
            <v>892.55115000000001</v>
          </cell>
          <cell r="N1389" t="str">
            <v>Si Compra</v>
          </cell>
          <cell r="O1389">
            <v>9</v>
          </cell>
          <cell r="P1389">
            <v>22366.541276469394</v>
          </cell>
          <cell r="Q1389">
            <v>2795.8176595586742</v>
          </cell>
          <cell r="R1389">
            <v>311.40679999999998</v>
          </cell>
          <cell r="S1389"/>
          <cell r="T1389"/>
          <cell r="U1389"/>
          <cell r="V1389">
            <v>0.62724304893035132</v>
          </cell>
          <cell r="W1389">
            <v>6.6961409378589077E-5</v>
          </cell>
          <cell r="X1389">
            <v>7</v>
          </cell>
          <cell r="Y1389" t="str">
            <v>Proteger</v>
          </cell>
        </row>
        <row r="1390">
          <cell r="A1390" t="str">
            <v>5226</v>
          </cell>
          <cell r="B1390" t="str">
            <v>5226 - FARMACIA FARMA YIMMAR,C.A</v>
          </cell>
          <cell r="C1390" t="str">
            <v>INDEPENDIENTE</v>
          </cell>
          <cell r="D1390">
            <v>3</v>
          </cell>
          <cell r="E1390"/>
          <cell r="F1390" t="str">
            <v>ANDES</v>
          </cell>
          <cell r="G1390" t="str">
            <v>ZULAY PARRA</v>
          </cell>
          <cell r="H1390"/>
          <cell r="I1390" t="str">
            <v>5</v>
          </cell>
          <cell r="J1390" t="str">
            <v>Inactivo</v>
          </cell>
          <cell r="K1390">
            <v>15738.1361</v>
          </cell>
          <cell r="L1390">
            <v>1573.8136099999999</v>
          </cell>
          <cell r="M1390">
            <v>1743.8509666666666</v>
          </cell>
          <cell r="N1390" t="str">
            <v>Si Compra</v>
          </cell>
          <cell r="O1390">
            <v>10</v>
          </cell>
          <cell r="P1390">
            <v>17054.458599999998</v>
          </cell>
          <cell r="Q1390">
            <v>1705.4458599999998</v>
          </cell>
          <cell r="R1390">
            <v>1669.8217999999999</v>
          </cell>
          <cell r="T1390"/>
          <cell r="U1390"/>
          <cell r="V1390">
            <v>0.92281651790459074</v>
          </cell>
          <cell r="W1390">
            <v>6.0094286296870174E-5</v>
          </cell>
          <cell r="X1390">
            <v>10</v>
          </cell>
          <cell r="Y1390" t="str">
            <v>Proteger</v>
          </cell>
        </row>
        <row r="1391">
          <cell r="A1391" t="str">
            <v>D846</v>
          </cell>
          <cell r="B1391" t="str">
            <v>D846 - FARMACIA FRON SALUD C.A</v>
          </cell>
          <cell r="C1391" t="str">
            <v>INDEPENDIENTE</v>
          </cell>
          <cell r="D1391">
            <v>3</v>
          </cell>
          <cell r="E1391"/>
          <cell r="F1391" t="str">
            <v>MARACAIBO</v>
          </cell>
          <cell r="G1391" t="str">
            <v>YENNIFER LUZARDO</v>
          </cell>
          <cell r="H1391"/>
          <cell r="I1391" t="str">
            <v>BE</v>
          </cell>
          <cell r="J1391" t="str">
            <v>Inactivo</v>
          </cell>
          <cell r="K1391">
            <v>15729.641378915241</v>
          </cell>
          <cell r="L1391">
            <v>1572.9641378915242</v>
          </cell>
          <cell r="M1391">
            <v>1445.4991000000002</v>
          </cell>
          <cell r="N1391" t="str">
            <v>Si Compra</v>
          </cell>
          <cell r="O1391">
            <v>10</v>
          </cell>
          <cell r="P1391">
            <v>20569.932322575078</v>
          </cell>
          <cell r="Q1391">
            <v>2056.9932322575078</v>
          </cell>
          <cell r="R1391">
            <v>2701.2860666666666</v>
          </cell>
          <cell r="T1391"/>
          <cell r="U1391"/>
          <cell r="V1391">
            <v>0.76469096408510218</v>
          </cell>
          <cell r="W1391">
            <v>6.0061850168625007E-5</v>
          </cell>
          <cell r="X1391">
            <v>10</v>
          </cell>
          <cell r="Y1391" t="str">
            <v>Proteger</v>
          </cell>
        </row>
        <row r="1392">
          <cell r="A1392" t="str">
            <v>D581</v>
          </cell>
          <cell r="B1392" t="str">
            <v>D581 - FARMACIA LAS 3  CHINITAS, C.A.</v>
          </cell>
          <cell r="C1392" t="str">
            <v>INDEPENDIENTE</v>
          </cell>
          <cell r="D1392">
            <v>2</v>
          </cell>
          <cell r="E1392"/>
          <cell r="F1392" t="str">
            <v>ANDES</v>
          </cell>
          <cell r="G1392" t="str">
            <v>LUCIA DUGARTE</v>
          </cell>
          <cell r="H1392"/>
          <cell r="I1392" t="str">
            <v>6</v>
          </cell>
          <cell r="J1392" t="str">
            <v>Activo</v>
          </cell>
          <cell r="K1392">
            <v>15715.611099999998</v>
          </cell>
          <cell r="L1392">
            <v>2619.2685166666665</v>
          </cell>
          <cell r="M1392">
            <v>1538.1415499999998</v>
          </cell>
          <cell r="N1392" t="str">
            <v>Si Compra</v>
          </cell>
          <cell r="O1392">
            <v>6</v>
          </cell>
          <cell r="P1392">
            <v>18162.991699999999</v>
          </cell>
          <cell r="Q1392">
            <v>3027.1652833333333</v>
          </cell>
          <cell r="R1392">
            <v>1639.1252500000001</v>
          </cell>
          <cell r="T1392"/>
          <cell r="U1392"/>
          <cell r="V1392">
            <v>0.86525454394167889</v>
          </cell>
          <cell r="W1392">
            <v>1.0001379523522176E-4</v>
          </cell>
          <cell r="X1392">
            <v>5</v>
          </cell>
          <cell r="Y1392" t="str">
            <v>Proteger</v>
          </cell>
        </row>
        <row r="1393">
          <cell r="A1393" t="str">
            <v>6705</v>
          </cell>
          <cell r="B1393" t="str">
            <v>6705 - FARMACIA RRP, C.A.</v>
          </cell>
          <cell r="C1393" t="str">
            <v>INDEPENDIENTE</v>
          </cell>
          <cell r="D1393">
            <v>3</v>
          </cell>
          <cell r="E1393"/>
          <cell r="F1393" t="str">
            <v>CARACAS</v>
          </cell>
          <cell r="G1393" t="str">
            <v>RAMON SERRANO</v>
          </cell>
          <cell r="H1393"/>
          <cell r="I1393" t="str">
            <v>CB</v>
          </cell>
          <cell r="J1393" t="str">
            <v>Activo</v>
          </cell>
          <cell r="K1393">
            <v>15715.224394980598</v>
          </cell>
          <cell r="L1393">
            <v>1571.5224394980598</v>
          </cell>
          <cell r="M1393">
            <v>799.03083333333325</v>
          </cell>
          <cell r="N1393" t="str">
            <v>Si Compra</v>
          </cell>
          <cell r="O1393">
            <v>10</v>
          </cell>
          <cell r="P1393">
            <v>202961.30645213544</v>
          </cell>
          <cell r="Q1393">
            <v>20296.130645213543</v>
          </cell>
          <cell r="R1393">
            <v>17101.833333333332</v>
          </cell>
          <cell r="T1393"/>
          <cell r="U1393"/>
          <cell r="V1393">
            <v>7.7429657256797055E-2</v>
          </cell>
          <cell r="W1393">
            <v>6.0006800551910496E-5</v>
          </cell>
          <cell r="X1393">
            <v>10</v>
          </cell>
          <cell r="Y1393" t="str">
            <v>Conquistar</v>
          </cell>
        </row>
        <row r="1394">
          <cell r="A1394" t="str">
            <v>C713</v>
          </cell>
          <cell r="B1394" t="str">
            <v>C713 - CENTRO DE ESPECIALIDADES MEDICAS THERAPEUO, C.A.</v>
          </cell>
          <cell r="C1394" t="str">
            <v>INDEPENDIENTE</v>
          </cell>
          <cell r="D1394">
            <v>3</v>
          </cell>
          <cell r="E1394"/>
          <cell r="F1394" t="str">
            <v>CARACAS</v>
          </cell>
          <cell r="G1394">
            <v>0</v>
          </cell>
          <cell r="H1394"/>
          <cell r="I1394" t="str">
            <v>C4</v>
          </cell>
          <cell r="J1394" t="str">
            <v>Inactivo</v>
          </cell>
          <cell r="K1394">
            <v>15702.280273756078</v>
          </cell>
          <cell r="L1394">
            <v>1570.2280273756078</v>
          </cell>
          <cell r="M1394">
            <v>622.38413738106283</v>
          </cell>
          <cell r="N1394" t="str">
            <v>Si Compra</v>
          </cell>
          <cell r="O1394">
            <v>10</v>
          </cell>
          <cell r="P1394">
            <v>0</v>
          </cell>
          <cell r="Q1394">
            <v>0</v>
          </cell>
          <cell r="R1394">
            <v>0</v>
          </cell>
          <cell r="T1394"/>
          <cell r="U1394"/>
          <cell r="V1394">
            <v>0</v>
          </cell>
          <cell r="W1394">
            <v>5.9957374894273206E-5</v>
          </cell>
          <cell r="X1394">
            <v>0</v>
          </cell>
          <cell r="Y1394" t="str">
            <v>Conquistar</v>
          </cell>
        </row>
        <row r="1395">
          <cell r="A1395" t="str">
            <v>3278</v>
          </cell>
          <cell r="B1395" t="str">
            <v>3278 - FARMACIA NUEVA JALISCO,C.A</v>
          </cell>
          <cell r="C1395" t="str">
            <v>INDEPENDIENTE</v>
          </cell>
          <cell r="D1395">
            <v>3</v>
          </cell>
          <cell r="E1395"/>
          <cell r="F1395" t="str">
            <v>MARACAIBO</v>
          </cell>
          <cell r="G1395" t="str">
            <v>JOEL JIMENEZ</v>
          </cell>
          <cell r="H1395"/>
          <cell r="I1395" t="str">
            <v>D</v>
          </cell>
          <cell r="J1395" t="str">
            <v>Activo</v>
          </cell>
          <cell r="K1395">
            <v>15596.49261956784</v>
          </cell>
          <cell r="L1395">
            <v>1559.6492619567839</v>
          </cell>
          <cell r="M1395">
            <v>1185.7883175670083</v>
          </cell>
          <cell r="N1395" t="str">
            <v>Si Compra</v>
          </cell>
          <cell r="O1395">
            <v>10</v>
          </cell>
          <cell r="P1395">
            <v>37769.931638153663</v>
          </cell>
          <cell r="Q1395">
            <v>3776.9931638153662</v>
          </cell>
          <cell r="R1395">
            <v>2537.3538137620435</v>
          </cell>
          <cell r="T1395"/>
          <cell r="U1395"/>
          <cell r="V1395">
            <v>0.41293409712748569</v>
          </cell>
          <cell r="W1395">
            <v>5.9553436744477793E-5</v>
          </cell>
          <cell r="X1395">
            <v>10</v>
          </cell>
          <cell r="Y1395" t="str">
            <v>Potenciar</v>
          </cell>
        </row>
        <row r="1396">
          <cell r="A1396" t="str">
            <v>8226</v>
          </cell>
          <cell r="B1396" t="str">
            <v>8226 - FARMACIA EL OFERTON, C.A.</v>
          </cell>
          <cell r="C1396" t="str">
            <v>INDEPENDIENTE</v>
          </cell>
          <cell r="D1396">
            <v>3</v>
          </cell>
          <cell r="E1396"/>
          <cell r="F1396" t="str">
            <v>ESTE</v>
          </cell>
          <cell r="G1396" t="str">
            <v>CARMEN ALCALA</v>
          </cell>
          <cell r="H1396"/>
          <cell r="I1396" t="str">
            <v>A0</v>
          </cell>
          <cell r="J1396" t="str">
            <v>Activo</v>
          </cell>
          <cell r="K1396">
            <v>15595.9871774761</v>
          </cell>
          <cell r="L1396">
            <v>1559.59871774761</v>
          </cell>
          <cell r="M1396">
            <v>1433.6323639106486</v>
          </cell>
          <cell r="N1396" t="str">
            <v>Si Compra</v>
          </cell>
          <cell r="O1396">
            <v>10</v>
          </cell>
          <cell r="P1396">
            <v>327248.16657881328</v>
          </cell>
          <cell r="Q1396">
            <v>32724.816657881329</v>
          </cell>
          <cell r="R1396">
            <v>24914.312886857169</v>
          </cell>
          <cell r="T1396"/>
          <cell r="U1396"/>
          <cell r="V1396">
            <v>4.7657981832329124E-2</v>
          </cell>
          <cell r="W1396">
            <v>5.95515067712221E-5</v>
          </cell>
          <cell r="X1396">
            <v>10</v>
          </cell>
          <cell r="Y1396" t="str">
            <v>Conquistar</v>
          </cell>
        </row>
        <row r="1397">
          <cell r="A1397" t="str">
            <v>6287</v>
          </cell>
          <cell r="B1397" t="str">
            <v>6287 - FARMACIA  LAS TRES DIVINAS PERSONAS  DE BARBARA GUERRERO DE ROJAS</v>
          </cell>
          <cell r="C1397" t="e">
            <v>#N/A</v>
          </cell>
          <cell r="D1397">
            <v>3</v>
          </cell>
          <cell r="E1397"/>
          <cell r="F1397" t="str">
            <v>ANDES</v>
          </cell>
          <cell r="G1397" t="str">
            <v>ZULAY PARRA</v>
          </cell>
          <cell r="H1397"/>
          <cell r="I1397" t="str">
            <v>5</v>
          </cell>
          <cell r="J1397" t="str">
            <v>Activo</v>
          </cell>
          <cell r="K1397">
            <v>15552.455518035575</v>
          </cell>
          <cell r="L1397">
            <v>2592.0759196725958</v>
          </cell>
          <cell r="M1397">
            <v>2753.1876465944993</v>
          </cell>
          <cell r="N1397" t="str">
            <v>Si Compra</v>
          </cell>
          <cell r="O1397">
            <v>6</v>
          </cell>
          <cell r="P1397">
            <v>48635.362502810603</v>
          </cell>
          <cell r="Q1397">
            <v>8105.8937504684336</v>
          </cell>
          <cell r="R1397">
            <v>7966.6608518114763</v>
          </cell>
          <cell r="T1397"/>
          <cell r="U1397"/>
          <cell r="V1397">
            <v>0.31977669575582601</v>
          </cell>
          <cell r="W1397">
            <v>9.8975476784717874E-5</v>
          </cell>
          <cell r="X1397">
            <v>6</v>
          </cell>
          <cell r="Y1397" t="str">
            <v>Potenciar</v>
          </cell>
        </row>
        <row r="1398">
          <cell r="A1398" t="str">
            <v>N110</v>
          </cell>
          <cell r="B1398" t="str">
            <v>N110 - FARMACIA LAS DELICIAS, S. R. L.</v>
          </cell>
          <cell r="C1398" t="str">
            <v>INDEPENDIENTE</v>
          </cell>
          <cell r="D1398">
            <v>3</v>
          </cell>
          <cell r="F1398" t="str">
            <v>CENTRO OESTE</v>
          </cell>
          <cell r="G1398" t="str">
            <v>DIEGO TORI</v>
          </cell>
          <cell r="H1398"/>
          <cell r="I1398" t="str">
            <v xml:space="preserve">A </v>
          </cell>
          <cell r="J1398" t="str">
            <v>Inactivo</v>
          </cell>
          <cell r="K1398">
            <v>15516.442442472639</v>
          </cell>
          <cell r="L1398">
            <v>1551.6442442472639</v>
          </cell>
          <cell r="M1398">
            <v>1913.4441717946331</v>
          </cell>
          <cell r="N1398" t="str">
            <v>Si Compra</v>
          </cell>
          <cell r="O1398">
            <v>10</v>
          </cell>
          <cell r="P1398">
            <v>16985.274532040821</v>
          </cell>
          <cell r="Q1398">
            <v>1698.5274532040821</v>
          </cell>
          <cell r="R1398">
            <v>1893.2409734278638</v>
          </cell>
          <cell r="V1398">
            <v>0.91352320583353575</v>
          </cell>
          <cell r="W1398">
            <v>5.924777422955812E-5</v>
          </cell>
          <cell r="X1398">
            <v>10</v>
          </cell>
          <cell r="Y1398" t="str">
            <v>Proteger</v>
          </cell>
        </row>
        <row r="1399">
          <cell r="A1399" t="str">
            <v>D474</v>
          </cell>
          <cell r="B1399" t="str">
            <v>D474 - MICOFARMA 2024 C.A.</v>
          </cell>
          <cell r="C1399" t="str">
            <v>INDEPENDIENTE</v>
          </cell>
          <cell r="D1399">
            <v>3</v>
          </cell>
          <cell r="E1399"/>
          <cell r="F1399" t="str">
            <v>ESTE</v>
          </cell>
          <cell r="G1399" t="str">
            <v>ALEXMAR CASTILLO</v>
          </cell>
          <cell r="H1399" t="str">
            <v>HECTOR</v>
          </cell>
          <cell r="I1399" t="str">
            <v>A1</v>
          </cell>
          <cell r="J1399" t="str">
            <v>Inactivo</v>
          </cell>
          <cell r="K1399">
            <v>15508.454046179906</v>
          </cell>
          <cell r="L1399">
            <v>1550.8454046179907</v>
          </cell>
          <cell r="M1399">
            <v>1977.4795468764626</v>
          </cell>
          <cell r="N1399" t="str">
            <v>Si Compra</v>
          </cell>
          <cell r="O1399">
            <v>10</v>
          </cell>
          <cell r="P1399">
            <v>88886.017612116382</v>
          </cell>
          <cell r="Q1399">
            <v>8888.6017612116375</v>
          </cell>
          <cell r="R1399">
            <v>8503.3430016726488</v>
          </cell>
          <cell r="T1399"/>
          <cell r="U1399"/>
          <cell r="V1399">
            <v>0.17447574391122112</v>
          </cell>
          <cell r="W1399">
            <v>5.9217271445059497E-5</v>
          </cell>
          <cell r="X1399">
            <v>10</v>
          </cell>
          <cell r="Y1399" t="str">
            <v>Conquistar</v>
          </cell>
        </row>
        <row r="1400">
          <cell r="A1400" t="str">
            <v>A498</v>
          </cell>
          <cell r="B1400" t="str">
            <v>A498 - FARMACIA FARMATOTAL CORO, C.A.</v>
          </cell>
          <cell r="C1400" t="str">
            <v>INDEPENDIENTE</v>
          </cell>
          <cell r="D1400">
            <v>3</v>
          </cell>
          <cell r="E1400"/>
          <cell r="F1400" t="str">
            <v>MARACAIBO</v>
          </cell>
          <cell r="G1400" t="str">
            <v>MARIA FUSELLA</v>
          </cell>
          <cell r="H1400"/>
          <cell r="I1400" t="str">
            <v>BZ</v>
          </cell>
          <cell r="J1400" t="str">
            <v>Activo</v>
          </cell>
          <cell r="K1400">
            <v>15470.253927582451</v>
          </cell>
          <cell r="L1400">
            <v>1547.0253927582451</v>
          </cell>
          <cell r="M1400">
            <v>1540.3851666666667</v>
          </cell>
          <cell r="N1400" t="str">
            <v>Si Compra</v>
          </cell>
          <cell r="O1400">
            <v>10</v>
          </cell>
          <cell r="P1400">
            <v>16427.629093116419</v>
          </cell>
          <cell r="Q1400">
            <v>1642.7629093116418</v>
          </cell>
          <cell r="R1400">
            <v>1315.3830666666668</v>
          </cell>
          <cell r="T1400"/>
          <cell r="U1400"/>
          <cell r="V1400">
            <v>0.94172164710395545</v>
          </cell>
          <cell r="W1400">
            <v>5.907140862820599E-5</v>
          </cell>
          <cell r="X1400">
            <v>9</v>
          </cell>
          <cell r="Y1400" t="str">
            <v>Proteger</v>
          </cell>
        </row>
        <row r="1401">
          <cell r="A1401" t="str">
            <v>A308</v>
          </cell>
          <cell r="B1401" t="str">
            <v>A308 - FARMACIA EL CARMEN C A</v>
          </cell>
          <cell r="C1401" t="e">
            <v>#N/A</v>
          </cell>
          <cell r="D1401">
            <v>3</v>
          </cell>
          <cell r="E1401"/>
          <cell r="F1401" t="str">
            <v>CENTRO ESTE</v>
          </cell>
          <cell r="G1401" t="str">
            <v>WILLIBETTI GONZALEZ</v>
          </cell>
          <cell r="H1401"/>
          <cell r="I1401" t="str">
            <v>AF</v>
          </cell>
          <cell r="J1401" t="str">
            <v>Activo</v>
          </cell>
          <cell r="K1401">
            <v>15456.810923095332</v>
          </cell>
          <cell r="L1401">
            <v>3864.2027307738331</v>
          </cell>
          <cell r="M1401">
            <v>4210.0960076984438</v>
          </cell>
          <cell r="N1401" t="str">
            <v>Si Compra</v>
          </cell>
          <cell r="O1401">
            <v>4</v>
          </cell>
          <cell r="P1401">
            <v>94053.35971601191</v>
          </cell>
          <cell r="Q1401">
            <v>23513.339929002977</v>
          </cell>
          <cell r="R1401">
            <v>26155.454572003971</v>
          </cell>
          <cell r="T1401"/>
          <cell r="U1401"/>
          <cell r="V1401">
            <v>0.16434086958473554</v>
          </cell>
          <cell r="W1401">
            <v>1.47550195103644E-4</v>
          </cell>
          <cell r="X1401">
            <v>4</v>
          </cell>
          <cell r="Y1401" t="str">
            <v>Conquistar</v>
          </cell>
        </row>
        <row r="1402">
          <cell r="A1402" t="str">
            <v>C898</v>
          </cell>
          <cell r="B1402" t="str">
            <v>C898 - MC' TIME FARMACIA, C.A.</v>
          </cell>
          <cell r="C1402" t="str">
            <v>INDEPENDIENTE</v>
          </cell>
          <cell r="D1402">
            <v>3</v>
          </cell>
          <cell r="E1402"/>
          <cell r="F1402" t="str">
            <v>CENTRO ESTE</v>
          </cell>
          <cell r="G1402" t="str">
            <v>LAURA FLORES</v>
          </cell>
          <cell r="H1402" t="str">
            <v>HECTOR</v>
          </cell>
          <cell r="I1402" t="str">
            <v>+</v>
          </cell>
          <cell r="J1402" t="str">
            <v>Activo</v>
          </cell>
          <cell r="K1402">
            <v>15448.903234034104</v>
          </cell>
          <cell r="L1402">
            <v>1544.8903234034103</v>
          </cell>
          <cell r="M1402">
            <v>438.31896666666671</v>
          </cell>
          <cell r="N1402" t="str">
            <v>Si Compra</v>
          </cell>
          <cell r="O1402">
            <v>10</v>
          </cell>
          <cell r="P1402">
            <v>325463.0290774256</v>
          </cell>
          <cell r="Q1402">
            <v>32546.30290774256</v>
          </cell>
          <cell r="R1402">
            <v>56909.321066666664</v>
          </cell>
          <cell r="T1402"/>
          <cell r="U1402"/>
          <cell r="V1402">
            <v>4.746745975365118E-2</v>
          </cell>
          <cell r="W1402">
            <v>5.8989883428361573E-5</v>
          </cell>
          <cell r="X1402">
            <v>10</v>
          </cell>
          <cell r="Y1402" t="str">
            <v>Conquistar</v>
          </cell>
        </row>
        <row r="1403">
          <cell r="A1403" t="str">
            <v>C688</v>
          </cell>
          <cell r="B1403" t="str">
            <v>C688 - FARMACIA NUEVO SIGLO PM II, C.A</v>
          </cell>
          <cell r="C1403" t="str">
            <v>INDEPENDIENTE</v>
          </cell>
          <cell r="D1403">
            <v>3</v>
          </cell>
          <cell r="E1403"/>
          <cell r="F1403" t="str">
            <v>CENTRO ESTE</v>
          </cell>
          <cell r="G1403">
            <v>0</v>
          </cell>
          <cell r="H1403"/>
          <cell r="I1403" t="str">
            <v>O</v>
          </cell>
          <cell r="J1403" t="str">
            <v>Activo</v>
          </cell>
          <cell r="K1403">
            <v>15420.591299584734</v>
          </cell>
          <cell r="L1403">
            <v>1542.0591299584735</v>
          </cell>
          <cell r="M1403">
            <v>1741.9197508610416</v>
          </cell>
          <cell r="N1403" t="str">
            <v>Si Compra</v>
          </cell>
          <cell r="O1403">
            <v>10</v>
          </cell>
          <cell r="P1403">
            <v>0</v>
          </cell>
          <cell r="Q1403">
            <v>0</v>
          </cell>
          <cell r="R1403">
            <v>0</v>
          </cell>
          <cell r="T1403"/>
          <cell r="U1403"/>
          <cell r="V1403">
            <v>0</v>
          </cell>
          <cell r="W1403">
            <v>5.8881777520291648E-5</v>
          </cell>
          <cell r="X1403">
            <v>0</v>
          </cell>
          <cell r="Y1403" t="str">
            <v>Conquistar</v>
          </cell>
        </row>
        <row r="1404">
          <cell r="A1404" t="str">
            <v>A603</v>
          </cell>
          <cell r="B1404" t="str">
            <v>A603 - FARMACIA EL DOCTORCITO, C.A.</v>
          </cell>
          <cell r="C1404" t="str">
            <v>INDEPENDIENTE</v>
          </cell>
          <cell r="D1404">
            <v>3</v>
          </cell>
          <cell r="E1404"/>
          <cell r="F1404" t="str">
            <v>ESTE</v>
          </cell>
          <cell r="G1404" t="str">
            <v>IRAIDA RODRIGUEZ</v>
          </cell>
          <cell r="H1404"/>
          <cell r="I1404" t="str">
            <v>AB</v>
          </cell>
          <cell r="J1404" t="str">
            <v>Activo</v>
          </cell>
          <cell r="K1404">
            <v>15320.991398167283</v>
          </cell>
          <cell r="L1404">
            <v>1532.0991398167284</v>
          </cell>
          <cell r="M1404">
            <v>1451.2103</v>
          </cell>
          <cell r="N1404" t="str">
            <v>Si Compra</v>
          </cell>
          <cell r="O1404">
            <v>10</v>
          </cell>
          <cell r="P1404">
            <v>66225.692520362762</v>
          </cell>
          <cell r="Q1404">
            <v>6622.5692520362763</v>
          </cell>
          <cell r="R1404">
            <v>6605.8611999999994</v>
          </cell>
          <cell r="T1404"/>
          <cell r="U1404"/>
          <cell r="V1404">
            <v>0.23134512928583509</v>
          </cell>
          <cell r="W1404">
            <v>5.8501466602093376E-5</v>
          </cell>
          <cell r="X1404">
            <v>10</v>
          </cell>
          <cell r="Y1404" t="str">
            <v>Potenciar</v>
          </cell>
        </row>
        <row r="1405">
          <cell r="A1405" t="str">
            <v>E444</v>
          </cell>
          <cell r="B1405" t="str">
            <v>E444 - FARMACIA E INSUMOS MEDICOS MACHIQUES, C.A</v>
          </cell>
          <cell r="C1405" t="e">
            <v>#N/A</v>
          </cell>
          <cell r="D1405">
            <v>1</v>
          </cell>
          <cell r="F1405" t="str">
            <v>MARACAIBO</v>
          </cell>
          <cell r="G1405">
            <v>0</v>
          </cell>
          <cell r="H1405"/>
          <cell r="I1405" t="str">
            <v>BE</v>
          </cell>
          <cell r="J1405" t="str">
            <v>Suspendido</v>
          </cell>
          <cell r="K1405">
            <v>15275.655510893004</v>
          </cell>
          <cell r="L1405">
            <v>3818.9138777232511</v>
          </cell>
          <cell r="M1405">
            <v>5079.5022349132114</v>
          </cell>
          <cell r="N1405" t="str">
            <v>Si Compra</v>
          </cell>
          <cell r="O1405">
            <v>3</v>
          </cell>
          <cell r="P1405">
            <v>0</v>
          </cell>
          <cell r="Q1405">
            <v>0</v>
          </cell>
          <cell r="R1405">
            <v>0</v>
          </cell>
          <cell r="V1405">
            <v>0</v>
          </cell>
          <cell r="W1405">
            <v>1.4582089165628178E-4</v>
          </cell>
          <cell r="X1405">
            <v>0</v>
          </cell>
          <cell r="Y1405" t="str">
            <v>Conquistar</v>
          </cell>
        </row>
        <row r="1406">
          <cell r="A1406" t="str">
            <v>M57</v>
          </cell>
          <cell r="B1406" t="str">
            <v>M57 - FARMACIA INTERNACIONAL C.A.</v>
          </cell>
          <cell r="C1406" t="str">
            <v>INDEPENDIENTE</v>
          </cell>
          <cell r="D1406">
            <v>3</v>
          </cell>
          <cell r="F1406" t="str">
            <v>CENTRO ESTE</v>
          </cell>
          <cell r="G1406" t="str">
            <v>ELIANA PERAZA</v>
          </cell>
          <cell r="H1406"/>
          <cell r="I1406" t="str">
            <v>M</v>
          </cell>
          <cell r="J1406" t="str">
            <v>Inactivo</v>
          </cell>
          <cell r="K1406">
            <v>15253.512879695643</v>
          </cell>
          <cell r="L1406">
            <v>1525.3512879695643</v>
          </cell>
          <cell r="M1406">
            <v>1835.2796265652141</v>
          </cell>
          <cell r="N1406" t="str">
            <v>Si Compra</v>
          </cell>
          <cell r="O1406">
            <v>10</v>
          </cell>
          <cell r="P1406">
            <v>70273.022746826478</v>
          </cell>
          <cell r="Q1406">
            <v>7027.3022746826482</v>
          </cell>
          <cell r="R1406">
            <v>6865.1858156088247</v>
          </cell>
          <cell r="V1406">
            <v>0.21706071951180567</v>
          </cell>
          <cell r="W1406">
            <v>5.8243807538646627E-5</v>
          </cell>
          <cell r="X1406">
            <v>10</v>
          </cell>
          <cell r="Y1406" t="str">
            <v>Potenciar</v>
          </cell>
        </row>
        <row r="1407">
          <cell r="A1407" t="str">
            <v>D889</v>
          </cell>
          <cell r="B1407" t="str">
            <v>D889 - EXPENDIO DE MEDICINAS FARMATOVAR C.A</v>
          </cell>
          <cell r="C1407" t="str">
            <v>INDEPENDIENTE</v>
          </cell>
          <cell r="D1407">
            <v>3</v>
          </cell>
          <cell r="E1407"/>
          <cell r="F1407" t="str">
            <v>CARACAS</v>
          </cell>
          <cell r="G1407">
            <v>0</v>
          </cell>
          <cell r="H1407"/>
          <cell r="I1407" t="str">
            <v>C9</v>
          </cell>
          <cell r="J1407" t="str">
            <v>Activo</v>
          </cell>
          <cell r="K1407">
            <v>15213.018085511621</v>
          </cell>
          <cell r="L1407">
            <v>1521.3018085511621</v>
          </cell>
          <cell r="M1407">
            <v>1431.0341187206604</v>
          </cell>
          <cell r="N1407" t="str">
            <v>Si Compra</v>
          </cell>
          <cell r="O1407">
            <v>10</v>
          </cell>
          <cell r="P1407">
            <v>0</v>
          </cell>
          <cell r="Q1407">
            <v>0</v>
          </cell>
          <cell r="R1407">
            <v>0</v>
          </cell>
          <cell r="T1407"/>
          <cell r="U1407"/>
          <cell r="V1407">
            <v>0</v>
          </cell>
          <cell r="W1407">
            <v>5.8089182763529366E-5</v>
          </cell>
          <cell r="X1407">
            <v>0</v>
          </cell>
          <cell r="Y1407" t="str">
            <v>Conquistar</v>
          </cell>
        </row>
        <row r="1408">
          <cell r="A1408" t="str">
            <v>D082</v>
          </cell>
          <cell r="B1408" t="str">
            <v>D082 - FARMACIA SAN PIO C.A</v>
          </cell>
          <cell r="C1408" t="str">
            <v>INDEPENDIENTE</v>
          </cell>
          <cell r="D1408">
            <v>3</v>
          </cell>
          <cell r="E1408"/>
          <cell r="F1408" t="str">
            <v>CENTRO OESTE</v>
          </cell>
          <cell r="G1408" t="str">
            <v>JOSE LUIS GARCIA</v>
          </cell>
          <cell r="H1408" t="str">
            <v>HECTOR</v>
          </cell>
          <cell r="I1408" t="str">
            <v>Y</v>
          </cell>
          <cell r="J1408" t="str">
            <v>Activo</v>
          </cell>
          <cell r="K1408">
            <v>15171.239434199566</v>
          </cell>
          <cell r="L1408">
            <v>1517.1239434199565</v>
          </cell>
          <cell r="M1408">
            <v>1337.1284085918332</v>
          </cell>
          <cell r="N1408" t="str">
            <v>Si Compra</v>
          </cell>
          <cell r="O1408">
            <v>10</v>
          </cell>
          <cell r="P1408">
            <v>35759.761463513052</v>
          </cell>
          <cell r="Q1408">
            <v>3575.976146351305</v>
          </cell>
          <cell r="R1408">
            <v>3692.7302577079686</v>
          </cell>
          <cell r="T1408"/>
          <cell r="U1408"/>
          <cell r="V1408">
            <v>0.42425449201274223</v>
          </cell>
          <cell r="W1408">
            <v>5.7929655725696479E-5</v>
          </cell>
          <cell r="X1408">
            <v>10</v>
          </cell>
          <cell r="Y1408" t="str">
            <v>Potenciar</v>
          </cell>
        </row>
        <row r="1409">
          <cell r="A1409" t="str">
            <v>A13</v>
          </cell>
          <cell r="B1409" t="str">
            <v>A13 - FARMACIA SIQUI-FARMA, C.A</v>
          </cell>
          <cell r="C1409" t="str">
            <v>INDEPENDIENTE</v>
          </cell>
          <cell r="D1409">
            <v>3</v>
          </cell>
          <cell r="E1409"/>
          <cell r="F1409" t="str">
            <v>CENTRO OESTE</v>
          </cell>
          <cell r="G1409" t="str">
            <v>DIEGO TORI</v>
          </cell>
          <cell r="H1409"/>
          <cell r="I1409" t="str">
            <v>A</v>
          </cell>
          <cell r="J1409" t="str">
            <v>Activo</v>
          </cell>
          <cell r="K1409">
            <v>15155.740633921117</v>
          </cell>
          <cell r="L1409">
            <v>1515.5740633921118</v>
          </cell>
          <cell r="M1409">
            <v>1200.5346094325403</v>
          </cell>
          <cell r="N1409" t="str">
            <v>Si Compra</v>
          </cell>
          <cell r="O1409">
            <v>10</v>
          </cell>
          <cell r="P1409">
            <v>15832.996773714471</v>
          </cell>
          <cell r="Q1409">
            <v>1583.2996773714472</v>
          </cell>
          <cell r="R1409">
            <v>1044.9638943100326</v>
          </cell>
          <cell r="T1409"/>
          <cell r="U1409"/>
          <cell r="V1409">
            <v>0.95722501877106958</v>
          </cell>
          <cell r="W1409">
            <v>5.7870475316067728E-5</v>
          </cell>
          <cell r="X1409">
            <v>10</v>
          </cell>
          <cell r="Y1409" t="str">
            <v>Proteger</v>
          </cell>
        </row>
        <row r="1410">
          <cell r="A1410" t="str">
            <v>B628</v>
          </cell>
          <cell r="B1410" t="str">
            <v>B628 - FARMACIA PF LEADERS FOODS, C.A.</v>
          </cell>
          <cell r="C1410" t="str">
            <v>INDEPENDIENTE</v>
          </cell>
          <cell r="D1410">
            <v>3</v>
          </cell>
          <cell r="E1410"/>
          <cell r="F1410" t="str">
            <v>MARACAIBO</v>
          </cell>
          <cell r="G1410" t="str">
            <v>MARIA FUSELLA</v>
          </cell>
          <cell r="H1410" t="str">
            <v>VICTOR</v>
          </cell>
          <cell r="I1410" t="str">
            <v>Z</v>
          </cell>
          <cell r="J1410" t="str">
            <v>Activo</v>
          </cell>
          <cell r="K1410">
            <v>15072.752935373126</v>
          </cell>
          <cell r="L1410">
            <v>1674.7503261525696</v>
          </cell>
          <cell r="M1410">
            <v>1115.6620333333335</v>
          </cell>
          <cell r="N1410" t="str">
            <v>Si Compra</v>
          </cell>
          <cell r="O1410">
            <v>9</v>
          </cell>
          <cell r="P1410">
            <v>52635.035667637479</v>
          </cell>
          <cell r="Q1410">
            <v>5848.3372964041646</v>
          </cell>
          <cell r="R1410">
            <v>3136.9510000000005</v>
          </cell>
          <cell r="T1410"/>
          <cell r="U1410"/>
          <cell r="V1410">
            <v>0.28636349808043488</v>
          </cell>
          <cell r="W1410">
            <v>6.394844023212459E-5</v>
          </cell>
          <cell r="X1410">
            <v>9</v>
          </cell>
          <cell r="Y1410" t="str">
            <v>Potenciar</v>
          </cell>
        </row>
        <row r="1411">
          <cell r="A1411" t="str">
            <v>B632</v>
          </cell>
          <cell r="B1411" t="str">
            <v>B632 - FARMACIA DON MORENO, C.A</v>
          </cell>
          <cell r="C1411" t="str">
            <v>INDEPENDIENTE</v>
          </cell>
          <cell r="D1411">
            <v>3</v>
          </cell>
          <cell r="E1411"/>
          <cell r="F1411" t="str">
            <v>CENTRO OESTE</v>
          </cell>
          <cell r="G1411" t="str">
            <v>SORALI SILVA</v>
          </cell>
          <cell r="H1411" t="str">
            <v>HECTOR</v>
          </cell>
          <cell r="I1411" t="str">
            <v>L</v>
          </cell>
          <cell r="J1411" t="str">
            <v>Activo</v>
          </cell>
          <cell r="K1411">
            <v>15000.312485293227</v>
          </cell>
          <cell r="L1411">
            <v>1500.0312485293227</v>
          </cell>
          <cell r="M1411">
            <v>2090.9972666666667</v>
          </cell>
          <cell r="N1411" t="str">
            <v>Si Compra</v>
          </cell>
          <cell r="O1411">
            <v>10</v>
          </cell>
          <cell r="P1411">
            <v>30338.023673935451</v>
          </cell>
          <cell r="Q1411">
            <v>3033.802367393545</v>
          </cell>
          <cell r="R1411">
            <v>2757.9786999999997</v>
          </cell>
          <cell r="T1411"/>
          <cell r="U1411"/>
          <cell r="V1411">
            <v>0.49443934273742973</v>
          </cell>
          <cell r="W1411">
            <v>5.7276990572837113E-5</v>
          </cell>
          <cell r="X1411">
            <v>10</v>
          </cell>
          <cell r="Y1411" t="str">
            <v>Potenciar</v>
          </cell>
        </row>
        <row r="1412">
          <cell r="A1412" t="str">
            <v>C998</v>
          </cell>
          <cell r="B1412" t="str">
            <v>C998 - FARMA CENTER LA TENDIDA ,C.A.</v>
          </cell>
          <cell r="C1412" t="str">
            <v>INDEPENDIENTE</v>
          </cell>
          <cell r="D1412">
            <v>3</v>
          </cell>
          <cell r="E1412"/>
          <cell r="F1412" t="str">
            <v>ANDES</v>
          </cell>
          <cell r="G1412" t="str">
            <v>JESUS CONTRERAS</v>
          </cell>
          <cell r="H1412"/>
          <cell r="I1412" t="str">
            <v>G2</v>
          </cell>
          <cell r="J1412" t="str">
            <v>Inactivo</v>
          </cell>
          <cell r="K1412">
            <v>14937.806534961406</v>
          </cell>
          <cell r="L1412">
            <v>1493.7806534961405</v>
          </cell>
          <cell r="M1412">
            <v>801.22503333333327</v>
          </cell>
          <cell r="N1412" t="str">
            <v>Si Compra</v>
          </cell>
          <cell r="O1412">
            <v>10</v>
          </cell>
          <cell r="P1412">
            <v>32323.114341339198</v>
          </cell>
          <cell r="Q1412">
            <v>3232.3114341339196</v>
          </cell>
          <cell r="R1412">
            <v>2281.8380333333334</v>
          </cell>
          <cell r="T1412"/>
          <cell r="U1412"/>
          <cell r="V1412">
            <v>0.46214007651660305</v>
          </cell>
          <cell r="W1412">
            <v>5.7038318696407065E-5</v>
          </cell>
          <cell r="X1412">
            <v>10</v>
          </cell>
          <cell r="Y1412" t="str">
            <v>Potenciar</v>
          </cell>
        </row>
        <row r="1413">
          <cell r="A1413" t="str">
            <v>B349</v>
          </cell>
          <cell r="B1413" t="str">
            <v>B349 - FARMACIA PROSANA S.P., C.A.</v>
          </cell>
          <cell r="C1413" t="str">
            <v>INDEPENDIENTE</v>
          </cell>
          <cell r="D1413">
            <v>3</v>
          </cell>
          <cell r="E1413"/>
          <cell r="F1413" t="str">
            <v>CARACAS</v>
          </cell>
          <cell r="G1413" t="str">
            <v>WILLIAM ARAQUE</v>
          </cell>
          <cell r="H1413"/>
          <cell r="I1413" t="str">
            <v>C8</v>
          </cell>
          <cell r="J1413" t="str">
            <v>Activo</v>
          </cell>
          <cell r="K1413">
            <v>14904.550118783089</v>
          </cell>
          <cell r="L1413">
            <v>1490.4550118783088</v>
          </cell>
          <cell r="M1413">
            <v>1684.7960333333333</v>
          </cell>
          <cell r="N1413" t="str">
            <v>Si Compra</v>
          </cell>
          <cell r="O1413">
            <v>10</v>
          </cell>
          <cell r="P1413">
            <v>15352.30134675348</v>
          </cell>
          <cell r="Q1413">
            <v>1535.2301346753479</v>
          </cell>
          <cell r="R1413">
            <v>1343.7521999999999</v>
          </cell>
          <cell r="T1413"/>
          <cell r="U1413"/>
          <cell r="V1413">
            <v>0.97083491146654199</v>
          </cell>
          <cell r="W1413">
            <v>5.6911332846092327E-5</v>
          </cell>
          <cell r="X1413">
            <v>10</v>
          </cell>
          <cell r="Y1413" t="str">
            <v>Proteger</v>
          </cell>
        </row>
        <row r="1414">
          <cell r="A1414" t="str">
            <v>4600</v>
          </cell>
          <cell r="B1414" t="str">
            <v>MIFARMA PLUS</v>
          </cell>
          <cell r="C1414" t="str">
            <v>INDEPENDIENTE</v>
          </cell>
          <cell r="D1414">
            <v>0</v>
          </cell>
          <cell r="E1414"/>
          <cell r="F1414" t="str">
            <v>CENTRO OESTE</v>
          </cell>
          <cell r="G1414" t="str">
            <v>SORALI SILVA</v>
          </cell>
          <cell r="H1414"/>
          <cell r="I1414" t="str">
            <v>L</v>
          </cell>
          <cell r="J1414" t="str">
            <v>Activo</v>
          </cell>
          <cell r="K1414">
            <v>14888.918360795507</v>
          </cell>
          <cell r="L1414">
            <v>2481.4863934659179</v>
          </cell>
          <cell r="M1414">
            <v>0</v>
          </cell>
          <cell r="N1414" t="str">
            <v>No Compra</v>
          </cell>
          <cell r="O1414">
            <v>6</v>
          </cell>
          <cell r="P1414">
            <v>17878.433647567552</v>
          </cell>
          <cell r="Q1414">
            <v>2979.7389412612588</v>
          </cell>
          <cell r="R1414">
            <v>0</v>
          </cell>
          <cell r="T1414"/>
          <cell r="U1414"/>
          <cell r="V1414">
            <v>0.83278650995364001</v>
          </cell>
          <cell r="W1414">
            <v>9.4752741254238305E-5</v>
          </cell>
          <cell r="X1414">
            <v>6</v>
          </cell>
          <cell r="Y1414" t="str">
            <v>Proteger</v>
          </cell>
        </row>
        <row r="1415">
          <cell r="A1415" t="str">
            <v>0073</v>
          </cell>
          <cell r="B1415" t="str">
            <v>0073 - FARMACIA SAN JORGE C.A.</v>
          </cell>
          <cell r="C1415" t="str">
            <v>INDEPENDIENTE</v>
          </cell>
          <cell r="D1415">
            <v>3</v>
          </cell>
          <cell r="E1415"/>
          <cell r="F1415" t="str">
            <v>ESTE</v>
          </cell>
          <cell r="G1415" t="str">
            <v>ADOLFO GONZALEZ</v>
          </cell>
          <cell r="H1415"/>
          <cell r="I1415" t="str">
            <v>A8</v>
          </cell>
          <cell r="J1415" t="str">
            <v>Activo</v>
          </cell>
          <cell r="K1415">
            <v>14880.351095808415</v>
          </cell>
          <cell r="L1415">
            <v>1488.0351095808414</v>
          </cell>
          <cell r="M1415">
            <v>1424.8667341607077</v>
          </cell>
          <cell r="N1415" t="str">
            <v>Si Compra</v>
          </cell>
          <cell r="O1415">
            <v>10</v>
          </cell>
          <cell r="P1415">
            <v>91618.496260462402</v>
          </cell>
          <cell r="Q1415">
            <v>9161.8496260462398</v>
          </cell>
          <cell r="R1415">
            <v>8405.2086781708622</v>
          </cell>
          <cell r="T1415"/>
          <cell r="U1415"/>
          <cell r="V1415">
            <v>0.1624164519520713</v>
          </cell>
          <cell r="W1415">
            <v>5.6818931623641042E-5</v>
          </cell>
          <cell r="X1415">
            <v>10</v>
          </cell>
          <cell r="Y1415" t="str">
            <v>Conquistar</v>
          </cell>
        </row>
        <row r="1416">
          <cell r="A1416" t="str">
            <v>E069</v>
          </cell>
          <cell r="B1416" t="str">
            <v>E069 - FARMACIA SOLUCSALUD, C.A</v>
          </cell>
          <cell r="C1416" t="str">
            <v>INDEPENDIENTE</v>
          </cell>
          <cell r="D1416">
            <v>1</v>
          </cell>
          <cell r="F1416" t="str">
            <v>CENTRO ESTE</v>
          </cell>
          <cell r="G1416">
            <v>0</v>
          </cell>
          <cell r="H1416"/>
          <cell r="I1416" t="str">
            <v>O</v>
          </cell>
          <cell r="J1416" t="str">
            <v>Suspendido</v>
          </cell>
          <cell r="K1416">
            <v>14851.749852688823</v>
          </cell>
          <cell r="L1416">
            <v>2121.6785503841174</v>
          </cell>
          <cell r="M1416">
            <v>811.32564330105208</v>
          </cell>
          <cell r="N1416" t="str">
            <v>Si Compra</v>
          </cell>
          <cell r="O1416">
            <v>7</v>
          </cell>
          <cell r="P1416">
            <v>0</v>
          </cell>
          <cell r="Q1416">
            <v>0</v>
          </cell>
          <cell r="R1416">
            <v>0</v>
          </cell>
          <cell r="V1416">
            <v>0</v>
          </cell>
          <cell r="W1416">
            <v>8.101388717607523E-5</v>
          </cell>
          <cell r="X1416">
            <v>0</v>
          </cell>
          <cell r="Y1416" t="str">
            <v>Conquistar</v>
          </cell>
        </row>
        <row r="1417">
          <cell r="A1417" t="str">
            <v>A277</v>
          </cell>
          <cell r="B1417" t="str">
            <v>GRUPO ORIFE</v>
          </cell>
          <cell r="C1417" t="str">
            <v>GRUPO</v>
          </cell>
          <cell r="D1417">
            <v>6</v>
          </cell>
          <cell r="E1417"/>
          <cell r="F1417" t="str">
            <v>CENTRO ESTE</v>
          </cell>
          <cell r="H1417"/>
          <cell r="I1417"/>
          <cell r="J1417" t="str">
            <v>Inactivo</v>
          </cell>
          <cell r="K1417">
            <v>14833.787207472435</v>
          </cell>
          <cell r="L1417">
            <v>1483.3787207472435</v>
          </cell>
          <cell r="M1417">
            <v>1602.4268</v>
          </cell>
          <cell r="N1417" t="str">
            <v>Si Compra</v>
          </cell>
          <cell r="O1417">
            <v>10</v>
          </cell>
          <cell r="P1417">
            <v>889275.23678214231</v>
          </cell>
          <cell r="Q1417">
            <v>88927.523678214231</v>
          </cell>
          <cell r="R1417">
            <v>5631.4256999999998</v>
          </cell>
          <cell r="S1417"/>
          <cell r="T1417"/>
          <cell r="U1417"/>
          <cell r="V1417">
            <v>1.6680760459662353E-2</v>
          </cell>
          <cell r="W1417">
            <v>5.664113270139397E-5</v>
          </cell>
          <cell r="X1417">
            <v>10</v>
          </cell>
          <cell r="Y1417" t="str">
            <v>Conquistar</v>
          </cell>
        </row>
        <row r="1418">
          <cell r="A1418" t="str">
            <v>A765</v>
          </cell>
          <cell r="B1418" t="str">
            <v>A765 - FARMACIA SANA SANA V.C., C.A.</v>
          </cell>
          <cell r="C1418" t="str">
            <v>INDEPENDIENTE</v>
          </cell>
          <cell r="D1418">
            <v>3</v>
          </cell>
          <cell r="E1418"/>
          <cell r="F1418" t="str">
            <v>ESTE</v>
          </cell>
          <cell r="G1418" t="str">
            <v>PEDRO VIRE</v>
          </cell>
          <cell r="H1418" t="str">
            <v>HECTOR</v>
          </cell>
          <cell r="I1418" t="str">
            <v>A7</v>
          </cell>
          <cell r="J1418" t="str">
            <v>Activo</v>
          </cell>
          <cell r="K1418">
            <v>14818.919438372868</v>
          </cell>
          <cell r="L1418">
            <v>1481.8919438372868</v>
          </cell>
          <cell r="M1418">
            <v>989.72756666666658</v>
          </cell>
          <cell r="N1418" t="str">
            <v>Si Compra</v>
          </cell>
          <cell r="O1418">
            <v>10</v>
          </cell>
          <cell r="P1418">
            <v>28595.966100000005</v>
          </cell>
          <cell r="Q1418">
            <v>3177.3295666666672</v>
          </cell>
          <cell r="R1418">
            <v>7154.9138999999996</v>
          </cell>
          <cell r="T1418"/>
          <cell r="U1418"/>
          <cell r="V1418">
            <v>0.46639541562946457</v>
          </cell>
          <cell r="W1418">
            <v>5.6584361812694821E-5</v>
          </cell>
          <cell r="X1418">
            <v>9</v>
          </cell>
          <cell r="Y1418" t="str">
            <v>Potenciar</v>
          </cell>
        </row>
        <row r="1419">
          <cell r="A1419" t="str">
            <v>B406</v>
          </cell>
          <cell r="B1419" t="str">
            <v>B406 - FARMAFABI, C.A.</v>
          </cell>
          <cell r="C1419" t="str">
            <v>INDEPENDIENTE</v>
          </cell>
          <cell r="D1419">
            <v>3</v>
          </cell>
          <cell r="E1419"/>
          <cell r="F1419" t="str">
            <v>ESTE</v>
          </cell>
          <cell r="G1419" t="str">
            <v>PEDRO VIRE</v>
          </cell>
          <cell r="H1419"/>
          <cell r="I1419" t="str">
            <v>A7</v>
          </cell>
          <cell r="J1419" t="str">
            <v>Activo</v>
          </cell>
          <cell r="K1419">
            <v>14800.038229256703</v>
          </cell>
          <cell r="L1419">
            <v>1480.0038229256702</v>
          </cell>
          <cell r="M1419">
            <v>1268.4236724756945</v>
          </cell>
          <cell r="N1419" t="str">
            <v>Si Compra</v>
          </cell>
          <cell r="O1419">
            <v>10</v>
          </cell>
          <cell r="P1419">
            <v>32634.192046592612</v>
          </cell>
          <cell r="Q1419">
            <v>3263.4192046592611</v>
          </cell>
          <cell r="R1419">
            <v>2154.7455375390887</v>
          </cell>
          <cell r="T1419"/>
          <cell r="U1419"/>
          <cell r="V1419">
            <v>0.45351324182092007</v>
          </cell>
          <cell r="W1419">
            <v>5.6512266058848974E-5</v>
          </cell>
          <cell r="X1419">
            <v>10</v>
          </cell>
          <cell r="Y1419" t="str">
            <v>Potenciar</v>
          </cell>
        </row>
        <row r="1420">
          <cell r="A1420" t="str">
            <v>E402</v>
          </cell>
          <cell r="B1420" t="str">
            <v>E402 - FARMACIA LA OFRENDA JN, C.A</v>
          </cell>
          <cell r="C1420" t="e">
            <v>#N/A</v>
          </cell>
          <cell r="D1420">
            <v>3</v>
          </cell>
          <cell r="F1420" t="str">
            <v>CENTRO ESTE</v>
          </cell>
          <cell r="G1420">
            <v>0</v>
          </cell>
          <cell r="H1420"/>
          <cell r="I1420" t="str">
            <v>O</v>
          </cell>
          <cell r="J1420" t="str">
            <v>Activo</v>
          </cell>
          <cell r="K1420">
            <v>14748.18556071174</v>
          </cell>
          <cell r="L1420">
            <v>3687.0463901779349</v>
          </cell>
          <cell r="M1420">
            <v>4354.2306202372465</v>
          </cell>
          <cell r="N1420" t="str">
            <v>Si Compra</v>
          </cell>
          <cell r="O1420">
            <v>4</v>
          </cell>
          <cell r="P1420">
            <v>0</v>
          </cell>
          <cell r="Q1420">
            <v>0</v>
          </cell>
          <cell r="R1420">
            <v>0</v>
          </cell>
          <cell r="V1420">
            <v>0</v>
          </cell>
          <cell r="W1420">
            <v>1.4078568132422906E-4</v>
          </cell>
          <cell r="X1420">
            <v>0</v>
          </cell>
          <cell r="Y1420" t="str">
            <v>Conquistar</v>
          </cell>
        </row>
        <row r="1421">
          <cell r="A1421" t="str">
            <v>389</v>
          </cell>
          <cell r="B1421" t="str">
            <v>389 - FARMACIA MARIA DEL CARMEN F.P</v>
          </cell>
          <cell r="C1421" t="e">
            <v>#N/A</v>
          </cell>
          <cell r="D1421">
            <v>3</v>
          </cell>
          <cell r="E1421"/>
          <cell r="F1421" t="str">
            <v>ANDES</v>
          </cell>
          <cell r="G1421" t="str">
            <v>MARIA GABRIELA FORTUL</v>
          </cell>
          <cell r="H1421"/>
          <cell r="I1421" t="str">
            <v>3</v>
          </cell>
          <cell r="J1421" t="str">
            <v>Activo</v>
          </cell>
          <cell r="K1421">
            <v>14732.748699999998</v>
          </cell>
          <cell r="L1421">
            <v>2946.5497399999995</v>
          </cell>
          <cell r="M1421">
            <v>3177.6761000000001</v>
          </cell>
          <cell r="N1421" t="str">
            <v>Si Compra</v>
          </cell>
          <cell r="O1421">
            <v>5</v>
          </cell>
          <cell r="P1421">
            <v>17234.651099999999</v>
          </cell>
          <cell r="Q1421">
            <v>3446.9302199999997</v>
          </cell>
          <cell r="R1421">
            <v>4418.9143333333332</v>
          </cell>
          <cell r="T1421"/>
          <cell r="U1421"/>
          <cell r="V1421">
            <v>0.85483301138599777</v>
          </cell>
          <cell r="W1421">
            <v>1.1251065725853543E-4</v>
          </cell>
          <cell r="X1421">
            <v>5</v>
          </cell>
          <cell r="Y1421" t="str">
            <v>Proteger</v>
          </cell>
        </row>
        <row r="1422">
          <cell r="A1422" t="str">
            <v>0959</v>
          </cell>
          <cell r="B1422" t="str">
            <v>0959 - FARMACIA SAN ANTONIO, C.A.</v>
          </cell>
          <cell r="C1422" t="str">
            <v>INDEPENDIENTE</v>
          </cell>
          <cell r="D1422">
            <v>0</v>
          </cell>
          <cell r="F1422" t="str">
            <v>MARACAIBO</v>
          </cell>
          <cell r="G1422" t="str">
            <v>MARIA FUSELLA</v>
          </cell>
          <cell r="H1422"/>
          <cell r="I1422" t="str">
            <v>BZ</v>
          </cell>
          <cell r="J1422" t="str">
            <v>Inactivo</v>
          </cell>
          <cell r="K1422">
            <v>14723.412699999999</v>
          </cell>
          <cell r="L1422">
            <v>2944.6825399999998</v>
          </cell>
          <cell r="M1422">
            <v>2321.7841333333331</v>
          </cell>
          <cell r="N1422" t="str">
            <v>Si Compra</v>
          </cell>
          <cell r="O1422">
            <v>5</v>
          </cell>
          <cell r="P1422">
            <v>0</v>
          </cell>
          <cell r="Q1422">
            <v>0</v>
          </cell>
          <cell r="R1422">
            <v>0</v>
          </cell>
          <cell r="V1422">
            <v>0</v>
          </cell>
          <cell r="W1422">
            <v>1.1243936034595282E-4</v>
          </cell>
          <cell r="X1422">
            <v>0</v>
          </cell>
          <cell r="Y1422" t="str">
            <v>Conquistar</v>
          </cell>
        </row>
        <row r="1423">
          <cell r="A1423" t="str">
            <v>D430</v>
          </cell>
          <cell r="B1423" t="str">
            <v>D430 - FARMACIA VITALMEDICA C.A</v>
          </cell>
          <cell r="C1423" t="str">
            <v>INDEPENDIENTE</v>
          </cell>
          <cell r="D1423">
            <v>2</v>
          </cell>
          <cell r="E1423"/>
          <cell r="F1423" t="str">
            <v>ANDES</v>
          </cell>
          <cell r="G1423">
            <v>0</v>
          </cell>
          <cell r="H1423"/>
          <cell r="I1423" t="str">
            <v>4</v>
          </cell>
          <cell r="J1423" t="str">
            <v>Activo</v>
          </cell>
          <cell r="K1423">
            <v>14690.035294159072</v>
          </cell>
          <cell r="L1423">
            <v>1632.2261437954523</v>
          </cell>
          <cell r="M1423">
            <v>1969.0761500000001</v>
          </cell>
          <cell r="N1423" t="str">
            <v>Si Compra</v>
          </cell>
          <cell r="O1423">
            <v>9</v>
          </cell>
          <cell r="P1423">
            <v>0</v>
          </cell>
          <cell r="Q1423">
            <v>0</v>
          </cell>
          <cell r="R1423">
            <v>0</v>
          </cell>
          <cell r="T1423"/>
          <cell r="U1423"/>
          <cell r="V1423">
            <v>0</v>
          </cell>
          <cell r="W1423">
            <v>6.2324702597075837E-5</v>
          </cell>
          <cell r="X1423">
            <v>0</v>
          </cell>
          <cell r="Y1423" t="str">
            <v>Conquistar</v>
          </cell>
        </row>
        <row r="1424">
          <cell r="A1424" t="str">
            <v>E178</v>
          </cell>
          <cell r="B1424" t="str">
            <v>E178 - FARMACIA GRUPO BIOS, C.A.</v>
          </cell>
          <cell r="C1424" t="str">
            <v>INDEPENDIENTE</v>
          </cell>
          <cell r="D1424">
            <v>3</v>
          </cell>
          <cell r="F1424" t="str">
            <v>CENTRO ESTE</v>
          </cell>
          <cell r="G1424">
            <v>0</v>
          </cell>
          <cell r="H1424"/>
          <cell r="I1424" t="str">
            <v>I</v>
          </cell>
          <cell r="J1424" t="str">
            <v>Activo</v>
          </cell>
          <cell r="K1424">
            <v>14686.090731568724</v>
          </cell>
          <cell r="L1424">
            <v>1835.7613414460905</v>
          </cell>
          <cell r="M1424">
            <v>1839.0085438562417</v>
          </cell>
          <cell r="N1424" t="str">
            <v>Si Compra</v>
          </cell>
          <cell r="O1424">
            <v>8</v>
          </cell>
          <cell r="P1424">
            <v>0</v>
          </cell>
          <cell r="Q1424">
            <v>0</v>
          </cell>
          <cell r="R1424">
            <v>0</v>
          </cell>
          <cell r="V1424">
            <v>0</v>
          </cell>
          <cell r="W1424">
            <v>7.009646309106948E-5</v>
          </cell>
          <cell r="X1424">
            <v>0</v>
          </cell>
          <cell r="Y1424" t="str">
            <v>Conquistar</v>
          </cell>
        </row>
        <row r="1425">
          <cell r="A1425" t="str">
            <v>2726</v>
          </cell>
          <cell r="B1425" t="str">
            <v>2726 - FARMACIA SANTA ISABEL, C.A</v>
          </cell>
          <cell r="C1425" t="str">
            <v>INDEPENDIENTE</v>
          </cell>
          <cell r="D1425">
            <v>3</v>
          </cell>
          <cell r="E1425"/>
          <cell r="F1425" t="str">
            <v>CENTRO ESTE</v>
          </cell>
          <cell r="G1425" t="str">
            <v>KARLA SALAZAR</v>
          </cell>
          <cell r="H1425"/>
          <cell r="I1425" t="str">
            <v>O</v>
          </cell>
          <cell r="J1425" t="str">
            <v>Activo</v>
          </cell>
          <cell r="K1425">
            <v>14665.821436180489</v>
          </cell>
          <cell r="L1425">
            <v>1466.582143618049</v>
          </cell>
          <cell r="M1425">
            <v>1571.8421333333333</v>
          </cell>
          <cell r="N1425" t="str">
            <v>Si Compra</v>
          </cell>
          <cell r="O1425">
            <v>10</v>
          </cell>
          <cell r="P1425">
            <v>16045.009226691074</v>
          </cell>
          <cell r="Q1425">
            <v>1604.5009226691075</v>
          </cell>
          <cell r="R1425">
            <v>1562.1133</v>
          </cell>
          <cell r="T1425"/>
          <cell r="U1425"/>
          <cell r="V1425">
            <v>0.91404256793967509</v>
          </cell>
          <cell r="W1425">
            <v>5.5999774469138448E-5</v>
          </cell>
          <cell r="X1425">
            <v>10</v>
          </cell>
          <cell r="Y1425" t="str">
            <v>Proteger</v>
          </cell>
        </row>
        <row r="1426">
          <cell r="A1426" t="str">
            <v>8060</v>
          </cell>
          <cell r="B1426" t="str">
            <v>8060 - CENTRO MEDICO SAN FRANCISCO C.A</v>
          </cell>
          <cell r="C1426" t="str">
            <v>INDEPENDIENTE</v>
          </cell>
          <cell r="D1426">
            <v>3</v>
          </cell>
          <cell r="E1426"/>
          <cell r="F1426" t="str">
            <v>CENTRO OESTE</v>
          </cell>
          <cell r="G1426">
            <v>0</v>
          </cell>
          <cell r="H1426"/>
          <cell r="I1426" t="str">
            <v>Y1</v>
          </cell>
          <cell r="J1426" t="str">
            <v>Activo</v>
          </cell>
          <cell r="K1426">
            <v>14620.867985078978</v>
          </cell>
          <cell r="L1426">
            <v>1462.0867985078978</v>
          </cell>
          <cell r="M1426">
            <v>1322.0444333333332</v>
          </cell>
          <cell r="N1426" t="str">
            <v>Si Compra</v>
          </cell>
          <cell r="O1426">
            <v>10</v>
          </cell>
          <cell r="P1426">
            <v>0</v>
          </cell>
          <cell r="Q1426">
            <v>0</v>
          </cell>
          <cell r="R1426">
            <v>0</v>
          </cell>
          <cell r="T1426"/>
          <cell r="U1426"/>
          <cell r="V1426">
            <v>0</v>
          </cell>
          <cell r="W1426">
            <v>5.5828124818674021E-5</v>
          </cell>
          <cell r="X1426">
            <v>0</v>
          </cell>
          <cell r="Y1426" t="str">
            <v>Conquistar</v>
          </cell>
        </row>
        <row r="1427">
          <cell r="A1427" t="str">
            <v>N59</v>
          </cell>
          <cell r="B1427" t="str">
            <v>N59 - FARMACIA CORAZÓN DE JESÚS C.A</v>
          </cell>
          <cell r="C1427" t="str">
            <v>INDEPENDIENTE</v>
          </cell>
          <cell r="D1427">
            <v>3</v>
          </cell>
          <cell r="F1427" t="str">
            <v>CENTRO OESTE</v>
          </cell>
          <cell r="G1427" t="str">
            <v>YAMILEX LAMEDA</v>
          </cell>
          <cell r="H1427"/>
          <cell r="I1427" t="str">
            <v>Y1</v>
          </cell>
          <cell r="J1427" t="str">
            <v>Activo</v>
          </cell>
          <cell r="K1427">
            <v>14612.334162620138</v>
          </cell>
          <cell r="L1427">
            <v>1623.5926847355709</v>
          </cell>
          <cell r="M1427">
            <v>1623.5220666666667</v>
          </cell>
          <cell r="N1427" t="str">
            <v>Si Compra</v>
          </cell>
          <cell r="O1427">
            <v>9</v>
          </cell>
          <cell r="P1427">
            <v>24475.951499999999</v>
          </cell>
          <cell r="Q1427">
            <v>3059.4939374999999</v>
          </cell>
          <cell r="R1427">
            <v>2800.5844666666667</v>
          </cell>
          <cell r="V1427">
            <v>0.53067360743399772</v>
          </cell>
          <cell r="W1427">
            <v>6.1995043762522474E-5</v>
          </cell>
          <cell r="X1427">
            <v>8</v>
          </cell>
          <cell r="Y1427" t="str">
            <v>Potenciar</v>
          </cell>
        </row>
        <row r="1428">
          <cell r="A1428" t="str">
            <v>D719</v>
          </cell>
          <cell r="B1428" t="str">
            <v>D719 - FARMACIA BARRIO SUCRE 2024, C.A.</v>
          </cell>
          <cell r="C1428" t="str">
            <v>INDEPENDIENTE</v>
          </cell>
          <cell r="D1428">
            <v>3</v>
          </cell>
          <cell r="E1428"/>
          <cell r="F1428" t="str">
            <v>ANDES</v>
          </cell>
          <cell r="G1428">
            <v>0</v>
          </cell>
          <cell r="H1428"/>
          <cell r="I1428" t="str">
            <v>G2</v>
          </cell>
          <cell r="J1428" t="str">
            <v>Inactivo</v>
          </cell>
          <cell r="K1428">
            <v>14612.098102848777</v>
          </cell>
          <cell r="L1428">
            <v>1461.2098102848777</v>
          </cell>
          <cell r="M1428">
            <v>2538.0309353238977</v>
          </cell>
          <cell r="N1428" t="str">
            <v>Si Compra</v>
          </cell>
          <cell r="O1428">
            <v>10</v>
          </cell>
          <cell r="P1428">
            <v>0</v>
          </cell>
          <cell r="Q1428">
            <v>0</v>
          </cell>
          <cell r="R1428">
            <v>0</v>
          </cell>
          <cell r="T1428"/>
          <cell r="U1428"/>
          <cell r="V1428">
            <v>0</v>
          </cell>
          <cell r="W1428">
            <v>5.5794638018827909E-5</v>
          </cell>
          <cell r="X1428">
            <v>0</v>
          </cell>
          <cell r="Y1428" t="str">
            <v>Conquistar</v>
          </cell>
        </row>
        <row r="1429">
          <cell r="A1429" t="str">
            <v>C604</v>
          </cell>
          <cell r="B1429" t="str">
            <v>C604 - FARMACIA FAMI FARMA MGM, C.A</v>
          </cell>
          <cell r="C1429" t="str">
            <v>INDEPENDIENTE</v>
          </cell>
          <cell r="D1429">
            <v>0</v>
          </cell>
          <cell r="E1429"/>
          <cell r="F1429" t="str">
            <v>CENTRO ESTE</v>
          </cell>
          <cell r="G1429" t="str">
            <v>LAURA FLORES</v>
          </cell>
          <cell r="H1429"/>
          <cell r="I1429" t="str">
            <v>+</v>
          </cell>
          <cell r="J1429" t="str">
            <v>Activo</v>
          </cell>
          <cell r="K1429">
            <v>14557.780699999999</v>
          </cell>
          <cell r="L1429">
            <v>2079.682957142857</v>
          </cell>
          <cell r="M1429">
            <v>0</v>
          </cell>
          <cell r="N1429" t="str">
            <v>No Compra</v>
          </cell>
          <cell r="O1429">
            <v>7</v>
          </cell>
          <cell r="P1429">
            <v>28717.5648</v>
          </cell>
          <cell r="Q1429">
            <v>4102.5092571428568</v>
          </cell>
          <cell r="R1429">
            <v>0</v>
          </cell>
          <cell r="T1429"/>
          <cell r="U1429"/>
          <cell r="V1429">
            <v>0.50692949772677109</v>
          </cell>
          <cell r="W1429">
            <v>7.9410333116425679E-5</v>
          </cell>
          <cell r="X1429">
            <v>7</v>
          </cell>
          <cell r="Y1429" t="str">
            <v>Potenciar</v>
          </cell>
        </row>
        <row r="1430">
          <cell r="A1430" t="str">
            <v>2660</v>
          </cell>
          <cell r="B1430" t="str">
            <v>2660 - FARMACIA HOSPITAL DE CLINICAS LAS DELICIAS, C.A.</v>
          </cell>
          <cell r="C1430" t="str">
            <v>INDEPENDIENTE</v>
          </cell>
          <cell r="D1430">
            <v>3</v>
          </cell>
          <cell r="E1430"/>
          <cell r="F1430" t="str">
            <v>CENTRO ESTE</v>
          </cell>
          <cell r="G1430" t="str">
            <v>LAURA FLORES</v>
          </cell>
          <cell r="H1430"/>
          <cell r="I1430" t="str">
            <v>+</v>
          </cell>
          <cell r="J1430" t="str">
            <v>Activo</v>
          </cell>
          <cell r="K1430">
            <v>14548.380689392556</v>
          </cell>
          <cell r="L1430">
            <v>1454.8380689392557</v>
          </cell>
          <cell r="M1430">
            <v>708.40893447123926</v>
          </cell>
          <cell r="N1430" t="str">
            <v>Si Compra</v>
          </cell>
          <cell r="O1430">
            <v>10</v>
          </cell>
          <cell r="P1430">
            <v>26392.428989090076</v>
          </cell>
          <cell r="Q1430">
            <v>2639.2428989090076</v>
          </cell>
          <cell r="R1430">
            <v>2139.8488044922578</v>
          </cell>
          <cell r="T1430"/>
          <cell r="U1430"/>
          <cell r="V1430">
            <v>0.5512331091392334</v>
          </cell>
          <cell r="W1430">
            <v>5.5551340307967845E-5</v>
          </cell>
          <cell r="X1430">
            <v>10</v>
          </cell>
          <cell r="Y1430" t="str">
            <v>Potenciar</v>
          </cell>
        </row>
        <row r="1431">
          <cell r="A1431" t="str">
            <v>$134</v>
          </cell>
          <cell r="B1431" t="str">
            <v>$134 - FARMAQUI,C.A.</v>
          </cell>
          <cell r="C1431" t="str">
            <v>INDEPENDIENTE</v>
          </cell>
          <cell r="D1431">
            <v>3</v>
          </cell>
          <cell r="E1431"/>
          <cell r="F1431" t="str">
            <v>CENTRO ESTE</v>
          </cell>
          <cell r="G1431" t="str">
            <v>MARCOS CRUCES</v>
          </cell>
          <cell r="H1431"/>
          <cell r="I1431" t="str">
            <v>$</v>
          </cell>
          <cell r="J1431" t="str">
            <v>Activo</v>
          </cell>
          <cell r="K1431">
            <v>14545.292469816475</v>
          </cell>
          <cell r="L1431">
            <v>1454.5292469816475</v>
          </cell>
          <cell r="M1431">
            <v>1363.8950333333335</v>
          </cell>
          <cell r="N1431" t="str">
            <v>Si Compra</v>
          </cell>
          <cell r="O1431">
            <v>10</v>
          </cell>
          <cell r="P1431">
            <v>25734.270634694651</v>
          </cell>
          <cell r="Q1431">
            <v>2573.4270634694649</v>
          </cell>
          <cell r="R1431">
            <v>1874.9270999999999</v>
          </cell>
          <cell r="T1431"/>
          <cell r="U1431"/>
          <cell r="V1431">
            <v>0.5652109856265628</v>
          </cell>
          <cell r="W1431">
            <v>5.5539548292053542E-5</v>
          </cell>
          <cell r="X1431">
            <v>10</v>
          </cell>
          <cell r="Y1431" t="str">
            <v>Potenciar</v>
          </cell>
        </row>
        <row r="1432">
          <cell r="A1432" t="str">
            <v>4147</v>
          </cell>
          <cell r="B1432" t="str">
            <v>4147 - FARMACIA EL ARCANGEL,C.A.</v>
          </cell>
          <cell r="C1432" t="str">
            <v>INDEPENDIENTE</v>
          </cell>
          <cell r="D1432">
            <v>3</v>
          </cell>
          <cell r="E1432"/>
          <cell r="F1432" t="str">
            <v>ANDES</v>
          </cell>
          <cell r="G1432" t="str">
            <v>ANYERSSON TORRES</v>
          </cell>
          <cell r="H1432"/>
          <cell r="I1432" t="str">
            <v>4</v>
          </cell>
          <cell r="J1432" t="str">
            <v>Activo</v>
          </cell>
          <cell r="K1432">
            <v>14534.581900000001</v>
          </cell>
          <cell r="L1432">
            <v>1453.4581900000001</v>
          </cell>
          <cell r="M1432">
            <v>1183.2973666666664</v>
          </cell>
          <cell r="N1432" t="str">
            <v>Si Compra</v>
          </cell>
          <cell r="O1432">
            <v>10</v>
          </cell>
          <cell r="P1432">
            <v>39470.163399999998</v>
          </cell>
          <cell r="Q1432">
            <v>3947.0163399999997</v>
          </cell>
          <cell r="R1432">
            <v>2611.942</v>
          </cell>
          <cell r="T1432"/>
          <cell r="U1432"/>
          <cell r="V1432">
            <v>0.36824225308375597</v>
          </cell>
          <cell r="W1432">
            <v>5.5498651196942401E-5</v>
          </cell>
          <cell r="X1432">
            <v>10</v>
          </cell>
          <cell r="Y1432" t="str">
            <v>Potenciar</v>
          </cell>
        </row>
        <row r="1433">
          <cell r="A1433" t="str">
            <v>7197</v>
          </cell>
          <cell r="B1433" t="str">
            <v>7197 - FARMACIA LOS PINOS, C.A.</v>
          </cell>
          <cell r="C1433" t="str">
            <v>INDEPENDIENTE</v>
          </cell>
          <cell r="D1433">
            <v>3</v>
          </cell>
          <cell r="E1433"/>
          <cell r="F1433" t="str">
            <v>CARACAS</v>
          </cell>
          <cell r="G1433" t="str">
            <v>WILLIAM ARAQUE</v>
          </cell>
          <cell r="H1433"/>
          <cell r="I1433" t="str">
            <v>C8</v>
          </cell>
          <cell r="J1433" t="str">
            <v>Activo</v>
          </cell>
          <cell r="K1433">
            <v>14528.938058123958</v>
          </cell>
          <cell r="L1433">
            <v>1452.8938058123958</v>
          </cell>
          <cell r="M1433">
            <v>1616.0385055517609</v>
          </cell>
          <cell r="N1433" t="str">
            <v>Si Compra</v>
          </cell>
          <cell r="O1433">
            <v>10</v>
          </cell>
          <cell r="P1433">
            <v>15681.099654785188</v>
          </cell>
          <cell r="Q1433">
            <v>1568.1099654785189</v>
          </cell>
          <cell r="R1433">
            <v>1553.030763556281</v>
          </cell>
          <cell r="T1433"/>
          <cell r="U1433"/>
          <cell r="V1433">
            <v>0.92652545918170726</v>
          </cell>
          <cell r="W1433">
            <v>5.5477100827358728E-5</v>
          </cell>
          <cell r="X1433">
            <v>10</v>
          </cell>
          <cell r="Y1433" t="str">
            <v>Proteger</v>
          </cell>
        </row>
        <row r="1434">
          <cell r="A1434" t="str">
            <v>C032</v>
          </cell>
          <cell r="B1434" t="str">
            <v>C032 - FARMA BENI 23, C.A.</v>
          </cell>
          <cell r="C1434" t="str">
            <v>INDEPENDIENTE</v>
          </cell>
          <cell r="D1434">
            <v>3</v>
          </cell>
          <cell r="E1434"/>
          <cell r="F1434" t="str">
            <v>ESTE</v>
          </cell>
          <cell r="G1434" t="str">
            <v>IRAIDA RODRIGUEZ</v>
          </cell>
          <cell r="H1434"/>
          <cell r="I1434" t="str">
            <v>AB</v>
          </cell>
          <cell r="J1434" t="str">
            <v>Permiso</v>
          </cell>
          <cell r="K1434">
            <v>14476.866506946935</v>
          </cell>
          <cell r="L1434">
            <v>1447.6866506946935</v>
          </cell>
          <cell r="M1434">
            <v>2266.0436963885713</v>
          </cell>
          <cell r="N1434" t="str">
            <v>Si Compra</v>
          </cell>
          <cell r="O1434">
            <v>10</v>
          </cell>
          <cell r="P1434">
            <v>24114.59532275399</v>
          </cell>
          <cell r="Q1434">
            <v>2411.4595322753989</v>
          </cell>
          <cell r="R1434">
            <v>2494.582363771126</v>
          </cell>
          <cell r="T1434"/>
          <cell r="U1434"/>
          <cell r="V1434">
            <v>0.60033628237115344</v>
          </cell>
          <cell r="W1434">
            <v>5.5278271519715736E-5</v>
          </cell>
          <cell r="X1434">
            <v>10</v>
          </cell>
          <cell r="Y1434" t="str">
            <v>Potenciar</v>
          </cell>
        </row>
        <row r="1435">
          <cell r="A1435" t="str">
            <v>7747</v>
          </cell>
          <cell r="B1435" t="str">
            <v>7747 - EXPENDIO DE MEDICINA SAN JUAN DE LOS CAYOS, F.C</v>
          </cell>
          <cell r="C1435" t="str">
            <v>INDEPENDIENTE</v>
          </cell>
          <cell r="D1435">
            <v>3</v>
          </cell>
          <cell r="E1435"/>
          <cell r="F1435" t="str">
            <v>CENTRO ESTE</v>
          </cell>
          <cell r="G1435">
            <v>0</v>
          </cell>
          <cell r="H1435"/>
          <cell r="I1435" t="str">
            <v>I</v>
          </cell>
          <cell r="J1435" t="str">
            <v>Activo</v>
          </cell>
          <cell r="K1435">
            <v>14427.632539214599</v>
          </cell>
          <cell r="L1435">
            <v>2061.0903627449429</v>
          </cell>
          <cell r="M1435">
            <v>2375.5654</v>
          </cell>
          <cell r="N1435" t="str">
            <v>Si Compra</v>
          </cell>
          <cell r="O1435">
            <v>7</v>
          </cell>
          <cell r="P1435">
            <v>0</v>
          </cell>
          <cell r="Q1435">
            <v>0</v>
          </cell>
          <cell r="R1435">
            <v>0</v>
          </cell>
          <cell r="T1435"/>
          <cell r="U1435"/>
          <cell r="V1435">
            <v>0</v>
          </cell>
          <cell r="W1435">
            <v>7.8700396003383529E-5</v>
          </cell>
          <cell r="X1435">
            <v>0</v>
          </cell>
          <cell r="Y1435" t="str">
            <v>Conquistar</v>
          </cell>
        </row>
        <row r="1436">
          <cell r="A1436" t="str">
            <v>8694</v>
          </cell>
          <cell r="B1436" t="str">
            <v>8694 - FARMACIA DE ORO, C.A</v>
          </cell>
          <cell r="C1436" t="str">
            <v>INDEPENDIENTE</v>
          </cell>
          <cell r="D1436">
            <v>3</v>
          </cell>
          <cell r="E1436"/>
          <cell r="F1436" t="str">
            <v>ESTE</v>
          </cell>
          <cell r="G1436" t="str">
            <v>ADOLFO GONZALEZ</v>
          </cell>
          <cell r="H1436"/>
          <cell r="I1436" t="str">
            <v>A8</v>
          </cell>
          <cell r="J1436" t="str">
            <v>Activo</v>
          </cell>
          <cell r="K1436">
            <v>14417.886217862802</v>
          </cell>
          <cell r="L1436">
            <v>1441.7886217862801</v>
          </cell>
          <cell r="M1436">
            <v>1682.3098</v>
          </cell>
          <cell r="N1436" t="str">
            <v>Si Compra</v>
          </cell>
          <cell r="O1436">
            <v>10</v>
          </cell>
          <cell r="P1436">
            <v>16634.098642412016</v>
          </cell>
          <cell r="Q1436">
            <v>1663.4098642412016</v>
          </cell>
          <cell r="R1436">
            <v>1604.3358666666666</v>
          </cell>
          <cell r="T1436"/>
          <cell r="U1436"/>
          <cell r="V1436">
            <v>0.86676690620924113</v>
          </cell>
          <cell r="W1436">
            <v>5.5053061980569985E-5</v>
          </cell>
          <cell r="X1436">
            <v>10</v>
          </cell>
          <cell r="Y1436" t="str">
            <v>Proteger</v>
          </cell>
        </row>
        <row r="1437">
          <cell r="A1437" t="str">
            <v>B407</v>
          </cell>
          <cell r="B1437" t="str">
            <v>B407 - INVERSIONES FARMACEUTICAS LA FAMILIA, C.A.</v>
          </cell>
          <cell r="C1437" t="str">
            <v>INDEPENDIENTE</v>
          </cell>
          <cell r="D1437">
            <v>3</v>
          </cell>
          <cell r="E1437"/>
          <cell r="F1437" t="str">
            <v>CARACAS</v>
          </cell>
          <cell r="G1437" t="str">
            <v>MAIRUBI QUIJADA</v>
          </cell>
          <cell r="H1437"/>
          <cell r="I1437" t="str">
            <v>C2</v>
          </cell>
          <cell r="J1437" t="str">
            <v>Activo</v>
          </cell>
          <cell r="K1437">
            <v>14405.809244496086</v>
          </cell>
          <cell r="L1437">
            <v>1600.6454716106762</v>
          </cell>
          <cell r="M1437">
            <v>662.63610000000006</v>
          </cell>
          <cell r="N1437" t="str">
            <v>Si Compra</v>
          </cell>
          <cell r="O1437">
            <v>9</v>
          </cell>
          <cell r="P1437">
            <v>79262.962492914128</v>
          </cell>
          <cell r="Q1437">
            <v>8806.9958325460138</v>
          </cell>
          <cell r="R1437">
            <v>5135.7115666666668</v>
          </cell>
          <cell r="T1437"/>
          <cell r="U1437"/>
          <cell r="V1437">
            <v>0.1817470454221784</v>
          </cell>
          <cell r="W1437">
            <v>6.1118830476221869E-5</v>
          </cell>
          <cell r="X1437">
            <v>9</v>
          </cell>
          <cell r="Y1437" t="str">
            <v>Conquistar</v>
          </cell>
        </row>
        <row r="1438">
          <cell r="A1438" t="str">
            <v>B210</v>
          </cell>
          <cell r="B1438" t="str">
            <v>B210 - FARMACIA FARMATERANO´S, C.A</v>
          </cell>
          <cell r="C1438" t="e">
            <v>#N/A</v>
          </cell>
          <cell r="D1438">
            <v>3</v>
          </cell>
          <cell r="E1438"/>
          <cell r="F1438" t="str">
            <v>CENTRO OESTE</v>
          </cell>
          <cell r="G1438" t="str">
            <v>SORALI SILVA</v>
          </cell>
          <cell r="H1438"/>
          <cell r="I1438" t="str">
            <v>L</v>
          </cell>
          <cell r="J1438" t="str">
            <v>Inactivo</v>
          </cell>
          <cell r="K1438">
            <v>14404.462516122978</v>
          </cell>
          <cell r="L1438">
            <v>2400.7437526871631</v>
          </cell>
          <cell r="M1438">
            <v>3196.3737720409922</v>
          </cell>
          <cell r="N1438" t="str">
            <v>Si Compra</v>
          </cell>
          <cell r="O1438">
            <v>6</v>
          </cell>
          <cell r="P1438">
            <v>0</v>
          </cell>
          <cell r="Q1438">
            <v>0</v>
          </cell>
          <cell r="R1438">
            <v>0</v>
          </cell>
          <cell r="T1438"/>
          <cell r="U1438"/>
          <cell r="V1438">
            <v>0</v>
          </cell>
          <cell r="W1438">
            <v>9.1669675165285218E-5</v>
          </cell>
          <cell r="X1438">
            <v>0</v>
          </cell>
          <cell r="Y1438" t="str">
            <v>Conquistar</v>
          </cell>
        </row>
        <row r="1439">
          <cell r="A1439" t="str">
            <v>E061</v>
          </cell>
          <cell r="B1439" t="str">
            <v>E061 - MULTITIENDA FARMACIA FARMACOL, C.A</v>
          </cell>
          <cell r="C1439" t="str">
            <v>INDEPENDIENTE</v>
          </cell>
          <cell r="D1439">
            <v>3</v>
          </cell>
          <cell r="F1439" t="str">
            <v>MARACAIBO</v>
          </cell>
          <cell r="G1439">
            <v>0</v>
          </cell>
          <cell r="H1439"/>
          <cell r="I1439" t="str">
            <v>S</v>
          </cell>
          <cell r="J1439" t="str">
            <v>Activo</v>
          </cell>
          <cell r="K1439">
            <v>14402.474303650099</v>
          </cell>
          <cell r="L1439">
            <v>1600.2749226277888</v>
          </cell>
          <cell r="M1439">
            <v>1913.3235012166995</v>
          </cell>
          <cell r="N1439" t="str">
            <v>Si Compra</v>
          </cell>
          <cell r="O1439">
            <v>9</v>
          </cell>
          <cell r="P1439">
            <v>0</v>
          </cell>
          <cell r="Q1439">
            <v>0</v>
          </cell>
          <cell r="R1439">
            <v>0</v>
          </cell>
          <cell r="V1439">
            <v>0</v>
          </cell>
          <cell r="W1439">
            <v>6.110468148391226E-5</v>
          </cell>
          <cell r="X1439">
            <v>0</v>
          </cell>
          <cell r="Y1439" t="str">
            <v>Conquistar</v>
          </cell>
        </row>
        <row r="1440">
          <cell r="A1440" t="str">
            <v>0043</v>
          </cell>
          <cell r="B1440" t="str">
            <v>0043 - FARMACIA ALTAGRACIA</v>
          </cell>
          <cell r="C1440" t="str">
            <v>INDEPENDIENTE</v>
          </cell>
          <cell r="D1440">
            <v>3</v>
          </cell>
          <cell r="E1440"/>
          <cell r="F1440" t="str">
            <v>ESTE</v>
          </cell>
          <cell r="G1440" t="str">
            <v>ADOLFO GONZALEZ</v>
          </cell>
          <cell r="H1440"/>
          <cell r="I1440" t="str">
            <v>A8</v>
          </cell>
          <cell r="J1440" t="str">
            <v>Activo</v>
          </cell>
          <cell r="K1440">
            <v>14367.394422220677</v>
          </cell>
          <cell r="L1440">
            <v>1436.7394422220677</v>
          </cell>
          <cell r="M1440">
            <v>1362.6125</v>
          </cell>
          <cell r="N1440" t="str">
            <v>Si Compra</v>
          </cell>
          <cell r="O1440">
            <v>10</v>
          </cell>
          <cell r="P1440">
            <v>17215.746233535541</v>
          </cell>
          <cell r="Q1440">
            <v>1721.5746233535542</v>
          </cell>
          <cell r="R1440">
            <v>1385.4462000000001</v>
          </cell>
          <cell r="T1440"/>
          <cell r="U1440"/>
          <cell r="V1440">
            <v>0.83454961680566619</v>
          </cell>
          <cell r="W1440">
            <v>5.4860264790122452E-5</v>
          </cell>
          <cell r="X1440">
            <v>10</v>
          </cell>
          <cell r="Y1440" t="str">
            <v>Proteger</v>
          </cell>
        </row>
        <row r="1441">
          <cell r="A1441" t="str">
            <v>A855</v>
          </cell>
          <cell r="B1441" t="str">
            <v>A855 - FARMACIA REMEFARMA, C.A.</v>
          </cell>
          <cell r="C1441" t="str">
            <v>INDEPENDIENTE</v>
          </cell>
          <cell r="D1441">
            <v>0</v>
          </cell>
          <cell r="E1441"/>
          <cell r="F1441" t="str">
            <v>CENTRO OESTE</v>
          </cell>
          <cell r="G1441" t="str">
            <v>YAMILEX LAMEDA</v>
          </cell>
          <cell r="H1441"/>
          <cell r="I1441" t="str">
            <v>Y1</v>
          </cell>
          <cell r="J1441" t="str">
            <v>Bloqueado</v>
          </cell>
          <cell r="K1441">
            <v>14311.273360986186</v>
          </cell>
          <cell r="L1441">
            <v>7155.6366804930931</v>
          </cell>
          <cell r="M1441">
            <v>0</v>
          </cell>
          <cell r="N1441" t="str">
            <v>No Compra</v>
          </cell>
          <cell r="O1441">
            <v>2</v>
          </cell>
          <cell r="P1441">
            <v>42154.019972884875</v>
          </cell>
          <cell r="Q1441">
            <v>21077.009986442437</v>
          </cell>
          <cell r="R1441">
            <v>0</v>
          </cell>
          <cell r="T1441"/>
          <cell r="U1441"/>
          <cell r="V1441">
            <v>0.33949961048060806</v>
          </cell>
          <cell r="W1441">
            <v>2.732298644398797E-4</v>
          </cell>
          <cell r="X1441">
            <v>2</v>
          </cell>
          <cell r="Y1441" t="str">
            <v>Potenciar</v>
          </cell>
        </row>
        <row r="1442">
          <cell r="A1442" t="str">
            <v>C987</v>
          </cell>
          <cell r="B1442" t="str">
            <v>C987 - FARMA VITAL 2023, C.A.</v>
          </cell>
          <cell r="C1442" t="str">
            <v>INDEPENDIENTE</v>
          </cell>
          <cell r="D1442">
            <v>2</v>
          </cell>
          <cell r="E1442"/>
          <cell r="F1442" t="str">
            <v>CARACAS</v>
          </cell>
          <cell r="G1442" t="str">
            <v>MAIRUBI QUIJADA</v>
          </cell>
          <cell r="H1442"/>
          <cell r="I1442" t="str">
            <v>C7</v>
          </cell>
          <cell r="J1442" t="str">
            <v>Inactivo</v>
          </cell>
          <cell r="K1442">
            <v>14310.560199999996</v>
          </cell>
          <cell r="L1442">
            <v>2385.093366666666</v>
          </cell>
          <cell r="M1442">
            <v>1397.7753</v>
          </cell>
          <cell r="N1442" t="str">
            <v>Si Compra</v>
          </cell>
          <cell r="O1442">
            <v>6</v>
          </cell>
          <cell r="P1442">
            <v>39885.928599999999</v>
          </cell>
          <cell r="Q1442">
            <v>6647.6547666666665</v>
          </cell>
          <cell r="R1442">
            <v>3500.3283499999998</v>
          </cell>
          <cell r="T1442"/>
          <cell r="U1442"/>
          <cell r="V1442">
            <v>0.35878718892356432</v>
          </cell>
          <cell r="W1442">
            <v>9.1072082939499166E-5</v>
          </cell>
          <cell r="X1442">
            <v>6</v>
          </cell>
          <cell r="Y1442" t="str">
            <v>Potenciar</v>
          </cell>
        </row>
        <row r="1443">
          <cell r="A1443" t="str">
            <v>D054</v>
          </cell>
          <cell r="B1443" t="str">
            <v>D054 - FARMACIA SALUDFARMA, C.A</v>
          </cell>
          <cell r="C1443" t="str">
            <v>INDEPENDIENTE</v>
          </cell>
          <cell r="D1443">
            <v>1</v>
          </cell>
          <cell r="E1443"/>
          <cell r="F1443" t="str">
            <v>MARACAIBO</v>
          </cell>
          <cell r="G1443" t="str">
            <v>JOEL JIMENEZ</v>
          </cell>
          <cell r="H1443"/>
          <cell r="I1443" t="str">
            <v>D</v>
          </cell>
          <cell r="J1443" t="str">
            <v>Activo</v>
          </cell>
          <cell r="K1443">
            <v>14290.527281907922</v>
          </cell>
          <cell r="L1443">
            <v>2381.7545469846536</v>
          </cell>
          <cell r="M1443">
            <v>2276.9690000000001</v>
          </cell>
          <cell r="N1443" t="str">
            <v>Si Compra</v>
          </cell>
          <cell r="O1443">
            <v>6</v>
          </cell>
          <cell r="P1443">
            <v>17987.417744586084</v>
          </cell>
          <cell r="Q1443">
            <v>2997.9029574310139</v>
          </cell>
          <cell r="R1443">
            <v>1960.6509000000001</v>
          </cell>
          <cell r="T1443"/>
          <cell r="U1443"/>
          <cell r="V1443">
            <v>0.79447353059941772</v>
          </cell>
          <cell r="W1443">
            <v>9.094459389976181E-5</v>
          </cell>
          <cell r="X1443">
            <v>6</v>
          </cell>
          <cell r="Y1443" t="str">
            <v>Proteger</v>
          </cell>
        </row>
        <row r="1444">
          <cell r="A1444" t="str">
            <v>M58</v>
          </cell>
          <cell r="B1444" t="str">
            <v>M58 - FARMACIA CRISTAL,C.A</v>
          </cell>
          <cell r="C1444" t="str">
            <v>INDEPENDIENTE</v>
          </cell>
          <cell r="D1444">
            <v>1</v>
          </cell>
          <cell r="F1444" t="str">
            <v>CENTRO ESTE</v>
          </cell>
          <cell r="G1444" t="str">
            <v>ELIANA PERAZA</v>
          </cell>
          <cell r="H1444"/>
          <cell r="I1444" t="str">
            <v>M</v>
          </cell>
          <cell r="J1444" t="str">
            <v>Activo</v>
          </cell>
          <cell r="K1444">
            <v>14236.678930638054</v>
          </cell>
          <cell r="L1444">
            <v>1581.8532145153395</v>
          </cell>
          <cell r="M1444">
            <v>241.20694178715269</v>
          </cell>
          <cell r="N1444" t="str">
            <v>Si Compra</v>
          </cell>
          <cell r="O1444">
            <v>8</v>
          </cell>
          <cell r="P1444">
            <v>162319.369543062</v>
          </cell>
          <cell r="Q1444">
            <v>18035.485504784665</v>
          </cell>
          <cell r="R1444">
            <v>14309.352968628811</v>
          </cell>
          <cell r="V1444">
            <v>8.7707825447542673E-2</v>
          </cell>
          <cell r="W1444">
            <v>6.0401269469711349E-5</v>
          </cell>
          <cell r="X1444">
            <v>9</v>
          </cell>
          <cell r="Y1444" t="str">
            <v>Conquistar</v>
          </cell>
        </row>
        <row r="1445">
          <cell r="A1445" t="str">
            <v>815</v>
          </cell>
          <cell r="B1445" t="str">
            <v>815 - FARMACIA BELLO MONTE,C.A.</v>
          </cell>
          <cell r="C1445" t="str">
            <v>INDEPENDIENTE</v>
          </cell>
          <cell r="D1445">
            <v>3</v>
          </cell>
          <cell r="E1445"/>
          <cell r="F1445" t="str">
            <v>CARACAS</v>
          </cell>
          <cell r="G1445" t="str">
            <v>MAIRUBI QUIJADA</v>
          </cell>
          <cell r="H1445"/>
          <cell r="I1445" t="str">
            <v>C2</v>
          </cell>
          <cell r="J1445" t="str">
            <v>Permiso</v>
          </cell>
          <cell r="K1445">
            <v>14222.506144996427</v>
          </cell>
          <cell r="L1445">
            <v>2031.7865921423468</v>
          </cell>
          <cell r="M1445">
            <v>2056.752214998809</v>
          </cell>
          <cell r="N1445" t="str">
            <v>Si Compra</v>
          </cell>
          <cell r="O1445">
            <v>7</v>
          </cell>
          <cell r="P1445">
            <v>27565.157183802632</v>
          </cell>
          <cell r="Q1445">
            <v>3937.8795976860902</v>
          </cell>
          <cell r="R1445">
            <v>4422.5558946008787</v>
          </cell>
          <cell r="T1445"/>
          <cell r="U1445"/>
          <cell r="V1445">
            <v>0.51595955176898523</v>
          </cell>
          <cell r="W1445">
            <v>7.7581464784984535E-5</v>
          </cell>
          <cell r="X1445">
            <v>7</v>
          </cell>
          <cell r="Y1445" t="str">
            <v>Potenciar</v>
          </cell>
        </row>
        <row r="1446">
          <cell r="A1446" t="str">
            <v>B434</v>
          </cell>
          <cell r="B1446" t="str">
            <v>B434 - FARMA TOP 2022, C.A.</v>
          </cell>
          <cell r="C1446" t="str">
            <v>INDEPENDIENTE</v>
          </cell>
          <cell r="D1446">
            <v>3</v>
          </cell>
          <cell r="E1446"/>
          <cell r="F1446" t="str">
            <v>CARACAS</v>
          </cell>
          <cell r="G1446" t="str">
            <v>RAMON SERRANO</v>
          </cell>
          <cell r="H1446"/>
          <cell r="I1446" t="str">
            <v>C6</v>
          </cell>
          <cell r="J1446" t="str">
            <v>Inactivo</v>
          </cell>
          <cell r="K1446">
            <v>14189.657550645126</v>
          </cell>
          <cell r="L1446">
            <v>1418.9657550645127</v>
          </cell>
          <cell r="M1446">
            <v>1829.7294453722268</v>
          </cell>
          <cell r="N1446" t="str">
            <v>Si Compra</v>
          </cell>
          <cell r="O1446">
            <v>10</v>
          </cell>
          <cell r="P1446">
            <v>65169.468013498714</v>
          </cell>
          <cell r="Q1446">
            <v>6516.9468013498717</v>
          </cell>
          <cell r="R1446">
            <v>7288.4786318241631</v>
          </cell>
          <cell r="T1446"/>
          <cell r="U1446"/>
          <cell r="V1446">
            <v>0.21773474578165938</v>
          </cell>
          <cell r="W1446">
            <v>5.4181596720529944E-5</v>
          </cell>
          <cell r="X1446">
            <v>10</v>
          </cell>
          <cell r="Y1446" t="str">
            <v>Potenciar</v>
          </cell>
        </row>
        <row r="1447">
          <cell r="A1447" t="str">
            <v>B637</v>
          </cell>
          <cell r="B1447" t="str">
            <v>B637 - FARMA TOP 2040, C.A.</v>
          </cell>
          <cell r="C1447" t="str">
            <v>INDEPENDIENTE</v>
          </cell>
          <cell r="D1447">
            <v>3</v>
          </cell>
          <cell r="E1447"/>
          <cell r="F1447" t="str">
            <v>CARACAS</v>
          </cell>
          <cell r="G1447" t="str">
            <v>JHON TORRES</v>
          </cell>
          <cell r="H1447"/>
          <cell r="I1447" t="str">
            <v>C4</v>
          </cell>
          <cell r="J1447" t="str">
            <v>Inactivo</v>
          </cell>
          <cell r="K1447">
            <v>14173.614531418038</v>
          </cell>
          <cell r="L1447">
            <v>1574.8460590464485</v>
          </cell>
          <cell r="M1447">
            <v>1931.3026666666667</v>
          </cell>
          <cell r="N1447" t="str">
            <v>Si Compra</v>
          </cell>
          <cell r="O1447">
            <v>9</v>
          </cell>
          <cell r="P1447">
            <v>59306.30492081416</v>
          </cell>
          <cell r="Q1447">
            <v>6589.5894356460176</v>
          </cell>
          <cell r="R1447">
            <v>5390.893766666667</v>
          </cell>
          <cell r="T1447"/>
          <cell r="U1447"/>
          <cell r="V1447">
            <v>0.23899001211325949</v>
          </cell>
          <cell r="W1447">
            <v>6.0133709191798767E-5</v>
          </cell>
          <cell r="X1447">
            <v>9</v>
          </cell>
          <cell r="Y1447" t="str">
            <v>Potenciar</v>
          </cell>
        </row>
        <row r="1448">
          <cell r="A1448" t="str">
            <v>D032</v>
          </cell>
          <cell r="B1448" t="str">
            <v>D032 - FARMEDICAL TUCANI , C.A.</v>
          </cell>
          <cell r="C1448" t="e">
            <v>#N/A</v>
          </cell>
          <cell r="D1448">
            <v>3</v>
          </cell>
          <cell r="E1448"/>
          <cell r="F1448" t="str">
            <v>ANDES</v>
          </cell>
          <cell r="G1448">
            <v>0</v>
          </cell>
          <cell r="H1448"/>
          <cell r="I1448" t="str">
            <v>G1</v>
          </cell>
          <cell r="J1448" t="str">
            <v>Activo</v>
          </cell>
          <cell r="K1448">
            <v>14144.559388279104</v>
          </cell>
          <cell r="L1448">
            <v>1414.4559388279104</v>
          </cell>
          <cell r="M1448">
            <v>1259.2156666666667</v>
          </cell>
          <cell r="N1448" t="str">
            <v>Si Compra</v>
          </cell>
          <cell r="O1448">
            <v>10</v>
          </cell>
          <cell r="P1448">
            <v>0</v>
          </cell>
          <cell r="Q1448">
            <v>0</v>
          </cell>
          <cell r="R1448">
            <v>0</v>
          </cell>
          <cell r="T1448"/>
          <cell r="U1448"/>
          <cell r="V1448">
            <v>0</v>
          </cell>
          <cell r="W1448">
            <v>5.4009394506527832E-5</v>
          </cell>
          <cell r="X1448">
            <v>0</v>
          </cell>
          <cell r="Y1448" t="str">
            <v>Conquistar</v>
          </cell>
        </row>
        <row r="1449">
          <cell r="A1449" t="str">
            <v>D569</v>
          </cell>
          <cell r="B1449" t="str">
            <v>D569 - FARMACIA SANTO CRISTO 2025, C.A.</v>
          </cell>
          <cell r="C1449" t="str">
            <v>INDEPENDIENTE</v>
          </cell>
          <cell r="D1449">
            <v>3</v>
          </cell>
          <cell r="E1449"/>
          <cell r="F1449" t="str">
            <v>ESTE</v>
          </cell>
          <cell r="G1449">
            <v>0</v>
          </cell>
          <cell r="H1449"/>
          <cell r="I1449" t="str">
            <v>AB</v>
          </cell>
          <cell r="J1449" t="str">
            <v>Activo</v>
          </cell>
          <cell r="K1449">
            <v>14111.669251227262</v>
          </cell>
          <cell r="L1449">
            <v>1411.1669251227263</v>
          </cell>
          <cell r="M1449">
            <v>1674.8199333333334</v>
          </cell>
          <cell r="N1449" t="str">
            <v>Si Compra</v>
          </cell>
          <cell r="O1449">
            <v>10</v>
          </cell>
          <cell r="P1449">
            <v>0</v>
          </cell>
          <cell r="Q1449">
            <v>0</v>
          </cell>
          <cell r="R1449">
            <v>0</v>
          </cell>
          <cell r="T1449"/>
          <cell r="U1449"/>
          <cell r="V1449">
            <v>0</v>
          </cell>
          <cell r="W1449">
            <v>5.3883807251482008E-5</v>
          </cell>
          <cell r="X1449">
            <v>0</v>
          </cell>
          <cell r="Y1449" t="str">
            <v>Conquistar</v>
          </cell>
        </row>
        <row r="1450">
          <cell r="A1450" t="str">
            <v>C902</v>
          </cell>
          <cell r="B1450" t="str">
            <v>NUEVA SALUD</v>
          </cell>
          <cell r="C1450" t="str">
            <v>GRUPO</v>
          </cell>
          <cell r="D1450">
            <v>1</v>
          </cell>
          <cell r="E1450"/>
          <cell r="F1450" t="str">
            <v>MARACAIBO</v>
          </cell>
          <cell r="H1450"/>
          <cell r="I1450"/>
          <cell r="J1450" t="str">
            <v>Activo</v>
          </cell>
          <cell r="K1450">
            <v>13998.007399999999</v>
          </cell>
          <cell r="L1450">
            <v>6999.0036999999993</v>
          </cell>
          <cell r="M1450">
            <v>316.48289999999997</v>
          </cell>
          <cell r="N1450" t="str">
            <v>Si Compra</v>
          </cell>
          <cell r="O1450">
            <v>2</v>
          </cell>
          <cell r="P1450">
            <v>38499.567200000005</v>
          </cell>
          <cell r="Q1450">
            <v>19249.783600000002</v>
          </cell>
          <cell r="R1450">
            <v>21323.874</v>
          </cell>
          <cell r="S1450"/>
          <cell r="T1450"/>
          <cell r="U1450"/>
          <cell r="V1450">
            <v>0.3635886950957723</v>
          </cell>
          <cell r="W1450">
            <v>2.6724901187037876E-4</v>
          </cell>
          <cell r="X1450">
            <v>2</v>
          </cell>
          <cell r="Y1450" t="str">
            <v>Potenciar</v>
          </cell>
        </row>
        <row r="1451">
          <cell r="A1451" t="str">
            <v>8414</v>
          </cell>
          <cell r="B1451" t="str">
            <v>8414 - FARMACIA SAN GINES, C.A.</v>
          </cell>
          <cell r="C1451" t="str">
            <v>INDEPENDIENTE</v>
          </cell>
          <cell r="D1451">
            <v>3</v>
          </cell>
          <cell r="E1451"/>
          <cell r="F1451" t="str">
            <v>ESTE</v>
          </cell>
          <cell r="G1451" t="str">
            <v>JOSE RAMIREZ</v>
          </cell>
          <cell r="H1451"/>
          <cell r="I1451" t="str">
            <v>A4</v>
          </cell>
          <cell r="J1451" t="str">
            <v>Activo</v>
          </cell>
          <cell r="K1451">
            <v>13991.95134546507</v>
          </cell>
          <cell r="L1451">
            <v>1399.195134546507</v>
          </cell>
          <cell r="M1451">
            <v>1081.2311333333334</v>
          </cell>
          <cell r="N1451" t="str">
            <v>Si Compra</v>
          </cell>
          <cell r="O1451">
            <v>10</v>
          </cell>
          <cell r="P1451">
            <v>16805.08281612967</v>
          </cell>
          <cell r="Q1451">
            <v>1680.508281612967</v>
          </cell>
          <cell r="R1451">
            <v>1656.7923666666666</v>
          </cell>
          <cell r="T1451"/>
          <cell r="U1451"/>
          <cell r="V1451">
            <v>0.83260234409767198</v>
          </cell>
          <cell r="W1451">
            <v>5.3426678017243464E-5</v>
          </cell>
          <cell r="X1451">
            <v>10</v>
          </cell>
          <cell r="Y1451" t="str">
            <v>Proteger</v>
          </cell>
        </row>
        <row r="1452">
          <cell r="A1452" t="str">
            <v>E397</v>
          </cell>
          <cell r="B1452" t="str">
            <v>E397 - FARMA MARKET 24, C.A</v>
          </cell>
          <cell r="C1452" t="e">
            <v>#N/A</v>
          </cell>
          <cell r="D1452">
            <v>3</v>
          </cell>
          <cell r="F1452" t="str">
            <v>MARACAIBO</v>
          </cell>
          <cell r="G1452">
            <v>0</v>
          </cell>
          <cell r="H1452"/>
          <cell r="I1452" t="str">
            <v>S</v>
          </cell>
          <cell r="J1452" t="str">
            <v>Activo</v>
          </cell>
          <cell r="K1452">
            <v>13989.683199999999</v>
          </cell>
          <cell r="L1452">
            <v>2331.6138666666666</v>
          </cell>
          <cell r="M1452">
            <v>2483.7167333333332</v>
          </cell>
          <cell r="N1452" t="str">
            <v>Si Compra</v>
          </cell>
          <cell r="O1452">
            <v>6</v>
          </cell>
          <cell r="P1452">
            <v>0</v>
          </cell>
          <cell r="Q1452">
            <v>0</v>
          </cell>
          <cell r="R1452">
            <v>0</v>
          </cell>
          <cell r="V1452">
            <v>0</v>
          </cell>
          <cell r="W1452">
            <v>8.9030028935395441E-5</v>
          </cell>
          <cell r="X1452">
            <v>0</v>
          </cell>
          <cell r="Y1452" t="str">
            <v>Conquistar</v>
          </cell>
        </row>
        <row r="1453">
          <cell r="A1453" t="str">
            <v>Y170</v>
          </cell>
          <cell r="B1453" t="str">
            <v>Y170 - FARMACIA LOS CARDONES C.A.</v>
          </cell>
          <cell r="C1453" t="str">
            <v>INDEPENDIENTE</v>
          </cell>
          <cell r="D1453">
            <v>3</v>
          </cell>
          <cell r="F1453" t="str">
            <v>CENTRO OESTE</v>
          </cell>
          <cell r="G1453" t="str">
            <v>YAMILEX LAMEDA</v>
          </cell>
          <cell r="H1453"/>
          <cell r="I1453" t="str">
            <v>Y1</v>
          </cell>
          <cell r="J1453" t="str">
            <v>Activo</v>
          </cell>
          <cell r="K1453">
            <v>13911.679923317659</v>
          </cell>
          <cell r="L1453">
            <v>1391.1679923317658</v>
          </cell>
          <cell r="M1453">
            <v>1594.2509659431325</v>
          </cell>
          <cell r="N1453" t="str">
            <v>Si Compra</v>
          </cell>
          <cell r="O1453">
            <v>10</v>
          </cell>
          <cell r="P1453">
            <v>13826.557563150567</v>
          </cell>
          <cell r="Q1453">
            <v>1382.6557563150568</v>
          </cell>
          <cell r="R1453">
            <v>1369.4024078990294</v>
          </cell>
          <cell r="V1453">
            <v>1.0061564391410014</v>
          </cell>
          <cell r="W1453">
            <v>5.3120170703204962E-5</v>
          </cell>
          <cell r="X1453">
            <v>10</v>
          </cell>
          <cell r="Y1453" t="str">
            <v>Proteger</v>
          </cell>
        </row>
        <row r="1454">
          <cell r="A1454" t="str">
            <v>419</v>
          </cell>
          <cell r="B1454" t="str">
            <v>419 - FARMACIA SAN ONOFRE, C.A.</v>
          </cell>
          <cell r="C1454" t="str">
            <v>INDEPENDIENTE</v>
          </cell>
          <cell r="D1454">
            <v>3</v>
          </cell>
          <cell r="E1454"/>
          <cell r="F1454" t="str">
            <v>ANDES</v>
          </cell>
          <cell r="G1454" t="str">
            <v>MARIA GABRIELA FORTUL</v>
          </cell>
          <cell r="H1454"/>
          <cell r="I1454" t="str">
            <v>3</v>
          </cell>
          <cell r="J1454" t="str">
            <v>Activo</v>
          </cell>
          <cell r="K1454">
            <v>13899.092840849553</v>
          </cell>
          <cell r="L1454">
            <v>1985.5846915499362</v>
          </cell>
          <cell r="M1454">
            <v>2659.3183469498508</v>
          </cell>
          <cell r="N1454" t="str">
            <v>Si Compra</v>
          </cell>
          <cell r="O1454">
            <v>7</v>
          </cell>
          <cell r="P1454">
            <v>29731.358224477935</v>
          </cell>
          <cell r="Q1454">
            <v>4247.3368892111339</v>
          </cell>
          <cell r="R1454">
            <v>5579.7271414926463</v>
          </cell>
          <cell r="T1454"/>
          <cell r="U1454"/>
          <cell r="V1454">
            <v>0.46748933351475275</v>
          </cell>
          <cell r="W1454">
            <v>7.5817297653617651E-5</v>
          </cell>
          <cell r="X1454">
            <v>7</v>
          </cell>
          <cell r="Y1454" t="str">
            <v>Potenciar</v>
          </cell>
        </row>
        <row r="1455">
          <cell r="A1455" t="str">
            <v>A138</v>
          </cell>
          <cell r="B1455" t="str">
            <v>A138 - FARMARATDOS,C.A.</v>
          </cell>
          <cell r="C1455" t="str">
            <v>INDEPENDIENTE</v>
          </cell>
          <cell r="D1455">
            <v>3</v>
          </cell>
          <cell r="E1455"/>
          <cell r="F1455" t="str">
            <v>ESTE</v>
          </cell>
          <cell r="G1455" t="str">
            <v>CARMEN ALCALA</v>
          </cell>
          <cell r="H1455" t="str">
            <v>HECTOR</v>
          </cell>
          <cell r="I1455" t="str">
            <v>A0</v>
          </cell>
          <cell r="J1455" t="str">
            <v>Activo</v>
          </cell>
          <cell r="K1455">
            <v>13862.76914750713</v>
          </cell>
          <cell r="L1455">
            <v>1386.2769147507129</v>
          </cell>
          <cell r="M1455">
            <v>965.75797252528935</v>
          </cell>
          <cell r="N1455" t="str">
            <v>Si Compra</v>
          </cell>
          <cell r="O1455">
            <v>10</v>
          </cell>
          <cell r="P1455">
            <v>40949.223811202217</v>
          </cell>
          <cell r="Q1455">
            <v>4094.9223811202219</v>
          </cell>
          <cell r="R1455">
            <v>4955.133916329617</v>
          </cell>
          <cell r="T1455"/>
          <cell r="U1455"/>
          <cell r="V1455">
            <v>0.33853557790061894</v>
          </cell>
          <cell r="W1455">
            <v>5.2933410457526308E-5</v>
          </cell>
          <cell r="X1455">
            <v>10</v>
          </cell>
          <cell r="Y1455" t="str">
            <v>Potenciar</v>
          </cell>
        </row>
        <row r="1456">
          <cell r="A1456" t="str">
            <v>A258</v>
          </cell>
          <cell r="B1456" t="str">
            <v>A258 - FARMACIA MI PADRE C.A</v>
          </cell>
          <cell r="C1456" t="str">
            <v>INDEPENDIENTE</v>
          </cell>
          <cell r="D1456">
            <v>2</v>
          </cell>
          <cell r="E1456"/>
          <cell r="F1456" t="str">
            <v>CENTRO ESTE</v>
          </cell>
          <cell r="G1456" t="str">
            <v>WILLIBETTI GONZALEZ</v>
          </cell>
          <cell r="H1456"/>
          <cell r="I1456" t="str">
            <v>AG</v>
          </cell>
          <cell r="J1456" t="str">
            <v>Activo</v>
          </cell>
          <cell r="K1456">
            <v>13849.019545068624</v>
          </cell>
          <cell r="L1456">
            <v>1731.127443133578</v>
          </cell>
          <cell r="M1456">
            <v>43.286999999999999</v>
          </cell>
          <cell r="N1456" t="str">
            <v>Si Compra</v>
          </cell>
          <cell r="O1456">
            <v>8</v>
          </cell>
          <cell r="P1456">
            <v>16295.377472448206</v>
          </cell>
          <cell r="Q1456">
            <v>2036.9221840560258</v>
          </cell>
          <cell r="R1456">
            <v>0</v>
          </cell>
          <cell r="T1456"/>
          <cell r="U1456"/>
          <cell r="V1456">
            <v>0.84987411727553908</v>
          </cell>
          <cell r="W1456">
            <v>6.6101136451627256E-5</v>
          </cell>
          <cell r="X1456">
            <v>5</v>
          </cell>
          <cell r="Y1456" t="str">
            <v>Proteger</v>
          </cell>
        </row>
        <row r="1457">
          <cell r="A1457" t="str">
            <v>C549</v>
          </cell>
          <cell r="B1457" t="str">
            <v>C549 - FARMACIA FARSILSA,C.A.</v>
          </cell>
          <cell r="C1457" t="str">
            <v>INDEPENDIENTE</v>
          </cell>
          <cell r="D1457">
            <v>3</v>
          </cell>
          <cell r="E1457"/>
          <cell r="F1457" t="str">
            <v>CARACAS</v>
          </cell>
          <cell r="G1457" t="str">
            <v>WILLIAM ARAQUE</v>
          </cell>
          <cell r="H1457"/>
          <cell r="I1457" t="str">
            <v>C3</v>
          </cell>
          <cell r="J1457" t="str">
            <v>Activo</v>
          </cell>
          <cell r="K1457">
            <v>13844.450946571147</v>
          </cell>
          <cell r="L1457">
            <v>1384.4450946571146</v>
          </cell>
          <cell r="M1457">
            <v>1459.7022268517594</v>
          </cell>
          <cell r="N1457" t="str">
            <v>Si Compra</v>
          </cell>
          <cell r="O1457">
            <v>10</v>
          </cell>
          <cell r="P1457">
            <v>34629.26844218147</v>
          </cell>
          <cell r="Q1457">
            <v>3462.9268442181469</v>
          </cell>
          <cell r="R1457">
            <v>2057.4741013537682</v>
          </cell>
          <cell r="T1457"/>
          <cell r="U1457"/>
          <cell r="V1457">
            <v>0.39979045383781187</v>
          </cell>
          <cell r="W1457">
            <v>5.2863464486510688E-5</v>
          </cell>
          <cell r="X1457">
            <v>10</v>
          </cell>
          <cell r="Y1457" t="str">
            <v>Potenciar</v>
          </cell>
        </row>
        <row r="1458">
          <cell r="A1458" t="str">
            <v>A659</v>
          </cell>
          <cell r="B1458" t="str">
            <v>A659 - FARMACIA VIRGEN DE LAS NIEVES 1314, C.A</v>
          </cell>
          <cell r="C1458" t="str">
            <v>INDEPENDIENTE</v>
          </cell>
          <cell r="D1458">
            <v>3</v>
          </cell>
          <cell r="E1458"/>
          <cell r="F1458" t="str">
            <v>CENTRO ESTE</v>
          </cell>
          <cell r="G1458" t="str">
            <v>MARCOS CRUCES</v>
          </cell>
          <cell r="H1458"/>
          <cell r="I1458" t="str">
            <v>$</v>
          </cell>
          <cell r="J1458" t="str">
            <v>Activo</v>
          </cell>
          <cell r="K1458">
            <v>13843.216399999999</v>
          </cell>
          <cell r="L1458">
            <v>1384.3216399999999</v>
          </cell>
          <cell r="M1458">
            <v>1029.8239333333333</v>
          </cell>
          <cell r="N1458" t="str">
            <v>Si Compra</v>
          </cell>
          <cell r="O1458">
            <v>10</v>
          </cell>
          <cell r="P1458">
            <v>16684.237699999998</v>
          </cell>
          <cell r="Q1458">
            <v>1668.4237699999999</v>
          </cell>
          <cell r="R1458">
            <v>1109.0964333333334</v>
          </cell>
          <cell r="T1458"/>
          <cell r="U1458"/>
          <cell r="V1458">
            <v>0.82971824358508151</v>
          </cell>
          <cell r="W1458">
            <v>5.2858750510559408E-5</v>
          </cell>
          <cell r="X1458">
            <v>10</v>
          </cell>
          <cell r="Y1458" t="str">
            <v>Proteger</v>
          </cell>
        </row>
        <row r="1459">
          <cell r="A1459">
            <v>0</v>
          </cell>
          <cell r="B1459" t="str">
            <v>S376 - EXPENDIO DE MEDICINAS MI GRAN BENDICION A&amp;C, C.A.</v>
          </cell>
          <cell r="C1459" t="e">
            <v>#N/A</v>
          </cell>
          <cell r="D1459">
            <v>0</v>
          </cell>
          <cell r="E1459"/>
          <cell r="F1459" t="str">
            <v>MARACAIBO</v>
          </cell>
          <cell r="G1459">
            <v>0</v>
          </cell>
          <cell r="H1459"/>
          <cell r="I1459" t="str">
            <v>BZ</v>
          </cell>
          <cell r="J1459" t="str">
            <v>Activo</v>
          </cell>
          <cell r="K1459">
            <v>13831.553399999999</v>
          </cell>
          <cell r="L1459">
            <v>1383.1553399999998</v>
          </cell>
          <cell r="M1459">
            <v>670.94566666666663</v>
          </cell>
          <cell r="N1459" t="str">
            <v>Si Compra</v>
          </cell>
          <cell r="O1459">
            <v>10</v>
          </cell>
          <cell r="P1459">
            <v>0</v>
          </cell>
          <cell r="Q1459">
            <v>0</v>
          </cell>
          <cell r="R1459">
            <v>0</v>
          </cell>
          <cell r="T1459"/>
          <cell r="U1459"/>
          <cell r="V1459">
            <v>0</v>
          </cell>
          <cell r="W1459">
            <v>5.2814216668900709E-5</v>
          </cell>
          <cell r="X1459">
            <v>0</v>
          </cell>
          <cell r="Y1459" t="str">
            <v>Conquistar</v>
          </cell>
        </row>
        <row r="1460">
          <cell r="A1460" t="str">
            <v>8393</v>
          </cell>
          <cell r="B1460" t="str">
            <v>8393 - FARMACIA LA MILAGROSA C.A.</v>
          </cell>
          <cell r="C1460" t="e">
            <v>#N/A</v>
          </cell>
          <cell r="D1460">
            <v>3</v>
          </cell>
          <cell r="E1460"/>
          <cell r="F1460" t="str">
            <v>ANDES</v>
          </cell>
          <cell r="G1460">
            <v>0</v>
          </cell>
          <cell r="H1460"/>
          <cell r="I1460" t="str">
            <v>6</v>
          </cell>
          <cell r="J1460" t="str">
            <v>Activo</v>
          </cell>
          <cell r="K1460">
            <v>13826.811362761839</v>
          </cell>
          <cell r="L1460">
            <v>2304.4685604603064</v>
          </cell>
          <cell r="M1460">
            <v>2789.8330666666666</v>
          </cell>
          <cell r="N1460" t="str">
            <v>Si Compra</v>
          </cell>
          <cell r="O1460">
            <v>6</v>
          </cell>
          <cell r="P1460">
            <v>0</v>
          </cell>
          <cell r="Q1460">
            <v>0</v>
          </cell>
          <cell r="R1460">
            <v>0</v>
          </cell>
          <cell r="T1460"/>
          <cell r="U1460"/>
          <cell r="V1460">
            <v>0</v>
          </cell>
          <cell r="W1460">
            <v>8.7993516229941575E-5</v>
          </cell>
          <cell r="X1460">
            <v>0</v>
          </cell>
          <cell r="Y1460" t="str">
            <v>Conquistar</v>
          </cell>
        </row>
        <row r="1461">
          <cell r="A1461" t="str">
            <v>E343</v>
          </cell>
          <cell r="B1461" t="str">
            <v>E343 - FARMACIA LA CHINITA DE D&amp;O, C.A</v>
          </cell>
          <cell r="C1461" t="e">
            <v>#N/A</v>
          </cell>
          <cell r="D1461">
            <v>3</v>
          </cell>
          <cell r="F1461" t="str">
            <v>CENTRO OESTE</v>
          </cell>
          <cell r="G1461">
            <v>0</v>
          </cell>
          <cell r="H1461"/>
          <cell r="I1461" t="str">
            <v>E</v>
          </cell>
          <cell r="J1461" t="str">
            <v>Activo</v>
          </cell>
          <cell r="K1461">
            <v>13805.703400000002</v>
          </cell>
          <cell r="L1461">
            <v>2300.9505666666669</v>
          </cell>
          <cell r="M1461">
            <v>1741.1311333333333</v>
          </cell>
          <cell r="N1461" t="str">
            <v>Si Compra</v>
          </cell>
          <cell r="O1461">
            <v>6</v>
          </cell>
          <cell r="P1461">
            <v>0</v>
          </cell>
          <cell r="Q1461">
            <v>0</v>
          </cell>
          <cell r="R1461">
            <v>0</v>
          </cell>
          <cell r="V1461">
            <v>0</v>
          </cell>
          <cell r="W1461">
            <v>8.7859185630128307E-5</v>
          </cell>
          <cell r="X1461">
            <v>0</v>
          </cell>
          <cell r="Y1461" t="str">
            <v>Conquistar</v>
          </cell>
        </row>
        <row r="1462">
          <cell r="A1462" t="str">
            <v>A950</v>
          </cell>
          <cell r="B1462" t="str">
            <v>A950 - FARMACIA DR KIMI, C.A.</v>
          </cell>
          <cell r="C1462" t="str">
            <v>INDEPENDIENTE</v>
          </cell>
          <cell r="D1462">
            <v>3</v>
          </cell>
          <cell r="E1462"/>
          <cell r="F1462" t="str">
            <v>ANDES</v>
          </cell>
          <cell r="G1462" t="str">
            <v>ANYERSSON TORRES</v>
          </cell>
          <cell r="H1462"/>
          <cell r="I1462" t="str">
            <v>4</v>
          </cell>
          <cell r="J1462" t="str">
            <v>Activo</v>
          </cell>
          <cell r="K1462">
            <v>13798.971170106472</v>
          </cell>
          <cell r="L1462">
            <v>1533.219018900719</v>
          </cell>
          <cell r="M1462">
            <v>1190.6660034656138</v>
          </cell>
          <cell r="N1462" t="str">
            <v>Si Compra</v>
          </cell>
          <cell r="O1462">
            <v>9</v>
          </cell>
          <cell r="P1462">
            <v>31866.286340532715</v>
          </cell>
          <cell r="Q1462">
            <v>3540.6984822814129</v>
          </cell>
          <cell r="R1462">
            <v>1832.1909450009096</v>
          </cell>
          <cell r="T1462"/>
          <cell r="U1462"/>
          <cell r="V1462">
            <v>0.43302727599465202</v>
          </cell>
          <cell r="W1462">
            <v>5.8544227913765606E-5</v>
          </cell>
          <cell r="X1462">
            <v>9</v>
          </cell>
          <cell r="Y1462" t="str">
            <v>Potenciar</v>
          </cell>
        </row>
        <row r="1463">
          <cell r="A1463" t="str">
            <v>B293</v>
          </cell>
          <cell r="B1463" t="str">
            <v>B293 - FARMATOSCANA, C.A.</v>
          </cell>
          <cell r="C1463" t="str">
            <v>INDEPENDIENTE</v>
          </cell>
          <cell r="D1463">
            <v>3</v>
          </cell>
          <cell r="E1463"/>
          <cell r="F1463" t="str">
            <v>CENTRO OESTE</v>
          </cell>
          <cell r="G1463" t="str">
            <v>LUIS PLACERES</v>
          </cell>
          <cell r="H1463"/>
          <cell r="I1463" t="str">
            <v>E</v>
          </cell>
          <cell r="J1463" t="str">
            <v>Activo</v>
          </cell>
          <cell r="K1463">
            <v>13790.276315914994</v>
          </cell>
          <cell r="L1463">
            <v>1379.0276315914994</v>
          </cell>
          <cell r="M1463">
            <v>1097.9895053049979</v>
          </cell>
          <cell r="N1463" t="str">
            <v>Si Compra</v>
          </cell>
          <cell r="O1463">
            <v>10</v>
          </cell>
          <cell r="P1463">
            <v>279553.59030495945</v>
          </cell>
          <cell r="Q1463">
            <v>27955.359030495943</v>
          </cell>
          <cell r="R1463">
            <v>48345.704568319808</v>
          </cell>
          <cell r="T1463"/>
          <cell r="U1463"/>
          <cell r="V1463">
            <v>4.9329634081506361E-2</v>
          </cell>
          <cell r="W1463">
            <v>5.2656604808592536E-5</v>
          </cell>
          <cell r="X1463">
            <v>10</v>
          </cell>
          <cell r="Y1463" t="str">
            <v>Conquistar</v>
          </cell>
        </row>
        <row r="1464">
          <cell r="A1464" t="str">
            <v>7827</v>
          </cell>
          <cell r="B1464" t="str">
            <v>7827 - FARMACIA URAFARMA, C.A</v>
          </cell>
          <cell r="C1464" t="str">
            <v>INDEPENDIENTE</v>
          </cell>
          <cell r="D1464">
            <v>3</v>
          </cell>
          <cell r="E1464"/>
          <cell r="F1464" t="str">
            <v>CENTRO OESTE</v>
          </cell>
          <cell r="G1464" t="str">
            <v>YAMILEX LAMEDA</v>
          </cell>
          <cell r="H1464"/>
          <cell r="I1464" t="str">
            <v>Y1</v>
          </cell>
          <cell r="J1464" t="str">
            <v>Activo</v>
          </cell>
          <cell r="K1464">
            <v>13753.7135</v>
          </cell>
          <cell r="L1464">
            <v>1375.3713499999999</v>
          </cell>
          <cell r="M1464">
            <v>1410.4653333333335</v>
          </cell>
          <cell r="N1464" t="str">
            <v>Si Compra</v>
          </cell>
          <cell r="O1464">
            <v>10</v>
          </cell>
          <cell r="P1464">
            <v>25120.216400000001</v>
          </cell>
          <cell r="Q1464">
            <v>2512.0216399999999</v>
          </cell>
          <cell r="R1464">
            <v>1921.4736999999998</v>
          </cell>
          <cell r="T1464"/>
          <cell r="U1464"/>
          <cell r="V1464">
            <v>0.54751572522281289</v>
          </cell>
          <cell r="W1464">
            <v>5.2516993846185399E-5</v>
          </cell>
          <cell r="X1464">
            <v>10</v>
          </cell>
          <cell r="Y1464" t="str">
            <v>Potenciar</v>
          </cell>
        </row>
        <row r="1465">
          <cell r="A1465" t="str">
            <v>E149</v>
          </cell>
          <cell r="B1465" t="str">
            <v>E149 - FARMACIA EL TOCO, C.A</v>
          </cell>
          <cell r="C1465" t="str">
            <v>INDEPENDIENTE</v>
          </cell>
          <cell r="D1465">
            <v>3</v>
          </cell>
          <cell r="F1465" t="str">
            <v>CENTRO ESTE</v>
          </cell>
          <cell r="G1465">
            <v>0</v>
          </cell>
          <cell r="H1465"/>
          <cell r="I1465" t="str">
            <v>O</v>
          </cell>
          <cell r="J1465" t="str">
            <v>Activo</v>
          </cell>
          <cell r="K1465">
            <v>13728.348114919925</v>
          </cell>
          <cell r="L1465">
            <v>1716.0435143649906</v>
          </cell>
          <cell r="M1465">
            <v>2166.3263999999999</v>
          </cell>
          <cell r="N1465" t="str">
            <v>Si Compra</v>
          </cell>
          <cell r="O1465">
            <v>8</v>
          </cell>
          <cell r="P1465">
            <v>0</v>
          </cell>
          <cell r="Q1465">
            <v>0</v>
          </cell>
          <cell r="R1465">
            <v>0</v>
          </cell>
          <cell r="V1465">
            <v>0</v>
          </cell>
          <cell r="W1465">
            <v>6.5525173753032287E-5</v>
          </cell>
          <cell r="X1465">
            <v>0</v>
          </cell>
          <cell r="Y1465" t="str">
            <v>Conquistar</v>
          </cell>
        </row>
        <row r="1466">
          <cell r="A1466" t="str">
            <v>D933</v>
          </cell>
          <cell r="B1466" t="str">
            <v>D933 - FARMACIA DANUBIO C.A.</v>
          </cell>
          <cell r="C1466" t="str">
            <v>INDEPENDIENTE</v>
          </cell>
          <cell r="D1466">
            <v>3</v>
          </cell>
          <cell r="E1466"/>
          <cell r="F1466" t="str">
            <v>ESTE</v>
          </cell>
          <cell r="G1466" t="str">
            <v>PEDRO VIRE</v>
          </cell>
          <cell r="H1466"/>
          <cell r="I1466" t="str">
            <v>A7</v>
          </cell>
          <cell r="J1466" t="str">
            <v>Inactivo</v>
          </cell>
          <cell r="K1466">
            <v>13722.221187616517</v>
          </cell>
          <cell r="L1466">
            <v>1372.2221187616517</v>
          </cell>
          <cell r="M1466">
            <v>1946.1116</v>
          </cell>
          <cell r="N1466" t="str">
            <v>Si Compra</v>
          </cell>
          <cell r="O1466">
            <v>10</v>
          </cell>
          <cell r="P1466">
            <v>85215.786354235621</v>
          </cell>
          <cell r="Q1466">
            <v>8521.5786354235624</v>
          </cell>
          <cell r="R1466">
            <v>9324.7871333333333</v>
          </cell>
          <cell r="T1466"/>
          <cell r="U1466"/>
          <cell r="V1466">
            <v>0.16102909771405821</v>
          </cell>
          <cell r="W1466">
            <v>5.2396744025971724E-5</v>
          </cell>
          <cell r="X1466">
            <v>10</v>
          </cell>
          <cell r="Y1466" t="str">
            <v>Conquistar</v>
          </cell>
        </row>
        <row r="1467">
          <cell r="A1467" t="str">
            <v>B525</v>
          </cell>
          <cell r="B1467" t="str">
            <v>B525 - HOMEPHARMA, C.A.</v>
          </cell>
          <cell r="C1467" t="str">
            <v>INDEPENDIENTE</v>
          </cell>
          <cell r="D1467">
            <v>2</v>
          </cell>
          <cell r="E1467"/>
          <cell r="F1467" t="str">
            <v>ANDES</v>
          </cell>
          <cell r="G1467" t="str">
            <v>ZULAY PARRA</v>
          </cell>
          <cell r="H1467"/>
          <cell r="I1467" t="str">
            <v>5</v>
          </cell>
          <cell r="J1467" t="str">
            <v>Activo</v>
          </cell>
          <cell r="K1467">
            <v>13711.748638019348</v>
          </cell>
          <cell r="L1467">
            <v>1523.5276264465942</v>
          </cell>
          <cell r="M1467">
            <v>2076.319676653809</v>
          </cell>
          <cell r="N1467" t="str">
            <v>Si Compra</v>
          </cell>
          <cell r="O1467">
            <v>9</v>
          </cell>
          <cell r="P1467">
            <v>59499.09780541926</v>
          </cell>
          <cell r="Q1467">
            <v>6611.0108672688066</v>
          </cell>
          <cell r="R1467">
            <v>5397.7495556555587</v>
          </cell>
          <cell r="T1467"/>
          <cell r="U1467"/>
          <cell r="V1467">
            <v>0.23045305128593838</v>
          </cell>
          <cell r="W1467">
            <v>5.817417309338983E-5</v>
          </cell>
          <cell r="X1467">
            <v>9</v>
          </cell>
          <cell r="Y1467" t="str">
            <v>Potenciar</v>
          </cell>
        </row>
        <row r="1468">
          <cell r="A1468" t="str">
            <v>9650</v>
          </cell>
          <cell r="B1468" t="str">
            <v>9650 - FARMACIA JESUS DE LA MISERICORDIA CA</v>
          </cell>
          <cell r="C1468" t="str">
            <v>INDEPENDIENTE</v>
          </cell>
          <cell r="D1468">
            <v>3</v>
          </cell>
          <cell r="E1468"/>
          <cell r="F1468" t="str">
            <v>ANDES</v>
          </cell>
          <cell r="G1468" t="str">
            <v>ZULAY PARRA</v>
          </cell>
          <cell r="H1468"/>
          <cell r="I1468" t="str">
            <v>5</v>
          </cell>
          <cell r="J1468" t="str">
            <v>Activo</v>
          </cell>
          <cell r="K1468">
            <v>13673.3794</v>
          </cell>
          <cell r="L1468">
            <v>1367.3379399999999</v>
          </cell>
          <cell r="M1468">
            <v>1255.7026333333333</v>
          </cell>
          <cell r="N1468" t="str">
            <v>Si Compra</v>
          </cell>
          <cell r="O1468">
            <v>10</v>
          </cell>
          <cell r="P1468">
            <v>45550.196099999994</v>
          </cell>
          <cell r="Q1468">
            <v>4555.0196099999994</v>
          </cell>
          <cell r="R1468">
            <v>2375.1556999999998</v>
          </cell>
          <cell r="T1468"/>
          <cell r="U1468"/>
          <cell r="V1468">
            <v>0.30018266814882055</v>
          </cell>
          <cell r="W1468">
            <v>5.2210247203881209E-5</v>
          </cell>
          <cell r="X1468">
            <v>10</v>
          </cell>
          <cell r="Y1468" t="str">
            <v>Potenciar</v>
          </cell>
        </row>
        <row r="1469">
          <cell r="A1469" t="str">
            <v>B948</v>
          </cell>
          <cell r="B1469" t="str">
            <v>B948 - FARMACIA MEDIMARKET CARABOBO, C.A.</v>
          </cell>
          <cell r="C1469" t="str">
            <v>INDEPENDIENTE</v>
          </cell>
          <cell r="D1469">
            <v>3</v>
          </cell>
          <cell r="E1469"/>
          <cell r="F1469" t="str">
            <v>CENTRO ESTE</v>
          </cell>
          <cell r="G1469" t="str">
            <v>ELIANA PERAZA</v>
          </cell>
          <cell r="H1469"/>
          <cell r="I1469" t="str">
            <v>M</v>
          </cell>
          <cell r="J1469" t="str">
            <v>Inactivo</v>
          </cell>
          <cell r="K1469">
            <v>13672.8919961133</v>
          </cell>
          <cell r="L1469">
            <v>1367.2891996113299</v>
          </cell>
          <cell r="M1469">
            <v>1503.3299000683094</v>
          </cell>
          <cell r="N1469" t="str">
            <v>Si Compra</v>
          </cell>
          <cell r="O1469">
            <v>10</v>
          </cell>
          <cell r="P1469">
            <v>184682.59617224423</v>
          </cell>
          <cell r="Q1469">
            <v>18468.259617224423</v>
          </cell>
          <cell r="R1469">
            <v>17359.585621119764</v>
          </cell>
          <cell r="T1469"/>
          <cell r="U1469"/>
          <cell r="V1469">
            <v>7.4034545103325688E-2</v>
          </cell>
          <cell r="W1469">
            <v>5.220838610746398E-5</v>
          </cell>
          <cell r="X1469">
            <v>10</v>
          </cell>
          <cell r="Y1469" t="str">
            <v>Conquistar</v>
          </cell>
        </row>
        <row r="1470">
          <cell r="A1470" t="str">
            <v>87</v>
          </cell>
          <cell r="B1470" t="str">
            <v>87 - FARMACIA LA NUEVA ROMA , C.A</v>
          </cell>
          <cell r="C1470" t="str">
            <v>INDEPENDIENTE</v>
          </cell>
          <cell r="D1470">
            <v>3</v>
          </cell>
          <cell r="E1470"/>
          <cell r="F1470" t="str">
            <v>CENTRO OESTE</v>
          </cell>
          <cell r="G1470" t="str">
            <v>JOSE LUIS GARCIA</v>
          </cell>
          <cell r="H1470"/>
          <cell r="I1470" t="str">
            <v>Y</v>
          </cell>
          <cell r="J1470" t="str">
            <v>Activo</v>
          </cell>
          <cell r="K1470">
            <v>13658.165114008614</v>
          </cell>
          <cell r="L1470">
            <v>1365.8165114008614</v>
          </cell>
          <cell r="M1470">
            <v>1162.1164333333334</v>
          </cell>
          <cell r="N1470" t="str">
            <v>Si Compra</v>
          </cell>
          <cell r="O1470">
            <v>10</v>
          </cell>
          <cell r="P1470">
            <v>63968.888969128588</v>
          </cell>
          <cell r="Q1470">
            <v>6396.8888969128584</v>
          </cell>
          <cell r="R1470">
            <v>5719.7063666666663</v>
          </cell>
          <cell r="T1470"/>
          <cell r="U1470"/>
          <cell r="V1470">
            <v>0.21351262049587966</v>
          </cell>
          <cell r="W1470">
            <v>5.2152153179763021E-5</v>
          </cell>
          <cell r="X1470">
            <v>10</v>
          </cell>
          <cell r="Y1470" t="str">
            <v>Potenciar</v>
          </cell>
        </row>
        <row r="1471">
          <cell r="A1471" t="str">
            <v>4267</v>
          </cell>
          <cell r="B1471" t="str">
            <v>4267 - FARMASUR,C.A</v>
          </cell>
          <cell r="C1471" t="str">
            <v>INDEPENDIENTE</v>
          </cell>
          <cell r="D1471">
            <v>0</v>
          </cell>
          <cell r="E1471"/>
          <cell r="F1471" t="str">
            <v>CENTRO ESTE</v>
          </cell>
          <cell r="G1471" t="str">
            <v>WILLIBETTI GONZALEZ</v>
          </cell>
          <cell r="H1471"/>
          <cell r="I1471" t="str">
            <v>AG</v>
          </cell>
          <cell r="J1471" t="str">
            <v>Bloqueado</v>
          </cell>
          <cell r="K1471">
            <v>13654.366581372038</v>
          </cell>
          <cell r="L1471">
            <v>2275.7277635620062</v>
          </cell>
          <cell r="M1471">
            <v>0</v>
          </cell>
          <cell r="N1471" t="str">
            <v>No Compra</v>
          </cell>
          <cell r="O1471">
            <v>5</v>
          </cell>
          <cell r="P1471">
            <v>50527.55402203618</v>
          </cell>
          <cell r="Q1471">
            <v>8421.2590036726961</v>
          </cell>
          <cell r="R1471">
            <v>0</v>
          </cell>
          <cell r="T1471"/>
          <cell r="U1471"/>
          <cell r="V1471">
            <v>0.27023604933294548</v>
          </cell>
          <cell r="W1471">
            <v>8.689608152342213E-5</v>
          </cell>
          <cell r="X1471">
            <v>5</v>
          </cell>
          <cell r="Y1471" t="str">
            <v>Potenciar</v>
          </cell>
        </row>
        <row r="1472">
          <cell r="A1472" t="str">
            <v>2902</v>
          </cell>
          <cell r="B1472" t="str">
            <v>2902 - FARMACIA EL BUCARE C.A.</v>
          </cell>
          <cell r="C1472" t="str">
            <v>INDEPENDIENTE</v>
          </cell>
          <cell r="D1472">
            <v>3</v>
          </cell>
          <cell r="E1472"/>
          <cell r="F1472" t="str">
            <v>ANDES</v>
          </cell>
          <cell r="G1472" t="str">
            <v>ZULAY PARRA</v>
          </cell>
          <cell r="H1472"/>
          <cell r="I1472" t="str">
            <v>5</v>
          </cell>
          <cell r="J1472" t="str">
            <v>Activo</v>
          </cell>
          <cell r="K1472">
            <v>13635.936415941189</v>
          </cell>
          <cell r="L1472">
            <v>1704.4920519926486</v>
          </cell>
          <cell r="M1472">
            <v>2256.164371119874</v>
          </cell>
          <cell r="N1472" t="str">
            <v>Si Compra</v>
          </cell>
          <cell r="O1472">
            <v>8</v>
          </cell>
          <cell r="P1472">
            <v>75939.5061090573</v>
          </cell>
          <cell r="Q1472">
            <v>9492.4382636321625</v>
          </cell>
          <cell r="R1472">
            <v>10085.574282215033</v>
          </cell>
          <cell r="T1472"/>
          <cell r="U1472"/>
          <cell r="V1472">
            <v>0.17956314327826306</v>
          </cell>
          <cell r="W1472">
            <v>6.5084094274153563E-5</v>
          </cell>
          <cell r="X1472">
            <v>8</v>
          </cell>
          <cell r="Y1472" t="str">
            <v>Conquistar</v>
          </cell>
        </row>
        <row r="1473">
          <cell r="A1473" t="str">
            <v>A521</v>
          </cell>
          <cell r="B1473" t="str">
            <v>A521 - FARMA NOVA, C.A.</v>
          </cell>
          <cell r="C1473" t="str">
            <v>INDEPENDIENTE</v>
          </cell>
          <cell r="D1473">
            <v>3</v>
          </cell>
          <cell r="E1473"/>
          <cell r="F1473" t="str">
            <v>ANDES</v>
          </cell>
          <cell r="G1473" t="str">
            <v>JESUS CONTRERAS</v>
          </cell>
          <cell r="H1473"/>
          <cell r="I1473" t="str">
            <v>G2</v>
          </cell>
          <cell r="J1473" t="str">
            <v>Activo</v>
          </cell>
          <cell r="K1473">
            <v>13617.941842146689</v>
          </cell>
          <cell r="L1473">
            <v>1361.7941842146688</v>
          </cell>
          <cell r="M1473">
            <v>1377.0535021115604</v>
          </cell>
          <cell r="N1473" t="str">
            <v>Si Compra</v>
          </cell>
          <cell r="O1473">
            <v>10</v>
          </cell>
          <cell r="P1473">
            <v>19367.16795099722</v>
          </cell>
          <cell r="Q1473">
            <v>1936.716795099722</v>
          </cell>
          <cell r="R1473">
            <v>1607.9644813152499</v>
          </cell>
          <cell r="T1473"/>
          <cell r="U1473"/>
          <cell r="V1473">
            <v>0.70314575040619176</v>
          </cell>
          <cell r="W1473">
            <v>5.1998565181812781E-5</v>
          </cell>
          <cell r="X1473">
            <v>10</v>
          </cell>
          <cell r="Y1473" t="str">
            <v>Proteger</v>
          </cell>
        </row>
        <row r="1474">
          <cell r="A1474" t="str">
            <v>0231</v>
          </cell>
          <cell r="B1474" t="str">
            <v>0231 - FARMACIA JUAN PABLO II, C.A.</v>
          </cell>
          <cell r="C1474" t="str">
            <v>INDEPENDIENTE</v>
          </cell>
          <cell r="D1474">
            <v>2</v>
          </cell>
          <cell r="E1474"/>
          <cell r="F1474" t="str">
            <v>ESTE</v>
          </cell>
          <cell r="G1474" t="str">
            <v>ADOLFO GONZALEZ</v>
          </cell>
          <cell r="H1474"/>
          <cell r="I1474" t="str">
            <v>A8</v>
          </cell>
          <cell r="J1474" t="str">
            <v>Activo</v>
          </cell>
          <cell r="K1474">
            <v>13608.804452411099</v>
          </cell>
          <cell r="L1474">
            <v>1512.0893836012333</v>
          </cell>
          <cell r="M1474">
            <v>2457.7802505584841</v>
          </cell>
          <cell r="N1474" t="str">
            <v>Si Compra</v>
          </cell>
          <cell r="O1474">
            <v>9</v>
          </cell>
          <cell r="P1474">
            <v>19213.103540435397</v>
          </cell>
          <cell r="Q1474">
            <v>2134.7892822705999</v>
          </cell>
          <cell r="R1474">
            <v>2355.2140344392024</v>
          </cell>
          <cell r="T1474"/>
          <cell r="U1474"/>
          <cell r="V1474">
            <v>0.70830849496909043</v>
          </cell>
          <cell r="W1474">
            <v>5.77374167736359E-5</v>
          </cell>
          <cell r="X1474">
            <v>9</v>
          </cell>
          <cell r="Y1474" t="str">
            <v>Proteger</v>
          </cell>
        </row>
        <row r="1475">
          <cell r="A1475" t="str">
            <v>E557</v>
          </cell>
          <cell r="B1475" t="str">
            <v>E557 - FARMACIA FARMA PUNTO, C.A</v>
          </cell>
          <cell r="C1475" t="e">
            <v>#N/A</v>
          </cell>
          <cell r="D1475">
            <v>3</v>
          </cell>
          <cell r="F1475" t="str">
            <v>ESTE</v>
          </cell>
          <cell r="G1475">
            <v>0</v>
          </cell>
          <cell r="H1475"/>
          <cell r="I1475" t="str">
            <v>A3</v>
          </cell>
          <cell r="J1475" t="str">
            <v>Activo</v>
          </cell>
          <cell r="K1475">
            <v>13605.042373376122</v>
          </cell>
          <cell r="L1475">
            <v>3401.2605933440304</v>
          </cell>
          <cell r="M1475">
            <v>4434.5794911253743</v>
          </cell>
          <cell r="N1475" t="str">
            <v>Si Compra</v>
          </cell>
          <cell r="O1475">
            <v>4</v>
          </cell>
          <cell r="P1475">
            <v>0</v>
          </cell>
          <cell r="Q1475">
            <v>0</v>
          </cell>
          <cell r="R1475">
            <v>0</v>
          </cell>
          <cell r="V1475">
            <v>0</v>
          </cell>
          <cell r="W1475">
            <v>1.2987327506125626E-4</v>
          </cell>
          <cell r="X1475">
            <v>0</v>
          </cell>
          <cell r="Y1475" t="str">
            <v>Conquistar</v>
          </cell>
        </row>
        <row r="1476">
          <cell r="A1476" t="str">
            <v>D027</v>
          </cell>
          <cell r="B1476" t="str">
            <v>D027 - FARMACIA COPA DE ORO S.A</v>
          </cell>
          <cell r="C1476" t="str">
            <v>INDEPENDIENTE</v>
          </cell>
          <cell r="D1476">
            <v>3</v>
          </cell>
          <cell r="E1476"/>
          <cell r="F1476" t="str">
            <v>ANDES</v>
          </cell>
          <cell r="G1476" t="str">
            <v>JESUS CONTRERAS</v>
          </cell>
          <cell r="H1476"/>
          <cell r="I1476" t="str">
            <v>G2</v>
          </cell>
          <cell r="J1476" t="str">
            <v>Activo</v>
          </cell>
          <cell r="K1476">
            <v>13584.756431326858</v>
          </cell>
          <cell r="L1476">
            <v>1358.4756431326857</v>
          </cell>
          <cell r="M1476">
            <v>1160.1675110942026</v>
          </cell>
          <cell r="N1476" t="str">
            <v>Si Compra</v>
          </cell>
          <cell r="O1476">
            <v>10</v>
          </cell>
          <cell r="P1476">
            <v>41055.405565958194</v>
          </cell>
          <cell r="Q1476">
            <v>4105.540556595819</v>
          </cell>
          <cell r="R1476">
            <v>4695.841515753963</v>
          </cell>
          <cell r="T1476"/>
          <cell r="U1476"/>
          <cell r="V1476">
            <v>0.33088837496689832</v>
          </cell>
          <cell r="W1476">
            <v>5.1871850457399754E-5</v>
          </cell>
          <cell r="X1476">
            <v>10</v>
          </cell>
          <cell r="Y1476" t="str">
            <v>Potenciar</v>
          </cell>
        </row>
        <row r="1477">
          <cell r="A1477" t="str">
            <v>A864</v>
          </cell>
          <cell r="B1477" t="str">
            <v>A864 - PHARMA MARKET, C.A.</v>
          </cell>
          <cell r="C1477" t="str">
            <v>INDEPENDIENTE</v>
          </cell>
          <cell r="D1477">
            <v>3</v>
          </cell>
          <cell r="E1477"/>
          <cell r="F1477" t="str">
            <v>ESTE</v>
          </cell>
          <cell r="G1477" t="str">
            <v>IRAIDA RODRIGUEZ</v>
          </cell>
          <cell r="H1477"/>
          <cell r="I1477" t="str">
            <v>AB</v>
          </cell>
          <cell r="J1477" t="str">
            <v>Inactivo</v>
          </cell>
          <cell r="K1477">
            <v>13575.386351453541</v>
          </cell>
          <cell r="L1477">
            <v>1357.538635145354</v>
          </cell>
          <cell r="M1477">
            <v>1004.0551347775354</v>
          </cell>
          <cell r="N1477" t="str">
            <v>Si Compra</v>
          </cell>
          <cell r="O1477">
            <v>10</v>
          </cell>
          <cell r="P1477">
            <v>25523.550312813029</v>
          </cell>
          <cell r="Q1477">
            <v>2552.3550312813031</v>
          </cell>
          <cell r="R1477">
            <v>2847.2940110178679</v>
          </cell>
          <cell r="T1477"/>
          <cell r="U1477"/>
          <cell r="V1477">
            <v>0.5318768817455064</v>
          </cell>
          <cell r="W1477">
            <v>5.1836071870980511E-5</v>
          </cell>
          <cell r="X1477">
            <v>10</v>
          </cell>
          <cell r="Y1477" t="str">
            <v>Potenciar</v>
          </cell>
        </row>
        <row r="1478">
          <cell r="A1478" t="str">
            <v>7909</v>
          </cell>
          <cell r="B1478" t="str">
            <v>7909 - HERRERA,CECILIA(FARMACIA JUAN DE DIOS)</v>
          </cell>
          <cell r="C1478" t="str">
            <v>INDEPENDIENTE</v>
          </cell>
          <cell r="D1478">
            <v>3</v>
          </cell>
          <cell r="E1478"/>
          <cell r="F1478" t="str">
            <v>CENTRO OESTE</v>
          </cell>
          <cell r="G1478" t="str">
            <v>LUIS PLACERES</v>
          </cell>
          <cell r="H1478"/>
          <cell r="I1478" t="str">
            <v>E</v>
          </cell>
          <cell r="J1478" t="str">
            <v>Activo</v>
          </cell>
          <cell r="K1478">
            <v>13552.158609595708</v>
          </cell>
          <cell r="L1478">
            <v>1355.2158609595708</v>
          </cell>
          <cell r="M1478">
            <v>1013.3709975338712</v>
          </cell>
          <cell r="N1478" t="str">
            <v>Si Compra</v>
          </cell>
          <cell r="O1478">
            <v>10</v>
          </cell>
          <cell r="P1478">
            <v>22064.055096550754</v>
          </cell>
          <cell r="Q1478">
            <v>2206.4055096550755</v>
          </cell>
          <cell r="R1478">
            <v>1884.0483579507957</v>
          </cell>
          <cell r="T1478"/>
          <cell r="U1478"/>
          <cell r="V1478">
            <v>0.61421885280345856</v>
          </cell>
          <cell r="W1478">
            <v>5.1747379375225927E-5</v>
          </cell>
          <cell r="X1478">
            <v>10</v>
          </cell>
          <cell r="Y1478" t="str">
            <v>Proteger</v>
          </cell>
        </row>
        <row r="1479">
          <cell r="A1479" t="str">
            <v>G166</v>
          </cell>
          <cell r="B1479" t="str">
            <v>G166 - FARMACIA AEROPUERTO, C.A.</v>
          </cell>
          <cell r="C1479" t="str">
            <v>INDEPENDIENTE</v>
          </cell>
          <cell r="D1479">
            <v>3</v>
          </cell>
          <cell r="F1479" t="str">
            <v>ANDES</v>
          </cell>
          <cell r="G1479" t="str">
            <v>MILAGRO BRICEñO</v>
          </cell>
          <cell r="H1479"/>
          <cell r="I1479" t="str">
            <v>G</v>
          </cell>
          <cell r="J1479" t="str">
            <v>Activo</v>
          </cell>
          <cell r="K1479">
            <v>13528.505522639512</v>
          </cell>
          <cell r="L1479">
            <v>1352.8505522639512</v>
          </cell>
          <cell r="M1479">
            <v>1184.947315176586</v>
          </cell>
          <cell r="N1479" t="str">
            <v>Si Compra</v>
          </cell>
          <cell r="O1479">
            <v>10</v>
          </cell>
          <cell r="P1479">
            <v>17913.564019704656</v>
          </cell>
          <cell r="Q1479">
            <v>1791.3564019704656</v>
          </cell>
          <cell r="R1479">
            <v>1430.8535759828103</v>
          </cell>
          <cell r="V1479">
            <v>0.75521015850103057</v>
          </cell>
          <cell r="W1479">
            <v>5.1657062747493213E-5</v>
          </cell>
          <cell r="X1479">
            <v>10</v>
          </cell>
          <cell r="Y1479" t="str">
            <v>Proteger</v>
          </cell>
        </row>
        <row r="1480">
          <cell r="A1480" t="str">
            <v>6144</v>
          </cell>
          <cell r="B1480" t="str">
            <v>6144 - FARMACIA EL FARO DE MARITZA COROMOTO CONTRERAS DE ABREU</v>
          </cell>
          <cell r="C1480" t="str">
            <v>INDEPENDIENTE</v>
          </cell>
          <cell r="D1480">
            <v>2</v>
          </cell>
          <cell r="E1480"/>
          <cell r="F1480" t="str">
            <v>ANDES</v>
          </cell>
          <cell r="G1480" t="str">
            <v>ZULAY PARRA</v>
          </cell>
          <cell r="H1480"/>
          <cell r="I1480" t="str">
            <v>5</v>
          </cell>
          <cell r="J1480" t="str">
            <v>Activo</v>
          </cell>
          <cell r="K1480">
            <v>13485.34020956267</v>
          </cell>
          <cell r="L1480">
            <v>1926.477172794667</v>
          </cell>
          <cell r="M1480">
            <v>1975.4070739362492</v>
          </cell>
          <cell r="N1480" t="str">
            <v>Si Compra</v>
          </cell>
          <cell r="O1480">
            <v>7</v>
          </cell>
          <cell r="P1480">
            <v>16201.688759642246</v>
          </cell>
          <cell r="Q1480">
            <v>2314.5269656631781</v>
          </cell>
          <cell r="R1480">
            <v>2237.139456534725</v>
          </cell>
          <cell r="T1480"/>
          <cell r="U1480"/>
          <cell r="V1480">
            <v>0.83234164102412012</v>
          </cell>
          <cell r="W1480">
            <v>7.3560344141583429E-5</v>
          </cell>
          <cell r="X1480">
            <v>7</v>
          </cell>
          <cell r="Y1480" t="str">
            <v>Proteger</v>
          </cell>
        </row>
        <row r="1481">
          <cell r="A1481" t="str">
            <v>1963</v>
          </cell>
          <cell r="B1481" t="str">
            <v>1963 - FARMA FIT, C.A</v>
          </cell>
          <cell r="C1481" t="str">
            <v>INDEPENDIENTE</v>
          </cell>
          <cell r="D1481">
            <v>2</v>
          </cell>
          <cell r="E1481"/>
          <cell r="F1481" t="str">
            <v>ESTE</v>
          </cell>
          <cell r="G1481" t="str">
            <v>ALEXMAR CASTILLO</v>
          </cell>
          <cell r="H1481"/>
          <cell r="I1481" t="str">
            <v>A1</v>
          </cell>
          <cell r="J1481" t="str">
            <v>Bloqueado</v>
          </cell>
          <cell r="K1481">
            <v>13458.724862963601</v>
          </cell>
          <cell r="L1481">
            <v>1345.8724862963602</v>
          </cell>
          <cell r="M1481">
            <v>803.41024044081416</v>
          </cell>
          <cell r="N1481" t="str">
            <v>Si Compra</v>
          </cell>
          <cell r="O1481">
            <v>9</v>
          </cell>
          <cell r="P1481">
            <v>37601.485809697435</v>
          </cell>
          <cell r="Q1481">
            <v>3760.1485809697433</v>
          </cell>
          <cell r="R1481">
            <v>1379.6939396723794</v>
          </cell>
          <cell r="T1481"/>
          <cell r="U1481"/>
          <cell r="V1481">
            <v>0.35793066611991681</v>
          </cell>
          <cell r="W1481">
            <v>5.1390613219168919E-5</v>
          </cell>
          <cell r="X1481">
            <v>9</v>
          </cell>
          <cell r="Y1481" t="str">
            <v>Potenciar</v>
          </cell>
        </row>
        <row r="1482">
          <cell r="A1482" t="str">
            <v>D011</v>
          </cell>
          <cell r="B1482" t="str">
            <v>D011 - CENTRALFARMA C.A.</v>
          </cell>
          <cell r="C1482" t="str">
            <v>INDEPENDIENTE</v>
          </cell>
          <cell r="D1482">
            <v>3</v>
          </cell>
          <cell r="E1482"/>
          <cell r="F1482" t="str">
            <v>ESTE</v>
          </cell>
          <cell r="G1482" t="str">
            <v>CARLOS BLONDELL</v>
          </cell>
          <cell r="H1482"/>
          <cell r="I1482" t="str">
            <v>A5</v>
          </cell>
          <cell r="J1482" t="str">
            <v>Inactivo</v>
          </cell>
          <cell r="K1482">
            <v>13440.173814276013</v>
          </cell>
          <cell r="L1482">
            <v>1493.3526460306682</v>
          </cell>
          <cell r="M1482">
            <v>1244.1777</v>
          </cell>
          <cell r="N1482" t="str">
            <v>Si Compra</v>
          </cell>
          <cell r="O1482">
            <v>9</v>
          </cell>
          <cell r="P1482">
            <v>68647.063410612172</v>
          </cell>
          <cell r="Q1482">
            <v>7627.4514900680188</v>
          </cell>
          <cell r="R1482">
            <v>7284.3592666666664</v>
          </cell>
          <cell r="T1482"/>
          <cell r="U1482"/>
          <cell r="V1482">
            <v>0.19578658061283208</v>
          </cell>
          <cell r="W1482">
            <v>5.70219757171598E-5</v>
          </cell>
          <cell r="X1482">
            <v>9</v>
          </cell>
          <cell r="Y1482" t="str">
            <v>Conquistar</v>
          </cell>
        </row>
        <row r="1483">
          <cell r="A1483" t="str">
            <v>D211</v>
          </cell>
          <cell r="B1483" t="str">
            <v>D211 - CONSORCIO DIGITAL, C.A.</v>
          </cell>
          <cell r="C1483" t="str">
            <v>INDEPENDIENTE</v>
          </cell>
          <cell r="D1483">
            <v>3</v>
          </cell>
          <cell r="E1483"/>
          <cell r="F1483" t="str">
            <v>MARACAIBO</v>
          </cell>
          <cell r="G1483">
            <v>0</v>
          </cell>
          <cell r="H1483"/>
          <cell r="I1483" t="str">
            <v>Z</v>
          </cell>
          <cell r="J1483" t="str">
            <v>Activo</v>
          </cell>
          <cell r="K1483">
            <v>13398.214927538287</v>
          </cell>
          <cell r="L1483">
            <v>1339.8214927538288</v>
          </cell>
          <cell r="M1483">
            <v>1185.9839825974454</v>
          </cell>
          <cell r="N1483" t="str">
            <v>Si Compra</v>
          </cell>
          <cell r="O1483">
            <v>10</v>
          </cell>
          <cell r="P1483">
            <v>0</v>
          </cell>
          <cell r="Q1483">
            <v>0</v>
          </cell>
          <cell r="R1483">
            <v>0</v>
          </cell>
          <cell r="T1483"/>
          <cell r="U1483"/>
          <cell r="V1483">
            <v>0</v>
          </cell>
          <cell r="W1483">
            <v>5.1159562899096139E-5</v>
          </cell>
          <cell r="X1483">
            <v>0</v>
          </cell>
          <cell r="Y1483" t="str">
            <v>Conquistar</v>
          </cell>
        </row>
        <row r="1484">
          <cell r="A1484" t="str">
            <v>8069</v>
          </cell>
          <cell r="B1484" t="str">
            <v>8069 - VITAL FARMACIA C.A.</v>
          </cell>
          <cell r="C1484" t="str">
            <v>INDEPENDIENTE</v>
          </cell>
          <cell r="D1484">
            <v>3</v>
          </cell>
          <cell r="E1484"/>
          <cell r="F1484" t="str">
            <v>ANDES</v>
          </cell>
          <cell r="G1484" t="str">
            <v>JESUS CONTRERAS</v>
          </cell>
          <cell r="H1484"/>
          <cell r="I1484" t="str">
            <v>G2</v>
          </cell>
          <cell r="J1484" t="str">
            <v>Activo</v>
          </cell>
          <cell r="K1484">
            <v>13378.627699999999</v>
          </cell>
          <cell r="L1484">
            <v>1337.86277</v>
          </cell>
          <cell r="M1484">
            <v>1449.3003666666666</v>
          </cell>
          <cell r="N1484" t="str">
            <v>Si Compra</v>
          </cell>
          <cell r="O1484">
            <v>10</v>
          </cell>
          <cell r="P1484">
            <v>34108.502999999997</v>
          </cell>
          <cell r="Q1484">
            <v>3410.8502999999996</v>
          </cell>
          <cell r="R1484">
            <v>1650.249</v>
          </cell>
          <cell r="T1484"/>
          <cell r="U1484"/>
          <cell r="V1484">
            <v>0.39223731689426539</v>
          </cell>
          <cell r="W1484">
            <v>5.1084771294044015E-5</v>
          </cell>
          <cell r="X1484">
            <v>9</v>
          </cell>
          <cell r="Y1484" t="str">
            <v>Potenciar</v>
          </cell>
        </row>
        <row r="1485">
          <cell r="A1485" t="str">
            <v>A689</v>
          </cell>
          <cell r="B1485" t="str">
            <v>A689 - FARMALUNA, C.A.</v>
          </cell>
          <cell r="C1485" t="str">
            <v>INDEPENDIENTE</v>
          </cell>
          <cell r="D1485">
            <v>3</v>
          </cell>
          <cell r="E1485"/>
          <cell r="F1485" t="str">
            <v>ESTE</v>
          </cell>
          <cell r="G1485" t="str">
            <v>JOSE RAMIREZ</v>
          </cell>
          <cell r="H1485"/>
          <cell r="I1485" t="str">
            <v>A2</v>
          </cell>
          <cell r="J1485" t="str">
            <v>Inactivo</v>
          </cell>
          <cell r="K1485">
            <v>13319.218600490631</v>
          </cell>
          <cell r="L1485">
            <v>1331.9218600490631</v>
          </cell>
          <cell r="M1485">
            <v>1112.4077333333335</v>
          </cell>
          <cell r="N1485" t="str">
            <v>Si Compra</v>
          </cell>
          <cell r="O1485">
            <v>10</v>
          </cell>
          <cell r="P1485">
            <v>556316.59537663043</v>
          </cell>
          <cell r="Q1485">
            <v>55631.659537663043</v>
          </cell>
          <cell r="R1485">
            <v>18005.732399999997</v>
          </cell>
          <cell r="T1485"/>
          <cell r="U1485"/>
          <cell r="V1485">
            <v>2.3941796292223535E-2</v>
          </cell>
          <cell r="W1485">
            <v>5.0857924390962821E-5</v>
          </cell>
          <cell r="X1485">
            <v>10</v>
          </cell>
          <cell r="Y1485" t="str">
            <v>Conquistar</v>
          </cell>
        </row>
        <row r="1486">
          <cell r="A1486" t="str">
            <v>D477</v>
          </cell>
          <cell r="B1486" t="str">
            <v>D477 - FARMACIA MUNDOFARMA MIKAEL.C.A.</v>
          </cell>
          <cell r="C1486" t="str">
            <v>INDEPENDIENTE</v>
          </cell>
          <cell r="D1486">
            <v>3</v>
          </cell>
          <cell r="E1486"/>
          <cell r="F1486" t="str">
            <v>ESTE</v>
          </cell>
          <cell r="G1486" t="str">
            <v>CARLOS BLONDELL</v>
          </cell>
          <cell r="H1486"/>
          <cell r="I1486" t="str">
            <v>A5</v>
          </cell>
          <cell r="J1486" t="str">
            <v>Activo</v>
          </cell>
          <cell r="K1486">
            <v>13312.485374721402</v>
          </cell>
          <cell r="L1486">
            <v>1331.2485374721402</v>
          </cell>
          <cell r="M1486">
            <v>1522.6425774254703</v>
          </cell>
          <cell r="N1486" t="str">
            <v>Si Compra</v>
          </cell>
          <cell r="O1486">
            <v>10</v>
          </cell>
          <cell r="P1486">
            <v>2649267.7359922719</v>
          </cell>
          <cell r="Q1486">
            <v>264926.77359922719</v>
          </cell>
          <cell r="R1486">
            <v>313226.4963607174</v>
          </cell>
          <cell r="T1486"/>
          <cell r="U1486"/>
          <cell r="V1486">
            <v>5.0249679161760022E-3</v>
          </cell>
          <cell r="W1486">
            <v>5.083221433263657E-5</v>
          </cell>
          <cell r="X1486">
            <v>10</v>
          </cell>
          <cell r="Y1486" t="str">
            <v>Conquistar</v>
          </cell>
        </row>
        <row r="1487">
          <cell r="A1487" t="str">
            <v>B732</v>
          </cell>
          <cell r="B1487" t="str">
            <v>B732 - FARMA DIABETICS, C.A.</v>
          </cell>
          <cell r="C1487" t="str">
            <v>INDEPENDIENTE</v>
          </cell>
          <cell r="D1487">
            <v>3</v>
          </cell>
          <cell r="E1487"/>
          <cell r="F1487" t="str">
            <v>CARACAS</v>
          </cell>
          <cell r="G1487" t="str">
            <v>MAIRUBI QUIJADA</v>
          </cell>
          <cell r="H1487"/>
          <cell r="I1487" t="str">
            <v>C2</v>
          </cell>
          <cell r="J1487" t="str">
            <v>Inactivo</v>
          </cell>
          <cell r="K1487">
            <v>13278.006668678961</v>
          </cell>
          <cell r="L1487">
            <v>1475.3340742976625</v>
          </cell>
          <cell r="M1487">
            <v>739.49465622631976</v>
          </cell>
          <cell r="N1487" t="str">
            <v>Si Compra</v>
          </cell>
          <cell r="O1487">
            <v>9</v>
          </cell>
          <cell r="P1487">
            <v>339928.3414641791</v>
          </cell>
          <cell r="Q1487">
            <v>37769.81571824212</v>
          </cell>
          <cell r="R1487">
            <v>10632.158254726362</v>
          </cell>
          <cell r="T1487"/>
          <cell r="U1487"/>
          <cell r="V1487">
            <v>3.9061193342945104E-2</v>
          </cell>
          <cell r="W1487">
            <v>5.6333957008016769E-5</v>
          </cell>
          <cell r="X1487">
            <v>9</v>
          </cell>
          <cell r="Y1487" t="str">
            <v>Conquistar</v>
          </cell>
        </row>
        <row r="1488">
          <cell r="A1488" t="str">
            <v>E164</v>
          </cell>
          <cell r="B1488" t="str">
            <v>E164 - EXPENDIO DE MEDICINAS MEDIC FAMILY G.A, C.A</v>
          </cell>
          <cell r="C1488" t="str">
            <v>INDEPENDIENTE</v>
          </cell>
          <cell r="D1488">
            <v>3</v>
          </cell>
          <cell r="F1488" t="str">
            <v>CENTRO OESTE</v>
          </cell>
          <cell r="G1488">
            <v>0</v>
          </cell>
          <cell r="H1488"/>
          <cell r="I1488" t="str">
            <v>A</v>
          </cell>
          <cell r="J1488" t="str">
            <v>Activo</v>
          </cell>
          <cell r="K1488">
            <v>13276.546132954849</v>
          </cell>
          <cell r="L1488">
            <v>1896.6494475649783</v>
          </cell>
          <cell r="M1488">
            <v>2585.3018443182832</v>
          </cell>
          <cell r="N1488" t="str">
            <v>Si Compra</v>
          </cell>
          <cell r="O1488">
            <v>7</v>
          </cell>
          <cell r="P1488">
            <v>0</v>
          </cell>
          <cell r="Q1488">
            <v>0</v>
          </cell>
          <cell r="R1488">
            <v>0</v>
          </cell>
          <cell r="V1488">
            <v>0</v>
          </cell>
          <cell r="W1488">
            <v>7.2421406310478199E-5</v>
          </cell>
          <cell r="X1488">
            <v>0</v>
          </cell>
          <cell r="Y1488" t="str">
            <v>Conquistar</v>
          </cell>
        </row>
        <row r="1489">
          <cell r="A1489" t="str">
            <v>B190</v>
          </cell>
          <cell r="B1489" t="str">
            <v>B190 - FARMACIA FARMATEM LAS BANDERAS, C.A</v>
          </cell>
          <cell r="C1489" t="str">
            <v>INDEPENDIENTE</v>
          </cell>
          <cell r="D1489">
            <v>3</v>
          </cell>
          <cell r="E1489"/>
          <cell r="F1489" t="str">
            <v>MARACAIBO</v>
          </cell>
          <cell r="G1489" t="str">
            <v>YENNIFER LUZARDO</v>
          </cell>
          <cell r="H1489"/>
          <cell r="I1489" t="str">
            <v>B</v>
          </cell>
          <cell r="J1489" t="str">
            <v>Inactivo</v>
          </cell>
          <cell r="K1489">
            <v>13262.351999999999</v>
          </cell>
          <cell r="L1489">
            <v>1326.2351999999998</v>
          </cell>
          <cell r="M1489">
            <v>452.09056666666658</v>
          </cell>
          <cell r="N1489" t="str">
            <v>Si Compra</v>
          </cell>
          <cell r="O1489">
            <v>10</v>
          </cell>
          <cell r="P1489">
            <v>16734.033500000001</v>
          </cell>
          <cell r="Q1489">
            <v>1673.40335</v>
          </cell>
          <cell r="R1489">
            <v>918.70180000000016</v>
          </cell>
          <cell r="T1489"/>
          <cell r="U1489"/>
          <cell r="V1489">
            <v>0.79253767479310944</v>
          </cell>
          <cell r="W1489">
            <v>5.0640785731791245E-5</v>
          </cell>
          <cell r="X1489">
            <v>10</v>
          </cell>
          <cell r="Y1489" t="str">
            <v>Proteger</v>
          </cell>
        </row>
        <row r="1490">
          <cell r="A1490" t="str">
            <v>0622</v>
          </cell>
          <cell r="B1490" t="str">
            <v>0622 - FARMACENTER US, C.A</v>
          </cell>
          <cell r="C1490" t="str">
            <v>INDEPENDIENTE</v>
          </cell>
          <cell r="D1490">
            <v>2</v>
          </cell>
          <cell r="E1490"/>
          <cell r="F1490" t="str">
            <v>CENTRO OESTE</v>
          </cell>
          <cell r="G1490" t="str">
            <v>LUIS PLACERES</v>
          </cell>
          <cell r="H1490"/>
          <cell r="I1490" t="str">
            <v>E</v>
          </cell>
          <cell r="J1490" t="str">
            <v>Suspendido</v>
          </cell>
          <cell r="K1490">
            <v>13196.9305</v>
          </cell>
          <cell r="L1490">
            <v>1885.2757857142858</v>
          </cell>
          <cell r="M1490">
            <v>3749.6257000000001</v>
          </cell>
          <cell r="N1490" t="str">
            <v>Si Compra</v>
          </cell>
          <cell r="O1490">
            <v>7</v>
          </cell>
          <cell r="P1490">
            <v>15690.876</v>
          </cell>
          <cell r="Q1490">
            <v>2241.5537142857142</v>
          </cell>
          <cell r="R1490">
            <v>4866.0011500000001</v>
          </cell>
          <cell r="T1490"/>
          <cell r="U1490"/>
          <cell r="V1490">
            <v>0.84105759933352353</v>
          </cell>
          <cell r="W1490">
            <v>7.1987115942701227E-5</v>
          </cell>
          <cell r="X1490">
            <v>7</v>
          </cell>
          <cell r="Y1490" t="str">
            <v>Proteger</v>
          </cell>
        </row>
        <row r="1491">
          <cell r="A1491" t="str">
            <v>C970</v>
          </cell>
          <cell r="B1491" t="str">
            <v>C970 - FARMACIA VENEPLUS, C.A.</v>
          </cell>
          <cell r="C1491" t="str">
            <v>INDEPENDIENTE</v>
          </cell>
          <cell r="D1491">
            <v>3</v>
          </cell>
          <cell r="E1491"/>
          <cell r="F1491" t="str">
            <v>ANDES</v>
          </cell>
          <cell r="G1491">
            <v>0</v>
          </cell>
          <cell r="H1491"/>
          <cell r="I1491" t="str">
            <v>G1</v>
          </cell>
          <cell r="J1491" t="str">
            <v>Inactivo</v>
          </cell>
          <cell r="K1491">
            <v>13192.090400000001</v>
          </cell>
          <cell r="L1491">
            <v>2198.6817333333333</v>
          </cell>
          <cell r="M1491">
            <v>1024.3349666666666</v>
          </cell>
          <cell r="N1491" t="str">
            <v>Si Compra</v>
          </cell>
          <cell r="O1491">
            <v>6</v>
          </cell>
          <cell r="P1491">
            <v>0</v>
          </cell>
          <cell r="Q1491">
            <v>0</v>
          </cell>
          <cell r="R1491">
            <v>0</v>
          </cell>
          <cell r="T1491"/>
          <cell r="U1491"/>
          <cell r="V1491">
            <v>0</v>
          </cell>
          <cell r="W1491">
            <v>8.3954166312383153E-5</v>
          </cell>
          <cell r="X1491">
            <v>0</v>
          </cell>
          <cell r="Y1491" t="str">
            <v>Conquistar</v>
          </cell>
        </row>
        <row r="1492">
          <cell r="A1492" t="str">
            <v>A179</v>
          </cell>
          <cell r="B1492" t="str">
            <v>A179 - FARMACIA SANTO NIÑO JESUS,C.A.</v>
          </cell>
          <cell r="C1492" t="str">
            <v>INDEPENDIENTE</v>
          </cell>
          <cell r="D1492">
            <v>3</v>
          </cell>
          <cell r="E1492"/>
          <cell r="F1492" t="str">
            <v>ESTE</v>
          </cell>
          <cell r="G1492" t="str">
            <v>ADOLFO GONZALEZ</v>
          </cell>
          <cell r="H1492"/>
          <cell r="I1492" t="str">
            <v>A8</v>
          </cell>
          <cell r="J1492" t="str">
            <v>Activo</v>
          </cell>
          <cell r="K1492">
            <v>13168.292239489712</v>
          </cell>
          <cell r="L1492">
            <v>1316.8292239489713</v>
          </cell>
          <cell r="M1492">
            <v>1130.483141107245</v>
          </cell>
          <cell r="N1492" t="str">
            <v>Si Compra</v>
          </cell>
          <cell r="O1492">
            <v>10</v>
          </cell>
          <cell r="P1492">
            <v>15433.603156807691</v>
          </cell>
          <cell r="Q1492">
            <v>1543.360315680769</v>
          </cell>
          <cell r="R1492">
            <v>1233.2998402741241</v>
          </cell>
          <cell r="T1492"/>
          <cell r="U1492"/>
          <cell r="V1492">
            <v>0.85322216113100202</v>
          </cell>
          <cell r="W1492">
            <v>5.028162921279786E-5</v>
          </cell>
          <cell r="X1492">
            <v>10</v>
          </cell>
          <cell r="Y1492" t="str">
            <v>Proteger</v>
          </cell>
        </row>
        <row r="1493">
          <cell r="A1493" t="str">
            <v>1208</v>
          </cell>
          <cell r="B1493" t="str">
            <v>1208 - FARMACIA J.F.R, C.A.</v>
          </cell>
          <cell r="C1493" t="str">
            <v>INDEPENDIENTE</v>
          </cell>
          <cell r="D1493">
            <v>0</v>
          </cell>
          <cell r="E1493"/>
          <cell r="F1493" t="str">
            <v>CARACAS</v>
          </cell>
          <cell r="G1493" t="str">
            <v>MAIRUBI QUIJADA</v>
          </cell>
          <cell r="H1493"/>
          <cell r="I1493" t="str">
            <v>C1</v>
          </cell>
          <cell r="J1493" t="str">
            <v>Inactivo</v>
          </cell>
          <cell r="K1493">
            <v>13160.428993333242</v>
          </cell>
          <cell r="L1493">
            <v>2632.0857986666483</v>
          </cell>
          <cell r="M1493">
            <v>0</v>
          </cell>
          <cell r="N1493" t="str">
            <v>No Compra</v>
          </cell>
          <cell r="O1493">
            <v>5</v>
          </cell>
          <cell r="P1493">
            <v>14395.270813265766</v>
          </cell>
          <cell r="Q1493">
            <v>2879.0541626531531</v>
          </cell>
          <cell r="R1493">
            <v>0</v>
          </cell>
          <cell r="T1493"/>
          <cell r="U1493"/>
          <cell r="V1493">
            <v>0.91421892398199467</v>
          </cell>
          <cell r="W1493">
            <v>1.0050320859977807E-4</v>
          </cell>
          <cell r="X1493">
            <v>5</v>
          </cell>
          <cell r="Y1493" t="str">
            <v>Proteger</v>
          </cell>
        </row>
        <row r="1494">
          <cell r="A1494" t="str">
            <v>N39</v>
          </cell>
          <cell r="B1494" t="str">
            <v>N39 - FARMACIA LOS HERMANOS  C.A</v>
          </cell>
          <cell r="C1494" t="str">
            <v>INDEPENDIENTE</v>
          </cell>
          <cell r="D1494">
            <v>3</v>
          </cell>
          <cell r="F1494" t="str">
            <v>CENTRO OESTE</v>
          </cell>
          <cell r="G1494" t="str">
            <v>DIEGO TORI</v>
          </cell>
          <cell r="H1494"/>
          <cell r="I1494" t="str">
            <v xml:space="preserve">A </v>
          </cell>
          <cell r="J1494" t="str">
            <v>Activo</v>
          </cell>
          <cell r="K1494">
            <v>13085.218046314509</v>
          </cell>
          <cell r="L1494">
            <v>1308.5218046314508</v>
          </cell>
          <cell r="M1494">
            <v>1427.2750421120338</v>
          </cell>
          <cell r="N1494" t="str">
            <v>Si Compra</v>
          </cell>
          <cell r="O1494">
            <v>10</v>
          </cell>
          <cell r="P1494">
            <v>20589.80087809217</v>
          </cell>
          <cell r="Q1494">
            <v>2058.9800878092169</v>
          </cell>
          <cell r="R1494">
            <v>2140.2865001902046</v>
          </cell>
          <cell r="V1494">
            <v>0.63551940709816968</v>
          </cell>
          <cell r="W1494">
            <v>4.9964419835726058E-5</v>
          </cell>
          <cell r="X1494">
            <v>10</v>
          </cell>
          <cell r="Y1494" t="str">
            <v>Proteger</v>
          </cell>
        </row>
        <row r="1495">
          <cell r="A1495" t="str">
            <v>D356</v>
          </cell>
          <cell r="B1495" t="str">
            <v>D356 - FARMANOVA.02, C.A.</v>
          </cell>
          <cell r="C1495" t="str">
            <v>INDEPENDIENTE</v>
          </cell>
          <cell r="D1495">
            <v>3</v>
          </cell>
          <cell r="E1495"/>
          <cell r="F1495" t="str">
            <v>ANDES</v>
          </cell>
          <cell r="G1495" t="str">
            <v>ANYERSSON TORRES</v>
          </cell>
          <cell r="H1495"/>
          <cell r="I1495" t="str">
            <v>4</v>
          </cell>
          <cell r="J1495" t="str">
            <v>Activo</v>
          </cell>
          <cell r="K1495">
            <v>13076.395132334104</v>
          </cell>
          <cell r="L1495">
            <v>1307.6395132334105</v>
          </cell>
          <cell r="M1495">
            <v>1065.187210778035</v>
          </cell>
          <cell r="N1495" t="str">
            <v>Si Compra</v>
          </cell>
          <cell r="O1495">
            <v>10</v>
          </cell>
          <cell r="P1495">
            <v>13912.033565029073</v>
          </cell>
          <cell r="Q1495">
            <v>1391.2033565029074</v>
          </cell>
          <cell r="R1495">
            <v>1028.1966550096904</v>
          </cell>
          <cell r="T1495"/>
          <cell r="U1495"/>
          <cell r="V1495">
            <v>0.93993412761772455</v>
          </cell>
          <cell r="W1495">
            <v>4.9930730540161315E-5</v>
          </cell>
          <cell r="X1495">
            <v>10</v>
          </cell>
          <cell r="Y1495" t="str">
            <v>Proteger</v>
          </cell>
        </row>
        <row r="1496">
          <cell r="A1496" t="str">
            <v>D293</v>
          </cell>
          <cell r="B1496" t="str">
            <v>D293 - FARMACIA GALILEA 24 H ,C .A.</v>
          </cell>
          <cell r="C1496" t="str">
            <v>INDEPENDIENTE</v>
          </cell>
          <cell r="D1496">
            <v>3</v>
          </cell>
          <cell r="E1496"/>
          <cell r="F1496" t="str">
            <v>MARACAIBO</v>
          </cell>
          <cell r="G1496" t="str">
            <v>ADRIANA ALBORNOZ</v>
          </cell>
          <cell r="H1496"/>
          <cell r="I1496" t="str">
            <v>Q</v>
          </cell>
          <cell r="J1496" t="str">
            <v>Inactivo</v>
          </cell>
          <cell r="K1496">
            <v>13046.340100000001</v>
          </cell>
          <cell r="L1496">
            <v>1304.6340100000002</v>
          </cell>
          <cell r="M1496">
            <v>2082.5437333333334</v>
          </cell>
          <cell r="N1496" t="str">
            <v>Si Compra</v>
          </cell>
          <cell r="O1496">
            <v>10</v>
          </cell>
          <cell r="P1496">
            <v>112687.58380000001</v>
          </cell>
          <cell r="Q1496">
            <v>11268.758380000001</v>
          </cell>
          <cell r="R1496">
            <v>18495.204300000001</v>
          </cell>
          <cell r="T1496"/>
          <cell r="U1496"/>
          <cell r="V1496">
            <v>0.11577442394323482</v>
          </cell>
          <cell r="W1496">
            <v>4.9815968810673717E-5</v>
          </cell>
          <cell r="X1496">
            <v>10</v>
          </cell>
          <cell r="Y1496" t="str">
            <v>Conquistar</v>
          </cell>
        </row>
        <row r="1497">
          <cell r="A1497" t="str">
            <v>0216</v>
          </cell>
          <cell r="B1497" t="str">
            <v>0216 - FARMACIA FEDERACION,C.A.</v>
          </cell>
          <cell r="C1497" t="str">
            <v>INDEPENDIENTE</v>
          </cell>
          <cell r="D1497">
            <v>3</v>
          </cell>
          <cell r="E1497"/>
          <cell r="F1497" t="str">
            <v>MARACAIBO</v>
          </cell>
          <cell r="G1497" t="str">
            <v>JOEL JIMENEZ</v>
          </cell>
          <cell r="H1497"/>
          <cell r="I1497" t="str">
            <v>S1</v>
          </cell>
          <cell r="J1497" t="str">
            <v>Activo</v>
          </cell>
          <cell r="K1497">
            <v>13036.740870733356</v>
          </cell>
          <cell r="L1497">
            <v>1303.6740870733356</v>
          </cell>
          <cell r="M1497">
            <v>991.60320000000002</v>
          </cell>
          <cell r="N1497" t="str">
            <v>Si Compra</v>
          </cell>
          <cell r="O1497">
            <v>10</v>
          </cell>
          <cell r="P1497">
            <v>23131.8798835501</v>
          </cell>
          <cell r="Q1497">
            <v>2313.18798835501</v>
          </cell>
          <cell r="R1497">
            <v>2061.5057000000002</v>
          </cell>
          <cell r="T1497"/>
          <cell r="U1497"/>
          <cell r="V1497">
            <v>0.56358328576676753</v>
          </cell>
          <cell r="W1497">
            <v>4.9779315243306284E-5</v>
          </cell>
          <cell r="X1497">
            <v>10</v>
          </cell>
          <cell r="Y1497" t="str">
            <v>Potenciar</v>
          </cell>
        </row>
        <row r="1498">
          <cell r="A1498" t="str">
            <v>B540</v>
          </cell>
          <cell r="B1498" t="str">
            <v>B540 - FARMACIA SANTO CHARBELL, C.A.</v>
          </cell>
          <cell r="C1498" t="str">
            <v>INDEPENDIENTE</v>
          </cell>
          <cell r="D1498">
            <v>3</v>
          </cell>
          <cell r="E1498"/>
          <cell r="F1498" t="str">
            <v>CENTRO ESTE</v>
          </cell>
          <cell r="G1498" t="str">
            <v>ELIANA PERAZA</v>
          </cell>
          <cell r="H1498"/>
          <cell r="I1498" t="str">
            <v>M</v>
          </cell>
          <cell r="J1498" t="str">
            <v>Activo</v>
          </cell>
          <cell r="K1498">
            <v>13026.677543970014</v>
          </cell>
          <cell r="L1498">
            <v>1302.6677543970013</v>
          </cell>
          <cell r="M1498">
            <v>1536.8902089841051</v>
          </cell>
          <cell r="N1498" t="str">
            <v>Si Compra</v>
          </cell>
          <cell r="O1498">
            <v>10</v>
          </cell>
          <cell r="P1498">
            <v>48155.639334808977</v>
          </cell>
          <cell r="Q1498">
            <v>4815.5639334808975</v>
          </cell>
          <cell r="R1498">
            <v>4182.9186694000318</v>
          </cell>
          <cell r="T1498"/>
          <cell r="U1498"/>
          <cell r="V1498">
            <v>0.27051198413959732</v>
          </cell>
          <cell r="W1498">
            <v>4.97408895723264E-5</v>
          </cell>
          <cell r="X1498">
            <v>10</v>
          </cell>
          <cell r="Y1498" t="str">
            <v>Potenciar</v>
          </cell>
        </row>
        <row r="1499">
          <cell r="A1499" t="str">
            <v>9942</v>
          </cell>
          <cell r="B1499" t="str">
            <v>9942 - FARMACIA JAZMIN, C.A</v>
          </cell>
          <cell r="C1499" t="str">
            <v>INDEPENDIENTE</v>
          </cell>
          <cell r="D1499">
            <v>3</v>
          </cell>
          <cell r="E1499"/>
          <cell r="F1499" t="str">
            <v>ANDES</v>
          </cell>
          <cell r="G1499" t="str">
            <v>RAYNE ANDREINA NAVA</v>
          </cell>
          <cell r="H1499"/>
          <cell r="I1499" t="str">
            <v>G1</v>
          </cell>
          <cell r="J1499" t="str">
            <v>Activo</v>
          </cell>
          <cell r="K1499">
            <v>13016.559507761887</v>
          </cell>
          <cell r="L1499">
            <v>1301.6559507761888</v>
          </cell>
          <cell r="M1499">
            <v>1125.4577666666667</v>
          </cell>
          <cell r="N1499" t="str">
            <v>Si Compra</v>
          </cell>
          <cell r="O1499">
            <v>10</v>
          </cell>
          <cell r="P1499">
            <v>35325.494078274933</v>
          </cell>
          <cell r="Q1499">
            <v>3532.5494078274933</v>
          </cell>
          <cell r="R1499">
            <v>2600.0160000000001</v>
          </cell>
          <cell r="T1499"/>
          <cell r="U1499"/>
          <cell r="V1499">
            <v>0.36847494557102406</v>
          </cell>
          <cell r="W1499">
            <v>4.9702254999541556E-5</v>
          </cell>
          <cell r="X1499">
            <v>10</v>
          </cell>
          <cell r="Y1499" t="str">
            <v>Potenciar</v>
          </cell>
        </row>
        <row r="1500">
          <cell r="A1500" t="str">
            <v>C771</v>
          </cell>
          <cell r="B1500" t="str">
            <v>C771 - FARMACIA MI ADONAI L &amp; N 2021, C.A.</v>
          </cell>
          <cell r="C1500" t="str">
            <v>INDEPENDIENTE</v>
          </cell>
          <cell r="D1500">
            <v>1</v>
          </cell>
          <cell r="E1500"/>
          <cell r="F1500" t="str">
            <v>CENTRO ESTE</v>
          </cell>
          <cell r="G1500" t="str">
            <v>KARLA SALAZAR</v>
          </cell>
          <cell r="H1500"/>
          <cell r="I1500" t="str">
            <v>O</v>
          </cell>
          <cell r="J1500" t="str">
            <v>Activo</v>
          </cell>
          <cell r="K1500">
            <v>13004.8099</v>
          </cell>
          <cell r="L1500">
            <v>2600.96198</v>
          </cell>
          <cell r="M1500">
            <v>2352.5436</v>
          </cell>
          <cell r="N1500" t="str">
            <v>Si Compra</v>
          </cell>
          <cell r="O1500">
            <v>5</v>
          </cell>
          <cell r="P1500">
            <v>15154.115100000001</v>
          </cell>
          <cell r="Q1500">
            <v>3030.8230200000003</v>
          </cell>
          <cell r="R1500">
            <v>2361.6682000000001</v>
          </cell>
          <cell r="T1500"/>
          <cell r="U1500"/>
          <cell r="V1500">
            <v>0.85817019431243458</v>
          </cell>
          <cell r="W1500">
            <v>9.9314780911949503E-5</v>
          </cell>
          <cell r="X1500">
            <v>5</v>
          </cell>
          <cell r="Y1500" t="str">
            <v>Proteger</v>
          </cell>
        </row>
        <row r="1501">
          <cell r="A1501" t="str">
            <v>6230</v>
          </cell>
          <cell r="B1501" t="str">
            <v>6230 - FARMACIA KAPA, C.A.</v>
          </cell>
          <cell r="C1501" t="str">
            <v>INDEPENDIENTE</v>
          </cell>
          <cell r="D1501">
            <v>2</v>
          </cell>
          <cell r="E1501"/>
          <cell r="F1501" t="str">
            <v>CENTRO OESTE</v>
          </cell>
          <cell r="G1501" t="str">
            <v>SORALI SILVA</v>
          </cell>
          <cell r="H1501"/>
          <cell r="I1501" t="str">
            <v>L</v>
          </cell>
          <cell r="J1501" t="str">
            <v>Activo</v>
          </cell>
          <cell r="K1501">
            <v>12975.251031447469</v>
          </cell>
          <cell r="L1501">
            <v>1621.9063789309337</v>
          </cell>
          <cell r="M1501">
            <v>553.25684999999999</v>
          </cell>
          <cell r="N1501" t="str">
            <v>Si Compra</v>
          </cell>
          <cell r="O1501">
            <v>8</v>
          </cell>
          <cell r="P1501">
            <v>30540.072636481567</v>
          </cell>
          <cell r="Q1501">
            <v>3817.5090795601959</v>
          </cell>
          <cell r="R1501">
            <v>408.01474999999999</v>
          </cell>
          <cell r="T1501"/>
          <cell r="U1501"/>
          <cell r="V1501">
            <v>0.42485986152986144</v>
          </cell>
          <cell r="W1501">
            <v>6.1930654089460788E-5</v>
          </cell>
          <cell r="X1501">
            <v>7</v>
          </cell>
          <cell r="Y1501" t="str">
            <v>Potenciar</v>
          </cell>
        </row>
        <row r="1502">
          <cell r="A1502" t="str">
            <v>E524</v>
          </cell>
          <cell r="B1502" t="str">
            <v>E524 - FARMACIA SAN PEDRO LA ROCA, C.A</v>
          </cell>
          <cell r="C1502" t="e">
            <v>#N/A</v>
          </cell>
          <cell r="D1502">
            <v>3</v>
          </cell>
          <cell r="F1502" t="str">
            <v>CENTRO OESTE</v>
          </cell>
          <cell r="G1502">
            <v>0</v>
          </cell>
          <cell r="H1502"/>
          <cell r="I1502" t="str">
            <v>A</v>
          </cell>
          <cell r="J1502" t="str">
            <v>Permiso</v>
          </cell>
          <cell r="K1502">
            <v>12964.25910265815</v>
          </cell>
          <cell r="L1502">
            <v>3241.0647756645376</v>
          </cell>
          <cell r="M1502">
            <v>3462.5466342193836</v>
          </cell>
          <cell r="N1502" t="str">
            <v>Si Compra</v>
          </cell>
          <cell r="O1502">
            <v>4</v>
          </cell>
          <cell r="P1502">
            <v>0</v>
          </cell>
          <cell r="Q1502">
            <v>0</v>
          </cell>
          <cell r="R1502">
            <v>0</v>
          </cell>
          <cell r="V1502">
            <v>0</v>
          </cell>
          <cell r="W1502">
            <v>1.2375637959789027E-4</v>
          </cell>
          <cell r="X1502">
            <v>0</v>
          </cell>
          <cell r="Y1502" t="str">
            <v>Conquistar</v>
          </cell>
        </row>
        <row r="1503">
          <cell r="A1503" t="str">
            <v>C888</v>
          </cell>
          <cell r="B1503" t="str">
            <v>C888 - FARMA VITAL DOMINGO ROA, C.A.</v>
          </cell>
          <cell r="C1503" t="str">
            <v>INDEPENDIENTE</v>
          </cell>
          <cell r="D1503">
            <v>3</v>
          </cell>
          <cell r="E1503"/>
          <cell r="F1503" t="str">
            <v>ANDES</v>
          </cell>
          <cell r="G1503" t="str">
            <v>ZULAY PARRA</v>
          </cell>
          <cell r="H1503"/>
          <cell r="I1503" t="str">
            <v>5</v>
          </cell>
          <cell r="J1503" t="str">
            <v>Activo</v>
          </cell>
          <cell r="K1503">
            <v>12960.627569880497</v>
          </cell>
          <cell r="L1503">
            <v>1296.0627569880496</v>
          </cell>
          <cell r="M1503">
            <v>654.70749999999998</v>
          </cell>
          <cell r="N1503" t="str">
            <v>Si Compra</v>
          </cell>
          <cell r="O1503">
            <v>10</v>
          </cell>
          <cell r="P1503">
            <v>45436.082218965217</v>
          </cell>
          <cell r="Q1503">
            <v>4543.6082218965221</v>
          </cell>
          <cell r="R1503">
            <v>1589.6894999999997</v>
          </cell>
          <cell r="T1503"/>
          <cell r="U1503"/>
          <cell r="V1503">
            <v>0.28524967243920235</v>
          </cell>
          <cell r="W1503">
            <v>4.9488685243451884E-5</v>
          </cell>
          <cell r="X1503">
            <v>10</v>
          </cell>
          <cell r="Y1503" t="str">
            <v>Potenciar</v>
          </cell>
        </row>
        <row r="1504">
          <cell r="A1504" t="str">
            <v>B568</v>
          </cell>
          <cell r="B1504" t="str">
            <v>B568 - EXPENDIO DE MEDICINA EDSA, C.A.</v>
          </cell>
          <cell r="C1504" t="str">
            <v>INDEPENDIENTE</v>
          </cell>
          <cell r="D1504">
            <v>3</v>
          </cell>
          <cell r="E1504"/>
          <cell r="F1504" t="str">
            <v>CENTRO ESTE</v>
          </cell>
          <cell r="G1504">
            <v>0</v>
          </cell>
          <cell r="H1504"/>
          <cell r="I1504" t="str">
            <v>H</v>
          </cell>
          <cell r="J1504" t="str">
            <v>Activo</v>
          </cell>
          <cell r="K1504">
            <v>12913.785199999998</v>
          </cell>
          <cell r="L1504">
            <v>1291.3785199999998</v>
          </cell>
          <cell r="M1504">
            <v>1621.3527000000001</v>
          </cell>
          <cell r="N1504" t="str">
            <v>Si Compra</v>
          </cell>
          <cell r="O1504">
            <v>10</v>
          </cell>
          <cell r="P1504">
            <v>0</v>
          </cell>
          <cell r="Q1504">
            <v>0</v>
          </cell>
          <cell r="R1504">
            <v>0</v>
          </cell>
          <cell r="T1504"/>
          <cell r="U1504"/>
          <cell r="V1504">
            <v>0</v>
          </cell>
          <cell r="W1504">
            <v>4.9309822971036877E-5</v>
          </cell>
          <cell r="X1504">
            <v>0</v>
          </cell>
          <cell r="Y1504" t="str">
            <v>Conquistar</v>
          </cell>
        </row>
        <row r="1505">
          <cell r="A1505" t="str">
            <v>D917</v>
          </cell>
          <cell r="B1505" t="str">
            <v>D917 - FARMACIA DR JUAN DE DIOS HOLMQUIST, C.A</v>
          </cell>
          <cell r="C1505" t="str">
            <v>INDEPENDIENTE</v>
          </cell>
          <cell r="D1505">
            <v>3</v>
          </cell>
          <cell r="E1505"/>
          <cell r="F1505" t="str">
            <v>ESTE</v>
          </cell>
          <cell r="G1505">
            <v>0</v>
          </cell>
          <cell r="H1505"/>
          <cell r="I1505" t="str">
            <v>AB</v>
          </cell>
          <cell r="J1505" t="str">
            <v>Activo</v>
          </cell>
          <cell r="K1505">
            <v>12912.446230705678</v>
          </cell>
          <cell r="L1505">
            <v>1291.2446230705677</v>
          </cell>
          <cell r="M1505">
            <v>1095.00396792739</v>
          </cell>
          <cell r="N1505" t="str">
            <v>Si Compra</v>
          </cell>
          <cell r="O1505">
            <v>10</v>
          </cell>
          <cell r="P1505">
            <v>0</v>
          </cell>
          <cell r="Q1505">
            <v>0</v>
          </cell>
          <cell r="R1505">
            <v>0</v>
          </cell>
          <cell r="T1505"/>
          <cell r="U1505"/>
          <cell r="V1505">
            <v>0</v>
          </cell>
          <cell r="W1505">
            <v>4.9304710268769961E-5</v>
          </cell>
          <cell r="X1505">
            <v>0</v>
          </cell>
          <cell r="Y1505" t="str">
            <v>Conquistar</v>
          </cell>
        </row>
        <row r="1506">
          <cell r="A1506" t="str">
            <v>A497</v>
          </cell>
          <cell r="B1506" t="str">
            <v>A497 - FARMACIA DEL VALLE I 2020, C.A.</v>
          </cell>
          <cell r="C1506" t="str">
            <v>INDEPENDIENTE</v>
          </cell>
          <cell r="D1506">
            <v>1</v>
          </cell>
          <cell r="E1506"/>
          <cell r="F1506" t="str">
            <v>ESTE</v>
          </cell>
          <cell r="G1506" t="str">
            <v>ALEXMAR CASTILLO</v>
          </cell>
          <cell r="H1506"/>
          <cell r="I1506" t="str">
            <v>A1</v>
          </cell>
          <cell r="J1506" t="str">
            <v>Bloqueado</v>
          </cell>
          <cell r="K1506">
            <v>12886.238332556917</v>
          </cell>
          <cell r="L1506">
            <v>1610.7797915696146</v>
          </cell>
          <cell r="M1506">
            <v>403.27620000000002</v>
          </cell>
          <cell r="N1506" t="str">
            <v>Si Compra</v>
          </cell>
          <cell r="O1506">
            <v>8</v>
          </cell>
          <cell r="P1506">
            <v>16542.25835729398</v>
          </cell>
          <cell r="Q1506">
            <v>2067.7822946617475</v>
          </cell>
          <cell r="R1506">
            <v>0</v>
          </cell>
          <cell r="T1506"/>
          <cell r="U1506"/>
          <cell r="V1506">
            <v>0.77898906269197432</v>
          </cell>
          <cell r="W1506">
            <v>6.1505797980611752E-5</v>
          </cell>
          <cell r="X1506">
            <v>7</v>
          </cell>
          <cell r="Y1506" t="str">
            <v>Proteger</v>
          </cell>
        </row>
        <row r="1507">
          <cell r="A1507" t="str">
            <v>D362</v>
          </cell>
          <cell r="B1507" t="str">
            <v>D362 - FARMACIA SAMAN DE ARAIRA, C.A.</v>
          </cell>
          <cell r="C1507" t="str">
            <v>INDEPENDIENTE</v>
          </cell>
          <cell r="D1507">
            <v>3</v>
          </cell>
          <cell r="E1507"/>
          <cell r="F1507" t="str">
            <v>CARACAS</v>
          </cell>
          <cell r="G1507" t="str">
            <v>MAIRUBI QUIJADA</v>
          </cell>
          <cell r="H1507"/>
          <cell r="I1507" t="str">
            <v>C7</v>
          </cell>
          <cell r="J1507" t="str">
            <v>Activo</v>
          </cell>
          <cell r="K1507">
            <v>12842.91783086491</v>
          </cell>
          <cell r="L1507">
            <v>1284.291783086491</v>
          </cell>
          <cell r="M1507">
            <v>864.91147781835082</v>
          </cell>
          <cell r="N1507" t="str">
            <v>Si Compra</v>
          </cell>
          <cell r="O1507">
            <v>10</v>
          </cell>
          <cell r="P1507">
            <v>62644.26650971004</v>
          </cell>
          <cell r="Q1507">
            <v>6264.4266509710042</v>
          </cell>
          <cell r="R1507">
            <v>5919.7004776429503</v>
          </cell>
          <cell r="T1507"/>
          <cell r="U1507"/>
          <cell r="V1507">
            <v>0.20501346007258656</v>
          </cell>
          <cell r="W1507">
            <v>4.90392239659927E-5</v>
          </cell>
          <cell r="X1507">
            <v>10</v>
          </cell>
          <cell r="Y1507" t="str">
            <v>Conquistar</v>
          </cell>
        </row>
        <row r="1508">
          <cell r="A1508" t="str">
            <v>7570</v>
          </cell>
          <cell r="B1508" t="str">
            <v>LA ESPERANZA</v>
          </cell>
          <cell r="C1508" t="str">
            <v>GRUPO</v>
          </cell>
          <cell r="D1508">
            <v>6</v>
          </cell>
          <cell r="E1508"/>
          <cell r="F1508" t="str">
            <v>CENTRO ESTE</v>
          </cell>
          <cell r="H1508"/>
          <cell r="I1508"/>
          <cell r="J1508" t="str">
            <v>Activo</v>
          </cell>
          <cell r="K1508">
            <v>12834.229713920879</v>
          </cell>
          <cell r="L1508">
            <v>1283.4229713920879</v>
          </cell>
          <cell r="M1508">
            <v>1239.2178817741997</v>
          </cell>
          <cell r="N1508" t="str">
            <v>Si Compra</v>
          </cell>
          <cell r="O1508">
            <v>10</v>
          </cell>
          <cell r="P1508">
            <v>20157.657586683472</v>
          </cell>
          <cell r="Q1508">
            <v>2015.7657586683472</v>
          </cell>
          <cell r="R1508">
            <v>1483.4169621750777</v>
          </cell>
          <cell r="S1508"/>
          <cell r="T1508"/>
          <cell r="U1508"/>
          <cell r="V1508">
            <v>0.63669251542398519</v>
          </cell>
          <cell r="W1508">
            <v>4.9006049377610831E-5</v>
          </cell>
          <cell r="X1508">
            <v>10</v>
          </cell>
          <cell r="Y1508" t="str">
            <v>Proteger</v>
          </cell>
        </row>
        <row r="1509">
          <cell r="A1509" t="str">
            <v>S41</v>
          </cell>
          <cell r="B1509" t="str">
            <v>S41 - FARMACIA INTERNACIONAL C.A</v>
          </cell>
          <cell r="C1509" t="str">
            <v>INDEPENDIENTE</v>
          </cell>
          <cell r="D1509">
            <v>3</v>
          </cell>
          <cell r="F1509" t="str">
            <v>MARACAIBO</v>
          </cell>
          <cell r="G1509" t="str">
            <v>JOEL JIMENEZ</v>
          </cell>
          <cell r="H1509"/>
          <cell r="I1509" t="str">
            <v>S</v>
          </cell>
          <cell r="J1509" t="str">
            <v>Activo</v>
          </cell>
          <cell r="K1509">
            <v>12826.225440329079</v>
          </cell>
          <cell r="L1509">
            <v>1282.6225440329079</v>
          </cell>
          <cell r="M1509">
            <v>967.31366666666679</v>
          </cell>
          <cell r="N1509" t="str">
            <v>Si Compra</v>
          </cell>
          <cell r="O1509">
            <v>10</v>
          </cell>
          <cell r="P1509">
            <v>16799.79250954013</v>
          </cell>
          <cell r="Q1509">
            <v>1679.979250954013</v>
          </cell>
          <cell r="R1509">
            <v>1401.0430666666668</v>
          </cell>
          <cell r="V1509">
            <v>0.76347522941401957</v>
          </cell>
          <cell r="W1509">
            <v>4.8975485967447915E-5</v>
          </cell>
          <cell r="X1509">
            <v>10</v>
          </cell>
          <cell r="Y1509" t="str">
            <v>Proteger</v>
          </cell>
        </row>
        <row r="1510">
          <cell r="A1510" t="str">
            <v>D453</v>
          </cell>
          <cell r="B1510" t="str">
            <v>D453 - FARMACIA FLINT, C.A</v>
          </cell>
          <cell r="C1510" t="str">
            <v>INDEPENDIENTE</v>
          </cell>
          <cell r="D1510">
            <v>3</v>
          </cell>
          <cell r="E1510"/>
          <cell r="F1510" t="str">
            <v>ESTE</v>
          </cell>
          <cell r="G1510" t="str">
            <v>IRAIDA RODRIGUEZ</v>
          </cell>
          <cell r="H1510"/>
          <cell r="I1510" t="str">
            <v>AB</v>
          </cell>
          <cell r="J1510" t="str">
            <v>Inactivo</v>
          </cell>
          <cell r="K1510">
            <v>12811.670534942712</v>
          </cell>
          <cell r="L1510">
            <v>1281.1670534942712</v>
          </cell>
          <cell r="M1510">
            <v>491.44796666666662</v>
          </cell>
          <cell r="N1510" t="str">
            <v>Si Compra</v>
          </cell>
          <cell r="O1510">
            <v>10</v>
          </cell>
          <cell r="P1510">
            <v>93011.39767577163</v>
          </cell>
          <cell r="Q1510">
            <v>9301.1397675771623</v>
          </cell>
          <cell r="R1510">
            <v>15435.626799999998</v>
          </cell>
          <cell r="T1510"/>
          <cell r="U1510"/>
          <cell r="V1510">
            <v>0.13774301703972783</v>
          </cell>
          <cell r="W1510">
            <v>4.8919909713325155E-5</v>
          </cell>
          <cell r="X1510">
            <v>10</v>
          </cell>
          <cell r="Y1510" t="str">
            <v>Conquistar</v>
          </cell>
        </row>
        <row r="1511">
          <cell r="A1511" t="str">
            <v>B037</v>
          </cell>
          <cell r="B1511" t="str">
            <v>B037 - FARMACIAS MED-CLICK, C.A</v>
          </cell>
          <cell r="C1511" t="str">
            <v>INDEPENDIENTE</v>
          </cell>
          <cell r="D1511">
            <v>3</v>
          </cell>
          <cell r="E1511"/>
          <cell r="F1511" t="str">
            <v>CENTRO OESTE</v>
          </cell>
          <cell r="G1511" t="str">
            <v>YAMILEX LAMEDA</v>
          </cell>
          <cell r="H1511"/>
          <cell r="I1511" t="str">
            <v>Y1</v>
          </cell>
          <cell r="J1511" t="str">
            <v>Suspendido</v>
          </cell>
          <cell r="K1511">
            <v>12684.193425527148</v>
          </cell>
          <cell r="L1511">
            <v>1268.4193425527149</v>
          </cell>
          <cell r="M1511">
            <v>1568.8096474699607</v>
          </cell>
          <cell r="N1511" t="str">
            <v>Si Compra</v>
          </cell>
          <cell r="O1511">
            <v>10</v>
          </cell>
          <cell r="P1511">
            <v>47882.969552434595</v>
          </cell>
          <cell r="Q1511">
            <v>4788.2969552434597</v>
          </cell>
          <cell r="R1511">
            <v>2565.5990873310843</v>
          </cell>
          <cell r="T1511"/>
          <cell r="U1511"/>
          <cell r="V1511">
            <v>0.26489989121575325</v>
          </cell>
          <cell r="W1511">
            <v>4.8433152840666246E-5</v>
          </cell>
          <cell r="X1511">
            <v>10</v>
          </cell>
          <cell r="Y1511" t="str">
            <v>Potenciar</v>
          </cell>
        </row>
        <row r="1512">
          <cell r="A1512" t="str">
            <v>A810</v>
          </cell>
          <cell r="B1512" t="str">
            <v>A810 - FARMASERVICIOS PLUS CENTER, C.A.</v>
          </cell>
          <cell r="C1512" t="str">
            <v>INDEPENDIENTE</v>
          </cell>
          <cell r="D1512">
            <v>3</v>
          </cell>
          <cell r="E1512"/>
          <cell r="F1512" t="str">
            <v>CENTRO OESTE</v>
          </cell>
          <cell r="G1512" t="str">
            <v>LUIS PLACERES</v>
          </cell>
          <cell r="H1512"/>
          <cell r="I1512" t="str">
            <v>E</v>
          </cell>
          <cell r="J1512" t="str">
            <v>Activo</v>
          </cell>
          <cell r="K1512">
            <v>12681.378699999999</v>
          </cell>
          <cell r="L1512">
            <v>1268.13787</v>
          </cell>
          <cell r="M1512">
            <v>1020.5890000000001</v>
          </cell>
          <cell r="N1512" t="str">
            <v>Si Compra</v>
          </cell>
          <cell r="O1512">
            <v>10</v>
          </cell>
          <cell r="P1512">
            <v>31206.5452</v>
          </cell>
          <cell r="Q1512">
            <v>3120.65452</v>
          </cell>
          <cell r="R1512">
            <v>2639.3829333333338</v>
          </cell>
          <cell r="T1512"/>
          <cell r="U1512"/>
          <cell r="V1512">
            <v>0.40636919654919057</v>
          </cell>
          <cell r="W1512">
            <v>4.8422405130734087E-5</v>
          </cell>
          <cell r="X1512">
            <v>10</v>
          </cell>
          <cell r="Y1512" t="str">
            <v>Potenciar</v>
          </cell>
        </row>
        <row r="1513">
          <cell r="A1513" t="str">
            <v>A833</v>
          </cell>
          <cell r="B1513" t="str">
            <v>A833 - CITYFARMA, C.A.</v>
          </cell>
          <cell r="C1513" t="str">
            <v>INDEPENDIENTE</v>
          </cell>
          <cell r="D1513">
            <v>3</v>
          </cell>
          <cell r="E1513"/>
          <cell r="F1513" t="str">
            <v>CENTRO ESTE</v>
          </cell>
          <cell r="G1513" t="str">
            <v>WILLIBETTI GONZALEZ</v>
          </cell>
          <cell r="H1513" t="str">
            <v>HECTOR</v>
          </cell>
          <cell r="I1513" t="str">
            <v>AF</v>
          </cell>
          <cell r="J1513" t="str">
            <v>Activo</v>
          </cell>
          <cell r="K1513">
            <v>12660.442251735602</v>
          </cell>
          <cell r="L1513">
            <v>1406.7158057484003</v>
          </cell>
          <cell r="M1513">
            <v>1464.2309333333333</v>
          </cell>
          <cell r="N1513" t="str">
            <v>Si Compra</v>
          </cell>
          <cell r="O1513">
            <v>9</v>
          </cell>
          <cell r="P1513">
            <v>256505.12902626896</v>
          </cell>
          <cell r="Q1513">
            <v>28500.569891807663</v>
          </cell>
          <cell r="R1513">
            <v>18498.654966666665</v>
          </cell>
          <cell r="T1513"/>
          <cell r="U1513"/>
          <cell r="V1513">
            <v>4.9357462362629924E-2</v>
          </cell>
          <cell r="W1513">
            <v>5.3713846310540412E-5</v>
          </cell>
          <cell r="X1513">
            <v>9</v>
          </cell>
          <cell r="Y1513" t="str">
            <v>Conquistar</v>
          </cell>
        </row>
        <row r="1514">
          <cell r="A1514" t="str">
            <v>G13</v>
          </cell>
          <cell r="B1514" t="str">
            <v>G13 - FARMACIA RAFAEL RANGEL, C.A</v>
          </cell>
          <cell r="C1514" t="str">
            <v>INDEPENDIENTE</v>
          </cell>
          <cell r="D1514">
            <v>3</v>
          </cell>
          <cell r="F1514" t="str">
            <v>ANDES</v>
          </cell>
          <cell r="G1514" t="str">
            <v>RAYNE ANDREINA NAVA</v>
          </cell>
          <cell r="H1514"/>
          <cell r="I1514" t="str">
            <v>G1</v>
          </cell>
          <cell r="J1514" t="str">
            <v>Inactivo</v>
          </cell>
          <cell r="K1514">
            <v>12642.461202893091</v>
          </cell>
          <cell r="L1514">
            <v>1264.2461202893091</v>
          </cell>
          <cell r="M1514">
            <v>1170.4254640517756</v>
          </cell>
          <cell r="N1514" t="str">
            <v>Si Compra</v>
          </cell>
          <cell r="O1514">
            <v>10</v>
          </cell>
          <cell r="P1514">
            <v>16152.742042861501</v>
          </cell>
          <cell r="Q1514">
            <v>1615.2742042861501</v>
          </cell>
          <cell r="R1514">
            <v>1081.9983655489507</v>
          </cell>
          <cell r="V1514">
            <v>0.78268204675999686</v>
          </cell>
          <cell r="W1514">
            <v>4.827380308547028E-5</v>
          </cell>
          <cell r="X1514">
            <v>10</v>
          </cell>
          <cell r="Y1514" t="str">
            <v>Proteger</v>
          </cell>
        </row>
        <row r="1515">
          <cell r="A1515" t="str">
            <v>8161</v>
          </cell>
          <cell r="B1515" t="str">
            <v>LA VILLA DE LOS NIÑOS</v>
          </cell>
          <cell r="C1515" t="str">
            <v>CADENA</v>
          </cell>
          <cell r="D1515">
            <v>2</v>
          </cell>
          <cell r="E1515"/>
          <cell r="F1515" t="str">
            <v>ANDES</v>
          </cell>
          <cell r="H1515"/>
          <cell r="I1515"/>
          <cell r="J1515" t="str">
            <v>Activo</v>
          </cell>
          <cell r="K1515">
            <v>12561.586956460729</v>
          </cell>
          <cell r="L1515">
            <v>1794.5124223515327</v>
          </cell>
          <cell r="M1515">
            <v>1744.3046821993389</v>
          </cell>
          <cell r="N1515" t="str">
            <v>Si Compra</v>
          </cell>
          <cell r="O1515">
            <v>7</v>
          </cell>
          <cell r="P1515">
            <v>32831.845771719731</v>
          </cell>
          <cell r="Q1515">
            <v>4690.263681674247</v>
          </cell>
          <cell r="R1515">
            <v>603.13177171974098</v>
          </cell>
          <cell r="S1515"/>
          <cell r="T1515"/>
          <cell r="U1515"/>
          <cell r="V1515">
            <v>0.38260373918059964</v>
          </cell>
          <cell r="W1515">
            <v>6.8521419936178486E-5</v>
          </cell>
          <cell r="X1515">
            <v>7</v>
          </cell>
          <cell r="Y1515" t="str">
            <v>Potenciar</v>
          </cell>
        </row>
        <row r="1516">
          <cell r="A1516" t="str">
            <v>E332</v>
          </cell>
          <cell r="B1516" t="str">
            <v>E332 - GRUPO NIX 2019, C.A</v>
          </cell>
          <cell r="C1516" t="e">
            <v>#N/A</v>
          </cell>
          <cell r="D1516">
            <v>3</v>
          </cell>
          <cell r="F1516" t="str">
            <v>CARACAS</v>
          </cell>
          <cell r="G1516">
            <v>0</v>
          </cell>
          <cell r="H1516"/>
          <cell r="I1516" t="str">
            <v>CF</v>
          </cell>
          <cell r="J1516" t="str">
            <v>Activo</v>
          </cell>
          <cell r="K1516">
            <v>12525.820487862691</v>
          </cell>
          <cell r="L1516">
            <v>2087.6367479771152</v>
          </cell>
          <cell r="M1516">
            <v>1687.1411333333333</v>
          </cell>
          <cell r="N1516" t="str">
            <v>Si Compra</v>
          </cell>
          <cell r="O1516">
            <v>6</v>
          </cell>
          <cell r="P1516">
            <v>0</v>
          </cell>
          <cell r="Q1516">
            <v>0</v>
          </cell>
          <cell r="R1516">
            <v>0</v>
          </cell>
          <cell r="V1516">
            <v>0</v>
          </cell>
          <cell r="W1516">
            <v>7.9714039591259974E-5</v>
          </cell>
          <cell r="X1516">
            <v>0</v>
          </cell>
          <cell r="Y1516" t="str">
            <v>Conquistar</v>
          </cell>
        </row>
        <row r="1517">
          <cell r="A1517" t="str">
            <v>7659</v>
          </cell>
          <cell r="B1517" t="str">
            <v>7659 - EXPENDIO DE MEDICINAS SANTA FE, C.A</v>
          </cell>
          <cell r="C1517" t="str">
            <v>INDEPENDIENTE</v>
          </cell>
          <cell r="D1517">
            <v>3</v>
          </cell>
          <cell r="E1517"/>
          <cell r="F1517" t="str">
            <v>CENTRO OESTE</v>
          </cell>
          <cell r="G1517">
            <v>0</v>
          </cell>
          <cell r="H1517"/>
          <cell r="I1517" t="str">
            <v>Y1</v>
          </cell>
          <cell r="J1517" t="str">
            <v>Activo</v>
          </cell>
          <cell r="K1517">
            <v>12508.005100000002</v>
          </cell>
          <cell r="L1517">
            <v>1250.8005100000003</v>
          </cell>
          <cell r="M1517">
            <v>935.81680000000006</v>
          </cell>
          <cell r="N1517" t="str">
            <v>Si Compra</v>
          </cell>
          <cell r="O1517">
            <v>10</v>
          </cell>
          <cell r="P1517">
            <v>0</v>
          </cell>
          <cell r="Q1517">
            <v>0</v>
          </cell>
          <cell r="R1517">
            <v>0</v>
          </cell>
          <cell r="T1517"/>
          <cell r="U1517"/>
          <cell r="V1517">
            <v>0</v>
          </cell>
          <cell r="W1517">
            <v>4.7760397718387531E-5</v>
          </cell>
          <cell r="X1517">
            <v>0</v>
          </cell>
          <cell r="Y1517" t="str">
            <v>Conquistar</v>
          </cell>
        </row>
        <row r="1518">
          <cell r="A1518" t="str">
            <v>0116</v>
          </cell>
          <cell r="B1518" t="str">
            <v>0116 - FARMACIA 1A , C.A</v>
          </cell>
          <cell r="C1518" t="str">
            <v>INDEPENDIENTE</v>
          </cell>
          <cell r="D1518">
            <v>3</v>
          </cell>
          <cell r="E1518"/>
          <cell r="F1518" t="str">
            <v>ESTE</v>
          </cell>
          <cell r="G1518" t="str">
            <v>ADOLFO GONZALEZ</v>
          </cell>
          <cell r="H1518"/>
          <cell r="I1518" t="str">
            <v>A8</v>
          </cell>
          <cell r="J1518" t="str">
            <v>Inactivo</v>
          </cell>
          <cell r="K1518">
            <v>12488.457363102752</v>
          </cell>
          <cell r="L1518">
            <v>1561.0571703878441</v>
          </cell>
          <cell r="M1518">
            <v>1191.2293015461289</v>
          </cell>
          <cell r="N1518" t="str">
            <v>Si Compra</v>
          </cell>
          <cell r="O1518">
            <v>8</v>
          </cell>
          <cell r="P1518">
            <v>53120.728846995014</v>
          </cell>
          <cell r="Q1518">
            <v>6640.0911058743768</v>
          </cell>
          <cell r="R1518">
            <v>8459.823907704209</v>
          </cell>
          <cell r="T1518"/>
          <cell r="U1518"/>
          <cell r="V1518">
            <v>0.23509574575065739</v>
          </cell>
          <cell r="W1518">
            <v>5.9607196129832143E-5</v>
          </cell>
          <cell r="X1518">
            <v>8</v>
          </cell>
          <cell r="Y1518" t="str">
            <v>Potenciar</v>
          </cell>
        </row>
        <row r="1519">
          <cell r="A1519" t="str">
            <v>C268</v>
          </cell>
          <cell r="B1519" t="str">
            <v>C268 - FARMACIA EL LITORAL,C.A.</v>
          </cell>
          <cell r="C1519" t="str">
            <v>INDEPENDIENTE</v>
          </cell>
          <cell r="D1519">
            <v>3</v>
          </cell>
          <cell r="E1519"/>
          <cell r="F1519" t="str">
            <v>CARACAS</v>
          </cell>
          <cell r="G1519" t="str">
            <v>MAIRE ACOSTA FERNANDEZ</v>
          </cell>
          <cell r="H1519"/>
          <cell r="I1519" t="str">
            <v>C9</v>
          </cell>
          <cell r="J1519" t="str">
            <v>Activo</v>
          </cell>
          <cell r="K1519">
            <v>12455.802029403625</v>
          </cell>
          <cell r="L1519">
            <v>1245.5802029403626</v>
          </cell>
          <cell r="M1519">
            <v>1089.7386666666669</v>
          </cell>
          <cell r="N1519" t="str">
            <v>Si Compra</v>
          </cell>
          <cell r="O1519">
            <v>10</v>
          </cell>
          <cell r="P1519">
            <v>10748.666790293923</v>
          </cell>
          <cell r="Q1519">
            <v>1074.8666790293923</v>
          </cell>
          <cell r="R1519">
            <v>826.32920000000001</v>
          </cell>
          <cell r="T1519"/>
          <cell r="U1519"/>
          <cell r="V1519">
            <v>1.1588229752038877</v>
          </cell>
          <cell r="W1519">
            <v>4.7561066218770221E-5</v>
          </cell>
          <cell r="X1519">
            <v>10</v>
          </cell>
          <cell r="Y1519" t="str">
            <v>Proteger</v>
          </cell>
        </row>
        <row r="1520">
          <cell r="A1520" t="str">
            <v>D526</v>
          </cell>
          <cell r="B1520" t="str">
            <v>D526 - HIPERMERCADO ASIA ORIENTAL C.A.</v>
          </cell>
          <cell r="C1520" t="str">
            <v>INDEPENDIENTE</v>
          </cell>
          <cell r="D1520">
            <v>3</v>
          </cell>
          <cell r="E1520"/>
          <cell r="F1520" t="str">
            <v>ESTE</v>
          </cell>
          <cell r="G1520">
            <v>0</v>
          </cell>
          <cell r="H1520"/>
          <cell r="I1520" t="str">
            <v>AB</v>
          </cell>
          <cell r="J1520" t="str">
            <v>Inactivo</v>
          </cell>
          <cell r="K1520">
            <v>12376.781012312154</v>
          </cell>
          <cell r="L1520">
            <v>1237.6781012312154</v>
          </cell>
          <cell r="M1520">
            <v>1249.1918923993785</v>
          </cell>
          <cell r="N1520" t="str">
            <v>Si Compra</v>
          </cell>
          <cell r="O1520">
            <v>10</v>
          </cell>
          <cell r="P1520">
            <v>0</v>
          </cell>
          <cell r="Q1520">
            <v>0</v>
          </cell>
          <cell r="R1520">
            <v>0</v>
          </cell>
          <cell r="T1520"/>
          <cell r="U1520"/>
          <cell r="V1520">
            <v>0</v>
          </cell>
          <cell r="W1520">
            <v>4.7259333434507106E-5</v>
          </cell>
          <cell r="X1520">
            <v>0</v>
          </cell>
          <cell r="Y1520" t="str">
            <v>Conquistar</v>
          </cell>
        </row>
        <row r="1521">
          <cell r="A1521">
            <v>0</v>
          </cell>
          <cell r="B1521" t="str">
            <v>S360 - FARMACIA ROVID C.A.</v>
          </cell>
          <cell r="C1521" t="e">
            <v>#N/A</v>
          </cell>
          <cell r="D1521">
            <v>0</v>
          </cell>
          <cell r="E1521"/>
          <cell r="F1521" t="str">
            <v>ESTE</v>
          </cell>
          <cell r="G1521" t="str">
            <v>CARLOS BLONDELL</v>
          </cell>
          <cell r="H1521"/>
          <cell r="I1521" t="str">
            <v>A3</v>
          </cell>
          <cell r="J1521" t="str">
            <v>Activo</v>
          </cell>
          <cell r="K1521">
            <v>12347.5815</v>
          </cell>
          <cell r="L1521">
            <v>1234.7581500000001</v>
          </cell>
          <cell r="M1521">
            <v>1087.1984666666667</v>
          </cell>
          <cell r="N1521" t="str">
            <v>Si Compra</v>
          </cell>
          <cell r="O1521">
            <v>10</v>
          </cell>
          <cell r="P1521">
            <v>266478.66580000002</v>
          </cell>
          <cell r="Q1521">
            <v>26647.866580000002</v>
          </cell>
          <cell r="R1521">
            <v>26014.670833333334</v>
          </cell>
          <cell r="T1521"/>
          <cell r="U1521"/>
          <cell r="V1521">
            <v>4.633609772448808E-2</v>
          </cell>
          <cell r="W1521">
            <v>4.7147838411115139E-5</v>
          </cell>
          <cell r="X1521">
            <v>10</v>
          </cell>
          <cell r="Y1521" t="str">
            <v>Conquistar</v>
          </cell>
        </row>
        <row r="1522">
          <cell r="A1522" t="str">
            <v>B228</v>
          </cell>
          <cell r="B1522" t="str">
            <v>SAN LUCAS</v>
          </cell>
          <cell r="C1522" t="str">
            <v>GRUPO</v>
          </cell>
          <cell r="D1522">
            <v>5</v>
          </cell>
          <cell r="E1522"/>
          <cell r="F1522" t="str">
            <v>ANDES</v>
          </cell>
          <cell r="H1522"/>
          <cell r="I1522"/>
          <cell r="J1522" t="str">
            <v>Inactivo</v>
          </cell>
          <cell r="K1522">
            <v>12326.4357</v>
          </cell>
          <cell r="L1522">
            <v>1760.9193857142857</v>
          </cell>
          <cell r="M1522">
            <v>1103.7836500000001</v>
          </cell>
          <cell r="N1522" t="str">
            <v>Si Compra</v>
          </cell>
          <cell r="O1522">
            <v>7</v>
          </cell>
          <cell r="P1522">
            <v>107963.2671</v>
          </cell>
          <cell r="Q1522">
            <v>15423.323871428571</v>
          </cell>
          <cell r="R1522">
            <v>20303.70635</v>
          </cell>
          <cell r="S1522"/>
          <cell r="T1522"/>
          <cell r="U1522"/>
          <cell r="V1522">
            <v>0.11417249617485872</v>
          </cell>
          <cell r="W1522">
            <v>6.7238707962897245E-5</v>
          </cell>
          <cell r="X1522">
            <v>7</v>
          </cell>
          <cell r="Y1522" t="str">
            <v>Conquistar</v>
          </cell>
        </row>
        <row r="1523">
          <cell r="A1523" t="str">
            <v>C678</v>
          </cell>
          <cell r="B1523" t="str">
            <v>C678 - FARMACIA ECOVIDA, C.A</v>
          </cell>
          <cell r="C1523" t="str">
            <v>INDEPENDIENTE</v>
          </cell>
          <cell r="D1523">
            <v>3</v>
          </cell>
          <cell r="E1523"/>
          <cell r="F1523" t="str">
            <v>CENTRO OESTE</v>
          </cell>
          <cell r="G1523" t="str">
            <v>DIEGO TORI</v>
          </cell>
          <cell r="H1523"/>
          <cell r="I1523" t="str">
            <v>A</v>
          </cell>
          <cell r="J1523" t="str">
            <v>Activo</v>
          </cell>
          <cell r="K1523">
            <v>12306.338621620225</v>
          </cell>
          <cell r="L1523">
            <v>1230.6338621620225</v>
          </cell>
          <cell r="M1523">
            <v>999.8152</v>
          </cell>
          <cell r="N1523" t="str">
            <v>Si Compra</v>
          </cell>
          <cell r="O1523">
            <v>10</v>
          </cell>
          <cell r="P1523">
            <v>36739.216789248312</v>
          </cell>
          <cell r="Q1523">
            <v>3673.9216789248312</v>
          </cell>
          <cell r="R1523">
            <v>2632.5980000000004</v>
          </cell>
          <cell r="T1523"/>
          <cell r="U1523"/>
          <cell r="V1523">
            <v>0.33496464261104392</v>
          </cell>
          <cell r="W1523">
            <v>4.6990357161409764E-5</v>
          </cell>
          <cell r="X1523">
            <v>10</v>
          </cell>
          <cell r="Y1523" t="str">
            <v>Potenciar</v>
          </cell>
        </row>
        <row r="1524">
          <cell r="A1524" t="str">
            <v>0198</v>
          </cell>
          <cell r="B1524" t="str">
            <v>0198 - EXPENDIO DE MEDICINAS NUESTRA SEÑORA DEL SOCORRO F.P</v>
          </cell>
          <cell r="C1524" t="e">
            <v>#N/A</v>
          </cell>
          <cell r="D1524">
            <v>3</v>
          </cell>
          <cell r="E1524"/>
          <cell r="F1524" t="str">
            <v>ANDES</v>
          </cell>
          <cell r="G1524">
            <v>0</v>
          </cell>
          <cell r="H1524"/>
          <cell r="I1524" t="str">
            <v>G1</v>
          </cell>
          <cell r="J1524" t="str">
            <v>Activo</v>
          </cell>
          <cell r="K1524">
            <v>12300.429314398809</v>
          </cell>
          <cell r="L1524">
            <v>3075.1073285997022</v>
          </cell>
          <cell r="M1524">
            <v>3380.8937047996028</v>
          </cell>
          <cell r="N1524" t="str">
            <v>Si Compra</v>
          </cell>
          <cell r="O1524">
            <v>4</v>
          </cell>
          <cell r="P1524">
            <v>0</v>
          </cell>
          <cell r="Q1524">
            <v>0</v>
          </cell>
          <cell r="R1524">
            <v>0</v>
          </cell>
          <cell r="T1524"/>
          <cell r="U1524"/>
          <cell r="V1524">
            <v>0</v>
          </cell>
          <cell r="W1524">
            <v>1.1741948285634292E-4</v>
          </cell>
          <cell r="X1524">
            <v>0</v>
          </cell>
          <cell r="Y1524" t="str">
            <v>Conquistar</v>
          </cell>
        </row>
        <row r="1525">
          <cell r="A1525" t="str">
            <v>E053</v>
          </cell>
          <cell r="B1525" t="str">
            <v>E053 - GRAN FARMAVERDE C.A.</v>
          </cell>
          <cell r="C1525" t="str">
            <v>INDEPENDIENTE</v>
          </cell>
          <cell r="D1525">
            <v>1</v>
          </cell>
          <cell r="F1525" t="str">
            <v>ESTE</v>
          </cell>
          <cell r="G1525">
            <v>0</v>
          </cell>
          <cell r="H1525"/>
          <cell r="I1525" t="str">
            <v>A8</v>
          </cell>
          <cell r="J1525" t="str">
            <v>Inactivo</v>
          </cell>
          <cell r="K1525">
            <v>12285.704616009825</v>
          </cell>
          <cell r="L1525">
            <v>1755.1006594299749</v>
          </cell>
          <cell r="M1525">
            <v>1731.7375</v>
          </cell>
          <cell r="N1525" t="str">
            <v>Si Compra</v>
          </cell>
          <cell r="O1525">
            <v>7</v>
          </cell>
          <cell r="P1525">
            <v>0</v>
          </cell>
          <cell r="Q1525">
            <v>0</v>
          </cell>
          <cell r="R1525">
            <v>0</v>
          </cell>
          <cell r="V1525">
            <v>0</v>
          </cell>
          <cell r="W1525">
            <v>6.7016526504438202E-5</v>
          </cell>
          <cell r="X1525">
            <v>0</v>
          </cell>
          <cell r="Y1525" t="str">
            <v>Conquistar</v>
          </cell>
        </row>
        <row r="1526">
          <cell r="A1526" t="str">
            <v>E563</v>
          </cell>
          <cell r="B1526" t="str">
            <v>E563 - FARMACIA CARAYACA, C.A.</v>
          </cell>
          <cell r="C1526" t="e">
            <v>#N/A</v>
          </cell>
          <cell r="D1526">
            <v>3</v>
          </cell>
          <cell r="F1526" t="str">
            <v>CARACAS</v>
          </cell>
          <cell r="G1526">
            <v>0</v>
          </cell>
          <cell r="H1526"/>
          <cell r="I1526" t="str">
            <v>C9</v>
          </cell>
          <cell r="J1526" t="str">
            <v>Activo</v>
          </cell>
          <cell r="K1526">
            <v>12236.377231543964</v>
          </cell>
          <cell r="L1526">
            <v>4078.7924105146544</v>
          </cell>
          <cell r="M1526">
            <v>4078.7924105146544</v>
          </cell>
          <cell r="N1526" t="str">
            <v>Si Compra</v>
          </cell>
          <cell r="O1526">
            <v>3</v>
          </cell>
          <cell r="P1526">
            <v>0</v>
          </cell>
          <cell r="Q1526">
            <v>0</v>
          </cell>
          <cell r="R1526">
            <v>0</v>
          </cell>
          <cell r="V1526">
            <v>0</v>
          </cell>
          <cell r="W1526">
            <v>1.5574405844855343E-4</v>
          </cell>
          <cell r="X1526">
            <v>0</v>
          </cell>
          <cell r="Y1526" t="str">
            <v>Conquistar</v>
          </cell>
        </row>
        <row r="1527">
          <cell r="A1527" t="str">
            <v>E537</v>
          </cell>
          <cell r="B1527" t="str">
            <v>E537 - FARMACIA NAZARENO SANTA ANA FARMAFITAS C.A</v>
          </cell>
          <cell r="C1527" t="e">
            <v>#N/A</v>
          </cell>
          <cell r="D1527">
            <v>2</v>
          </cell>
          <cell r="F1527" t="str">
            <v>ANDES</v>
          </cell>
          <cell r="G1527">
            <v>0</v>
          </cell>
          <cell r="H1527"/>
          <cell r="I1527" t="str">
            <v>4</v>
          </cell>
          <cell r="J1527" t="str">
            <v>Activo</v>
          </cell>
          <cell r="K1527">
            <v>12213.338099999999</v>
          </cell>
          <cell r="L1527">
            <v>4071.1126999999997</v>
          </cell>
          <cell r="M1527">
            <v>5129.8178499999995</v>
          </cell>
          <cell r="N1527" t="str">
            <v>Si Compra</v>
          </cell>
          <cell r="O1527">
            <v>3</v>
          </cell>
          <cell r="P1527">
            <v>0</v>
          </cell>
          <cell r="Q1527">
            <v>0</v>
          </cell>
          <cell r="R1527">
            <v>0</v>
          </cell>
          <cell r="V1527">
            <v>0</v>
          </cell>
          <cell r="W1527">
            <v>1.5545081741962069E-4</v>
          </cell>
          <cell r="X1527">
            <v>0</v>
          </cell>
          <cell r="Y1527" t="str">
            <v>Conquistar</v>
          </cell>
        </row>
        <row r="1528">
          <cell r="A1528" t="str">
            <v>Z54</v>
          </cell>
          <cell r="B1528" t="str">
            <v>Z54 - FARMACIA CORO S.A</v>
          </cell>
          <cell r="C1528" t="str">
            <v>INDEPENDIENTE</v>
          </cell>
          <cell r="D1528">
            <v>2</v>
          </cell>
          <cell r="F1528" t="str">
            <v>MARACAIBO</v>
          </cell>
          <cell r="G1528" t="str">
            <v>MARIA FUSELLA</v>
          </cell>
          <cell r="H1528"/>
          <cell r="I1528" t="str">
            <v>BZ</v>
          </cell>
          <cell r="J1528" t="str">
            <v>Activo</v>
          </cell>
          <cell r="K1528">
            <v>12204.26586252768</v>
          </cell>
          <cell r="L1528">
            <v>1525.53323281596</v>
          </cell>
          <cell r="M1528">
            <v>1055.5871999999999</v>
          </cell>
          <cell r="N1528" t="str">
            <v>Si Compra</v>
          </cell>
          <cell r="O1528">
            <v>8</v>
          </cell>
          <cell r="P1528">
            <v>15235.274024826398</v>
          </cell>
          <cell r="Q1528">
            <v>1904.4092531032998</v>
          </cell>
          <cell r="R1528">
            <v>1500.50035</v>
          </cell>
          <cell r="V1528">
            <v>0.80105325592702914</v>
          </cell>
          <cell r="W1528">
            <v>5.8250754896084682E-5</v>
          </cell>
          <cell r="X1528">
            <v>8</v>
          </cell>
          <cell r="Y1528" t="str">
            <v>Proteger</v>
          </cell>
        </row>
        <row r="1529">
          <cell r="A1529" t="str">
            <v>E172</v>
          </cell>
          <cell r="B1529" t="str">
            <v>E172 - FARMA INSUMED, C.A</v>
          </cell>
          <cell r="C1529" t="str">
            <v>INDEPENDIENTE</v>
          </cell>
          <cell r="D1529">
            <v>3</v>
          </cell>
          <cell r="F1529" t="str">
            <v>CENTRO ESTE</v>
          </cell>
          <cell r="G1529">
            <v>0</v>
          </cell>
          <cell r="H1529"/>
          <cell r="I1529" t="str">
            <v>H</v>
          </cell>
          <cell r="J1529" t="str">
            <v>Activo</v>
          </cell>
          <cell r="K1529">
            <v>12183.048699999999</v>
          </cell>
          <cell r="L1529">
            <v>1522.8810874999999</v>
          </cell>
          <cell r="M1529">
            <v>763.23970000000008</v>
          </cell>
          <cell r="N1529" t="str">
            <v>Si Compra</v>
          </cell>
          <cell r="O1529">
            <v>8</v>
          </cell>
          <cell r="P1529">
            <v>0</v>
          </cell>
          <cell r="Q1529">
            <v>0</v>
          </cell>
          <cell r="R1529">
            <v>0</v>
          </cell>
          <cell r="V1529">
            <v>0</v>
          </cell>
          <cell r="W1529">
            <v>5.8149485737586169E-5</v>
          </cell>
          <cell r="X1529">
            <v>0</v>
          </cell>
          <cell r="Y1529" t="str">
            <v>Conquistar</v>
          </cell>
        </row>
        <row r="1530">
          <cell r="A1530" t="str">
            <v>6714</v>
          </cell>
          <cell r="B1530" t="str">
            <v>6714 - FARMACIA DON BOSCO PIRINEOS, C.A</v>
          </cell>
          <cell r="C1530" t="str">
            <v>INDEPENDIENTE</v>
          </cell>
          <cell r="D1530">
            <v>3</v>
          </cell>
          <cell r="E1530"/>
          <cell r="F1530" t="str">
            <v>ANDES</v>
          </cell>
          <cell r="G1530" t="str">
            <v>MARIA GABRIELA FORTUL</v>
          </cell>
          <cell r="H1530"/>
          <cell r="I1530" t="str">
            <v xml:space="preserve">3 </v>
          </cell>
          <cell r="J1530" t="str">
            <v>Activo</v>
          </cell>
          <cell r="K1530">
            <v>12142.448051451687</v>
          </cell>
          <cell r="L1530">
            <v>1214.2448051451688</v>
          </cell>
          <cell r="M1530">
            <v>1374.2665666666664</v>
          </cell>
          <cell r="N1530" t="str">
            <v>Si Compra</v>
          </cell>
          <cell r="O1530">
            <v>10</v>
          </cell>
          <cell r="P1530">
            <v>122562.28088707927</v>
          </cell>
          <cell r="Q1530">
            <v>12256.228088707927</v>
          </cell>
          <cell r="R1530">
            <v>14359.647600000002</v>
          </cell>
          <cell r="T1530"/>
          <cell r="U1530"/>
          <cell r="V1530">
            <v>9.9071655354055724E-2</v>
          </cell>
          <cell r="W1530">
            <v>4.6364559622076922E-5</v>
          </cell>
          <cell r="X1530">
            <v>10</v>
          </cell>
          <cell r="Y1530" t="str">
            <v>Conquistar</v>
          </cell>
        </row>
        <row r="1531">
          <cell r="A1531" t="str">
            <v>C746</v>
          </cell>
          <cell r="B1531" t="str">
            <v>C746 - FARMACIA MI FE 2023, C.A.</v>
          </cell>
          <cell r="C1531" t="str">
            <v>INDEPENDIENTE</v>
          </cell>
          <cell r="D1531">
            <v>3</v>
          </cell>
          <cell r="E1531"/>
          <cell r="F1531" t="str">
            <v>CENTRO OESTE</v>
          </cell>
          <cell r="G1531" t="str">
            <v>DIEGO TORI</v>
          </cell>
          <cell r="H1531"/>
          <cell r="I1531" t="str">
            <v xml:space="preserve">A </v>
          </cell>
          <cell r="J1531" t="str">
            <v>Permiso</v>
          </cell>
          <cell r="K1531">
            <v>12097.658397061548</v>
          </cell>
          <cell r="L1531">
            <v>1209.7658397061548</v>
          </cell>
          <cell r="M1531">
            <v>1120.8480323538495</v>
          </cell>
          <cell r="N1531" t="str">
            <v>Si Compra</v>
          </cell>
          <cell r="O1531">
            <v>10</v>
          </cell>
          <cell r="P1531">
            <v>59470.066344326056</v>
          </cell>
          <cell r="Q1531">
            <v>5947.006634432606</v>
          </cell>
          <cell r="R1531">
            <v>6096.0580481086845</v>
          </cell>
          <cell r="T1531"/>
          <cell r="U1531"/>
          <cell r="V1531">
            <v>0.20342432993125062</v>
          </cell>
          <cell r="W1531">
            <v>4.6193535410762665E-5</v>
          </cell>
          <cell r="X1531">
            <v>10</v>
          </cell>
          <cell r="Y1531" t="str">
            <v>Conquistar</v>
          </cell>
        </row>
        <row r="1532">
          <cell r="A1532" t="str">
            <v>C978</v>
          </cell>
          <cell r="B1532" t="str">
            <v>EXPRESS MYB</v>
          </cell>
          <cell r="C1532" t="str">
            <v>CADENA</v>
          </cell>
          <cell r="D1532">
            <v>5</v>
          </cell>
          <cell r="E1532"/>
          <cell r="F1532" t="str">
            <v>ANDES</v>
          </cell>
          <cell r="H1532"/>
          <cell r="I1532"/>
          <cell r="J1532" t="str">
            <v>Activo</v>
          </cell>
          <cell r="K1532">
            <v>12027.937333492158</v>
          </cell>
          <cell r="L1532">
            <v>1503.4921666865198</v>
          </cell>
          <cell r="M1532">
            <v>2007.4049111640525</v>
          </cell>
          <cell r="N1532" t="str">
            <v>Si Compra</v>
          </cell>
          <cell r="O1532">
            <v>8</v>
          </cell>
          <cell r="P1532">
            <v>150127.45713520912</v>
          </cell>
          <cell r="Q1532">
            <v>18765.932141901139</v>
          </cell>
          <cell r="R1532">
            <v>12745.74631173638</v>
          </cell>
          <cell r="S1532"/>
          <cell r="T1532"/>
          <cell r="U1532"/>
          <cell r="V1532">
            <v>8.0118171339300381E-2</v>
          </cell>
          <cell r="W1532">
            <v>5.740914180425812E-5</v>
          </cell>
          <cell r="X1532">
            <v>8</v>
          </cell>
          <cell r="Y1532" t="str">
            <v>Conquistar</v>
          </cell>
        </row>
        <row r="1533">
          <cell r="A1533" t="str">
            <v>A29</v>
          </cell>
          <cell r="B1533" t="str">
            <v>A29 - FARMACIA NUEVA ESPARTA, C.A.</v>
          </cell>
          <cell r="C1533" t="str">
            <v>INDEPENDIENTE</v>
          </cell>
          <cell r="D1533">
            <v>3</v>
          </cell>
          <cell r="E1533"/>
          <cell r="F1533" t="str">
            <v>ESTE</v>
          </cell>
          <cell r="G1533" t="str">
            <v>CARMEN ALCALA</v>
          </cell>
          <cell r="H1533" t="str">
            <v>HECTOR</v>
          </cell>
          <cell r="I1533" t="str">
            <v>A0</v>
          </cell>
          <cell r="J1533" t="str">
            <v>Activo</v>
          </cell>
          <cell r="K1533">
            <v>12014.715112945869</v>
          </cell>
          <cell r="L1533">
            <v>1201.4715112945869</v>
          </cell>
          <cell r="M1533">
            <v>1016.889650941814</v>
          </cell>
          <cell r="N1533" t="str">
            <v>Si Compra</v>
          </cell>
          <cell r="O1533">
            <v>10</v>
          </cell>
          <cell r="P1533">
            <v>31900.428281834473</v>
          </cell>
          <cell r="Q1533">
            <v>3190.0428281834475</v>
          </cell>
          <cell r="R1533">
            <v>2518.6889844212042</v>
          </cell>
          <cell r="T1533"/>
          <cell r="U1533"/>
          <cell r="V1533">
            <v>0.37663178082745624</v>
          </cell>
          <cell r="W1533">
            <v>4.5876825895075466E-5</v>
          </cell>
          <cell r="X1533">
            <v>10</v>
          </cell>
          <cell r="Y1533" t="str">
            <v>Potenciar</v>
          </cell>
        </row>
        <row r="1534">
          <cell r="A1534" t="str">
            <v>A776</v>
          </cell>
          <cell r="B1534" t="str">
            <v>A776 - FARMACIA GRUPO SAN JOSE 21, C.A.</v>
          </cell>
          <cell r="C1534" t="str">
            <v>INDEPENDIENTE</v>
          </cell>
          <cell r="D1534">
            <v>3</v>
          </cell>
          <cell r="E1534"/>
          <cell r="F1534" t="str">
            <v>CENTRO ESTE</v>
          </cell>
          <cell r="G1534">
            <v>0</v>
          </cell>
          <cell r="H1534"/>
          <cell r="I1534" t="str">
            <v>O</v>
          </cell>
          <cell r="J1534" t="str">
            <v>Activo</v>
          </cell>
          <cell r="K1534">
            <v>11993.219931812708</v>
          </cell>
          <cell r="L1534">
            <v>1713.3171331161011</v>
          </cell>
          <cell r="M1534">
            <v>2941.2456196914391</v>
          </cell>
          <cell r="N1534" t="str">
            <v>Si Compra</v>
          </cell>
          <cell r="O1534">
            <v>7</v>
          </cell>
          <cell r="P1534">
            <v>0</v>
          </cell>
          <cell r="Q1534">
            <v>0</v>
          </cell>
          <cell r="R1534">
            <v>0</v>
          </cell>
          <cell r="T1534"/>
          <cell r="U1534"/>
          <cell r="V1534">
            <v>0</v>
          </cell>
          <cell r="W1534">
            <v>6.5421069979698437E-5</v>
          </cell>
          <cell r="X1534">
            <v>0</v>
          </cell>
          <cell r="Y1534" t="str">
            <v>Conquistar</v>
          </cell>
        </row>
        <row r="1535">
          <cell r="A1535" t="str">
            <v>Z118</v>
          </cell>
          <cell r="B1535" t="str">
            <v>Z118 - FARMA FAMILIA,C.A.</v>
          </cell>
          <cell r="C1535" t="str">
            <v>INDEPENDIENTE</v>
          </cell>
          <cell r="D1535">
            <v>3</v>
          </cell>
          <cell r="F1535" t="str">
            <v>MARACAIBO</v>
          </cell>
          <cell r="G1535" t="str">
            <v>MARIA FUSELLA</v>
          </cell>
          <cell r="H1535"/>
          <cell r="I1535" t="str">
            <v>Z</v>
          </cell>
          <cell r="J1535" t="str">
            <v>Activo</v>
          </cell>
          <cell r="K1535">
            <v>11965.992537253926</v>
          </cell>
          <cell r="L1535">
            <v>1196.5992537253926</v>
          </cell>
          <cell r="M1535">
            <v>895.59448790827264</v>
          </cell>
          <cell r="N1535" t="str">
            <v>Si Compra</v>
          </cell>
          <cell r="O1535">
            <v>10</v>
          </cell>
          <cell r="P1535">
            <v>15599.505872162286</v>
          </cell>
          <cell r="Q1535">
            <v>1559.9505872162285</v>
          </cell>
          <cell r="R1535">
            <v>1175.5921549217371</v>
          </cell>
          <cell r="V1535">
            <v>0.76707510066761431</v>
          </cell>
          <cell r="W1535">
            <v>4.569078427018746E-5</v>
          </cell>
          <cell r="X1535">
            <v>10</v>
          </cell>
          <cell r="Y1535" t="str">
            <v>Proteger</v>
          </cell>
        </row>
        <row r="1536">
          <cell r="A1536" t="str">
            <v>4600</v>
          </cell>
          <cell r="B1536" t="str">
            <v>MIFARMA PLUS</v>
          </cell>
          <cell r="C1536" t="str">
            <v>INDEPENDIENTE</v>
          </cell>
          <cell r="D1536">
            <v>0</v>
          </cell>
          <cell r="E1536"/>
          <cell r="F1536" t="str">
            <v>CENTRO OESTE</v>
          </cell>
          <cell r="G1536" t="str">
            <v>SORALI SILVA</v>
          </cell>
          <cell r="H1536"/>
          <cell r="I1536" t="str">
            <v>L</v>
          </cell>
          <cell r="J1536" t="str">
            <v>Bloqueado</v>
          </cell>
          <cell r="K1536">
            <v>11918.630009823952</v>
          </cell>
          <cell r="L1536">
            <v>2979.6575024559879</v>
          </cell>
          <cell r="M1536">
            <v>0</v>
          </cell>
          <cell r="N1536" t="str">
            <v>No Compra</v>
          </cell>
          <cell r="O1536">
            <v>4</v>
          </cell>
          <cell r="P1536">
            <v>15979.711292842061</v>
          </cell>
          <cell r="Q1536">
            <v>3994.9278232105153</v>
          </cell>
          <cell r="R1536">
            <v>0</v>
          </cell>
          <cell r="T1536"/>
          <cell r="U1536"/>
          <cell r="V1536">
            <v>0.74586015926099825</v>
          </cell>
          <cell r="W1536">
            <v>1.1377483958802929E-4</v>
          </cell>
          <cell r="X1536">
            <v>4</v>
          </cell>
          <cell r="Y1536" t="str">
            <v>Proteger</v>
          </cell>
        </row>
        <row r="1537">
          <cell r="A1537" t="str">
            <v>9182</v>
          </cell>
          <cell r="B1537" t="str">
            <v>9182 - FARMACIA MEDANOS DORADOS C.A.</v>
          </cell>
          <cell r="C1537" t="str">
            <v>INDEPENDIENTE</v>
          </cell>
          <cell r="D1537">
            <v>0</v>
          </cell>
          <cell r="E1537"/>
          <cell r="F1537" t="str">
            <v>MARACAIBO</v>
          </cell>
          <cell r="G1537" t="str">
            <v>MARIA FUSELLA</v>
          </cell>
          <cell r="H1537"/>
          <cell r="I1537" t="str">
            <v>Z</v>
          </cell>
          <cell r="J1537" t="str">
            <v>Bloqueado</v>
          </cell>
          <cell r="K1537">
            <v>11875.447</v>
          </cell>
          <cell r="L1537">
            <v>1979.2411666666667</v>
          </cell>
          <cell r="M1537">
            <v>0</v>
          </cell>
          <cell r="N1537" t="str">
            <v>No Compra</v>
          </cell>
          <cell r="O1537">
            <v>6</v>
          </cell>
          <cell r="P1537">
            <v>11586.104000000001</v>
          </cell>
          <cell r="Q1537">
            <v>2317.2208000000001</v>
          </cell>
          <cell r="R1537">
            <v>0</v>
          </cell>
          <cell r="T1537"/>
          <cell r="U1537"/>
          <cell r="V1537">
            <v>0.85414439861176228</v>
          </cell>
          <cell r="W1537">
            <v>7.5575077356344645E-5</v>
          </cell>
          <cell r="X1537">
            <v>5</v>
          </cell>
          <cell r="Y1537" t="str">
            <v>Proteger</v>
          </cell>
        </row>
        <row r="1538">
          <cell r="A1538" t="str">
            <v>D088</v>
          </cell>
          <cell r="B1538" t="str">
            <v>D088 - FORMULANDO SALUD Y BELLEZA, C.A.</v>
          </cell>
          <cell r="C1538" t="str">
            <v>INDEPENDIENTE</v>
          </cell>
          <cell r="D1538">
            <v>3</v>
          </cell>
          <cell r="E1538"/>
          <cell r="F1538" t="str">
            <v>CARACAS</v>
          </cell>
          <cell r="G1538">
            <v>0</v>
          </cell>
          <cell r="H1538"/>
          <cell r="I1538" t="str">
            <v>C4</v>
          </cell>
          <cell r="J1538" t="str">
            <v>Activo</v>
          </cell>
          <cell r="K1538">
            <v>11837.682806601319</v>
          </cell>
          <cell r="L1538">
            <v>1183.7682806601319</v>
          </cell>
          <cell r="M1538">
            <v>726.96379267359134</v>
          </cell>
          <cell r="N1538" t="str">
            <v>Si Compra</v>
          </cell>
          <cell r="O1538">
            <v>10</v>
          </cell>
          <cell r="P1538">
            <v>0</v>
          </cell>
          <cell r="Q1538">
            <v>0</v>
          </cell>
          <cell r="R1538">
            <v>0</v>
          </cell>
          <cell r="T1538"/>
          <cell r="U1538"/>
          <cell r="V1538">
            <v>0</v>
          </cell>
          <cell r="W1538">
            <v>4.5200848127843896E-5</v>
          </cell>
          <cell r="X1538">
            <v>0</v>
          </cell>
          <cell r="Y1538" t="str">
            <v>Conquistar</v>
          </cell>
        </row>
        <row r="1539">
          <cell r="A1539" t="str">
            <v>D418</v>
          </cell>
          <cell r="B1539" t="str">
            <v>D418 - EXPENDIO DE MEDICINAS VERA MEDICAL FP</v>
          </cell>
          <cell r="C1539" t="str">
            <v>INDEPENDIENTE</v>
          </cell>
          <cell r="D1539">
            <v>3</v>
          </cell>
          <cell r="E1539"/>
          <cell r="F1539" t="str">
            <v>CENTRO OESTE</v>
          </cell>
          <cell r="G1539">
            <v>0</v>
          </cell>
          <cell r="H1539"/>
          <cell r="I1539" t="str">
            <v>E</v>
          </cell>
          <cell r="J1539" t="str">
            <v>Activo</v>
          </cell>
          <cell r="K1539">
            <v>11819.459699999999</v>
          </cell>
          <cell r="L1539">
            <v>1181.94597</v>
          </cell>
          <cell r="M1539">
            <v>1250.8800000000001</v>
          </cell>
          <cell r="N1539" t="str">
            <v>Si Compra</v>
          </cell>
          <cell r="O1539">
            <v>10</v>
          </cell>
          <cell r="P1539">
            <v>0</v>
          </cell>
          <cell r="Q1539">
            <v>0</v>
          </cell>
          <cell r="R1539">
            <v>0</v>
          </cell>
          <cell r="T1539"/>
          <cell r="U1539"/>
          <cell r="V1539">
            <v>0</v>
          </cell>
          <cell r="W1539">
            <v>4.5131265263751237E-5</v>
          </cell>
          <cell r="X1539">
            <v>0</v>
          </cell>
          <cell r="Y1539" t="str">
            <v>Conquistar</v>
          </cell>
        </row>
        <row r="1540">
          <cell r="A1540" t="str">
            <v>D843</v>
          </cell>
          <cell r="B1540" t="str">
            <v>D843 - FARMACIA FARMASALO C.A.</v>
          </cell>
          <cell r="C1540" t="str">
            <v>INDEPENDIENTE</v>
          </cell>
          <cell r="D1540">
            <v>3</v>
          </cell>
          <cell r="E1540"/>
          <cell r="F1540" t="str">
            <v>ESTE</v>
          </cell>
          <cell r="G1540" t="str">
            <v>CARMEN ALCALA</v>
          </cell>
          <cell r="H1540"/>
          <cell r="I1540" t="str">
            <v>A0</v>
          </cell>
          <cell r="J1540" t="str">
            <v>Activo</v>
          </cell>
          <cell r="K1540">
            <v>11801.9591</v>
          </cell>
          <cell r="L1540">
            <v>1311.328788888889</v>
          </cell>
          <cell r="M1540">
            <v>1525.3275999999998</v>
          </cell>
          <cell r="N1540" t="str">
            <v>Si Compra</v>
          </cell>
          <cell r="O1540">
            <v>9</v>
          </cell>
          <cell r="P1540">
            <v>52158.160099999994</v>
          </cell>
          <cell r="Q1540">
            <v>5795.3511222222214</v>
          </cell>
          <cell r="R1540">
            <v>4997.416666666667</v>
          </cell>
          <cell r="T1540"/>
          <cell r="U1540"/>
          <cell r="V1540">
            <v>0.22627253487033955</v>
          </cell>
          <cell r="W1540">
            <v>5.0071601343450657E-5</v>
          </cell>
          <cell r="X1540">
            <v>9</v>
          </cell>
          <cell r="Y1540" t="str">
            <v>Potenciar</v>
          </cell>
        </row>
        <row r="1541">
          <cell r="A1541" t="str">
            <v>8412</v>
          </cell>
          <cell r="B1541" t="str">
            <v>8412 - FARMACIA ZULYMAR C.A</v>
          </cell>
          <cell r="C1541" t="str">
            <v>INDEPENDIENTE</v>
          </cell>
          <cell r="D1541">
            <v>3</v>
          </cell>
          <cell r="E1541"/>
          <cell r="F1541" t="str">
            <v>MARACAIBO</v>
          </cell>
          <cell r="G1541" t="str">
            <v>JOEL JIMENEZ</v>
          </cell>
          <cell r="H1541"/>
          <cell r="I1541" t="str">
            <v>D</v>
          </cell>
          <cell r="J1541" t="str">
            <v>Activo</v>
          </cell>
          <cell r="K1541">
            <v>11784.46904919702</v>
          </cell>
          <cell r="L1541">
            <v>1178.4469049197019</v>
          </cell>
          <cell r="M1541">
            <v>571.56966666666665</v>
          </cell>
          <cell r="N1541" t="str">
            <v>Si Compra</v>
          </cell>
          <cell r="O1541">
            <v>10</v>
          </cell>
          <cell r="P1541">
            <v>60278.474871690632</v>
          </cell>
          <cell r="Q1541">
            <v>6027.8474871690632</v>
          </cell>
          <cell r="R1541">
            <v>6980.551433333334</v>
          </cell>
          <cell r="T1541"/>
          <cell r="U1541"/>
          <cell r="V1541">
            <v>0.19550045143447239</v>
          </cell>
          <cell r="W1541">
            <v>4.4997657435371344E-5</v>
          </cell>
          <cell r="X1541">
            <v>10</v>
          </cell>
          <cell r="Y1541" t="str">
            <v>Conquistar</v>
          </cell>
        </row>
        <row r="1542">
          <cell r="A1542" t="str">
            <v>E152</v>
          </cell>
          <cell r="B1542" t="str">
            <v>E152 - FARMACIA 292 FARMA C.A.</v>
          </cell>
          <cell r="C1542" t="str">
            <v>INDEPENDIENTE</v>
          </cell>
          <cell r="D1542">
            <v>3</v>
          </cell>
          <cell r="F1542" t="str">
            <v>ESTE</v>
          </cell>
          <cell r="G1542">
            <v>0</v>
          </cell>
          <cell r="H1542"/>
          <cell r="I1542" t="str">
            <v>A6</v>
          </cell>
          <cell r="J1542" t="str">
            <v>Inactivo</v>
          </cell>
          <cell r="K1542">
            <v>11762.123663118644</v>
          </cell>
          <cell r="L1542">
            <v>1680.3033804455206</v>
          </cell>
          <cell r="M1542">
            <v>1646.5956682339001</v>
          </cell>
          <cell r="N1542" t="str">
            <v>Si Compra</v>
          </cell>
          <cell r="O1542">
            <v>7</v>
          </cell>
          <cell r="P1542">
            <v>0</v>
          </cell>
          <cell r="Q1542">
            <v>0</v>
          </cell>
          <cell r="R1542">
            <v>0</v>
          </cell>
          <cell r="V1542">
            <v>0</v>
          </cell>
          <cell r="W1542">
            <v>6.4160477307151955E-5</v>
          </cell>
          <cell r="X1542">
            <v>0</v>
          </cell>
          <cell r="Y1542" t="str">
            <v>Conquistar</v>
          </cell>
        </row>
        <row r="1543">
          <cell r="A1543" t="str">
            <v>A917</v>
          </cell>
          <cell r="B1543" t="str">
            <v>A917 - FARMACIA BIMI, C.A.</v>
          </cell>
          <cell r="C1543" t="str">
            <v>INDEPENDIENTE</v>
          </cell>
          <cell r="D1543">
            <v>3</v>
          </cell>
          <cell r="E1543"/>
          <cell r="F1543" t="str">
            <v>ESTE</v>
          </cell>
          <cell r="G1543" t="str">
            <v>IRAIDA RODRIGUEZ</v>
          </cell>
          <cell r="H1543"/>
          <cell r="I1543" t="str">
            <v>AB</v>
          </cell>
          <cell r="J1543" t="str">
            <v>Activo</v>
          </cell>
          <cell r="K1543">
            <v>11760.088104927454</v>
          </cell>
          <cell r="L1543">
            <v>1176.0088104927454</v>
          </cell>
          <cell r="M1543">
            <v>1278.3056476014199</v>
          </cell>
          <cell r="N1543" t="str">
            <v>Si Compra</v>
          </cell>
          <cell r="O1543">
            <v>10</v>
          </cell>
          <cell r="P1543">
            <v>37202.801842693778</v>
          </cell>
          <cell r="Q1543">
            <v>3720.280184269378</v>
          </cell>
          <cell r="R1543">
            <v>4259.03584477185</v>
          </cell>
          <cell r="T1543"/>
          <cell r="U1543"/>
          <cell r="V1543">
            <v>0.31610759196721644</v>
          </cell>
          <cell r="W1543">
            <v>4.4904561567105008E-5</v>
          </cell>
          <cell r="X1543">
            <v>10</v>
          </cell>
          <cell r="Y1543" t="str">
            <v>Potenciar</v>
          </cell>
        </row>
        <row r="1544">
          <cell r="A1544" t="str">
            <v>4851</v>
          </cell>
          <cell r="B1544" t="str">
            <v>4851 - GUERRERO DANIEL(FARMACIA SANTO CRISTO)</v>
          </cell>
          <cell r="C1544" t="str">
            <v>INDEPENDIENTE</v>
          </cell>
          <cell r="D1544">
            <v>3</v>
          </cell>
          <cell r="E1544"/>
          <cell r="F1544" t="str">
            <v>ANDES</v>
          </cell>
          <cell r="G1544" t="str">
            <v>JESUS CONTRERAS</v>
          </cell>
          <cell r="H1544"/>
          <cell r="I1544" t="str">
            <v>G2</v>
          </cell>
          <cell r="J1544" t="str">
            <v>Activo</v>
          </cell>
          <cell r="K1544">
            <v>11757.778316810547</v>
          </cell>
          <cell r="L1544">
            <v>1175.7778316810547</v>
          </cell>
          <cell r="M1544">
            <v>1532.0226</v>
          </cell>
          <cell r="N1544" t="str">
            <v>Si Compra</v>
          </cell>
          <cell r="O1544">
            <v>10</v>
          </cell>
          <cell r="P1544">
            <v>60096.21368272361</v>
          </cell>
          <cell r="Q1544">
            <v>6009.621368272361</v>
          </cell>
          <cell r="R1544">
            <v>2429.2522999999997</v>
          </cell>
          <cell r="T1544"/>
          <cell r="U1544"/>
          <cell r="V1544">
            <v>0.19564923638759391</v>
          </cell>
          <cell r="W1544">
            <v>4.4895741903359537E-5</v>
          </cell>
          <cell r="X1544">
            <v>10</v>
          </cell>
          <cell r="Y1544" t="str">
            <v>Conquistar</v>
          </cell>
        </row>
        <row r="1545">
          <cell r="A1545" t="str">
            <v>8883</v>
          </cell>
          <cell r="B1545" t="str">
            <v>UNIFARMACIA</v>
          </cell>
          <cell r="C1545" t="str">
            <v>GRUPO</v>
          </cell>
          <cell r="D1545">
            <v>6</v>
          </cell>
          <cell r="E1545">
            <v>0</v>
          </cell>
          <cell r="F1545" t="str">
            <v>ESTE</v>
          </cell>
          <cell r="G1545" t="str">
            <v>JOSE RAMIREZ</v>
          </cell>
          <cell r="H1545" t="str">
            <v>HECTOR</v>
          </cell>
          <cell r="I1545" t="str">
            <v>A4</v>
          </cell>
          <cell r="J1545" t="str">
            <v>Activo</v>
          </cell>
          <cell r="K1545">
            <v>11736.986485906233</v>
          </cell>
          <cell r="L1545">
            <v>1173.6986485906232</v>
          </cell>
          <cell r="M1545">
            <v>1063.9520953020783</v>
          </cell>
          <cell r="N1545" t="str">
            <v>Si Compra</v>
          </cell>
          <cell r="O1545">
            <v>10</v>
          </cell>
          <cell r="P1545">
            <v>979855.13120000006</v>
          </cell>
          <cell r="Q1545">
            <v>97985.513120000003</v>
          </cell>
          <cell r="R1545">
            <v>118756.16713333334</v>
          </cell>
          <cell r="S1545">
            <v>12000</v>
          </cell>
          <cell r="T1545">
            <v>4</v>
          </cell>
          <cell r="U1545">
            <v>4</v>
          </cell>
          <cell r="V1545">
            <v>1.1978287516372229E-2</v>
          </cell>
          <cell r="W1545">
            <v>4.481635065708609E-5</v>
          </cell>
          <cell r="X1545">
            <v>10</v>
          </cell>
          <cell r="Y1545" t="str">
            <v>Conquistar</v>
          </cell>
        </row>
        <row r="1546">
          <cell r="A1546" t="str">
            <v>C852</v>
          </cell>
          <cell r="B1546" t="str">
            <v>C852 - FARMACIA LA LUNA, C.A</v>
          </cell>
          <cell r="C1546" t="str">
            <v>INDEPENDIENTE</v>
          </cell>
          <cell r="D1546">
            <v>3</v>
          </cell>
          <cell r="E1546"/>
          <cell r="F1546" t="str">
            <v>ESTE</v>
          </cell>
          <cell r="G1546" t="str">
            <v>JOSE RAMIREZ</v>
          </cell>
          <cell r="H1546"/>
          <cell r="I1546" t="str">
            <v>A2</v>
          </cell>
          <cell r="J1546" t="str">
            <v>Activo</v>
          </cell>
          <cell r="K1546">
            <v>11707.169384455314</v>
          </cell>
          <cell r="L1546">
            <v>1170.7169384455315</v>
          </cell>
          <cell r="M1546">
            <v>1088.5842</v>
          </cell>
          <cell r="N1546" t="str">
            <v>Si Compra</v>
          </cell>
          <cell r="O1546">
            <v>10</v>
          </cell>
          <cell r="P1546">
            <v>62623.33986422405</v>
          </cell>
          <cell r="Q1546">
            <v>6262.3339864224054</v>
          </cell>
          <cell r="R1546">
            <v>3519.0860666666667</v>
          </cell>
          <cell r="T1546"/>
          <cell r="U1546"/>
          <cell r="V1546">
            <v>0.18694578426890127</v>
          </cell>
          <cell r="W1546">
            <v>4.4702497439668924E-5</v>
          </cell>
          <cell r="X1546">
            <v>10</v>
          </cell>
          <cell r="Y1546" t="str">
            <v>Conquistar</v>
          </cell>
        </row>
        <row r="1547">
          <cell r="A1547" t="str">
            <v>8940</v>
          </cell>
          <cell r="B1547" t="str">
            <v>8940 - FARMACIA FARMAMONICA, C.A</v>
          </cell>
          <cell r="C1547" t="str">
            <v>INDEPENDIENTE</v>
          </cell>
          <cell r="D1547">
            <v>0</v>
          </cell>
          <cell r="E1547"/>
          <cell r="F1547" t="str">
            <v>MARACAIBO</v>
          </cell>
          <cell r="G1547" t="str">
            <v>MARIA FUSELLA</v>
          </cell>
          <cell r="H1547"/>
          <cell r="I1547" t="str">
            <v>Z</v>
          </cell>
          <cell r="J1547" t="str">
            <v>Bloqueado</v>
          </cell>
          <cell r="K1547">
            <v>11689.955444893507</v>
          </cell>
          <cell r="L1547">
            <v>2922.4888612233767</v>
          </cell>
          <cell r="M1547">
            <v>0</v>
          </cell>
          <cell r="N1547" t="str">
            <v>No Compra</v>
          </cell>
          <cell r="O1547">
            <v>4</v>
          </cell>
          <cell r="P1547">
            <v>19482.203146087093</v>
          </cell>
          <cell r="Q1547">
            <v>4870.5507865217733</v>
          </cell>
          <cell r="R1547">
            <v>0</v>
          </cell>
          <cell r="T1547"/>
          <cell r="U1547"/>
          <cell r="V1547">
            <v>0.60003251979442473</v>
          </cell>
          <cell r="W1547">
            <v>1.1159191991342081E-4</v>
          </cell>
          <cell r="X1547">
            <v>4</v>
          </cell>
          <cell r="Y1547" t="str">
            <v>Potenciar</v>
          </cell>
        </row>
        <row r="1548">
          <cell r="A1548" t="str">
            <v>3152</v>
          </cell>
          <cell r="B1548" t="str">
            <v>3152 - FARMACIA RIO GRITA 2   LA FRIA  DE  DILMA MARIA TRUJILLO PINILLA</v>
          </cell>
          <cell r="C1548" t="e">
            <v>#N/A</v>
          </cell>
          <cell r="D1548">
            <v>0</v>
          </cell>
          <cell r="E1548"/>
          <cell r="F1548" t="str">
            <v>ANDES</v>
          </cell>
          <cell r="G1548" t="str">
            <v>JESUS CONTRERAS</v>
          </cell>
          <cell r="H1548"/>
          <cell r="I1548" t="str">
            <v>G2</v>
          </cell>
          <cell r="J1548" t="str">
            <v>Bloqueado</v>
          </cell>
          <cell r="K1548">
            <v>11680.888839460098</v>
          </cell>
          <cell r="L1548">
            <v>2336.1777678920198</v>
          </cell>
          <cell r="M1548">
            <v>0</v>
          </cell>
          <cell r="N1548" t="str">
            <v>No Compra</v>
          </cell>
          <cell r="O1548">
            <v>5</v>
          </cell>
          <cell r="P1548">
            <v>30025.372197260374</v>
          </cell>
          <cell r="Q1548">
            <v>6005.0744394520752</v>
          </cell>
          <cell r="R1548">
            <v>0</v>
          </cell>
          <cell r="T1548"/>
          <cell r="U1548"/>
          <cell r="V1548">
            <v>0.38903393978662837</v>
          </cell>
          <cell r="W1548">
            <v>8.920429632330233E-5</v>
          </cell>
          <cell r="X1548">
            <v>5</v>
          </cell>
          <cell r="Y1548" t="str">
            <v>Potenciar</v>
          </cell>
        </row>
        <row r="1549">
          <cell r="A1549" t="str">
            <v>B997</v>
          </cell>
          <cell r="B1549" t="str">
            <v>B997 - FARMAGRAN, C.A.</v>
          </cell>
          <cell r="C1549" t="e">
            <v>#N/A</v>
          </cell>
          <cell r="D1549">
            <v>3</v>
          </cell>
          <cell r="E1549"/>
          <cell r="F1549" t="str">
            <v>CENTRO ESTE</v>
          </cell>
          <cell r="G1549" t="str">
            <v>KARLA SALAZAR</v>
          </cell>
          <cell r="H1549"/>
          <cell r="I1549" t="str">
            <v>H</v>
          </cell>
          <cell r="J1549" t="str">
            <v>Activo</v>
          </cell>
          <cell r="K1549">
            <v>11663.830173073064</v>
          </cell>
          <cell r="L1549">
            <v>2332.7660346146126</v>
          </cell>
          <cell r="M1549">
            <v>2511.6263897877989</v>
          </cell>
          <cell r="N1549" t="str">
            <v>Si Compra</v>
          </cell>
          <cell r="O1549">
            <v>5</v>
          </cell>
          <cell r="P1549">
            <v>19240.118699100833</v>
          </cell>
          <cell r="Q1549">
            <v>3848.0237398201666</v>
          </cell>
          <cell r="R1549">
            <v>2575.2158656388747</v>
          </cell>
          <cell r="T1549"/>
          <cell r="U1549"/>
          <cell r="V1549">
            <v>0.60622443943748439</v>
          </cell>
          <cell r="W1549">
            <v>8.9074023160687433E-5</v>
          </cell>
          <cell r="X1549">
            <v>5</v>
          </cell>
          <cell r="Y1549" t="str">
            <v>Potenciar</v>
          </cell>
        </row>
        <row r="1550">
          <cell r="A1550" t="str">
            <v>0580</v>
          </cell>
          <cell r="B1550" t="str">
            <v>0580 - FARMACIA  ASISTENCIAL II, C. A.</v>
          </cell>
          <cell r="C1550" t="str">
            <v>INDEPENDIENTE</v>
          </cell>
          <cell r="D1550">
            <v>3</v>
          </cell>
          <cell r="E1550"/>
          <cell r="F1550" t="str">
            <v>CENTRO OESTE</v>
          </cell>
          <cell r="G1550" t="str">
            <v>YAMILEX LAMEDA</v>
          </cell>
          <cell r="H1550"/>
          <cell r="I1550" t="str">
            <v>Y1</v>
          </cell>
          <cell r="J1550" t="str">
            <v>Activo</v>
          </cell>
          <cell r="K1550">
            <v>11662.922161958599</v>
          </cell>
          <cell r="L1550">
            <v>1166.29221619586</v>
          </cell>
          <cell r="M1550">
            <v>1326.5283673763317</v>
          </cell>
          <cell r="N1550" t="str">
            <v>Si Compra</v>
          </cell>
          <cell r="O1550">
            <v>10</v>
          </cell>
          <cell r="P1550">
            <v>17783.138718295282</v>
          </cell>
          <cell r="Q1550">
            <v>1778.3138718295281</v>
          </cell>
          <cell r="R1550">
            <v>1684.2043696517514</v>
          </cell>
          <cell r="T1550"/>
          <cell r="U1550"/>
          <cell r="V1550">
            <v>0.65584160067085306</v>
          </cell>
          <cell r="W1550">
            <v>4.453354444296947E-5</v>
          </cell>
          <cell r="X1550">
            <v>10</v>
          </cell>
          <cell r="Y1550" t="str">
            <v>Proteger</v>
          </cell>
        </row>
        <row r="1551">
          <cell r="A1551" t="str">
            <v>+112</v>
          </cell>
          <cell r="B1551" t="str">
            <v>GRUPO FARMATOTAL (ARAGUA)</v>
          </cell>
          <cell r="C1551" t="str">
            <v>GRUPO</v>
          </cell>
          <cell r="D1551">
            <v>9</v>
          </cell>
          <cell r="E1551"/>
          <cell r="F1551" t="str">
            <v>CENTRO ESTE</v>
          </cell>
          <cell r="H1551"/>
          <cell r="I1551"/>
          <cell r="J1551" t="str">
            <v>Activo</v>
          </cell>
          <cell r="K1551">
            <v>11585.186379487657</v>
          </cell>
          <cell r="L1551">
            <v>1448.1482974359571</v>
          </cell>
          <cell r="M1551">
            <v>1043.013859829219</v>
          </cell>
          <cell r="N1551" t="str">
            <v>Si Compra</v>
          </cell>
          <cell r="O1551">
            <v>8</v>
          </cell>
          <cell r="P1551">
            <v>8023.4691000000003</v>
          </cell>
          <cell r="Q1551">
            <v>1604.69382</v>
          </cell>
          <cell r="R1551">
            <v>2347.7641333333336</v>
          </cell>
          <cell r="S1551"/>
          <cell r="T1551"/>
          <cell r="U1551"/>
          <cell r="V1551">
            <v>0.90244523870351612</v>
          </cell>
          <cell r="W1551">
            <v>5.5295898976525896E-5</v>
          </cell>
          <cell r="X1551">
            <v>5</v>
          </cell>
          <cell r="Y1551" t="str">
            <v>Proteger</v>
          </cell>
        </row>
        <row r="1552">
          <cell r="A1552" t="str">
            <v>D012</v>
          </cell>
          <cell r="B1552" t="str">
            <v>D012 - FARMA VIDA 2021, C.A.</v>
          </cell>
          <cell r="C1552" t="str">
            <v>INDEPENDIENTE</v>
          </cell>
          <cell r="D1552">
            <v>3</v>
          </cell>
          <cell r="E1552"/>
          <cell r="F1552" t="str">
            <v>CENTRO ESTE</v>
          </cell>
          <cell r="G1552" t="str">
            <v>LAURA FLORES</v>
          </cell>
          <cell r="H1552"/>
          <cell r="I1552" t="str">
            <v>+</v>
          </cell>
          <cell r="J1552" t="str">
            <v>Inactivo</v>
          </cell>
          <cell r="K1552">
            <v>11573.875304890136</v>
          </cell>
          <cell r="L1552">
            <v>1157.3875304890137</v>
          </cell>
          <cell r="M1552">
            <v>1036.6422433372725</v>
          </cell>
          <cell r="N1552" t="str">
            <v>Si Compra</v>
          </cell>
          <cell r="O1552">
            <v>10</v>
          </cell>
          <cell r="P1552">
            <v>155006.12914418927</v>
          </cell>
          <cell r="Q1552">
            <v>15500.612914418927</v>
          </cell>
          <cell r="R1552">
            <v>11758.004169281468</v>
          </cell>
          <cell r="T1552"/>
          <cell r="U1552"/>
          <cell r="V1552">
            <v>7.4667210701867964E-2</v>
          </cell>
          <cell r="W1552">
            <v>4.4193529126765117E-5</v>
          </cell>
          <cell r="X1552">
            <v>10</v>
          </cell>
          <cell r="Y1552" t="str">
            <v>Conquistar</v>
          </cell>
        </row>
        <row r="1553">
          <cell r="A1553" t="str">
            <v>$149</v>
          </cell>
          <cell r="B1553" t="str">
            <v>$149 - FARMACIA SOCIAL EL GRAN DESCUENTO,C.A.</v>
          </cell>
          <cell r="C1553" t="str">
            <v>INDEPENDIENTE</v>
          </cell>
          <cell r="D1553">
            <v>3</v>
          </cell>
          <cell r="E1553"/>
          <cell r="F1553" t="str">
            <v>CENTRO ESTE</v>
          </cell>
          <cell r="G1553" t="str">
            <v>MARCOS CRUCES</v>
          </cell>
          <cell r="H1553"/>
          <cell r="I1553" t="str">
            <v>$</v>
          </cell>
          <cell r="J1553" t="str">
            <v>Activo</v>
          </cell>
          <cell r="K1553">
            <v>11549.852960161403</v>
          </cell>
          <cell r="L1553">
            <v>1443.7316200201753</v>
          </cell>
          <cell r="M1553">
            <v>2585.7332333333329</v>
          </cell>
          <cell r="N1553" t="str">
            <v>Si Compra</v>
          </cell>
          <cell r="O1553">
            <v>8</v>
          </cell>
          <cell r="P1553">
            <v>11608.633810079851</v>
          </cell>
          <cell r="Q1553">
            <v>1451.0792262599814</v>
          </cell>
          <cell r="R1553">
            <v>1933.5469333333331</v>
          </cell>
          <cell r="T1553"/>
          <cell r="U1553"/>
          <cell r="V1553">
            <v>0.99493645411853648</v>
          </cell>
          <cell r="W1553">
            <v>5.5127253162677002E-5</v>
          </cell>
          <cell r="X1553">
            <v>8</v>
          </cell>
          <cell r="Y1553" t="str">
            <v>Proteger</v>
          </cell>
        </row>
        <row r="1554">
          <cell r="A1554" t="str">
            <v>7653</v>
          </cell>
          <cell r="B1554" t="str">
            <v>7653 - FARMACIA SANTA BARBARA,C.A</v>
          </cell>
          <cell r="C1554" t="str">
            <v>INDEPENDIENTE</v>
          </cell>
          <cell r="D1554">
            <v>3</v>
          </cell>
          <cell r="E1554"/>
          <cell r="F1554" t="str">
            <v>CENTRO OESTE</v>
          </cell>
          <cell r="G1554" t="str">
            <v>SORALI SILVA</v>
          </cell>
          <cell r="H1554"/>
          <cell r="I1554" t="str">
            <v>C</v>
          </cell>
          <cell r="J1554" t="str">
            <v>Inactivo</v>
          </cell>
          <cell r="K1554">
            <v>11543.214455010127</v>
          </cell>
          <cell r="L1554">
            <v>1154.3214455010127</v>
          </cell>
          <cell r="M1554">
            <v>911.57969087008632</v>
          </cell>
          <cell r="N1554" t="str">
            <v>Si Compra</v>
          </cell>
          <cell r="O1554">
            <v>10</v>
          </cell>
          <cell r="P1554">
            <v>21066.888961753812</v>
          </cell>
          <cell r="Q1554">
            <v>2106.6888961753812</v>
          </cell>
          <cell r="R1554">
            <v>2659.6264406040323</v>
          </cell>
          <cell r="T1554"/>
          <cell r="U1554"/>
          <cell r="V1554">
            <v>0.54793161325179163</v>
          </cell>
          <cell r="W1554">
            <v>4.4076454151743477E-5</v>
          </cell>
          <cell r="X1554">
            <v>10</v>
          </cell>
          <cell r="Y1554" t="str">
            <v>Potenciar</v>
          </cell>
        </row>
        <row r="1555">
          <cell r="A1555" t="str">
            <v>D909</v>
          </cell>
          <cell r="B1555" t="str">
            <v>D909 - TEJERO VARIEDADES MYA, C.A.</v>
          </cell>
          <cell r="C1555" t="str">
            <v>INDEPENDIENTE</v>
          </cell>
          <cell r="D1555">
            <v>3</v>
          </cell>
          <cell r="E1555"/>
          <cell r="F1555" t="str">
            <v>ESTE</v>
          </cell>
          <cell r="G1555">
            <v>0</v>
          </cell>
          <cell r="H1555"/>
          <cell r="I1555" t="str">
            <v>A6</v>
          </cell>
          <cell r="J1555" t="str">
            <v>Inactivo</v>
          </cell>
          <cell r="K1555">
            <v>11533.583113650571</v>
          </cell>
          <cell r="L1555">
            <v>1153.358311365057</v>
          </cell>
          <cell r="M1555">
            <v>817.32673333333332</v>
          </cell>
          <cell r="N1555" t="str">
            <v>Si Compra</v>
          </cell>
          <cell r="O1555">
            <v>10</v>
          </cell>
          <cell r="P1555">
            <v>0</v>
          </cell>
          <cell r="Q1555">
            <v>0</v>
          </cell>
          <cell r="R1555">
            <v>0</v>
          </cell>
          <cell r="T1555"/>
          <cell r="U1555"/>
          <cell r="V1555">
            <v>0</v>
          </cell>
          <cell r="W1555">
            <v>4.4039677967994241E-5</v>
          </cell>
          <cell r="X1555">
            <v>0</v>
          </cell>
          <cell r="Y1555" t="str">
            <v>Conquistar</v>
          </cell>
        </row>
        <row r="1556">
          <cell r="A1556" t="str">
            <v>D548</v>
          </cell>
          <cell r="B1556" t="str">
            <v>D548 - FARMACIA NUESTRA VIDA C.A.</v>
          </cell>
          <cell r="C1556" t="str">
            <v>INDEPENDIENTE</v>
          </cell>
          <cell r="D1556">
            <v>3</v>
          </cell>
          <cell r="E1556"/>
          <cell r="F1556" t="str">
            <v>ESTE</v>
          </cell>
          <cell r="G1556" t="str">
            <v>CARLOS BLONDELL</v>
          </cell>
          <cell r="H1556"/>
          <cell r="I1556" t="str">
            <v>A3</v>
          </cell>
          <cell r="J1556" t="str">
            <v>Activo</v>
          </cell>
          <cell r="K1556">
            <v>11513.498482171775</v>
          </cell>
          <cell r="L1556">
            <v>1439.1873102714719</v>
          </cell>
          <cell r="M1556">
            <v>1530.4400666666668</v>
          </cell>
          <cell r="N1556" t="str">
            <v>Si Compra</v>
          </cell>
          <cell r="O1556">
            <v>8</v>
          </cell>
          <cell r="P1556">
            <v>20833.245118874795</v>
          </cell>
          <cell r="Q1556">
            <v>2604.1556398593493</v>
          </cell>
          <cell r="R1556">
            <v>2651.1702</v>
          </cell>
          <cell r="T1556"/>
          <cell r="U1556"/>
          <cell r="V1556">
            <v>0.55265026722796129</v>
          </cell>
          <cell r="W1556">
            <v>5.4953733853068131E-5</v>
          </cell>
          <cell r="X1556">
            <v>8</v>
          </cell>
          <cell r="Y1556" t="str">
            <v>Potenciar</v>
          </cell>
        </row>
        <row r="1557">
          <cell r="A1557" t="str">
            <v>A735</v>
          </cell>
          <cell r="B1557" t="str">
            <v>A735 - FARMACIA DIVINO NIÑO 2021, C.A.</v>
          </cell>
          <cell r="C1557" t="str">
            <v>INDEPENDIENTE</v>
          </cell>
          <cell r="D1557">
            <v>3</v>
          </cell>
          <cell r="E1557"/>
          <cell r="F1557" t="str">
            <v>CARACAS</v>
          </cell>
          <cell r="G1557" t="str">
            <v>MAIRE ACOSTA FERNANDEZ</v>
          </cell>
          <cell r="H1557"/>
          <cell r="I1557" t="str">
            <v>C9</v>
          </cell>
          <cell r="J1557" t="str">
            <v>Activo</v>
          </cell>
          <cell r="K1557">
            <v>11488.407900000002</v>
          </cell>
          <cell r="L1557">
            <v>1148.8407900000002</v>
          </cell>
          <cell r="M1557">
            <v>705.27539999999999</v>
          </cell>
          <cell r="N1557" t="str">
            <v>Si Compra</v>
          </cell>
          <cell r="O1557">
            <v>10</v>
          </cell>
          <cell r="P1557">
            <v>24329.590700000001</v>
          </cell>
          <cell r="Q1557">
            <v>2432.9590699999999</v>
          </cell>
          <cell r="R1557">
            <v>3163.9256666666665</v>
          </cell>
          <cell r="T1557"/>
          <cell r="U1557"/>
          <cell r="V1557">
            <v>0.47219897949208012</v>
          </cell>
          <cell r="W1557">
            <v>4.3867181542408011E-5</v>
          </cell>
          <cell r="X1557">
            <v>10</v>
          </cell>
          <cell r="Y1557" t="str">
            <v>Potenciar</v>
          </cell>
        </row>
        <row r="1558">
          <cell r="A1558" t="str">
            <v>E548</v>
          </cell>
          <cell r="B1558" t="str">
            <v>SAN MIGUEL ARCANGEL</v>
          </cell>
          <cell r="C1558" t="e">
            <v>#N/A</v>
          </cell>
          <cell r="D1558">
            <v>6</v>
          </cell>
          <cell r="E1558"/>
          <cell r="F1558" t="str">
            <v>CARACAS</v>
          </cell>
          <cell r="H1558"/>
          <cell r="I1558"/>
          <cell r="J1558" t="str">
            <v>Activo</v>
          </cell>
          <cell r="K1558">
            <v>11474.918078412924</v>
          </cell>
          <cell r="L1558">
            <v>2868.729519603231</v>
          </cell>
          <cell r="M1558">
            <v>3719.6175261376411</v>
          </cell>
          <cell r="N1558" t="str">
            <v>Si Compra</v>
          </cell>
          <cell r="O1558">
            <v>4</v>
          </cell>
          <cell r="P1558">
            <v>0</v>
          </cell>
          <cell r="Q1558">
            <v>0</v>
          </cell>
          <cell r="R1558">
            <v>0</v>
          </cell>
          <cell r="S1558"/>
          <cell r="T1558"/>
          <cell r="U1558"/>
          <cell r="V1558">
            <v>0</v>
          </cell>
          <cell r="W1558">
            <v>1.0953918047469383E-4</v>
          </cell>
          <cell r="X1558">
            <v>0</v>
          </cell>
          <cell r="Y1558" t="str">
            <v>Conquistar</v>
          </cell>
        </row>
        <row r="1559">
          <cell r="A1559" t="str">
            <v>-154</v>
          </cell>
          <cell r="B1559" t="str">
            <v>-154 - FARMACIA POLICLINICO TURMERO,C.A.</v>
          </cell>
          <cell r="C1559" t="str">
            <v>INDEPENDIENTE</v>
          </cell>
          <cell r="D1559">
            <v>0</v>
          </cell>
          <cell r="E1559"/>
          <cell r="F1559" t="str">
            <v>CENTRO ESTE</v>
          </cell>
          <cell r="H1559"/>
          <cell r="I1559" t="str">
            <v>$</v>
          </cell>
          <cell r="J1559" t="str">
            <v>Activo</v>
          </cell>
          <cell r="K1559">
            <v>11441.306500000001</v>
          </cell>
          <cell r="L1559">
            <v>2860.3266250000001</v>
          </cell>
          <cell r="M1559">
            <v>0</v>
          </cell>
          <cell r="N1559" t="str">
            <v>No Compra</v>
          </cell>
          <cell r="O1559">
            <v>4</v>
          </cell>
          <cell r="P1559">
            <v>0</v>
          </cell>
          <cell r="Q1559">
            <v>0</v>
          </cell>
          <cell r="R1559">
            <v>0</v>
          </cell>
          <cell r="T1559"/>
          <cell r="U1559"/>
          <cell r="V1559">
            <v>0</v>
          </cell>
          <cell r="W1559">
            <v>1.0921832548220907E-4</v>
          </cell>
          <cell r="X1559">
            <v>0</v>
          </cell>
          <cell r="Y1559" t="str">
            <v>Conquistar</v>
          </cell>
        </row>
        <row r="1560">
          <cell r="A1560" t="str">
            <v>E342</v>
          </cell>
          <cell r="B1560" t="str">
            <v>E342 - FARMACIA K SALUD EL PUNTO, C.A.</v>
          </cell>
          <cell r="C1560" t="e">
            <v>#N/A</v>
          </cell>
          <cell r="D1560">
            <v>3</v>
          </cell>
          <cell r="F1560" t="str">
            <v>ANDES</v>
          </cell>
          <cell r="G1560">
            <v>0</v>
          </cell>
          <cell r="H1560"/>
          <cell r="I1560" t="str">
            <v>G</v>
          </cell>
          <cell r="J1560" t="str">
            <v>Permiso</v>
          </cell>
          <cell r="K1560">
            <v>11431.91334231263</v>
          </cell>
          <cell r="L1560">
            <v>1905.3188903854382</v>
          </cell>
          <cell r="M1560">
            <v>1840.6101442556089</v>
          </cell>
          <cell r="N1560" t="str">
            <v>Si Compra</v>
          </cell>
          <cell r="O1560">
            <v>6</v>
          </cell>
          <cell r="P1560">
            <v>0</v>
          </cell>
          <cell r="Q1560">
            <v>0</v>
          </cell>
          <cell r="R1560">
            <v>0</v>
          </cell>
          <cell r="V1560">
            <v>0</v>
          </cell>
          <cell r="W1560">
            <v>7.2752439144084877E-5</v>
          </cell>
          <cell r="X1560">
            <v>0</v>
          </cell>
          <cell r="Y1560" t="str">
            <v>Conquistar</v>
          </cell>
        </row>
        <row r="1561">
          <cell r="A1561" t="str">
            <v>A808</v>
          </cell>
          <cell r="B1561" t="str">
            <v>A808 - PHARMACIA LE PHARMACE, C.A.</v>
          </cell>
          <cell r="C1561" t="str">
            <v>INDEPENDIENTE</v>
          </cell>
          <cell r="D1561">
            <v>3</v>
          </cell>
          <cell r="E1561"/>
          <cell r="F1561" t="str">
            <v>ESTE</v>
          </cell>
          <cell r="G1561" t="str">
            <v>CARLOS BLONDELL</v>
          </cell>
          <cell r="H1561"/>
          <cell r="I1561" t="str">
            <v>A5</v>
          </cell>
          <cell r="J1561" t="str">
            <v>Activo</v>
          </cell>
          <cell r="K1561">
            <v>11415.152665942062</v>
          </cell>
          <cell r="L1561">
            <v>1141.5152665942062</v>
          </cell>
          <cell r="M1561">
            <v>878.19881957478322</v>
          </cell>
          <cell r="N1561" t="str">
            <v>Si Compra</v>
          </cell>
          <cell r="O1561">
            <v>10</v>
          </cell>
          <cell r="P1561">
            <v>23438.146280621797</v>
          </cell>
          <cell r="Q1561">
            <v>2343.8146280621795</v>
          </cell>
          <cell r="R1561">
            <v>2316.2715592659856</v>
          </cell>
          <cell r="T1561"/>
          <cell r="U1561"/>
          <cell r="V1561">
            <v>0.48703308398496892</v>
          </cell>
          <cell r="W1561">
            <v>4.3587464746197175E-5</v>
          </cell>
          <cell r="X1561">
            <v>10</v>
          </cell>
          <cell r="Y1561" t="str">
            <v>Potenciar</v>
          </cell>
        </row>
        <row r="1562">
          <cell r="A1562" t="str">
            <v>370</v>
          </cell>
          <cell r="B1562" t="str">
            <v>370 - CARRADINI, HILDEBRANDO (FARMACIA AYACUCHO)</v>
          </cell>
          <cell r="C1562" t="str">
            <v>INDEPENDIENTE</v>
          </cell>
          <cell r="D1562">
            <v>3</v>
          </cell>
          <cell r="E1562"/>
          <cell r="F1562" t="str">
            <v>ANDES</v>
          </cell>
          <cell r="G1562" t="str">
            <v>JESUS CONTRERAS</v>
          </cell>
          <cell r="H1562"/>
          <cell r="I1562" t="str">
            <v>G2</v>
          </cell>
          <cell r="J1562" t="str">
            <v>Activo</v>
          </cell>
          <cell r="K1562">
            <v>11411.663900000001</v>
          </cell>
          <cell r="L1562">
            <v>1267.9626555555558</v>
          </cell>
          <cell r="M1562">
            <v>1105.5151666666668</v>
          </cell>
          <cell r="N1562" t="str">
            <v>Si Compra</v>
          </cell>
          <cell r="O1562">
            <v>9</v>
          </cell>
          <cell r="P1562">
            <v>12992.602800000001</v>
          </cell>
          <cell r="Q1562">
            <v>1443.6225333333334</v>
          </cell>
          <cell r="R1562">
            <v>1027.9706333333334</v>
          </cell>
          <cell r="T1562"/>
          <cell r="U1562"/>
          <cell r="V1562">
            <v>0.87832007763679198</v>
          </cell>
          <cell r="W1562">
            <v>4.8415714766055022E-5</v>
          </cell>
          <cell r="X1562">
            <v>8</v>
          </cell>
          <cell r="Y1562" t="str">
            <v>Proteger</v>
          </cell>
        </row>
        <row r="1563">
          <cell r="A1563" t="str">
            <v>A489</v>
          </cell>
          <cell r="B1563" t="str">
            <v>A489 - FARMACIA EL OFERTON MIRANDA, C.A</v>
          </cell>
          <cell r="C1563" t="str">
            <v>INDEPENDIENTE</v>
          </cell>
          <cell r="D1563">
            <v>3</v>
          </cell>
          <cell r="E1563"/>
          <cell r="F1563" t="str">
            <v>ESTE</v>
          </cell>
          <cell r="G1563" t="str">
            <v>CARMEN ALCALA</v>
          </cell>
          <cell r="H1563" t="str">
            <v>HECTOR</v>
          </cell>
          <cell r="I1563" t="str">
            <v>A0</v>
          </cell>
          <cell r="J1563" t="str">
            <v>Activo</v>
          </cell>
          <cell r="K1563">
            <v>11362.840261876234</v>
          </cell>
          <cell r="L1563">
            <v>1136.2840261876233</v>
          </cell>
          <cell r="M1563">
            <v>1225.6377925830539</v>
          </cell>
          <cell r="N1563" t="str">
            <v>Si Compra</v>
          </cell>
          <cell r="O1563">
            <v>10</v>
          </cell>
          <cell r="P1563">
            <v>299913.6911175219</v>
          </cell>
          <cell r="Q1563">
            <v>29991.369111752188</v>
          </cell>
          <cell r="R1563">
            <v>28429.185505529284</v>
          </cell>
          <cell r="T1563"/>
          <cell r="U1563"/>
          <cell r="V1563">
            <v>3.7887034164851376E-2</v>
          </cell>
          <cell r="W1563">
            <v>4.3387715769136964E-5</v>
          </cell>
          <cell r="X1563">
            <v>10</v>
          </cell>
          <cell r="Y1563" t="str">
            <v>Conquistar</v>
          </cell>
        </row>
        <row r="1564">
          <cell r="A1564" t="str">
            <v>C019</v>
          </cell>
          <cell r="B1564" t="str">
            <v>C019 - FARMACIA EL SAN CARLOS, C.A.</v>
          </cell>
          <cell r="C1564" t="str">
            <v>INDEPENDIENTE</v>
          </cell>
          <cell r="D1564">
            <v>3</v>
          </cell>
          <cell r="E1564"/>
          <cell r="F1564" t="str">
            <v>CENTRO ESTE</v>
          </cell>
          <cell r="G1564" t="str">
            <v>KARLA SALAZAR</v>
          </cell>
          <cell r="H1564"/>
          <cell r="I1564" t="str">
            <v>H</v>
          </cell>
          <cell r="J1564" t="str">
            <v>Activo</v>
          </cell>
          <cell r="K1564">
            <v>11356.38584142429</v>
          </cell>
          <cell r="L1564">
            <v>1135.638584142429</v>
          </cell>
          <cell r="M1564">
            <v>735.77345349087375</v>
          </cell>
          <cell r="N1564" t="str">
            <v>Si Compra</v>
          </cell>
          <cell r="O1564">
            <v>9</v>
          </cell>
          <cell r="P1564">
            <v>36574.784292070784</v>
          </cell>
          <cell r="Q1564">
            <v>3657.4784292070785</v>
          </cell>
          <cell r="R1564">
            <v>4796.5204206157559</v>
          </cell>
          <cell r="T1564"/>
          <cell r="U1564"/>
          <cell r="V1564">
            <v>0.31049768470914241</v>
          </cell>
          <cell r="W1564">
            <v>4.3363070297268188E-5</v>
          </cell>
          <cell r="X1564">
            <v>10</v>
          </cell>
          <cell r="Y1564" t="str">
            <v>Potenciar</v>
          </cell>
        </row>
        <row r="1565">
          <cell r="A1565" t="str">
            <v>D561</v>
          </cell>
          <cell r="B1565" t="str">
            <v>D561 - FARMACIA SANTO REMEDIO, C.A</v>
          </cell>
          <cell r="C1565" t="str">
            <v>INDEPENDIENTE</v>
          </cell>
          <cell r="D1565">
            <v>3</v>
          </cell>
          <cell r="E1565"/>
          <cell r="F1565" t="str">
            <v>ESTE</v>
          </cell>
          <cell r="G1565" t="str">
            <v>CARLOS BLONDELL</v>
          </cell>
          <cell r="H1565"/>
          <cell r="I1565" t="str">
            <v>A3</v>
          </cell>
          <cell r="J1565" t="str">
            <v>Activo</v>
          </cell>
          <cell r="K1565">
            <v>11312.386429214273</v>
          </cell>
          <cell r="L1565">
            <v>1414.0483036517842</v>
          </cell>
          <cell r="M1565">
            <v>1885.7752097380915</v>
          </cell>
          <cell r="N1565" t="str">
            <v>Si Compra</v>
          </cell>
          <cell r="O1565">
            <v>8</v>
          </cell>
          <cell r="P1565">
            <v>25508.102778066768</v>
          </cell>
          <cell r="Q1565">
            <v>3188.512847258346</v>
          </cell>
          <cell r="R1565">
            <v>2896.37455935559</v>
          </cell>
          <cell r="T1565"/>
          <cell r="U1565"/>
          <cell r="V1565">
            <v>0.44348207813170915</v>
          </cell>
          <cell r="W1565">
            <v>5.3993829420025116E-5</v>
          </cell>
          <cell r="X1565">
            <v>8</v>
          </cell>
          <cell r="Y1565" t="str">
            <v>Potenciar</v>
          </cell>
        </row>
        <row r="1566">
          <cell r="A1566" t="str">
            <v>E324</v>
          </cell>
          <cell r="B1566" t="str">
            <v>UNITAS TRUJILLO</v>
          </cell>
          <cell r="C1566" t="str">
            <v>GRUPO</v>
          </cell>
          <cell r="D1566">
            <v>3</v>
          </cell>
          <cell r="E1566"/>
          <cell r="F1566" t="str">
            <v>ANDES</v>
          </cell>
          <cell r="H1566"/>
          <cell r="I1566"/>
          <cell r="J1566" t="str">
            <v>Activo</v>
          </cell>
          <cell r="K1566">
            <v>11304.815500000001</v>
          </cell>
          <cell r="L1566">
            <v>1884.1359166666668</v>
          </cell>
          <cell r="M1566">
            <v>1846.1443333333334</v>
          </cell>
          <cell r="N1566" t="str">
            <v>Si Compra</v>
          </cell>
          <cell r="O1566">
            <v>6</v>
          </cell>
          <cell r="P1566">
            <v>0</v>
          </cell>
          <cell r="Q1566">
            <v>0</v>
          </cell>
          <cell r="R1566">
            <v>0</v>
          </cell>
          <cell r="S1566"/>
          <cell r="T1566"/>
          <cell r="U1566"/>
          <cell r="V1566">
            <v>0</v>
          </cell>
          <cell r="W1566">
            <v>7.194359133695801E-5</v>
          </cell>
          <cell r="X1566">
            <v>0</v>
          </cell>
          <cell r="Y1566" t="str">
            <v>Conquistar</v>
          </cell>
        </row>
        <row r="1567">
          <cell r="A1567" t="str">
            <v>A963</v>
          </cell>
          <cell r="B1567" t="str">
            <v>A963 - FARMACIA BIOMEDICAL, C.A.</v>
          </cell>
          <cell r="C1567" t="str">
            <v>INDEPENDIENTE</v>
          </cell>
          <cell r="D1567">
            <v>3</v>
          </cell>
          <cell r="E1567"/>
          <cell r="F1567" t="str">
            <v>ESTE</v>
          </cell>
          <cell r="G1567" t="str">
            <v>IRAIDA RODRIGUEZ</v>
          </cell>
          <cell r="H1567"/>
          <cell r="I1567" t="str">
            <v>AB</v>
          </cell>
          <cell r="J1567" t="str">
            <v>Activo</v>
          </cell>
          <cell r="K1567">
            <v>11288.245488082779</v>
          </cell>
          <cell r="L1567">
            <v>1128.824548808278</v>
          </cell>
          <cell r="M1567">
            <v>1238.8837666666666</v>
          </cell>
          <cell r="N1567" t="str">
            <v>Si Compra</v>
          </cell>
          <cell r="O1567">
            <v>10</v>
          </cell>
          <cell r="P1567">
            <v>12512.312048176438</v>
          </cell>
          <cell r="Q1567">
            <v>1251.2312048176439</v>
          </cell>
          <cell r="R1567">
            <v>1289.3535000000002</v>
          </cell>
          <cell r="T1567"/>
          <cell r="U1567"/>
          <cell r="V1567">
            <v>0.90217103318870184</v>
          </cell>
          <cell r="W1567">
            <v>4.3102884092494256E-5</v>
          </cell>
          <cell r="X1567">
            <v>10</v>
          </cell>
          <cell r="Y1567" t="str">
            <v>Proteger</v>
          </cell>
        </row>
        <row r="1568">
          <cell r="A1568" t="str">
            <v>582</v>
          </cell>
          <cell r="B1568" t="str">
            <v>582 - FARMACIA BUBUQUI  C.A.</v>
          </cell>
          <cell r="C1568" t="str">
            <v>INDEPENDIENTE</v>
          </cell>
          <cell r="D1568">
            <v>3</v>
          </cell>
          <cell r="E1568"/>
          <cell r="F1568" t="str">
            <v>ANDES</v>
          </cell>
          <cell r="G1568" t="str">
            <v>ZULAY PARRA</v>
          </cell>
          <cell r="H1568"/>
          <cell r="I1568" t="str">
            <v>5</v>
          </cell>
          <cell r="J1568" t="str">
            <v>Activo</v>
          </cell>
          <cell r="K1568">
            <v>11286.957619662655</v>
          </cell>
          <cell r="L1568">
            <v>1128.6957619662655</v>
          </cell>
          <cell r="M1568">
            <v>773.99295476510736</v>
          </cell>
          <cell r="N1568" t="str">
            <v>Si Compra</v>
          </cell>
          <cell r="O1568">
            <v>10</v>
          </cell>
          <cell r="P1568">
            <v>16886.996545183094</v>
          </cell>
          <cell r="Q1568">
            <v>1688.6996545183094</v>
          </cell>
          <cell r="R1568">
            <v>1130.228008079315</v>
          </cell>
          <cell r="T1568"/>
          <cell r="U1568"/>
          <cell r="V1568">
            <v>0.66838159109366235</v>
          </cell>
          <cell r="W1568">
            <v>4.3097966513115104E-5</v>
          </cell>
          <cell r="X1568">
            <v>10</v>
          </cell>
          <cell r="Y1568" t="str">
            <v>Proteger</v>
          </cell>
        </row>
        <row r="1569">
          <cell r="A1569" t="str">
            <v>6581</v>
          </cell>
          <cell r="B1569" t="str">
            <v>6581 - FARMACIA EL TRANQUERO, C.A.</v>
          </cell>
          <cell r="C1569" t="str">
            <v>INDEPENDIENTE</v>
          </cell>
          <cell r="D1569">
            <v>3</v>
          </cell>
          <cell r="E1569"/>
          <cell r="F1569" t="str">
            <v>CENTRO ESTE</v>
          </cell>
          <cell r="G1569" t="str">
            <v>WILLIBETTI GONZALEZ</v>
          </cell>
          <cell r="H1569"/>
          <cell r="I1569" t="str">
            <v>AF</v>
          </cell>
          <cell r="J1569" t="str">
            <v>Activo</v>
          </cell>
          <cell r="K1569">
            <v>11276.106288602323</v>
          </cell>
          <cell r="L1569">
            <v>1127.6106288602323</v>
          </cell>
          <cell r="M1569">
            <v>772.73396666666667</v>
          </cell>
          <cell r="N1569" t="str">
            <v>Si Compra</v>
          </cell>
          <cell r="O1569">
            <v>10</v>
          </cell>
          <cell r="P1569">
            <v>229179.29874817637</v>
          </cell>
          <cell r="Q1569">
            <v>22917.929874817637</v>
          </cell>
          <cell r="R1569">
            <v>28077.125566666666</v>
          </cell>
          <cell r="T1569"/>
          <cell r="U1569"/>
          <cell r="V1569">
            <v>4.9202115331509838E-2</v>
          </cell>
          <cell r="W1569">
            <v>4.305653193717179E-5</v>
          </cell>
          <cell r="X1569">
            <v>10</v>
          </cell>
          <cell r="Y1569" t="str">
            <v>Conquistar</v>
          </cell>
        </row>
        <row r="1570">
          <cell r="A1570" t="str">
            <v>6508</v>
          </cell>
          <cell r="B1570" t="str">
            <v>6508 - FARMACIA 4B, C.A</v>
          </cell>
          <cell r="C1570" t="str">
            <v>INDEPENDIENTE</v>
          </cell>
          <cell r="D1570">
            <v>0</v>
          </cell>
          <cell r="E1570"/>
          <cell r="F1570" t="str">
            <v>ESTE</v>
          </cell>
          <cell r="G1570" t="str">
            <v>IRAIDA RODRIGUEZ</v>
          </cell>
          <cell r="H1570"/>
          <cell r="I1570" t="str">
            <v>AB</v>
          </cell>
          <cell r="J1570" t="str">
            <v>Bloqueado</v>
          </cell>
          <cell r="K1570">
            <v>11265.632132252951</v>
          </cell>
          <cell r="L1570">
            <v>2253.1264264505903</v>
          </cell>
          <cell r="M1570">
            <v>0</v>
          </cell>
          <cell r="N1570" t="str">
            <v>No Compra</v>
          </cell>
          <cell r="O1570">
            <v>5</v>
          </cell>
          <cell r="P1570">
            <v>0</v>
          </cell>
          <cell r="Q1570">
            <v>0</v>
          </cell>
          <cell r="R1570">
            <v>0</v>
          </cell>
          <cell r="T1570"/>
          <cell r="U1570"/>
          <cell r="V1570">
            <v>0</v>
          </cell>
          <cell r="W1570">
            <v>8.6033075120100008E-5</v>
          </cell>
          <cell r="X1570">
            <v>0</v>
          </cell>
          <cell r="Y1570" t="str">
            <v>Conquistar</v>
          </cell>
        </row>
        <row r="1571">
          <cell r="A1571" t="str">
            <v>9322</v>
          </cell>
          <cell r="B1571" t="str">
            <v>9322 - FARMACIA CENTER SALUD, C.A</v>
          </cell>
          <cell r="C1571" t="str">
            <v>INDEPENDIENTE</v>
          </cell>
          <cell r="D1571">
            <v>3</v>
          </cell>
          <cell r="E1571"/>
          <cell r="F1571" t="str">
            <v>ESTE</v>
          </cell>
          <cell r="G1571" t="str">
            <v>ALEXMAR CASTILLO</v>
          </cell>
          <cell r="H1571"/>
          <cell r="I1571" t="str">
            <v>A1</v>
          </cell>
          <cell r="J1571" t="str">
            <v>Activo</v>
          </cell>
          <cell r="K1571">
            <v>11208.611599999998</v>
          </cell>
          <cell r="L1571">
            <v>1401.0764499999998</v>
          </cell>
          <cell r="M1571">
            <v>966.22440000000006</v>
          </cell>
          <cell r="N1571" t="str">
            <v>Si Compra</v>
          </cell>
          <cell r="O1571">
            <v>8</v>
          </cell>
          <cell r="P1571">
            <v>26477.271600000004</v>
          </cell>
          <cell r="Q1571">
            <v>3309.6589500000005</v>
          </cell>
          <cell r="R1571">
            <v>2387.5526333333332</v>
          </cell>
          <cell r="T1571"/>
          <cell r="U1571"/>
          <cell r="V1571">
            <v>0.42332955484733542</v>
          </cell>
          <cell r="W1571">
            <v>5.3498513912395578E-5</v>
          </cell>
          <cell r="X1571">
            <v>8</v>
          </cell>
          <cell r="Y1571" t="str">
            <v>Potenciar</v>
          </cell>
        </row>
        <row r="1572">
          <cell r="A1572" t="str">
            <v>C829</v>
          </cell>
          <cell r="B1572" t="str">
            <v>C829 - FARMACIA'S J.K, C.A</v>
          </cell>
          <cell r="C1572" t="str">
            <v>INDEPENDIENTE</v>
          </cell>
          <cell r="D1572">
            <v>2</v>
          </cell>
          <cell r="E1572"/>
          <cell r="F1572" t="str">
            <v>CENTRO ESTE</v>
          </cell>
          <cell r="G1572" t="str">
            <v>MARCOS CRUCES</v>
          </cell>
          <cell r="H1572"/>
          <cell r="I1572" t="str">
            <v>$</v>
          </cell>
          <cell r="J1572" t="str">
            <v>Inactivo</v>
          </cell>
          <cell r="K1572">
            <v>11200.478405784821</v>
          </cell>
          <cell r="L1572">
            <v>1400.0598007231026</v>
          </cell>
          <cell r="M1572">
            <v>1066.1923999999999</v>
          </cell>
          <cell r="N1572" t="str">
            <v>Si Compra</v>
          </cell>
          <cell r="O1572">
            <v>8</v>
          </cell>
          <cell r="P1572">
            <v>25550.397266013901</v>
          </cell>
          <cell r="Q1572">
            <v>3193.7996582517376</v>
          </cell>
          <cell r="R1572">
            <v>2054.6268</v>
          </cell>
          <cell r="T1572"/>
          <cell r="U1572"/>
          <cell r="V1572">
            <v>0.4383680726828949</v>
          </cell>
          <cell r="W1572">
            <v>5.3459694313733342E-5</v>
          </cell>
          <cell r="X1572">
            <v>8</v>
          </cell>
          <cell r="Y1572" t="str">
            <v>Potenciar</v>
          </cell>
        </row>
        <row r="1573">
          <cell r="A1573" t="str">
            <v>C874</v>
          </cell>
          <cell r="B1573" t="str">
            <v>C874 - FARMACIA SAN BENITO 2000 C.A</v>
          </cell>
          <cell r="C1573" t="str">
            <v>INDEPENDIENTE</v>
          </cell>
          <cell r="D1573">
            <v>3</v>
          </cell>
          <cell r="E1573"/>
          <cell r="F1573" t="str">
            <v>ANDES</v>
          </cell>
          <cell r="G1573" t="str">
            <v>RAYNE ANDREINA NAVA</v>
          </cell>
          <cell r="H1573"/>
          <cell r="I1573" t="str">
            <v>G1</v>
          </cell>
          <cell r="J1573" t="str">
            <v>Activo</v>
          </cell>
          <cell r="K1573">
            <v>11195.632033486689</v>
          </cell>
          <cell r="L1573">
            <v>1119.5632033486688</v>
          </cell>
          <cell r="M1573">
            <v>639.17583333333334</v>
          </cell>
          <cell r="N1573" t="str">
            <v>Si Compra</v>
          </cell>
          <cell r="O1573">
            <v>10</v>
          </cell>
          <cell r="P1573">
            <v>74129.67378967398</v>
          </cell>
          <cell r="Q1573">
            <v>7412.967378967398</v>
          </cell>
          <cell r="R1573">
            <v>2504.6960333333332</v>
          </cell>
          <cell r="T1573"/>
          <cell r="U1573"/>
          <cell r="V1573">
            <v>0.15102767166157693</v>
          </cell>
          <cell r="W1573">
            <v>4.2749250128467241E-5</v>
          </cell>
          <cell r="X1573">
            <v>10</v>
          </cell>
          <cell r="Y1573" t="str">
            <v>Conquistar</v>
          </cell>
        </row>
        <row r="1574">
          <cell r="A1574" t="str">
            <v>428</v>
          </cell>
          <cell r="B1574" t="str">
            <v>428 - FARMACIA LA ROMERA C.A.</v>
          </cell>
          <cell r="C1574" t="str">
            <v>INDEPENDIENTE</v>
          </cell>
          <cell r="D1574">
            <v>3</v>
          </cell>
          <cell r="E1574"/>
          <cell r="F1574" t="str">
            <v>ANDES</v>
          </cell>
          <cell r="G1574" t="str">
            <v>MARIA GABRIELA FORTUL</v>
          </cell>
          <cell r="H1574"/>
          <cell r="I1574" t="str">
            <v xml:space="preserve">3 </v>
          </cell>
          <cell r="J1574" t="str">
            <v>Activo</v>
          </cell>
          <cell r="K1574">
            <v>11155.163506421377</v>
          </cell>
          <cell r="L1574">
            <v>1115.5163506421377</v>
          </cell>
          <cell r="M1574">
            <v>1181.7427666666665</v>
          </cell>
          <cell r="N1574" t="str">
            <v>Si Compra</v>
          </cell>
          <cell r="O1574">
            <v>10</v>
          </cell>
          <cell r="P1574">
            <v>24167.264933201815</v>
          </cell>
          <cell r="Q1574">
            <v>2416.7264933201814</v>
          </cell>
          <cell r="R1574">
            <v>1867.0051666666666</v>
          </cell>
          <cell r="T1574"/>
          <cell r="U1574"/>
          <cell r="V1574">
            <v>0.46158154583293504</v>
          </cell>
          <cell r="W1574">
            <v>4.2594725651361244E-5</v>
          </cell>
          <cell r="X1574">
            <v>10</v>
          </cell>
          <cell r="Y1574" t="str">
            <v>Potenciar</v>
          </cell>
        </row>
        <row r="1575">
          <cell r="A1575" t="str">
            <v>D537</v>
          </cell>
          <cell r="B1575" t="str">
            <v>D537 - FARMACIA YACARJARI FARMA, C.A</v>
          </cell>
          <cell r="C1575" t="str">
            <v>INDEPENDIENTE</v>
          </cell>
          <cell r="D1575">
            <v>3</v>
          </cell>
          <cell r="E1575"/>
          <cell r="F1575" t="str">
            <v>CENTRO ESTE</v>
          </cell>
          <cell r="G1575" t="str">
            <v>KARLA SALAZAR</v>
          </cell>
          <cell r="H1575"/>
          <cell r="I1575" t="str">
            <v>H</v>
          </cell>
          <cell r="J1575" t="str">
            <v>Activo</v>
          </cell>
          <cell r="K1575">
            <v>11141.645587950023</v>
          </cell>
          <cell r="L1575">
            <v>1114.1645587950022</v>
          </cell>
          <cell r="M1575">
            <v>625.68926666666664</v>
          </cell>
          <cell r="N1575" t="str">
            <v>Si Compra</v>
          </cell>
          <cell r="O1575">
            <v>10</v>
          </cell>
          <cell r="P1575">
            <v>265238.52156636311</v>
          </cell>
          <cell r="Q1575">
            <v>26523.852156636312</v>
          </cell>
          <cell r="R1575">
            <v>9179.7604666666666</v>
          </cell>
          <cell r="T1575"/>
          <cell r="U1575"/>
          <cell r="V1575">
            <v>4.2006136673335227E-2</v>
          </cell>
          <cell r="W1575">
            <v>4.2543109014067375E-5</v>
          </cell>
          <cell r="X1575">
            <v>10</v>
          </cell>
          <cell r="Y1575" t="str">
            <v>Conquistar</v>
          </cell>
        </row>
        <row r="1576">
          <cell r="A1576" t="str">
            <v>A924</v>
          </cell>
          <cell r="B1576" t="str">
            <v>A924 - FARMA D EL PILAR, C.A.</v>
          </cell>
          <cell r="C1576" t="str">
            <v>INDEPENDIENTE</v>
          </cell>
          <cell r="D1576">
            <v>3</v>
          </cell>
          <cell r="E1576"/>
          <cell r="F1576" t="str">
            <v>CENTRO OESTE</v>
          </cell>
          <cell r="G1576" t="str">
            <v>LUIS PLACERES</v>
          </cell>
          <cell r="H1576"/>
          <cell r="I1576" t="str">
            <v>E</v>
          </cell>
          <cell r="J1576" t="str">
            <v>Activo</v>
          </cell>
          <cell r="K1576">
            <v>11139.853000000001</v>
          </cell>
          <cell r="L1576">
            <v>1113.9853000000001</v>
          </cell>
          <cell r="M1576">
            <v>904.76773333333347</v>
          </cell>
          <cell r="N1576" t="str">
            <v>Si Compra</v>
          </cell>
          <cell r="O1576">
            <v>10</v>
          </cell>
          <cell r="P1576">
            <v>13242.254000000001</v>
          </cell>
          <cell r="Q1576">
            <v>1324.2254</v>
          </cell>
          <cell r="R1576">
            <v>807.82776666666666</v>
          </cell>
          <cell r="T1576"/>
          <cell r="U1576"/>
          <cell r="V1576">
            <v>0.84123541203786001</v>
          </cell>
          <cell r="W1576">
            <v>4.2536264220452904E-5</v>
          </cell>
          <cell r="X1576">
            <v>10</v>
          </cell>
          <cell r="Y1576" t="str">
            <v>Proteger</v>
          </cell>
        </row>
        <row r="1577">
          <cell r="A1577" t="str">
            <v>5204</v>
          </cell>
          <cell r="B1577" t="str">
            <v>5204 - FARMACIA LA AVENIDA, C.A.</v>
          </cell>
          <cell r="C1577" t="str">
            <v>INDEPENDIENTE</v>
          </cell>
          <cell r="D1577">
            <v>3</v>
          </cell>
          <cell r="E1577"/>
          <cell r="F1577" t="str">
            <v>CENTRO ESTE</v>
          </cell>
          <cell r="G1577" t="str">
            <v>WILLIBETTI GONZALEZ</v>
          </cell>
          <cell r="H1577"/>
          <cell r="I1577" t="str">
            <v>AF</v>
          </cell>
          <cell r="J1577" t="str">
            <v>Activo</v>
          </cell>
          <cell r="K1577">
            <v>11134.304444317795</v>
          </cell>
          <cell r="L1577">
            <v>1113.4304444317795</v>
          </cell>
          <cell r="M1577">
            <v>1417.5511169599831</v>
          </cell>
          <cell r="N1577" t="str">
            <v>Si Compra</v>
          </cell>
          <cell r="O1577">
            <v>10</v>
          </cell>
          <cell r="P1577">
            <v>98351.508005001437</v>
          </cell>
          <cell r="Q1577">
            <v>9835.1508005001433</v>
          </cell>
          <cell r="R1577">
            <v>11496.821174919583</v>
          </cell>
          <cell r="T1577"/>
          <cell r="U1577"/>
          <cell r="V1577">
            <v>0.11320929053524616</v>
          </cell>
          <cell r="W1577">
            <v>4.2515077690384672E-5</v>
          </cell>
          <cell r="X1577">
            <v>10</v>
          </cell>
          <cell r="Y1577" t="str">
            <v>Conquistar</v>
          </cell>
        </row>
        <row r="1578">
          <cell r="A1578" t="str">
            <v>A488</v>
          </cell>
          <cell r="B1578" t="str">
            <v>A488 - SUPER FARMA RV, C.A.</v>
          </cell>
          <cell r="C1578" t="str">
            <v>INDEPENDIENTE</v>
          </cell>
          <cell r="D1578">
            <v>3</v>
          </cell>
          <cell r="E1578"/>
          <cell r="F1578" t="str">
            <v>ESTE</v>
          </cell>
          <cell r="G1578" t="str">
            <v>CARMEN ALCALA</v>
          </cell>
          <cell r="H1578"/>
          <cell r="I1578" t="str">
            <v>A0</v>
          </cell>
          <cell r="J1578" t="str">
            <v>Inactivo</v>
          </cell>
          <cell r="K1578">
            <v>11125.719498498391</v>
          </cell>
          <cell r="L1578">
            <v>1112.571949849839</v>
          </cell>
          <cell r="M1578">
            <v>1855.3044666666665</v>
          </cell>
          <cell r="N1578" t="str">
            <v>Si Compra</v>
          </cell>
          <cell r="O1578">
            <v>10</v>
          </cell>
          <cell r="P1578">
            <v>13962.626589897545</v>
          </cell>
          <cell r="Q1578">
            <v>1396.2626589897545</v>
          </cell>
          <cell r="R1578">
            <v>2051.8919000000001</v>
          </cell>
          <cell r="T1578"/>
          <cell r="U1578"/>
          <cell r="V1578">
            <v>0.79682138792913382</v>
          </cell>
          <cell r="W1578">
            <v>4.2482297049231462E-5</v>
          </cell>
          <cell r="X1578">
            <v>10</v>
          </cell>
          <cell r="Y1578" t="str">
            <v>Proteger</v>
          </cell>
        </row>
        <row r="1579">
          <cell r="A1579" t="str">
            <v>4849</v>
          </cell>
          <cell r="B1579" t="str">
            <v>4849 - FARMACIA LA DOLORITA C.A.</v>
          </cell>
          <cell r="C1579" t="str">
            <v>INDEPENDIENTE</v>
          </cell>
          <cell r="D1579">
            <v>3</v>
          </cell>
          <cell r="E1579"/>
          <cell r="F1579" t="str">
            <v>CENTRO OESTE</v>
          </cell>
          <cell r="G1579" t="str">
            <v>YAMILEX LAMEDA</v>
          </cell>
          <cell r="H1579"/>
          <cell r="I1579" t="str">
            <v>Y1</v>
          </cell>
          <cell r="J1579" t="str">
            <v>Activo</v>
          </cell>
          <cell r="K1579">
            <v>11113.783554329801</v>
          </cell>
          <cell r="L1579">
            <v>1111.37835543298</v>
          </cell>
          <cell r="M1579">
            <v>1145.4969992640069</v>
          </cell>
          <cell r="N1579" t="str">
            <v>Si Compra</v>
          </cell>
          <cell r="O1579">
            <v>10</v>
          </cell>
          <cell r="P1579">
            <v>33676.853409967269</v>
          </cell>
          <cell r="Q1579">
            <v>3367.6853409967271</v>
          </cell>
          <cell r="R1579">
            <v>2016.9714470988126</v>
          </cell>
          <cell r="T1579"/>
          <cell r="U1579"/>
          <cell r="V1579">
            <v>0.33001252875485321</v>
          </cell>
          <cell r="W1579">
            <v>4.2436721001246294E-5</v>
          </cell>
          <cell r="X1579">
            <v>10</v>
          </cell>
          <cell r="Y1579" t="str">
            <v>Potenciar</v>
          </cell>
        </row>
        <row r="1580">
          <cell r="A1580" t="str">
            <v>5518</v>
          </cell>
          <cell r="B1580" t="str">
            <v>5518 - FARMACIA MAR AZUL,C.A</v>
          </cell>
          <cell r="C1580" t="e">
            <v>#N/A</v>
          </cell>
          <cell r="D1580">
            <v>3</v>
          </cell>
          <cell r="E1580"/>
          <cell r="F1580" t="str">
            <v>CENTRO ESTE</v>
          </cell>
          <cell r="G1580" t="str">
            <v>ELIANA PERAZA</v>
          </cell>
          <cell r="H1580"/>
          <cell r="I1580" t="str">
            <v>I</v>
          </cell>
          <cell r="J1580" t="str">
            <v>Activo</v>
          </cell>
          <cell r="K1580">
            <v>11067.891465009005</v>
          </cell>
          <cell r="L1580">
            <v>2766.9728662522512</v>
          </cell>
          <cell r="M1580">
            <v>3114.8902216696683</v>
          </cell>
          <cell r="N1580" t="str">
            <v>Si Compra</v>
          </cell>
          <cell r="O1580">
            <v>4</v>
          </cell>
          <cell r="P1580">
            <v>12434.24372547026</v>
          </cell>
          <cell r="Q1580">
            <v>3108.560931367565</v>
          </cell>
          <cell r="R1580">
            <v>3470.9871751567539</v>
          </cell>
          <cell r="T1580"/>
          <cell r="U1580"/>
          <cell r="V1580">
            <v>0.89011376239453754</v>
          </cell>
          <cell r="W1580">
            <v>1.0565371816821069E-4</v>
          </cell>
          <cell r="X1580">
            <v>4</v>
          </cell>
          <cell r="Y1580" t="str">
            <v>Proteger</v>
          </cell>
        </row>
        <row r="1581">
          <cell r="A1581" t="str">
            <v>A646</v>
          </cell>
          <cell r="B1581" t="str">
            <v>A646 - FARMACIA DANIVAN III, C.A.</v>
          </cell>
          <cell r="C1581" t="e">
            <v>#N/A</v>
          </cell>
          <cell r="D1581">
            <v>3</v>
          </cell>
          <cell r="E1581"/>
          <cell r="F1581" t="str">
            <v>ESTE</v>
          </cell>
          <cell r="G1581">
            <v>0</v>
          </cell>
          <cell r="H1581"/>
          <cell r="I1581" t="str">
            <v>A8</v>
          </cell>
          <cell r="J1581" t="str">
            <v>Activo</v>
          </cell>
          <cell r="K1581">
            <v>11060.252500374216</v>
          </cell>
          <cell r="L1581">
            <v>1843.375416729036</v>
          </cell>
          <cell r="M1581">
            <v>2320.4294001247385</v>
          </cell>
          <cell r="N1581" t="str">
            <v>Si Compra</v>
          </cell>
          <cell r="O1581">
            <v>6</v>
          </cell>
          <cell r="P1581">
            <v>0</v>
          </cell>
          <cell r="Q1581">
            <v>0</v>
          </cell>
          <cell r="R1581">
            <v>0</v>
          </cell>
          <cell r="T1581"/>
          <cell r="U1581"/>
          <cell r="V1581">
            <v>0</v>
          </cell>
          <cell r="W1581">
            <v>7.0387197913180502E-5</v>
          </cell>
          <cell r="X1581">
            <v>0</v>
          </cell>
          <cell r="Y1581" t="str">
            <v>Conquistar</v>
          </cell>
        </row>
        <row r="1582">
          <cell r="A1582" t="str">
            <v>D733</v>
          </cell>
          <cell r="B1582" t="str">
            <v>D733 - FARMACIA NUESTRA SEÑORA DE LOURDES, C.A.</v>
          </cell>
          <cell r="C1582" t="str">
            <v>INDEPENDIENTE</v>
          </cell>
          <cell r="D1582">
            <v>3</v>
          </cell>
          <cell r="E1582"/>
          <cell r="F1582" t="str">
            <v>CENTRO ESTE</v>
          </cell>
          <cell r="G1582" t="str">
            <v>KARLA SALAZAR</v>
          </cell>
          <cell r="H1582"/>
          <cell r="I1582" t="str">
            <v>O</v>
          </cell>
          <cell r="J1582" t="str">
            <v>Activo</v>
          </cell>
          <cell r="K1582">
            <v>11056.004195369007</v>
          </cell>
          <cell r="L1582">
            <v>1105.6004195369007</v>
          </cell>
          <cell r="M1582">
            <v>657.21013816788854</v>
          </cell>
          <cell r="N1582" t="str">
            <v>Si Compra</v>
          </cell>
          <cell r="O1582">
            <v>10</v>
          </cell>
          <cell r="P1582">
            <v>76077.107182629843</v>
          </cell>
          <cell r="Q1582">
            <v>7607.7107182629843</v>
          </cell>
          <cell r="R1582">
            <v>5283.0092851119671</v>
          </cell>
          <cell r="T1582"/>
          <cell r="U1582"/>
          <cell r="V1582">
            <v>0.14532629597531999</v>
          </cell>
          <cell r="W1582">
            <v>4.2216097077461606E-5</v>
          </cell>
          <cell r="X1582">
            <v>10</v>
          </cell>
          <cell r="Y1582" t="str">
            <v>Conquistar</v>
          </cell>
        </row>
        <row r="1583">
          <cell r="A1583" t="str">
            <v>E618</v>
          </cell>
          <cell r="B1583" t="str">
            <v>E618 - EXPENDIO DE MEDICINAS LA FORTUNA, C.A.</v>
          </cell>
          <cell r="C1583" t="e">
            <v>#N/A</v>
          </cell>
          <cell r="D1583">
            <v>3</v>
          </cell>
          <cell r="F1583" t="str">
            <v>MARACAIBO</v>
          </cell>
          <cell r="G1583">
            <v>0</v>
          </cell>
          <cell r="H1583"/>
          <cell r="I1583" t="str">
            <v>B</v>
          </cell>
          <cell r="J1583" t="str">
            <v>Activo</v>
          </cell>
          <cell r="K1583">
            <v>11050.7451</v>
          </cell>
          <cell r="L1583">
            <v>3683.5817000000002</v>
          </cell>
          <cell r="M1583">
            <v>3683.5817000000002</v>
          </cell>
          <cell r="N1583" t="str">
            <v>Si Compra</v>
          </cell>
          <cell r="O1583">
            <v>3</v>
          </cell>
          <cell r="P1583">
            <v>0</v>
          </cell>
          <cell r="Q1583">
            <v>0</v>
          </cell>
          <cell r="R1583">
            <v>0</v>
          </cell>
          <cell r="V1583">
            <v>0</v>
          </cell>
          <cell r="W1583">
            <v>1.4065338606247775E-4</v>
          </cell>
          <cell r="X1583">
            <v>0</v>
          </cell>
          <cell r="Y1583" t="str">
            <v>Conquistar</v>
          </cell>
        </row>
        <row r="1584">
          <cell r="A1584" t="str">
            <v>7751</v>
          </cell>
          <cell r="B1584" t="str">
            <v>7751 - FARMACIA GALENOS,C.A</v>
          </cell>
          <cell r="C1584" t="str">
            <v>INDEPENDIENTE</v>
          </cell>
          <cell r="D1584">
            <v>0</v>
          </cell>
          <cell r="E1584"/>
          <cell r="F1584" t="str">
            <v>CENTRO ESTE</v>
          </cell>
          <cell r="G1584" t="str">
            <v>LAURA FLORES</v>
          </cell>
          <cell r="H1584"/>
          <cell r="I1584" t="str">
            <v>-</v>
          </cell>
          <cell r="J1584" t="str">
            <v>Bloqueado</v>
          </cell>
          <cell r="K1584">
            <v>11048.724146539571</v>
          </cell>
          <cell r="L1584">
            <v>1841.4540244232619</v>
          </cell>
          <cell r="M1584">
            <v>0</v>
          </cell>
          <cell r="N1584" t="str">
            <v>No Compra</v>
          </cell>
          <cell r="O1584">
            <v>6</v>
          </cell>
          <cell r="P1584">
            <v>20030.781255598598</v>
          </cell>
          <cell r="Q1584">
            <v>3338.4635425997662</v>
          </cell>
          <cell r="R1584">
            <v>0</v>
          </cell>
          <cell r="T1584"/>
          <cell r="U1584"/>
          <cell r="V1584">
            <v>0.55158727987464073</v>
          </cell>
          <cell r="W1584">
            <v>7.0313831728914368E-5</v>
          </cell>
          <cell r="X1584">
            <v>6</v>
          </cell>
          <cell r="Y1584" t="str">
            <v>Potenciar</v>
          </cell>
        </row>
        <row r="1585">
          <cell r="A1585" t="str">
            <v>E194</v>
          </cell>
          <cell r="B1585" t="str">
            <v>E194 - INVERSIONES GREMIOS MATUGIL, C.A.</v>
          </cell>
          <cell r="C1585" t="str">
            <v>INDEPENDIENTE</v>
          </cell>
          <cell r="D1585">
            <v>3</v>
          </cell>
          <cell r="F1585" t="str">
            <v>CARACAS</v>
          </cell>
          <cell r="G1585">
            <v>0</v>
          </cell>
          <cell r="H1585"/>
          <cell r="I1585" t="str">
            <v>C6</v>
          </cell>
          <cell r="J1585" t="str">
            <v>Inactivo</v>
          </cell>
          <cell r="K1585">
            <v>11035.752944342839</v>
          </cell>
          <cell r="L1585">
            <v>1379.4691180428549</v>
          </cell>
          <cell r="M1585">
            <v>1189.7226244714564</v>
          </cell>
          <cell r="N1585" t="str">
            <v>Si Compra</v>
          </cell>
          <cell r="O1585">
            <v>8</v>
          </cell>
          <cell r="P1585">
            <v>0</v>
          </cell>
          <cell r="Q1585">
            <v>0</v>
          </cell>
          <cell r="R1585">
            <v>0</v>
          </cell>
          <cell r="V1585">
            <v>0</v>
          </cell>
          <cell r="W1585">
            <v>5.2673462467616051E-5</v>
          </cell>
          <cell r="X1585">
            <v>0</v>
          </cell>
          <cell r="Y1585" t="str">
            <v>Conquistar</v>
          </cell>
        </row>
        <row r="1586">
          <cell r="A1586" t="str">
            <v>D245</v>
          </cell>
          <cell r="B1586" t="str">
            <v>D245 - FARMACIA PHARMAPLUS, C.A.</v>
          </cell>
          <cell r="C1586" t="str">
            <v>INDEPENDIENTE</v>
          </cell>
          <cell r="D1586">
            <v>3</v>
          </cell>
          <cell r="E1586"/>
          <cell r="F1586" t="str">
            <v>ANDES</v>
          </cell>
          <cell r="G1586" t="str">
            <v>JESUS CONTRERAS</v>
          </cell>
          <cell r="H1586"/>
          <cell r="I1586" t="str">
            <v>G2</v>
          </cell>
          <cell r="J1586" t="str">
            <v>Activo</v>
          </cell>
          <cell r="K1586">
            <v>10977.887669681915</v>
          </cell>
          <cell r="L1586">
            <v>1097.7887669681916</v>
          </cell>
          <cell r="M1586">
            <v>753.42909999999995</v>
          </cell>
          <cell r="N1586" t="str">
            <v>Si Compra</v>
          </cell>
          <cell r="O1586">
            <v>10</v>
          </cell>
          <cell r="P1586">
            <v>34605.733791790131</v>
          </cell>
          <cell r="Q1586">
            <v>3460.573379179013</v>
          </cell>
          <cell r="R1586">
            <v>1635.6253333333332</v>
          </cell>
          <cell r="T1586"/>
          <cell r="U1586"/>
          <cell r="V1586">
            <v>0.31722742062722309</v>
          </cell>
          <cell r="W1586">
            <v>4.1917817990959302E-5</v>
          </cell>
          <cell r="X1586">
            <v>10</v>
          </cell>
          <cell r="Y1586" t="str">
            <v>Potenciar</v>
          </cell>
        </row>
        <row r="1587">
          <cell r="A1587" t="str">
            <v>E429</v>
          </cell>
          <cell r="B1587" t="str">
            <v>E429 - EXPENDIO DE MEDICINAS JR C.A.</v>
          </cell>
          <cell r="C1587" t="e">
            <v>#N/A</v>
          </cell>
          <cell r="D1587">
            <v>3</v>
          </cell>
          <cell r="F1587" t="str">
            <v>ESTE</v>
          </cell>
          <cell r="G1587">
            <v>0</v>
          </cell>
          <cell r="H1587"/>
          <cell r="I1587" t="str">
            <v>AB</v>
          </cell>
          <cell r="J1587" t="str">
            <v>Activo</v>
          </cell>
          <cell r="K1587">
            <v>10972.567921730175</v>
          </cell>
          <cell r="L1587">
            <v>2194.5135843460348</v>
          </cell>
          <cell r="M1587">
            <v>1871.6685047745048</v>
          </cell>
          <cell r="N1587" t="str">
            <v>Si Compra</v>
          </cell>
          <cell r="O1587">
            <v>5</v>
          </cell>
          <cell r="P1587">
            <v>0</v>
          </cell>
          <cell r="Q1587">
            <v>0</v>
          </cell>
          <cell r="R1587">
            <v>0</v>
          </cell>
          <cell r="V1587">
            <v>0</v>
          </cell>
          <cell r="W1587">
            <v>8.3795010274476778E-5</v>
          </cell>
          <cell r="X1587">
            <v>0</v>
          </cell>
          <cell r="Y1587" t="str">
            <v>Conquistar</v>
          </cell>
        </row>
        <row r="1588">
          <cell r="A1588" t="str">
            <v>D098</v>
          </cell>
          <cell r="B1588" t="str">
            <v>D098 - FARMACIA LIDER C.A.</v>
          </cell>
          <cell r="C1588" t="str">
            <v>INDEPENDIENTE</v>
          </cell>
          <cell r="D1588">
            <v>3</v>
          </cell>
          <cell r="E1588"/>
          <cell r="F1588" t="str">
            <v>ESTE</v>
          </cell>
          <cell r="G1588" t="str">
            <v>CARLOS BLONDELL</v>
          </cell>
          <cell r="H1588"/>
          <cell r="I1588" t="str">
            <v>A3</v>
          </cell>
          <cell r="J1588" t="str">
            <v>Activo</v>
          </cell>
          <cell r="K1588">
            <v>10965.693595483002</v>
          </cell>
          <cell r="L1588">
            <v>1566.5276564975718</v>
          </cell>
          <cell r="M1588">
            <v>1883.4182372939179</v>
          </cell>
          <cell r="N1588" t="str">
            <v>Si Compra</v>
          </cell>
          <cell r="O1588">
            <v>7</v>
          </cell>
          <cell r="P1588">
            <v>32089.207602109062</v>
          </cell>
          <cell r="Q1588">
            <v>4584.1725145870087</v>
          </cell>
          <cell r="R1588">
            <v>3950.7340432783726</v>
          </cell>
          <cell r="T1588"/>
          <cell r="U1588"/>
          <cell r="V1588">
            <v>0.34172528444617256</v>
          </cell>
          <cell r="W1588">
            <v>5.9816080432504445E-5</v>
          </cell>
          <cell r="X1588">
            <v>7</v>
          </cell>
          <cell r="Y1588" t="str">
            <v>Potenciar</v>
          </cell>
        </row>
        <row r="1589">
          <cell r="A1589" t="str">
            <v>D093</v>
          </cell>
          <cell r="B1589" t="str">
            <v>ORLANDO FLORES</v>
          </cell>
          <cell r="C1589" t="str">
            <v>GRUPO</v>
          </cell>
          <cell r="D1589">
            <v>3</v>
          </cell>
          <cell r="E1589"/>
          <cell r="F1589" t="str">
            <v>MARACAIBO</v>
          </cell>
          <cell r="H1589"/>
          <cell r="I1589"/>
          <cell r="J1589" t="str">
            <v>Inactivo</v>
          </cell>
          <cell r="K1589">
            <v>10926.866324030061</v>
          </cell>
          <cell r="L1589">
            <v>1092.6866324030061</v>
          </cell>
          <cell r="M1589">
            <v>1067.6996666666666</v>
          </cell>
          <cell r="N1589" t="str">
            <v>Si Compra</v>
          </cell>
          <cell r="O1589">
            <v>10</v>
          </cell>
          <cell r="P1589">
            <v>16654.571875664005</v>
          </cell>
          <cell r="Q1589">
            <v>1665.4571875664005</v>
          </cell>
          <cell r="R1589">
            <v>1165.5826999999999</v>
          </cell>
          <cell r="S1589"/>
          <cell r="T1589"/>
          <cell r="U1589"/>
          <cell r="V1589">
            <v>0.65608809434462967</v>
          </cell>
          <cell r="W1589">
            <v>4.1722998773907666E-5</v>
          </cell>
          <cell r="X1589">
            <v>10</v>
          </cell>
          <cell r="Y1589" t="str">
            <v>Proteger</v>
          </cell>
        </row>
        <row r="1590">
          <cell r="A1590" t="str">
            <v>D294</v>
          </cell>
          <cell r="B1590" t="str">
            <v>D294 - FARMACIA + VIDA CHACON F.P.</v>
          </cell>
          <cell r="C1590" t="str">
            <v>INDEPENDIENTE</v>
          </cell>
          <cell r="D1590">
            <v>0</v>
          </cell>
          <cell r="E1590"/>
          <cell r="F1590" t="str">
            <v>ANDES</v>
          </cell>
          <cell r="G1590" t="str">
            <v>JESUS CONTRERAS</v>
          </cell>
          <cell r="H1590"/>
          <cell r="I1590" t="str">
            <v>G2</v>
          </cell>
          <cell r="J1590" t="str">
            <v>Bloqueado</v>
          </cell>
          <cell r="K1590">
            <v>10917.166499999999</v>
          </cell>
          <cell r="L1590">
            <v>3639.0554999999999</v>
          </cell>
          <cell r="M1590">
            <v>0</v>
          </cell>
          <cell r="N1590" t="str">
            <v>No Compra</v>
          </cell>
          <cell r="O1590">
            <v>3</v>
          </cell>
          <cell r="P1590">
            <v>16047.330900000001</v>
          </cell>
          <cell r="Q1590">
            <v>5349.1103000000003</v>
          </cell>
          <cell r="R1590">
            <v>0</v>
          </cell>
          <cell r="T1590"/>
          <cell r="U1590"/>
          <cell r="V1590">
            <v>0.68031042470745084</v>
          </cell>
          <cell r="W1590">
            <v>1.3895320365618139E-4</v>
          </cell>
          <cell r="X1590">
            <v>3</v>
          </cell>
          <cell r="Y1590" t="str">
            <v>Proteger</v>
          </cell>
        </row>
        <row r="1591">
          <cell r="A1591" t="str">
            <v>7904</v>
          </cell>
          <cell r="B1591" t="str">
            <v>LEDEZMA CARMONA</v>
          </cell>
          <cell r="C1591" t="str">
            <v>GRUPO</v>
          </cell>
          <cell r="D1591">
            <v>6</v>
          </cell>
          <cell r="E1591">
            <v>0</v>
          </cell>
          <cell r="F1591" t="str">
            <v>CENTRO OESTE</v>
          </cell>
          <cell r="G1591" t="str">
            <v/>
          </cell>
          <cell r="H1591" t="str">
            <v>HECTOR</v>
          </cell>
          <cell r="I1591">
            <v>0</v>
          </cell>
          <cell r="J1591" t="str">
            <v>Activo</v>
          </cell>
          <cell r="K1591">
            <v>10893.126797249657</v>
          </cell>
          <cell r="L1591">
            <v>1089.3126797249656</v>
          </cell>
          <cell r="M1591">
            <v>937.79863241655187</v>
          </cell>
          <cell r="N1591" t="str">
            <v>Si Compra</v>
          </cell>
          <cell r="O1591">
            <v>10</v>
          </cell>
          <cell r="P1591">
            <v>53633.111951380757</v>
          </cell>
          <cell r="Q1591">
            <v>5363.3111951380761</v>
          </cell>
          <cell r="R1591">
            <v>5227.4947171269168</v>
          </cell>
          <cell r="S1591">
            <v>200</v>
          </cell>
          <cell r="T1591">
            <v>0</v>
          </cell>
          <cell r="U1591">
            <v>0</v>
          </cell>
          <cell r="V1591">
            <v>0.20310450766169308</v>
          </cell>
          <cell r="W1591">
            <v>4.1594168220595665E-5</v>
          </cell>
          <cell r="X1591">
            <v>10</v>
          </cell>
          <cell r="Y1591" t="str">
            <v>Conquistar</v>
          </cell>
        </row>
        <row r="1592">
          <cell r="A1592" t="str">
            <v>B741</v>
          </cell>
          <cell r="B1592" t="str">
            <v>B741 - FARMAVIDA 2022, C.A.</v>
          </cell>
          <cell r="C1592" t="str">
            <v>INDEPENDIENTE</v>
          </cell>
          <cell r="D1592">
            <v>3</v>
          </cell>
          <cell r="E1592"/>
          <cell r="F1592" t="str">
            <v>ESTE</v>
          </cell>
          <cell r="G1592" t="str">
            <v>ALEXMAR CASTILLO</v>
          </cell>
          <cell r="H1592"/>
          <cell r="I1592" t="str">
            <v>A1</v>
          </cell>
          <cell r="J1592" t="str">
            <v>Suspendido</v>
          </cell>
          <cell r="K1592">
            <v>10886.856023857899</v>
          </cell>
          <cell r="L1592">
            <v>1555.2651462654142</v>
          </cell>
          <cell r="M1592">
            <v>1240.5391704422091</v>
          </cell>
          <cell r="N1592" t="str">
            <v>Si Compra</v>
          </cell>
          <cell r="O1592">
            <v>7</v>
          </cell>
          <cell r="P1592">
            <v>650131.61817440554</v>
          </cell>
          <cell r="Q1592">
            <v>92875.945453486507</v>
          </cell>
          <cell r="R1592">
            <v>53971.945102473313</v>
          </cell>
          <cell r="T1592"/>
          <cell r="U1592"/>
          <cell r="V1592">
            <v>1.6745618455580744E-2</v>
          </cell>
          <cell r="W1592">
            <v>5.9386034263115488E-5</v>
          </cell>
          <cell r="X1592">
            <v>7</v>
          </cell>
          <cell r="Y1592" t="str">
            <v>Conquistar</v>
          </cell>
        </row>
        <row r="1593">
          <cell r="A1593" t="str">
            <v>119</v>
          </cell>
          <cell r="B1593" t="str">
            <v>119 - FARMACIA FARMATENCION, C.A.,</v>
          </cell>
          <cell r="C1593" t="e">
            <v>#N/A</v>
          </cell>
          <cell r="D1593">
            <v>1</v>
          </cell>
          <cell r="E1593"/>
          <cell r="F1593" t="str">
            <v>CARACAS</v>
          </cell>
          <cell r="G1593" t="str">
            <v>JHON TORRES</v>
          </cell>
          <cell r="H1593"/>
          <cell r="I1593" t="str">
            <v>2</v>
          </cell>
          <cell r="J1593" t="str">
            <v>Bloqueado</v>
          </cell>
          <cell r="K1593">
            <v>10865.674184648577</v>
          </cell>
          <cell r="L1593">
            <v>1358.2092730810721</v>
          </cell>
          <cell r="M1593">
            <v>744.66549999999995</v>
          </cell>
          <cell r="N1593" t="str">
            <v>Si Compra</v>
          </cell>
          <cell r="O1593">
            <v>8</v>
          </cell>
          <cell r="P1593">
            <v>34271.155559164428</v>
          </cell>
          <cell r="Q1593">
            <v>4283.8944448955535</v>
          </cell>
          <cell r="R1593">
            <v>2153.9086000000002</v>
          </cell>
          <cell r="T1593"/>
          <cell r="U1593"/>
          <cell r="V1593">
            <v>0.31705012589641124</v>
          </cell>
          <cell r="W1593">
            <v>5.1861679419329632E-5</v>
          </cell>
          <cell r="X1593">
            <v>8</v>
          </cell>
          <cell r="Y1593" t="str">
            <v>Potenciar</v>
          </cell>
        </row>
        <row r="1594">
          <cell r="A1594" t="str">
            <v>7222</v>
          </cell>
          <cell r="B1594" t="str">
            <v>7222 - FARMACIA SUPERFARMA L.C, C.A</v>
          </cell>
          <cell r="C1594" t="str">
            <v>INDEPENDIENTE</v>
          </cell>
          <cell r="D1594">
            <v>3</v>
          </cell>
          <cell r="E1594"/>
          <cell r="F1594" t="str">
            <v>CARACAS</v>
          </cell>
          <cell r="G1594" t="str">
            <v>MAIRE ACOSTA FERNANDEZ</v>
          </cell>
          <cell r="H1594"/>
          <cell r="I1594" t="str">
            <v>C9</v>
          </cell>
          <cell r="J1594" t="str">
            <v>Activo</v>
          </cell>
          <cell r="K1594">
            <v>10847.878235730212</v>
          </cell>
          <cell r="L1594">
            <v>1084.7878235730211</v>
          </cell>
          <cell r="M1594">
            <v>1518.604111910071</v>
          </cell>
          <cell r="N1594" t="str">
            <v>Si Compra</v>
          </cell>
          <cell r="O1594">
            <v>10</v>
          </cell>
          <cell r="P1594">
            <v>19320.914889046759</v>
          </cell>
          <cell r="Q1594">
            <v>1932.0914889046758</v>
          </cell>
          <cell r="R1594">
            <v>1909.3480963489208</v>
          </cell>
          <cell r="T1594"/>
          <cell r="U1594"/>
          <cell r="V1594">
            <v>0.56145779317520794</v>
          </cell>
          <cell r="W1594">
            <v>4.1421391724497683E-5</v>
          </cell>
          <cell r="X1594">
            <v>10</v>
          </cell>
          <cell r="Y1594" t="str">
            <v>Potenciar</v>
          </cell>
        </row>
        <row r="1595">
          <cell r="A1595" t="str">
            <v>E353</v>
          </cell>
          <cell r="B1595" t="str">
            <v>E353 - H.C.V. GROUP HOLDING, C.A</v>
          </cell>
          <cell r="C1595" t="e">
            <v>#N/A</v>
          </cell>
          <cell r="D1595">
            <v>3</v>
          </cell>
          <cell r="F1595" t="str">
            <v>CARACAS</v>
          </cell>
          <cell r="G1595">
            <v>0</v>
          </cell>
          <cell r="H1595"/>
          <cell r="I1595" t="str">
            <v>C6</v>
          </cell>
          <cell r="J1595" t="str">
            <v>Activo</v>
          </cell>
          <cell r="K1595">
            <v>10815.413500000001</v>
          </cell>
          <cell r="L1595">
            <v>1802.5689166666668</v>
          </cell>
          <cell r="M1595">
            <v>1350.0893666666666</v>
          </cell>
          <cell r="N1595" t="str">
            <v>Si Compra</v>
          </cell>
          <cell r="O1595">
            <v>6</v>
          </cell>
          <cell r="P1595">
            <v>0</v>
          </cell>
          <cell r="Q1595">
            <v>0</v>
          </cell>
          <cell r="R1595">
            <v>0</v>
          </cell>
          <cell r="V1595">
            <v>0</v>
          </cell>
          <cell r="W1595">
            <v>6.8829048026853573E-5</v>
          </cell>
          <cell r="X1595">
            <v>0</v>
          </cell>
          <cell r="Y1595" t="str">
            <v>Conquistar</v>
          </cell>
        </row>
        <row r="1596">
          <cell r="A1596" t="str">
            <v>Z163</v>
          </cell>
          <cell r="B1596" t="str">
            <v>Z163 - FARMA UNO CENTRO,C.A.</v>
          </cell>
          <cell r="C1596" t="str">
            <v>INDEPENDIENTE</v>
          </cell>
          <cell r="D1596">
            <v>2</v>
          </cell>
          <cell r="F1596" t="str">
            <v>MARACAIBO</v>
          </cell>
          <cell r="G1596" t="str">
            <v>MARIA FUSELLA</v>
          </cell>
          <cell r="H1596"/>
          <cell r="I1596" t="str">
            <v>Z</v>
          </cell>
          <cell r="J1596" t="str">
            <v>Inactivo</v>
          </cell>
          <cell r="K1596">
            <v>10783.716698117245</v>
          </cell>
          <cell r="L1596">
            <v>1347.9645872646556</v>
          </cell>
          <cell r="M1596">
            <v>491.39651022484554</v>
          </cell>
          <cell r="N1596" t="str">
            <v>Si Compra</v>
          </cell>
          <cell r="O1596">
            <v>8</v>
          </cell>
          <cell r="P1596">
            <v>44078.972304782626</v>
          </cell>
          <cell r="Q1596">
            <v>5509.8715380978283</v>
          </cell>
          <cell r="R1596">
            <v>2534.7459168010978</v>
          </cell>
          <cell r="V1596">
            <v>0.24464537475042714</v>
          </cell>
          <cell r="W1596">
            <v>5.1470497719945797E-5</v>
          </cell>
          <cell r="X1596">
            <v>8</v>
          </cell>
          <cell r="Y1596" t="str">
            <v>Potenciar</v>
          </cell>
        </row>
        <row r="1597">
          <cell r="A1597" t="str">
            <v>E221</v>
          </cell>
          <cell r="B1597" t="str">
            <v>E221 - EXPENDIO DE MEDICINA VITA SALUD, C.A</v>
          </cell>
          <cell r="C1597" t="str">
            <v>INDEPENDIENTE</v>
          </cell>
          <cell r="D1597">
            <v>3</v>
          </cell>
          <cell r="F1597" t="str">
            <v>CENTRO OESTE</v>
          </cell>
          <cell r="G1597">
            <v>0</v>
          </cell>
          <cell r="H1597"/>
          <cell r="I1597" t="str">
            <v>A</v>
          </cell>
          <cell r="J1597" t="str">
            <v>Activo</v>
          </cell>
          <cell r="K1597">
            <v>10767.793545024617</v>
          </cell>
          <cell r="L1597">
            <v>1538.2562207178023</v>
          </cell>
          <cell r="M1597">
            <v>2037.6104333333333</v>
          </cell>
          <cell r="N1597" t="str">
            <v>Si Compra</v>
          </cell>
          <cell r="O1597">
            <v>7</v>
          </cell>
          <cell r="P1597">
            <v>0</v>
          </cell>
          <cell r="Q1597">
            <v>0</v>
          </cell>
          <cell r="R1597">
            <v>0</v>
          </cell>
          <cell r="V1597">
            <v>0</v>
          </cell>
          <cell r="W1597">
            <v>5.873656774753469E-5</v>
          </cell>
          <cell r="X1597">
            <v>0</v>
          </cell>
          <cell r="Y1597" t="str">
            <v>Conquistar</v>
          </cell>
        </row>
        <row r="1598">
          <cell r="A1598" t="str">
            <v>C680</v>
          </cell>
          <cell r="B1598" t="str">
            <v>C680 - FARMACIA LA CASTELLANA, C.A.</v>
          </cell>
          <cell r="C1598" t="str">
            <v>INDEPENDIENTE</v>
          </cell>
          <cell r="D1598">
            <v>3</v>
          </cell>
          <cell r="E1598"/>
          <cell r="F1598" t="str">
            <v>ANDES</v>
          </cell>
          <cell r="G1598" t="str">
            <v>ZULAY PARRA</v>
          </cell>
          <cell r="H1598"/>
          <cell r="I1598" t="str">
            <v>5</v>
          </cell>
          <cell r="J1598" t="str">
            <v>Inactivo</v>
          </cell>
          <cell r="K1598">
            <v>10749.699505125456</v>
          </cell>
          <cell r="L1598">
            <v>1194.4110561250507</v>
          </cell>
          <cell r="M1598">
            <v>1541.0723117480829</v>
          </cell>
          <cell r="N1598" t="str">
            <v>Si Compra</v>
          </cell>
          <cell r="O1598">
            <v>9</v>
          </cell>
          <cell r="P1598">
            <v>18315.639138965216</v>
          </cell>
          <cell r="Q1598">
            <v>2035.0710154405797</v>
          </cell>
          <cell r="R1598">
            <v>1689.0749485634635</v>
          </cell>
          <cell r="T1598"/>
          <cell r="U1598"/>
          <cell r="V1598">
            <v>0.58691369837355201</v>
          </cell>
          <cell r="W1598">
            <v>4.5607230428593048E-5</v>
          </cell>
          <cell r="X1598">
            <v>9</v>
          </cell>
          <cell r="Y1598" t="str">
            <v>Potenciar</v>
          </cell>
        </row>
        <row r="1599">
          <cell r="A1599" t="str">
            <v>9083</v>
          </cell>
          <cell r="B1599" t="str">
            <v>9083 - VIDAFARMA C.A.</v>
          </cell>
          <cell r="C1599" t="str">
            <v>INDEPENDIENTE</v>
          </cell>
          <cell r="D1599">
            <v>3</v>
          </cell>
          <cell r="E1599"/>
          <cell r="F1599" t="str">
            <v>ANDES</v>
          </cell>
          <cell r="G1599" t="str">
            <v>MARIA GABRIELA FORTUL</v>
          </cell>
          <cell r="H1599"/>
          <cell r="I1599" t="str">
            <v>3</v>
          </cell>
          <cell r="J1599" t="str">
            <v>Activo</v>
          </cell>
          <cell r="K1599">
            <v>10743.831080093929</v>
          </cell>
          <cell r="L1599">
            <v>1342.9788850117411</v>
          </cell>
          <cell r="M1599">
            <v>944.89870000000008</v>
          </cell>
          <cell r="N1599" t="str">
            <v>Si Compra</v>
          </cell>
          <cell r="O1599">
            <v>8</v>
          </cell>
          <cell r="P1599">
            <v>12043.39665814026</v>
          </cell>
          <cell r="Q1599">
            <v>1505.4245822675325</v>
          </cell>
          <cell r="R1599">
            <v>1037.6762333333334</v>
          </cell>
          <cell r="T1599"/>
          <cell r="U1599"/>
          <cell r="V1599">
            <v>0.89209310172741496</v>
          </cell>
          <cell r="W1599">
            <v>5.1280124338578486E-5</v>
          </cell>
          <cell r="X1599">
            <v>8</v>
          </cell>
          <cell r="Y1599" t="str">
            <v>Proteger</v>
          </cell>
        </row>
        <row r="1600">
          <cell r="A1600" t="str">
            <v>1968</v>
          </cell>
          <cell r="B1600" t="str">
            <v>1968 - FARMACIA FARMA MALL, C.A.</v>
          </cell>
          <cell r="C1600" t="str">
            <v>INDEPENDIENTE</v>
          </cell>
          <cell r="D1600">
            <v>3</v>
          </cell>
          <cell r="E1600"/>
          <cell r="F1600" t="str">
            <v>ESTE</v>
          </cell>
          <cell r="G1600" t="str">
            <v>IRAIDA RODRIGUEZ</v>
          </cell>
          <cell r="H1600"/>
          <cell r="I1600" t="str">
            <v>AB</v>
          </cell>
          <cell r="J1600" t="str">
            <v>Activo</v>
          </cell>
          <cell r="K1600">
            <v>10734.087542584326</v>
          </cell>
          <cell r="L1600">
            <v>1073.4087542584325</v>
          </cell>
          <cell r="M1600">
            <v>706.67330000000004</v>
          </cell>
          <cell r="N1600" t="str">
            <v>Si Compra</v>
          </cell>
          <cell r="O1600">
            <v>10</v>
          </cell>
          <cell r="P1600">
            <v>86606.703375168407</v>
          </cell>
          <cell r="Q1600">
            <v>8660.6703375168399</v>
          </cell>
          <cell r="R1600">
            <v>9379.9726666666666</v>
          </cell>
          <cell r="T1600"/>
          <cell r="U1600"/>
          <cell r="V1600">
            <v>0.12394060880121167</v>
          </cell>
          <cell r="W1600">
            <v>4.098689487884973E-5</v>
          </cell>
          <cell r="X1600">
            <v>10</v>
          </cell>
          <cell r="Y1600" t="str">
            <v>Conquistar</v>
          </cell>
        </row>
        <row r="1601">
          <cell r="A1601" t="str">
            <v>B949</v>
          </cell>
          <cell r="B1601" t="str">
            <v>B949 - SUN MARKET, C.A</v>
          </cell>
          <cell r="C1601" t="str">
            <v>INDEPENDIENTE</v>
          </cell>
          <cell r="D1601">
            <v>3</v>
          </cell>
          <cell r="E1601"/>
          <cell r="F1601" t="str">
            <v>ESTE</v>
          </cell>
          <cell r="G1601" t="str">
            <v>ADOLFO GONZALEZ</v>
          </cell>
          <cell r="H1601"/>
          <cell r="I1601" t="str">
            <v>A8</v>
          </cell>
          <cell r="J1601" t="str">
            <v>Activo</v>
          </cell>
          <cell r="K1601">
            <v>10706.269212046367</v>
          </cell>
          <cell r="L1601">
            <v>1070.6269212046368</v>
          </cell>
          <cell r="M1601">
            <v>369.35526666666669</v>
          </cell>
          <cell r="N1601" t="str">
            <v>Si Compra</v>
          </cell>
          <cell r="O1601">
            <v>10</v>
          </cell>
          <cell r="P1601">
            <v>40578.611524084285</v>
          </cell>
          <cell r="Q1601">
            <v>4057.8611524084286</v>
          </cell>
          <cell r="R1601">
            <v>2783.9662666666668</v>
          </cell>
          <cell r="T1601"/>
          <cell r="U1601"/>
          <cell r="V1601">
            <v>0.26384020571260713</v>
          </cell>
          <cell r="W1601">
            <v>4.0880673741287642E-5</v>
          </cell>
          <cell r="X1601">
            <v>10</v>
          </cell>
          <cell r="Y1601" t="str">
            <v>Potenciar</v>
          </cell>
        </row>
        <row r="1602">
          <cell r="A1602" t="str">
            <v>D711</v>
          </cell>
          <cell r="B1602" t="str">
            <v>D711 - BODEGON Y MINIMARKET SAMY 2021, C.A</v>
          </cell>
          <cell r="C1602" t="str">
            <v>INDEPENDIENTE</v>
          </cell>
          <cell r="D1602">
            <v>3</v>
          </cell>
          <cell r="E1602"/>
          <cell r="F1602" t="str">
            <v>MARACAIBO</v>
          </cell>
          <cell r="G1602">
            <v>0</v>
          </cell>
          <cell r="H1602"/>
          <cell r="I1602" t="str">
            <v>Z</v>
          </cell>
          <cell r="J1602" t="str">
            <v>Activo</v>
          </cell>
          <cell r="K1602">
            <v>10695.0553</v>
          </cell>
          <cell r="L1602">
            <v>1069.5055299999999</v>
          </cell>
          <cell r="M1602">
            <v>794.08966666666674</v>
          </cell>
          <cell r="N1602" t="str">
            <v>Si Compra</v>
          </cell>
          <cell r="O1602">
            <v>10</v>
          </cell>
          <cell r="P1602">
            <v>0</v>
          </cell>
          <cell r="Q1602">
            <v>0</v>
          </cell>
          <cell r="R1602">
            <v>0</v>
          </cell>
          <cell r="T1602"/>
          <cell r="U1602"/>
          <cell r="V1602">
            <v>0</v>
          </cell>
          <cell r="W1602">
            <v>4.0837854691004909E-5</v>
          </cell>
          <cell r="X1602">
            <v>0</v>
          </cell>
          <cell r="Y1602" t="str">
            <v>Conquistar</v>
          </cell>
        </row>
        <row r="1603">
          <cell r="A1603" t="str">
            <v>A881</v>
          </cell>
          <cell r="B1603" t="str">
            <v>A881 - FARMA ALAIA, C.A.</v>
          </cell>
          <cell r="C1603" t="e">
            <v>#N/A</v>
          </cell>
          <cell r="D1603">
            <v>3</v>
          </cell>
          <cell r="E1603"/>
          <cell r="F1603" t="str">
            <v>ESTE</v>
          </cell>
          <cell r="G1603" t="str">
            <v>CARLOS BLONDELL</v>
          </cell>
          <cell r="H1603"/>
          <cell r="I1603" t="str">
            <v>A3</v>
          </cell>
          <cell r="J1603" t="str">
            <v>Inactivo</v>
          </cell>
          <cell r="K1603">
            <v>10694.472781677168</v>
          </cell>
          <cell r="L1603">
            <v>1782.4121302795281</v>
          </cell>
          <cell r="M1603">
            <v>1615.013502754555</v>
          </cell>
          <cell r="N1603" t="str">
            <v>Si Compra</v>
          </cell>
          <cell r="O1603">
            <v>6</v>
          </cell>
          <cell r="P1603">
            <v>55246.642707792846</v>
          </cell>
          <cell r="Q1603">
            <v>9207.7737846321415</v>
          </cell>
          <cell r="R1603">
            <v>8108.5419531266334</v>
          </cell>
          <cell r="T1603"/>
          <cell r="U1603"/>
          <cell r="V1603">
            <v>0.19357688101052073</v>
          </cell>
          <cell r="W1603">
            <v>6.8059384018182576E-5</v>
          </cell>
          <cell r="X1603">
            <v>6</v>
          </cell>
          <cell r="Y1603" t="str">
            <v>Conquistar</v>
          </cell>
        </row>
        <row r="1604">
          <cell r="A1604" t="str">
            <v>C467</v>
          </cell>
          <cell r="B1604" t="str">
            <v>C467 - FULLFARMA, C.A.</v>
          </cell>
          <cell r="C1604" t="str">
            <v>INDEPENDIENTE</v>
          </cell>
          <cell r="D1604">
            <v>3</v>
          </cell>
          <cell r="E1604"/>
          <cell r="F1604" t="str">
            <v>ESTE</v>
          </cell>
          <cell r="G1604" t="str">
            <v>ADOLFO GONZALEZ</v>
          </cell>
          <cell r="H1604" t="str">
            <v>HECTOR</v>
          </cell>
          <cell r="I1604" t="str">
            <v>A8</v>
          </cell>
          <cell r="J1604" t="str">
            <v>Activo</v>
          </cell>
          <cell r="K1604">
            <v>10691.926764866934</v>
          </cell>
          <cell r="L1604">
            <v>1069.1926764866935</v>
          </cell>
          <cell r="M1604">
            <v>1106.1812882889787</v>
          </cell>
          <cell r="N1604" t="str">
            <v>Si Compra</v>
          </cell>
          <cell r="O1604">
            <v>10</v>
          </cell>
          <cell r="P1604">
            <v>110078.09452918243</v>
          </cell>
          <cell r="Q1604">
            <v>11007.809452918244</v>
          </cell>
          <cell r="R1604">
            <v>7834.0164763941457</v>
          </cell>
          <cell r="T1604"/>
          <cell r="U1604"/>
          <cell r="V1604">
            <v>9.7130376489506134E-2</v>
          </cell>
          <cell r="W1604">
            <v>4.0825908734712401E-5</v>
          </cell>
          <cell r="X1604">
            <v>10</v>
          </cell>
          <cell r="Y1604" t="str">
            <v>Conquistar</v>
          </cell>
        </row>
        <row r="1605">
          <cell r="A1605" t="str">
            <v>B027</v>
          </cell>
          <cell r="B1605" t="str">
            <v>B027 - JOSE GERARDO MUÑOZ SALAMANCA (FARMAMEDIC)</v>
          </cell>
          <cell r="C1605" t="str">
            <v>INDEPENDIENTE</v>
          </cell>
          <cell r="D1605">
            <v>3</v>
          </cell>
          <cell r="E1605"/>
          <cell r="F1605" t="str">
            <v>ANDES</v>
          </cell>
          <cell r="G1605" t="str">
            <v>ANYERSSON TORRES</v>
          </cell>
          <cell r="H1605"/>
          <cell r="I1605" t="str">
            <v>4</v>
          </cell>
          <cell r="J1605" t="str">
            <v>Activo</v>
          </cell>
          <cell r="K1605">
            <v>10658.645200000001</v>
          </cell>
          <cell r="L1605">
            <v>1184.2939111111111</v>
          </cell>
          <cell r="M1605">
            <v>1637.5199666666667</v>
          </cell>
          <cell r="N1605" t="str">
            <v>Si Compra</v>
          </cell>
          <cell r="O1605">
            <v>9</v>
          </cell>
          <cell r="P1605">
            <v>14063.5782</v>
          </cell>
          <cell r="Q1605">
            <v>1562.6197999999999</v>
          </cell>
          <cell r="R1605">
            <v>1541.9697333333334</v>
          </cell>
          <cell r="T1605"/>
          <cell r="U1605"/>
          <cell r="V1605">
            <v>0.75788999416947822</v>
          </cell>
          <cell r="W1605">
            <v>4.5220918729983045E-5</v>
          </cell>
          <cell r="X1605">
            <v>9</v>
          </cell>
          <cell r="Y1605" t="str">
            <v>Proteger</v>
          </cell>
        </row>
        <row r="1606">
          <cell r="A1606" t="str">
            <v>E050</v>
          </cell>
          <cell r="B1606" t="str">
            <v>E050 - 2024 FARMAX, C.A.</v>
          </cell>
          <cell r="C1606" t="str">
            <v>INDEPENDIENTE</v>
          </cell>
          <cell r="D1606">
            <v>3</v>
          </cell>
          <cell r="F1606" t="str">
            <v>CARACAS</v>
          </cell>
          <cell r="G1606">
            <v>0</v>
          </cell>
          <cell r="H1606"/>
          <cell r="I1606" t="str">
            <v>C3</v>
          </cell>
          <cell r="J1606" t="str">
            <v>Inactivo</v>
          </cell>
          <cell r="K1606">
            <v>10634.550300000003</v>
          </cell>
          <cell r="L1606">
            <v>1181.6167000000003</v>
          </cell>
          <cell r="M1606">
            <v>1215.5600333333334</v>
          </cell>
          <cell r="N1606" t="str">
            <v>Si Compra</v>
          </cell>
          <cell r="O1606">
            <v>9</v>
          </cell>
          <cell r="P1606">
            <v>0</v>
          </cell>
          <cell r="Q1606">
            <v>0</v>
          </cell>
          <cell r="R1606">
            <v>0</v>
          </cell>
          <cell r="V1606">
            <v>0</v>
          </cell>
          <cell r="W1606">
            <v>4.5118692462548332E-5</v>
          </cell>
          <cell r="X1606">
            <v>0</v>
          </cell>
          <cell r="Y1606" t="str">
            <v>Conquistar</v>
          </cell>
        </row>
        <row r="1607">
          <cell r="A1607" t="str">
            <v>7278</v>
          </cell>
          <cell r="B1607" t="str">
            <v>7278 - AUTOFARMACIA J.N CORAL, C.A</v>
          </cell>
          <cell r="C1607" t="str">
            <v>INDEPENDIENTE</v>
          </cell>
          <cell r="D1607">
            <v>3</v>
          </cell>
          <cell r="E1607"/>
          <cell r="F1607" t="str">
            <v>CARACAS</v>
          </cell>
          <cell r="G1607" t="str">
            <v>MAIRE ACOSTA FERNANDEZ</v>
          </cell>
          <cell r="H1607"/>
          <cell r="I1607" t="str">
            <v>C9</v>
          </cell>
          <cell r="J1607" t="str">
            <v>Activo</v>
          </cell>
          <cell r="K1607">
            <v>10630.4313</v>
          </cell>
          <cell r="L1607">
            <v>1063.04313</v>
          </cell>
          <cell r="M1607">
            <v>812.84316666666666</v>
          </cell>
          <cell r="N1607" t="str">
            <v>Si Compra</v>
          </cell>
          <cell r="O1607">
            <v>10</v>
          </cell>
          <cell r="P1607">
            <v>190765.03200000004</v>
          </cell>
          <cell r="Q1607">
            <v>19076.503200000003</v>
          </cell>
          <cell r="R1607">
            <v>19257.496166666668</v>
          </cell>
          <cell r="T1607"/>
          <cell r="U1607"/>
          <cell r="V1607">
            <v>5.5725261535353073E-2</v>
          </cell>
          <cell r="W1607">
            <v>4.0591095282332058E-5</v>
          </cell>
          <cell r="X1607">
            <v>10</v>
          </cell>
          <cell r="Y1607" t="str">
            <v>Conquistar</v>
          </cell>
        </row>
        <row r="1608">
          <cell r="A1608" t="str">
            <v>C924</v>
          </cell>
          <cell r="B1608" t="str">
            <v>C924 - RAFAEL DAVID ROMERO RIVAS (FARMA LIDER SR, F.P.)</v>
          </cell>
          <cell r="C1608" t="str">
            <v>INDEPENDIENTE</v>
          </cell>
          <cell r="D1608">
            <v>2</v>
          </cell>
          <cell r="E1608"/>
          <cell r="F1608" t="str">
            <v>CENTRO ESTE</v>
          </cell>
          <cell r="G1608" t="str">
            <v>WILLIBETTI GONZALEZ</v>
          </cell>
          <cell r="H1608"/>
          <cell r="I1608" t="str">
            <v>AG</v>
          </cell>
          <cell r="J1608" t="str">
            <v>Inactivo</v>
          </cell>
          <cell r="K1608">
            <v>10610.035</v>
          </cell>
          <cell r="L1608">
            <v>1178.8927777777778</v>
          </cell>
          <cell r="M1608">
            <v>2616.9980999999998</v>
          </cell>
          <cell r="N1608" t="str">
            <v>Si Compra</v>
          </cell>
          <cell r="O1608">
            <v>9</v>
          </cell>
          <cell r="P1608">
            <v>14823.3717</v>
          </cell>
          <cell r="Q1608">
            <v>1647.0412999999999</v>
          </cell>
          <cell r="R1608">
            <v>3839.8450499999999</v>
          </cell>
          <cell r="T1608"/>
          <cell r="U1608"/>
          <cell r="V1608">
            <v>0.71576394458218984</v>
          </cell>
          <cell r="W1608">
            <v>4.5014682584356563E-5</v>
          </cell>
          <cell r="X1608">
            <v>9</v>
          </cell>
          <cell r="Y1608" t="str">
            <v>Proteger</v>
          </cell>
        </row>
        <row r="1609">
          <cell r="A1609" t="str">
            <v>D806</v>
          </cell>
          <cell r="B1609" t="str">
            <v>D806 - FARMACIA FAMI SALUD C.A.</v>
          </cell>
          <cell r="C1609" t="str">
            <v>INDEPENDIENTE</v>
          </cell>
          <cell r="D1609">
            <v>3</v>
          </cell>
          <cell r="E1609"/>
          <cell r="F1609" t="str">
            <v>ESTE</v>
          </cell>
          <cell r="G1609" t="str">
            <v>JOSE RAMIREZ</v>
          </cell>
          <cell r="H1609"/>
          <cell r="I1609" t="str">
            <v>A4</v>
          </cell>
          <cell r="J1609" t="str">
            <v>Activo</v>
          </cell>
          <cell r="K1609">
            <v>10599.507767685243</v>
          </cell>
          <cell r="L1609">
            <v>1514.2153953836062</v>
          </cell>
          <cell r="M1609">
            <v>1284.9849333333334</v>
          </cell>
          <cell r="N1609" t="str">
            <v>Si Compra</v>
          </cell>
          <cell r="O1609">
            <v>7</v>
          </cell>
          <cell r="P1609">
            <v>19092.425292696113</v>
          </cell>
          <cell r="Q1609">
            <v>2727.489327528016</v>
          </cell>
          <cell r="R1609">
            <v>2877.6983333333333</v>
          </cell>
          <cell r="T1609"/>
          <cell r="U1609"/>
          <cell r="V1609">
            <v>0.55516822012864597</v>
          </cell>
          <cell r="W1609">
            <v>5.7818596120356909E-5</v>
          </cell>
          <cell r="X1609">
            <v>7</v>
          </cell>
          <cell r="Y1609" t="str">
            <v>Potenciar</v>
          </cell>
        </row>
        <row r="1610">
          <cell r="A1610" t="str">
            <v>A41</v>
          </cell>
          <cell r="B1610" t="str">
            <v>A41 - FARMACIA NUEVA C.A</v>
          </cell>
          <cell r="C1610" t="str">
            <v>INDEPENDIENTE</v>
          </cell>
          <cell r="D1610">
            <v>3</v>
          </cell>
          <cell r="E1610"/>
          <cell r="F1610" t="str">
            <v>CENTRO OESTE</v>
          </cell>
          <cell r="G1610" t="str">
            <v>DIEGO TORI</v>
          </cell>
          <cell r="H1610"/>
          <cell r="I1610" t="str">
            <v>A</v>
          </cell>
          <cell r="J1610" t="str">
            <v>Activo</v>
          </cell>
          <cell r="K1610">
            <v>10575.05541133893</v>
          </cell>
          <cell r="L1610">
            <v>1057.5055411338931</v>
          </cell>
          <cell r="M1610">
            <v>841.63771049097886</v>
          </cell>
          <cell r="N1610" t="str">
            <v>Si Compra</v>
          </cell>
          <cell r="O1610">
            <v>10</v>
          </cell>
          <cell r="P1610">
            <v>12488.689059827528</v>
          </cell>
          <cell r="Q1610">
            <v>1248.8689059827527</v>
          </cell>
          <cell r="R1610">
            <v>801.86097805869315</v>
          </cell>
          <cell r="T1610"/>
          <cell r="U1610"/>
          <cell r="V1610">
            <v>0.84677065468430968</v>
          </cell>
          <cell r="W1610">
            <v>4.0379648737074268E-5</v>
          </cell>
          <cell r="X1610">
            <v>10</v>
          </cell>
          <cell r="Y1610" t="str">
            <v>Proteger</v>
          </cell>
        </row>
        <row r="1611">
          <cell r="A1611" t="str">
            <v>D856</v>
          </cell>
          <cell r="B1611" t="str">
            <v>D856 - FARMACIA EVC SALUD C.A.</v>
          </cell>
          <cell r="C1611" t="str">
            <v>INDEPENDIENTE</v>
          </cell>
          <cell r="D1611">
            <v>3</v>
          </cell>
          <cell r="E1611"/>
          <cell r="F1611" t="str">
            <v>CENTRO OESTE</v>
          </cell>
          <cell r="G1611" t="str">
            <v>SORALI SILVA</v>
          </cell>
          <cell r="H1611"/>
          <cell r="I1611" t="str">
            <v>C</v>
          </cell>
          <cell r="J1611" t="str">
            <v>Inactivo</v>
          </cell>
          <cell r="K1611">
            <v>10566.863693359835</v>
          </cell>
          <cell r="L1611">
            <v>1174.0959659288706</v>
          </cell>
          <cell r="M1611">
            <v>999.19516515434225</v>
          </cell>
          <cell r="N1611" t="str">
            <v>Si Compra</v>
          </cell>
          <cell r="O1611">
            <v>9</v>
          </cell>
          <cell r="P1611">
            <v>15042.166489249283</v>
          </cell>
          <cell r="Q1611">
            <v>1671.3518321388092</v>
          </cell>
          <cell r="R1611">
            <v>1256.7448707589908</v>
          </cell>
          <cell r="T1611"/>
          <cell r="U1611"/>
          <cell r="V1611">
            <v>0.70248283057577043</v>
          </cell>
          <cell r="W1611">
            <v>4.4831521768660956E-5</v>
          </cell>
          <cell r="X1611">
            <v>9</v>
          </cell>
          <cell r="Y1611" t="str">
            <v>Proteger</v>
          </cell>
        </row>
        <row r="1612">
          <cell r="A1612" t="str">
            <v>1408</v>
          </cell>
          <cell r="B1612" t="str">
            <v>1408 - FARMACIA FDA 702, C.A.</v>
          </cell>
          <cell r="C1612" t="str">
            <v>INDEPENDIENTE</v>
          </cell>
          <cell r="D1612">
            <v>3</v>
          </cell>
          <cell r="E1612"/>
          <cell r="F1612" t="str">
            <v>CARACAS</v>
          </cell>
          <cell r="G1612" t="str">
            <v>JHON TORRES</v>
          </cell>
          <cell r="H1612"/>
          <cell r="I1612" t="str">
            <v>C4</v>
          </cell>
          <cell r="J1612" t="str">
            <v>Activo</v>
          </cell>
          <cell r="K1612">
            <v>10546.595708886016</v>
          </cell>
          <cell r="L1612">
            <v>1054.6595708886016</v>
          </cell>
          <cell r="M1612">
            <v>1697.8408622506113</v>
          </cell>
          <cell r="N1612" t="str">
            <v>Si Compra</v>
          </cell>
          <cell r="O1612">
            <v>10</v>
          </cell>
          <cell r="P1612">
            <v>11160.441786191041</v>
          </cell>
          <cell r="Q1612">
            <v>1116.0441786191041</v>
          </cell>
          <cell r="R1612">
            <v>1712.9489771828939</v>
          </cell>
          <cell r="T1612"/>
          <cell r="U1612"/>
          <cell r="V1612">
            <v>0.94499804854817271</v>
          </cell>
          <cell r="W1612">
            <v>4.0270978593655619E-5</v>
          </cell>
          <cell r="X1612">
            <v>10</v>
          </cell>
          <cell r="Y1612" t="str">
            <v>Proteger</v>
          </cell>
        </row>
        <row r="1613">
          <cell r="A1613" t="str">
            <v>4579</v>
          </cell>
          <cell r="B1613" t="str">
            <v>4579 - FARMACIA PEDREGAL, C.A</v>
          </cell>
          <cell r="C1613" t="str">
            <v>INDEPENDIENTE</v>
          </cell>
          <cell r="D1613">
            <v>2</v>
          </cell>
          <cell r="E1613"/>
          <cell r="F1613" t="str">
            <v>MARACAIBO</v>
          </cell>
          <cell r="G1613" t="str">
            <v>MARIA FUSELLA</v>
          </cell>
          <cell r="H1613"/>
          <cell r="I1613" t="str">
            <v>BZ</v>
          </cell>
          <cell r="J1613" t="str">
            <v>Activo</v>
          </cell>
          <cell r="K1613">
            <v>10524.780734417429</v>
          </cell>
          <cell r="L1613">
            <v>1169.4200816019365</v>
          </cell>
          <cell r="M1613">
            <v>727.97699999999998</v>
          </cell>
          <cell r="N1613" t="str">
            <v>Si Compra</v>
          </cell>
          <cell r="O1613">
            <v>9</v>
          </cell>
          <cell r="P1613">
            <v>18863.121171130577</v>
          </cell>
          <cell r="Q1613">
            <v>2095.9023523478418</v>
          </cell>
          <cell r="R1613">
            <v>1768.2975999999999</v>
          </cell>
          <cell r="T1613"/>
          <cell r="U1613"/>
          <cell r="V1613">
            <v>0.55795542206054849</v>
          </cell>
          <cell r="W1613">
            <v>4.4652978433129743E-5</v>
          </cell>
          <cell r="X1613">
            <v>9</v>
          </cell>
          <cell r="Y1613" t="str">
            <v>Potenciar</v>
          </cell>
        </row>
        <row r="1614">
          <cell r="A1614" t="str">
            <v>5183</v>
          </cell>
          <cell r="B1614" t="str">
            <v>5183 - FARMACIA LATINO,C.A</v>
          </cell>
          <cell r="C1614" t="str">
            <v>INDEPENDIENTE</v>
          </cell>
          <cell r="D1614">
            <v>3</v>
          </cell>
          <cell r="E1614"/>
          <cell r="F1614" t="str">
            <v>ANDES</v>
          </cell>
          <cell r="G1614" t="str">
            <v>MARIA GABRIELA FORTUL</v>
          </cell>
          <cell r="H1614"/>
          <cell r="I1614" t="str">
            <v xml:space="preserve">3 </v>
          </cell>
          <cell r="J1614" t="str">
            <v>Inactivo</v>
          </cell>
          <cell r="K1614">
            <v>10512.802635667718</v>
          </cell>
          <cell r="L1614">
            <v>1051.2802635667717</v>
          </cell>
          <cell r="M1614">
            <v>982.85717644808199</v>
          </cell>
          <cell r="N1614" t="str">
            <v>Si Compra</v>
          </cell>
          <cell r="O1614">
            <v>10</v>
          </cell>
          <cell r="P1614">
            <v>70609.900501108088</v>
          </cell>
          <cell r="Q1614">
            <v>7060.9900501108086</v>
          </cell>
          <cell r="R1614">
            <v>6233.4188678261717</v>
          </cell>
          <cell r="T1614"/>
          <cell r="U1614"/>
          <cell r="V1614">
            <v>0.1488856741201999</v>
          </cell>
          <cell r="W1614">
            <v>4.0141943579348459E-5</v>
          </cell>
          <cell r="X1614">
            <v>10</v>
          </cell>
          <cell r="Y1614" t="str">
            <v>Conquistar</v>
          </cell>
        </row>
        <row r="1615">
          <cell r="A1615" t="str">
            <v>311</v>
          </cell>
          <cell r="B1615" t="str">
            <v>311 - FARMACIA SAN LUIS, C.A.</v>
          </cell>
          <cell r="C1615" t="str">
            <v>INDEPENDIENTE</v>
          </cell>
          <cell r="D1615">
            <v>1</v>
          </cell>
          <cell r="E1615"/>
          <cell r="F1615" t="str">
            <v>ANDES</v>
          </cell>
          <cell r="G1615" t="str">
            <v>JESUS CONTRERAS</v>
          </cell>
          <cell r="H1615"/>
          <cell r="I1615" t="str">
            <v>G2</v>
          </cell>
          <cell r="J1615" t="str">
            <v>Suspendido</v>
          </cell>
          <cell r="K1615">
            <v>10503.0944</v>
          </cell>
          <cell r="L1615">
            <v>1750.5157333333334</v>
          </cell>
          <cell r="M1615">
            <v>3106.6952999999999</v>
          </cell>
          <cell r="N1615" t="str">
            <v>Si Compra</v>
          </cell>
          <cell r="O1615">
            <v>6</v>
          </cell>
          <cell r="P1615">
            <v>20614.063600000001</v>
          </cell>
          <cell r="Q1615">
            <v>3435.677266666667</v>
          </cell>
          <cell r="R1615">
            <v>3558.1846999999998</v>
          </cell>
          <cell r="T1615"/>
          <cell r="U1615"/>
          <cell r="V1615">
            <v>0.50951110871706051</v>
          </cell>
          <cell r="W1615">
            <v>6.6841456305686032E-5</v>
          </cell>
          <cell r="X1615">
            <v>6</v>
          </cell>
          <cell r="Y1615" t="str">
            <v>Potenciar</v>
          </cell>
        </row>
        <row r="1616">
          <cell r="A1616" t="str">
            <v>B290</v>
          </cell>
          <cell r="B1616" t="str">
            <v>B290 - MI FARMA EXPRESS SN, C.A.</v>
          </cell>
          <cell r="C1616" t="str">
            <v>INDEPENDIENTE</v>
          </cell>
          <cell r="D1616">
            <v>3</v>
          </cell>
          <cell r="E1616"/>
          <cell r="F1616" t="str">
            <v>CENTRO OESTE</v>
          </cell>
          <cell r="G1616" t="str">
            <v>JOSE LUIS GARCIA</v>
          </cell>
          <cell r="H1616"/>
          <cell r="I1616" t="str">
            <v>Y</v>
          </cell>
          <cell r="J1616" t="str">
            <v>Activo</v>
          </cell>
          <cell r="K1616">
            <v>10496.8441</v>
          </cell>
          <cell r="L1616">
            <v>1166.316011111111</v>
          </cell>
          <cell r="M1616">
            <v>984.71136666666678</v>
          </cell>
          <cell r="N1616" t="str">
            <v>Si Compra</v>
          </cell>
          <cell r="O1616">
            <v>9</v>
          </cell>
          <cell r="P1616">
            <v>36691.460800000001</v>
          </cell>
          <cell r="Q1616">
            <v>4076.8289777777777</v>
          </cell>
          <cell r="R1616">
            <v>3663.9207000000001</v>
          </cell>
          <cell r="T1616"/>
          <cell r="U1616"/>
          <cell r="V1616">
            <v>0.28608411524460209</v>
          </cell>
          <cell r="W1616">
            <v>4.4534453024799251E-5</v>
          </cell>
          <cell r="X1616">
            <v>9</v>
          </cell>
          <cell r="Y1616" t="str">
            <v>Potenciar</v>
          </cell>
        </row>
        <row r="1617">
          <cell r="A1617" t="str">
            <v>E503</v>
          </cell>
          <cell r="B1617" t="str">
            <v>E503 - FARMACIA LA FE 2019, C.A</v>
          </cell>
          <cell r="C1617" t="e">
            <v>#N/A</v>
          </cell>
          <cell r="D1617">
            <v>3</v>
          </cell>
          <cell r="F1617" t="str">
            <v>ESTE</v>
          </cell>
          <cell r="G1617">
            <v>0</v>
          </cell>
          <cell r="H1617"/>
          <cell r="I1617" t="str">
            <v>A3</v>
          </cell>
          <cell r="J1617" t="str">
            <v>Activo</v>
          </cell>
          <cell r="K1617">
            <v>10479.9141</v>
          </cell>
          <cell r="L1617">
            <v>2619.978525</v>
          </cell>
          <cell r="M1617">
            <v>3143.7800333333339</v>
          </cell>
          <cell r="N1617" t="str">
            <v>Si Compra</v>
          </cell>
          <cell r="O1617">
            <v>4</v>
          </cell>
          <cell r="P1617">
            <v>0</v>
          </cell>
          <cell r="Q1617">
            <v>0</v>
          </cell>
          <cell r="R1617">
            <v>0</v>
          </cell>
          <cell r="V1617">
            <v>0</v>
          </cell>
          <cell r="W1617">
            <v>1.0004090609751535E-4</v>
          </cell>
          <cell r="X1617">
            <v>0</v>
          </cell>
          <cell r="Y1617" t="str">
            <v>Conquistar</v>
          </cell>
        </row>
        <row r="1618">
          <cell r="A1618" t="str">
            <v>7964</v>
          </cell>
          <cell r="B1618" t="str">
            <v>7964 - FARMACIA MARY, SRL</v>
          </cell>
          <cell r="C1618" t="str">
            <v>INDEPENDIENTE</v>
          </cell>
          <cell r="D1618">
            <v>2</v>
          </cell>
          <cell r="E1618"/>
          <cell r="F1618" t="str">
            <v>CARACAS</v>
          </cell>
          <cell r="G1618" t="str">
            <v>MAIRUBI QUIJADA</v>
          </cell>
          <cell r="H1618"/>
          <cell r="I1618" t="str">
            <v>C1</v>
          </cell>
          <cell r="J1618" t="str">
            <v>Inactivo</v>
          </cell>
          <cell r="K1618">
            <v>10422.394163396524</v>
          </cell>
          <cell r="L1618">
            <v>1302.7992704245655</v>
          </cell>
          <cell r="M1618">
            <v>1135.3856000000001</v>
          </cell>
          <cell r="N1618" t="str">
            <v>Si Compra</v>
          </cell>
          <cell r="O1618">
            <v>7</v>
          </cell>
          <cell r="P1618">
            <v>57250.489880243236</v>
          </cell>
          <cell r="Q1618">
            <v>7156.3112350304045</v>
          </cell>
          <cell r="R1618">
            <v>2896.9047499999997</v>
          </cell>
          <cell r="T1618"/>
          <cell r="U1618"/>
          <cell r="V1618">
            <v>0.18204899530463622</v>
          </cell>
          <cell r="W1618">
            <v>4.9745911362558004E-5</v>
          </cell>
          <cell r="X1618">
            <v>8</v>
          </cell>
          <cell r="Y1618" t="str">
            <v>Conquistar</v>
          </cell>
        </row>
        <row r="1619">
          <cell r="A1619" t="str">
            <v>D950</v>
          </cell>
          <cell r="B1619" t="str">
            <v>D950 - FARMACIA LA VICTORIA C.A.</v>
          </cell>
          <cell r="C1619" t="str">
            <v>INDEPENDIENTE</v>
          </cell>
          <cell r="D1619">
            <v>3</v>
          </cell>
          <cell r="E1619"/>
          <cell r="F1619" t="str">
            <v>ESTE</v>
          </cell>
          <cell r="G1619" t="str">
            <v>JOSE RAMIREZ</v>
          </cell>
          <cell r="H1619"/>
          <cell r="I1619" t="str">
            <v>A4</v>
          </cell>
          <cell r="J1619" t="str">
            <v>Inactivo</v>
          </cell>
          <cell r="K1619">
            <v>10396.602999999999</v>
          </cell>
          <cell r="L1619">
            <v>1039.6603</v>
          </cell>
          <cell r="M1619">
            <v>1084.9263333333336</v>
          </cell>
          <cell r="N1619" t="str">
            <v>Si Compra</v>
          </cell>
          <cell r="O1619">
            <v>10</v>
          </cell>
          <cell r="P1619">
            <v>42688.564199999993</v>
          </cell>
          <cell r="Q1619">
            <v>4268.8564199999992</v>
          </cell>
          <cell r="R1619">
            <v>4322.921166666667</v>
          </cell>
          <cell r="T1619"/>
          <cell r="U1619"/>
          <cell r="V1619">
            <v>0.24354538961045688</v>
          </cell>
          <cell r="W1619">
            <v>3.9698248460114623E-5</v>
          </cell>
          <cell r="X1619">
            <v>10</v>
          </cell>
          <cell r="Y1619" t="str">
            <v>Potenciar</v>
          </cell>
        </row>
        <row r="1620">
          <cell r="A1620" t="str">
            <v>7379</v>
          </cell>
          <cell r="B1620" t="str">
            <v>7379 - FARMACIA SÉPTIMO TRAPICHE C.A.</v>
          </cell>
          <cell r="C1620" t="str">
            <v>INDEPENDIENTE</v>
          </cell>
          <cell r="D1620">
            <v>3</v>
          </cell>
          <cell r="E1620"/>
          <cell r="F1620" t="str">
            <v>ANDES</v>
          </cell>
          <cell r="G1620" t="str">
            <v>ZULAY PARRA</v>
          </cell>
          <cell r="H1620"/>
          <cell r="I1620" t="str">
            <v>5</v>
          </cell>
          <cell r="J1620" t="str">
            <v>Activo</v>
          </cell>
          <cell r="K1620">
            <v>10391.44209057119</v>
          </cell>
          <cell r="L1620">
            <v>1039.144209057119</v>
          </cell>
          <cell r="M1620">
            <v>1145.9843533556495</v>
          </cell>
          <cell r="N1620" t="str">
            <v>Si Compra</v>
          </cell>
          <cell r="O1620">
            <v>10</v>
          </cell>
          <cell r="P1620">
            <v>25776.967099914298</v>
          </cell>
          <cell r="Q1620">
            <v>2577.69670999143</v>
          </cell>
          <cell r="R1620">
            <v>2031.5835444588447</v>
          </cell>
          <cell r="T1620"/>
          <cell r="U1620"/>
          <cell r="V1620">
            <v>0.40312896588232594</v>
          </cell>
          <cell r="W1620">
            <v>3.9678542113264119E-5</v>
          </cell>
          <cell r="X1620">
            <v>10</v>
          </cell>
          <cell r="Y1620" t="str">
            <v>Potenciar</v>
          </cell>
        </row>
        <row r="1621">
          <cell r="A1621" t="str">
            <v>6977</v>
          </cell>
          <cell r="B1621" t="str">
            <v>6977 - FARMACIA SAN JOSE EXPRESS, C.A.</v>
          </cell>
          <cell r="C1621" t="e">
            <v>#N/A</v>
          </cell>
          <cell r="D1621">
            <v>2</v>
          </cell>
          <cell r="E1621"/>
          <cell r="F1621" t="str">
            <v>ESTE</v>
          </cell>
          <cell r="G1621" t="str">
            <v>IRAIDA RODRIGUEZ</v>
          </cell>
          <cell r="H1621"/>
          <cell r="I1621" t="str">
            <v>AB</v>
          </cell>
          <cell r="J1621" t="str">
            <v>Inactivo</v>
          </cell>
          <cell r="K1621">
            <v>10332.252179663077</v>
          </cell>
          <cell r="L1621">
            <v>1148.028019962564</v>
          </cell>
          <cell r="M1621">
            <v>299.31214999999997</v>
          </cell>
          <cell r="N1621" t="str">
            <v>Si Compra</v>
          </cell>
          <cell r="O1621">
            <v>9</v>
          </cell>
          <cell r="P1621">
            <v>7972.1113368834986</v>
          </cell>
          <cell r="Q1621">
            <v>996.51391711043732</v>
          </cell>
          <cell r="R1621">
            <v>1027.4518</v>
          </cell>
          <cell r="T1621"/>
          <cell r="U1621"/>
          <cell r="V1621">
            <v>1.1520441413316813</v>
          </cell>
          <cell r="W1621">
            <v>4.3836146841085784E-5</v>
          </cell>
          <cell r="X1621">
            <v>8</v>
          </cell>
          <cell r="Y1621" t="str">
            <v>Proteger</v>
          </cell>
        </row>
        <row r="1622">
          <cell r="A1622" t="str">
            <v>-204</v>
          </cell>
          <cell r="B1622" t="str">
            <v>-204 - FARMACIA EL AMPARO G.D.,C.A.</v>
          </cell>
          <cell r="C1622" t="str">
            <v>INDEPENDIENTE</v>
          </cell>
          <cell r="D1622">
            <v>3</v>
          </cell>
          <cell r="E1622"/>
          <cell r="F1622" t="str">
            <v>CENTRO ESTE</v>
          </cell>
          <cell r="G1622" t="str">
            <v>MARCOS CRUCES</v>
          </cell>
          <cell r="H1622"/>
          <cell r="I1622" t="str">
            <v xml:space="preserve">$ </v>
          </cell>
          <cell r="J1622" t="str">
            <v>Activo</v>
          </cell>
          <cell r="K1622">
            <v>10297.488537188252</v>
          </cell>
          <cell r="L1622">
            <v>1029.7488537188251</v>
          </cell>
          <cell r="M1622">
            <v>674.01877148968958</v>
          </cell>
          <cell r="N1622" t="str">
            <v>Si Compra</v>
          </cell>
          <cell r="O1622">
            <v>10</v>
          </cell>
          <cell r="P1622">
            <v>69983.89058775772</v>
          </cell>
          <cell r="Q1622">
            <v>6998.3890587757724</v>
          </cell>
          <cell r="R1622">
            <v>5435.0129922415945</v>
          </cell>
          <cell r="T1622"/>
          <cell r="U1622"/>
          <cell r="V1622">
            <v>0.14714084128083027</v>
          </cell>
          <cell r="W1622">
            <v>3.9319791134131168E-5</v>
          </cell>
          <cell r="X1622">
            <v>10</v>
          </cell>
          <cell r="Y1622" t="str">
            <v>Conquistar</v>
          </cell>
        </row>
        <row r="1623">
          <cell r="A1623" t="str">
            <v>Y18</v>
          </cell>
          <cell r="B1623" t="str">
            <v>Y18 - FARMACIA CABUDARE.C.A</v>
          </cell>
          <cell r="C1623" t="str">
            <v>INDEPENDIENTE</v>
          </cell>
          <cell r="D1623">
            <v>3</v>
          </cell>
          <cell r="F1623" t="str">
            <v>CENTRO OESTE</v>
          </cell>
          <cell r="G1623" t="str">
            <v>YAMILEX LAMEDA</v>
          </cell>
          <cell r="H1623"/>
          <cell r="I1623" t="str">
            <v>Y1</v>
          </cell>
          <cell r="J1623" t="str">
            <v>Activo</v>
          </cell>
          <cell r="K1623">
            <v>10264.606848907379</v>
          </cell>
          <cell r="L1623">
            <v>1026.4606848907379</v>
          </cell>
          <cell r="M1623">
            <v>503.06870000000004</v>
          </cell>
          <cell r="N1623" t="str">
            <v>Si Compra</v>
          </cell>
          <cell r="O1623">
            <v>10</v>
          </cell>
          <cell r="P1623">
            <v>48527.045462662791</v>
          </cell>
          <cell r="Q1623">
            <v>4852.7045462662791</v>
          </cell>
          <cell r="R1623">
            <v>4362.5838000000003</v>
          </cell>
          <cell r="V1623">
            <v>0.21152342474270502</v>
          </cell>
          <cell r="W1623">
            <v>3.9194236139758285E-5</v>
          </cell>
          <cell r="X1623">
            <v>10</v>
          </cell>
          <cell r="Y1623" t="str">
            <v>Potenciar</v>
          </cell>
        </row>
        <row r="1624">
          <cell r="A1624" t="str">
            <v>D323</v>
          </cell>
          <cell r="B1624" t="str">
            <v>D323 - FARMACIA SOFI SALUD C.A.</v>
          </cell>
          <cell r="C1624" t="str">
            <v>INDEPENDIENTE</v>
          </cell>
          <cell r="D1624">
            <v>3</v>
          </cell>
          <cell r="E1624"/>
          <cell r="F1624" t="str">
            <v>ESTE</v>
          </cell>
          <cell r="G1624">
            <v>0</v>
          </cell>
          <cell r="H1624"/>
          <cell r="I1624" t="str">
            <v>A6</v>
          </cell>
          <cell r="J1624" t="str">
            <v>Activo</v>
          </cell>
          <cell r="K1624">
            <v>10259.080999999998</v>
          </cell>
          <cell r="L1624">
            <v>1025.9080999999999</v>
          </cell>
          <cell r="M1624">
            <v>483.3126666666667</v>
          </cell>
          <cell r="N1624" t="str">
            <v>Si Compra</v>
          </cell>
          <cell r="O1624">
            <v>10</v>
          </cell>
          <cell r="P1624">
            <v>0</v>
          </cell>
          <cell r="Q1624">
            <v>0</v>
          </cell>
          <cell r="R1624">
            <v>0</v>
          </cell>
          <cell r="T1624"/>
          <cell r="U1624"/>
          <cell r="V1624">
            <v>0</v>
          </cell>
          <cell r="W1624">
            <v>3.9173136312932329E-5</v>
          </cell>
          <cell r="X1624">
            <v>0</v>
          </cell>
          <cell r="Y1624" t="str">
            <v>Conquistar</v>
          </cell>
        </row>
        <row r="1625">
          <cell r="A1625" t="str">
            <v>E313</v>
          </cell>
          <cell r="B1625" t="str">
            <v>E313 - FARMACIA GALA VIII LOS GUAYOS, C.A.</v>
          </cell>
          <cell r="C1625" t="str">
            <v>INDEPENDIENTE</v>
          </cell>
          <cell r="D1625">
            <v>3</v>
          </cell>
          <cell r="F1625" t="str">
            <v>CENTRO ESTE</v>
          </cell>
          <cell r="G1625">
            <v>0</v>
          </cell>
          <cell r="H1625"/>
          <cell r="I1625" t="str">
            <v>O</v>
          </cell>
          <cell r="J1625" t="str">
            <v>Activo</v>
          </cell>
          <cell r="K1625">
            <v>10254.532259723728</v>
          </cell>
          <cell r="L1625">
            <v>1464.9331799605327</v>
          </cell>
          <cell r="M1625">
            <v>1327.3308890039752</v>
          </cell>
          <cell r="N1625" t="str">
            <v>Si Compra</v>
          </cell>
          <cell r="O1625">
            <v>7</v>
          </cell>
          <cell r="P1625">
            <v>0</v>
          </cell>
          <cell r="Q1625">
            <v>0</v>
          </cell>
          <cell r="R1625">
            <v>0</v>
          </cell>
          <cell r="V1625">
            <v>0</v>
          </cell>
          <cell r="W1625">
            <v>5.593681066357832E-5</v>
          </cell>
          <cell r="X1625">
            <v>0</v>
          </cell>
          <cell r="Y1625" t="str">
            <v>Conquistar</v>
          </cell>
        </row>
        <row r="1626">
          <cell r="A1626" t="str">
            <v>1026</v>
          </cell>
          <cell r="B1626" t="str">
            <v>1026 - FARMACIA GENTTY C.A.</v>
          </cell>
          <cell r="C1626" t="str">
            <v>INDEPENDIENTE</v>
          </cell>
          <cell r="D1626">
            <v>3</v>
          </cell>
          <cell r="E1626"/>
          <cell r="F1626" t="str">
            <v>ESTE</v>
          </cell>
          <cell r="G1626" t="str">
            <v>CARLOS BLONDELL</v>
          </cell>
          <cell r="H1626"/>
          <cell r="I1626" t="str">
            <v>A3</v>
          </cell>
          <cell r="J1626" t="str">
            <v>Activo</v>
          </cell>
          <cell r="K1626">
            <v>10251.238099999999</v>
          </cell>
          <cell r="L1626">
            <v>1025.1238099999998</v>
          </cell>
          <cell r="M1626">
            <v>1022.2513333333333</v>
          </cell>
          <cell r="N1626" t="str">
            <v>Si Compra</v>
          </cell>
          <cell r="O1626">
            <v>10</v>
          </cell>
          <cell r="P1626">
            <v>11548.163000000002</v>
          </cell>
          <cell r="Q1626">
            <v>1154.8163000000002</v>
          </cell>
          <cell r="R1626">
            <v>1028.9696666666666</v>
          </cell>
          <cell r="T1626"/>
          <cell r="U1626"/>
          <cell r="V1626">
            <v>0.88769426791083539</v>
          </cell>
          <cell r="W1626">
            <v>3.9143189089512536E-5</v>
          </cell>
          <cell r="X1626">
            <v>10</v>
          </cell>
          <cell r="Y1626" t="str">
            <v>Proteger</v>
          </cell>
        </row>
        <row r="1627">
          <cell r="A1627" t="str">
            <v>G147</v>
          </cell>
          <cell r="B1627" t="str">
            <v>G147 - FARMACIA HOSPITAL C.A. (FARHOSCA)</v>
          </cell>
          <cell r="C1627" t="str">
            <v>INDEPENDIENTE</v>
          </cell>
          <cell r="D1627">
            <v>3</v>
          </cell>
          <cell r="F1627" t="str">
            <v>ANDES</v>
          </cell>
          <cell r="G1627" t="str">
            <v>MILAGRO BRICEñO</v>
          </cell>
          <cell r="H1627"/>
          <cell r="I1627" t="str">
            <v>G</v>
          </cell>
          <cell r="J1627" t="str">
            <v>Inactivo</v>
          </cell>
          <cell r="K1627">
            <v>10194.32674150248</v>
          </cell>
          <cell r="L1627">
            <v>1019.432674150248</v>
          </cell>
          <cell r="M1627">
            <v>651.55032245256689</v>
          </cell>
          <cell r="N1627" t="str">
            <v>Si Compra</v>
          </cell>
          <cell r="O1627">
            <v>10</v>
          </cell>
          <cell r="P1627">
            <v>24593.697176742815</v>
          </cell>
          <cell r="Q1627">
            <v>2459.3697176742817</v>
          </cell>
          <cell r="R1627">
            <v>2317.4766805555619</v>
          </cell>
          <cell r="V1627">
            <v>0.41450972857967888</v>
          </cell>
          <cell r="W1627">
            <v>3.892587952697205E-5</v>
          </cell>
          <cell r="X1627">
            <v>10</v>
          </cell>
          <cell r="Y1627" t="str">
            <v>Potenciar</v>
          </cell>
        </row>
        <row r="1628">
          <cell r="A1628" t="str">
            <v>E176</v>
          </cell>
          <cell r="B1628" t="str">
            <v>E176 - FARMACIA VICTORIA QUEEN, C.A</v>
          </cell>
          <cell r="C1628" t="str">
            <v>INDEPENDIENTE</v>
          </cell>
          <cell r="D1628">
            <v>3</v>
          </cell>
          <cell r="F1628" t="str">
            <v>CARACAS</v>
          </cell>
          <cell r="G1628">
            <v>0</v>
          </cell>
          <cell r="H1628"/>
          <cell r="I1628" t="str">
            <v>CF</v>
          </cell>
          <cell r="J1628" t="str">
            <v>Activo</v>
          </cell>
          <cell r="K1628">
            <v>10172.91189393702</v>
          </cell>
          <cell r="L1628">
            <v>1271.6139867421275</v>
          </cell>
          <cell r="M1628">
            <v>2098.743097979007</v>
          </cell>
          <cell r="N1628" t="str">
            <v>Si Compra</v>
          </cell>
          <cell r="O1628">
            <v>8</v>
          </cell>
          <cell r="P1628">
            <v>0</v>
          </cell>
          <cell r="Q1628">
            <v>0</v>
          </cell>
          <cell r="R1628">
            <v>0</v>
          </cell>
          <cell r="V1628">
            <v>0</v>
          </cell>
          <cell r="W1628">
            <v>4.8555136702869082E-5</v>
          </cell>
          <cell r="X1628">
            <v>0</v>
          </cell>
          <cell r="Y1628" t="str">
            <v>Conquistar</v>
          </cell>
        </row>
        <row r="1629">
          <cell r="A1629" t="str">
            <v>7336</v>
          </cell>
          <cell r="B1629" t="str">
            <v>7336 - FARMACIA PEREZ CARREÑO, C.A</v>
          </cell>
          <cell r="C1629" t="str">
            <v>INDEPENDIENTE</v>
          </cell>
          <cell r="D1629">
            <v>3</v>
          </cell>
          <cell r="E1629"/>
          <cell r="F1629" t="str">
            <v>CARACAS</v>
          </cell>
          <cell r="G1629" t="str">
            <v>JHON TORRES</v>
          </cell>
          <cell r="H1629"/>
          <cell r="I1629" t="str">
            <v>CF</v>
          </cell>
          <cell r="J1629" t="str">
            <v>Activo</v>
          </cell>
          <cell r="K1629">
            <v>10133.693632493854</v>
          </cell>
          <cell r="L1629">
            <v>1013.3693632493854</v>
          </cell>
          <cell r="M1629">
            <v>841.20688644790073</v>
          </cell>
          <cell r="N1629" t="str">
            <v>Si Compra</v>
          </cell>
          <cell r="O1629">
            <v>10</v>
          </cell>
          <cell r="P1629">
            <v>9721.9732150700529</v>
          </cell>
          <cell r="Q1629">
            <v>972.19732150700531</v>
          </cell>
          <cell r="R1629">
            <v>701.68319972813708</v>
          </cell>
          <cell r="T1629"/>
          <cell r="U1629"/>
          <cell r="V1629">
            <v>1.0423494704537544</v>
          </cell>
          <cell r="W1629">
            <v>3.8694358882552554E-5</v>
          </cell>
          <cell r="X1629">
            <v>10</v>
          </cell>
          <cell r="Y1629" t="str">
            <v>Proteger</v>
          </cell>
        </row>
        <row r="1630">
          <cell r="A1630" t="str">
            <v>1973</v>
          </cell>
          <cell r="B1630" t="str">
            <v>1973 - FARMACIA MARA NORTE C A</v>
          </cell>
          <cell r="C1630" t="str">
            <v>INDEPENDIENTE</v>
          </cell>
          <cell r="D1630">
            <v>1</v>
          </cell>
          <cell r="E1630"/>
          <cell r="F1630" t="str">
            <v>MARACAIBO</v>
          </cell>
          <cell r="G1630" t="str">
            <v>JOEL JIMENEZ</v>
          </cell>
          <cell r="H1630"/>
          <cell r="I1630" t="str">
            <v>D</v>
          </cell>
          <cell r="J1630" t="str">
            <v>Activo</v>
          </cell>
          <cell r="K1630">
            <v>10131.45529395692</v>
          </cell>
          <cell r="L1630">
            <v>1266.431911744615</v>
          </cell>
          <cell r="M1630">
            <v>1765.0096000000001</v>
          </cell>
          <cell r="N1630" t="str">
            <v>Si Compra</v>
          </cell>
          <cell r="O1630">
            <v>8</v>
          </cell>
          <cell r="P1630">
            <v>14083.893095360063</v>
          </cell>
          <cell r="Q1630">
            <v>1760.4866369200079</v>
          </cell>
          <cell r="R1630">
            <v>1741.1981000000001</v>
          </cell>
          <cell r="T1630"/>
          <cell r="U1630"/>
          <cell r="V1630">
            <v>0.71936468314252733</v>
          </cell>
          <cell r="W1630">
            <v>4.8357265051147654E-5</v>
          </cell>
          <cell r="X1630">
            <v>8</v>
          </cell>
          <cell r="Y1630" t="str">
            <v>Proteger</v>
          </cell>
        </row>
        <row r="1631">
          <cell r="A1631" t="str">
            <v>B065</v>
          </cell>
          <cell r="B1631" t="str">
            <v>B065 - FARMACIA LOS AGUSTINOS C.A.</v>
          </cell>
          <cell r="C1631" t="str">
            <v>INDEPENDIENTE</v>
          </cell>
          <cell r="D1631">
            <v>3</v>
          </cell>
          <cell r="E1631"/>
          <cell r="F1631" t="str">
            <v>ANDES</v>
          </cell>
          <cell r="G1631" t="str">
            <v>MARIA GABRIELA FORTUL</v>
          </cell>
          <cell r="H1631"/>
          <cell r="I1631" t="str">
            <v xml:space="preserve">3 </v>
          </cell>
          <cell r="J1631" t="str">
            <v>Activo</v>
          </cell>
          <cell r="K1631">
            <v>10121.853441418001</v>
          </cell>
          <cell r="L1631">
            <v>1124.650382379778</v>
          </cell>
          <cell r="M1631">
            <v>1227.2586962337316</v>
          </cell>
          <cell r="N1631" t="str">
            <v>Si Compra</v>
          </cell>
          <cell r="O1631">
            <v>9</v>
          </cell>
          <cell r="P1631">
            <v>21166.37795552317</v>
          </cell>
          <cell r="Q1631">
            <v>2351.8197728359078</v>
          </cell>
          <cell r="R1631">
            <v>2218.2707906556175</v>
          </cell>
          <cell r="T1631"/>
          <cell r="U1631"/>
          <cell r="V1631">
            <v>0.4782043230394456</v>
          </cell>
          <cell r="W1631">
            <v>4.2943498285425872E-5</v>
          </cell>
          <cell r="X1631">
            <v>9</v>
          </cell>
          <cell r="Y1631" t="str">
            <v>Potenciar</v>
          </cell>
        </row>
        <row r="1632">
          <cell r="A1632" t="str">
            <v>D739</v>
          </cell>
          <cell r="B1632" t="str">
            <v>D739 - FARMASAY, C.A.</v>
          </cell>
          <cell r="C1632" t="str">
            <v>INDEPENDIENTE</v>
          </cell>
          <cell r="D1632">
            <v>3</v>
          </cell>
          <cell r="E1632"/>
          <cell r="F1632" t="str">
            <v>ANDES</v>
          </cell>
          <cell r="G1632" t="str">
            <v>MARIA GABRIELA FORTUL</v>
          </cell>
          <cell r="H1632"/>
          <cell r="I1632" t="str">
            <v>3</v>
          </cell>
          <cell r="J1632" t="str">
            <v>Activo</v>
          </cell>
          <cell r="K1632">
            <v>10093.302109061628</v>
          </cell>
          <cell r="L1632">
            <v>1009.3302109061627</v>
          </cell>
          <cell r="M1632">
            <v>716.40977042501106</v>
          </cell>
          <cell r="N1632" t="str">
            <v>Si Compra</v>
          </cell>
          <cell r="O1632">
            <v>10</v>
          </cell>
          <cell r="P1632">
            <v>11887.92555734433</v>
          </cell>
          <cell r="Q1632">
            <v>1188.7925557344329</v>
          </cell>
          <cell r="R1632">
            <v>642.40813589585957</v>
          </cell>
          <cell r="T1632"/>
          <cell r="U1632"/>
          <cell r="V1632">
            <v>0.84903813204197032</v>
          </cell>
          <cell r="W1632">
            <v>3.8540128435078979E-5</v>
          </cell>
          <cell r="X1632">
            <v>10</v>
          </cell>
          <cell r="Y1632" t="str">
            <v>Proteger</v>
          </cell>
        </row>
        <row r="1633">
          <cell r="A1633" t="str">
            <v>D515</v>
          </cell>
          <cell r="B1633" t="str">
            <v>D515 - FARMASALUD MARACAIBO, C. A.</v>
          </cell>
          <cell r="C1633" t="str">
            <v>INDEPENDIENTE</v>
          </cell>
          <cell r="D1633">
            <v>1</v>
          </cell>
          <cell r="E1633"/>
          <cell r="F1633" t="str">
            <v>MARACAIBO</v>
          </cell>
          <cell r="G1633">
            <v>0</v>
          </cell>
          <cell r="H1633"/>
          <cell r="I1633" t="str">
            <v>B</v>
          </cell>
          <cell r="J1633" t="str">
            <v>Activo</v>
          </cell>
          <cell r="K1633">
            <v>10062.934700000002</v>
          </cell>
          <cell r="L1633">
            <v>2012.5869400000004</v>
          </cell>
          <cell r="M1633">
            <v>96.068899999999999</v>
          </cell>
          <cell r="N1633" t="str">
            <v>Si Compra</v>
          </cell>
          <cell r="O1633">
            <v>5</v>
          </cell>
          <cell r="P1633">
            <v>0</v>
          </cell>
          <cell r="Q1633">
            <v>0</v>
          </cell>
          <cell r="R1633">
            <v>0</v>
          </cell>
          <cell r="T1633"/>
          <cell r="U1633"/>
          <cell r="V1633">
            <v>0</v>
          </cell>
          <cell r="W1633">
            <v>7.6848347861029051E-5</v>
          </cell>
          <cell r="X1633">
            <v>0</v>
          </cell>
          <cell r="Y1633" t="str">
            <v>Conquistar</v>
          </cell>
        </row>
        <row r="1634">
          <cell r="A1634" t="str">
            <v>A457</v>
          </cell>
          <cell r="B1634" t="str">
            <v>ROISALUD</v>
          </cell>
          <cell r="C1634" t="str">
            <v>CADENA</v>
          </cell>
          <cell r="D1634">
            <v>0</v>
          </cell>
          <cell r="E1634"/>
          <cell r="F1634" t="str">
            <v>ANDES</v>
          </cell>
          <cell r="H1634"/>
          <cell r="I1634"/>
          <cell r="J1634" t="str">
            <v>Suspendido</v>
          </cell>
          <cell r="K1634">
            <v>10038.016522419724</v>
          </cell>
          <cell r="L1634">
            <v>1673.0027537366207</v>
          </cell>
          <cell r="M1634">
            <v>0</v>
          </cell>
          <cell r="N1634" t="str">
            <v>No Compra</v>
          </cell>
          <cell r="O1634">
            <v>5</v>
          </cell>
          <cell r="P1634">
            <v>97970.916299999983</v>
          </cell>
          <cell r="Q1634">
            <v>19594.183259999998</v>
          </cell>
          <cell r="R1634">
            <v>0</v>
          </cell>
          <cell r="S1634"/>
          <cell r="T1634"/>
          <cell r="U1634"/>
          <cell r="V1634">
            <v>8.5382622563907815E-2</v>
          </cell>
          <cell r="W1634">
            <v>6.3881711163052323E-5</v>
          </cell>
          <cell r="X1634">
            <v>5</v>
          </cell>
          <cell r="Y1634" t="str">
            <v>Conquistar</v>
          </cell>
        </row>
        <row r="1635">
          <cell r="A1635" t="str">
            <v>E485</v>
          </cell>
          <cell r="B1635" t="str">
            <v>E485 - QUICKMART, C.A</v>
          </cell>
          <cell r="C1635" t="e">
            <v>#N/A</v>
          </cell>
          <cell r="D1635">
            <v>3</v>
          </cell>
          <cell r="F1635" t="str">
            <v>MARACAIBO</v>
          </cell>
          <cell r="G1635">
            <v>0</v>
          </cell>
          <cell r="H1635"/>
          <cell r="I1635" t="str">
            <v>S1</v>
          </cell>
          <cell r="J1635" t="str">
            <v>Activo</v>
          </cell>
          <cell r="K1635">
            <v>10035.459574078017</v>
          </cell>
          <cell r="L1635">
            <v>3345.153191359339</v>
          </cell>
          <cell r="M1635">
            <v>3345.153191359339</v>
          </cell>
          <cell r="N1635" t="str">
            <v>Si Compra</v>
          </cell>
          <cell r="O1635">
            <v>3</v>
          </cell>
          <cell r="P1635">
            <v>0</v>
          </cell>
          <cell r="Q1635">
            <v>0</v>
          </cell>
          <cell r="R1635">
            <v>0</v>
          </cell>
          <cell r="V1635">
            <v>0</v>
          </cell>
          <cell r="W1635">
            <v>1.2773087760274042E-4</v>
          </cell>
          <cell r="X1635">
            <v>0</v>
          </cell>
          <cell r="Y1635" t="str">
            <v>Conquistar</v>
          </cell>
        </row>
        <row r="1636">
          <cell r="A1636" t="str">
            <v>D479</v>
          </cell>
          <cell r="B1636" t="str">
            <v>FARMAEXPRESS 2024</v>
          </cell>
          <cell r="C1636" t="str">
            <v>GRUPO</v>
          </cell>
          <cell r="D1636">
            <v>4</v>
          </cell>
          <cell r="E1636"/>
          <cell r="F1636" t="str">
            <v>ESTE</v>
          </cell>
          <cell r="H1636"/>
          <cell r="I1636"/>
          <cell r="J1636" t="str">
            <v>Suspendido</v>
          </cell>
          <cell r="K1636">
            <v>10020.124711826384</v>
          </cell>
          <cell r="L1636">
            <v>1252.515588978298</v>
          </cell>
          <cell r="M1636">
            <v>1598.7921264447182</v>
          </cell>
          <cell r="N1636" t="str">
            <v>Si Compra</v>
          </cell>
          <cell r="O1636">
            <v>8</v>
          </cell>
          <cell r="P1636">
            <v>35991.749813946619</v>
          </cell>
          <cell r="Q1636">
            <v>4498.9687267433274</v>
          </cell>
          <cell r="R1636">
            <v>5590.0148499999996</v>
          </cell>
          <cell r="S1636"/>
          <cell r="T1636"/>
          <cell r="U1636"/>
          <cell r="V1636">
            <v>0.27840059912684867</v>
          </cell>
          <cell r="W1636">
            <v>4.7825886062425658E-5</v>
          </cell>
          <cell r="X1636">
            <v>8</v>
          </cell>
          <cell r="Y1636" t="str">
            <v>Potenciar</v>
          </cell>
        </row>
        <row r="1637">
          <cell r="A1637" t="str">
            <v>D439</v>
          </cell>
          <cell r="B1637" t="str">
            <v>D439 - FARMACIA DR HOUSE C.A.</v>
          </cell>
          <cell r="C1637" t="str">
            <v>INDEPENDIENTE</v>
          </cell>
          <cell r="D1637">
            <v>1</v>
          </cell>
          <cell r="E1637"/>
          <cell r="F1637" t="str">
            <v>ESTE</v>
          </cell>
          <cell r="G1637" t="str">
            <v>CARMEN ALCALA</v>
          </cell>
          <cell r="H1637"/>
          <cell r="I1637" t="str">
            <v>A0</v>
          </cell>
          <cell r="J1637" t="str">
            <v>Inactivo</v>
          </cell>
          <cell r="K1637">
            <v>9987.0234537551423</v>
          </cell>
          <cell r="L1637">
            <v>2496.7558634387856</v>
          </cell>
          <cell r="M1637">
            <v>4292.9237999999996</v>
          </cell>
          <cell r="N1637" t="str">
            <v>Si Compra</v>
          </cell>
          <cell r="O1637">
            <v>4</v>
          </cell>
          <cell r="P1637">
            <v>28416.507180013388</v>
          </cell>
          <cell r="Q1637">
            <v>7104.1267950033471</v>
          </cell>
          <cell r="R1637">
            <v>4495.1001999999999</v>
          </cell>
          <cell r="T1637"/>
          <cell r="U1637"/>
          <cell r="V1637">
            <v>0.35145147820205946</v>
          </cell>
          <cell r="W1637">
            <v>9.5335788633114997E-5</v>
          </cell>
          <cell r="X1637">
            <v>4</v>
          </cell>
          <cell r="Y1637" t="str">
            <v>Potenciar</v>
          </cell>
        </row>
        <row r="1638">
          <cell r="A1638" t="str">
            <v>5092</v>
          </cell>
          <cell r="B1638" t="str">
            <v>5092 - FARMACTUAL TUREN, C.A.</v>
          </cell>
          <cell r="C1638" t="str">
            <v>INDEPENDIENTE</v>
          </cell>
          <cell r="D1638">
            <v>3</v>
          </cell>
          <cell r="E1638"/>
          <cell r="F1638" t="str">
            <v>CENTRO OESTE</v>
          </cell>
          <cell r="G1638">
            <v>0</v>
          </cell>
          <cell r="H1638"/>
          <cell r="I1638" t="str">
            <v>C</v>
          </cell>
          <cell r="J1638" t="str">
            <v>Activo</v>
          </cell>
          <cell r="K1638">
            <v>9984.6137342115708</v>
          </cell>
          <cell r="L1638">
            <v>998.46137342115708</v>
          </cell>
          <cell r="M1638">
            <v>954.18148479696174</v>
          </cell>
          <cell r="N1638" t="str">
            <v>Si Compra</v>
          </cell>
          <cell r="O1638">
            <v>10</v>
          </cell>
          <cell r="P1638">
            <v>0</v>
          </cell>
          <cell r="Q1638">
            <v>0</v>
          </cell>
          <cell r="R1638">
            <v>0</v>
          </cell>
          <cell r="T1638"/>
          <cell r="U1638"/>
          <cell r="V1638">
            <v>0</v>
          </cell>
          <cell r="W1638">
            <v>3.8125114212690803E-5</v>
          </cell>
          <cell r="X1638">
            <v>0</v>
          </cell>
          <cell r="Y1638" t="str">
            <v>Conquistar</v>
          </cell>
        </row>
        <row r="1639">
          <cell r="A1639" t="str">
            <v>A600</v>
          </cell>
          <cell r="B1639" t="str">
            <v>A600 - FARMACIA DOÑA RENEE, C.A.</v>
          </cell>
          <cell r="C1639" t="str">
            <v>INDEPENDIENTE</v>
          </cell>
          <cell r="D1639">
            <v>3</v>
          </cell>
          <cell r="E1639"/>
          <cell r="F1639" t="str">
            <v>ESTE</v>
          </cell>
          <cell r="G1639" t="str">
            <v>CARMEN ALCALA</v>
          </cell>
          <cell r="H1639"/>
          <cell r="I1639" t="str">
            <v>A0</v>
          </cell>
          <cell r="J1639" t="str">
            <v>Activo</v>
          </cell>
          <cell r="K1639">
            <v>9953.7217790811173</v>
          </cell>
          <cell r="L1639">
            <v>995.37217790811178</v>
          </cell>
          <cell r="M1639">
            <v>722.11360000000002</v>
          </cell>
          <cell r="N1639" t="str">
            <v>Si Compra</v>
          </cell>
          <cell r="O1639">
            <v>10</v>
          </cell>
          <cell r="P1639">
            <v>14934.525668238368</v>
          </cell>
          <cell r="Q1639">
            <v>1493.4525668238368</v>
          </cell>
          <cell r="R1639">
            <v>825.47429999999997</v>
          </cell>
          <cell r="T1639"/>
          <cell r="U1639"/>
          <cell r="V1639">
            <v>0.66649065395159812</v>
          </cell>
          <cell r="W1639">
            <v>3.8007156788502588E-5</v>
          </cell>
          <cell r="X1639">
            <v>10</v>
          </cell>
          <cell r="Y1639" t="str">
            <v>Proteger</v>
          </cell>
        </row>
        <row r="1640">
          <cell r="A1640" t="str">
            <v>H236</v>
          </cell>
          <cell r="B1640" t="str">
            <v>H236 - FARMACIA OASIS S.A.</v>
          </cell>
          <cell r="C1640" t="str">
            <v>INDEPENDIENTE</v>
          </cell>
          <cell r="D1640">
            <v>3</v>
          </cell>
          <cell r="F1640" t="str">
            <v>CENTRO ESTE</v>
          </cell>
          <cell r="G1640" t="str">
            <v>KARLA SALAZAR</v>
          </cell>
          <cell r="H1640"/>
          <cell r="I1640" t="str">
            <v>O</v>
          </cell>
          <cell r="J1640" t="str">
            <v>Activo</v>
          </cell>
          <cell r="K1640">
            <v>9928.0212326504916</v>
          </cell>
          <cell r="L1640">
            <v>1241.0026540813114</v>
          </cell>
          <cell r="M1640">
            <v>871.04896666666673</v>
          </cell>
          <cell r="N1640" t="str">
            <v>Si Compra</v>
          </cell>
          <cell r="O1640">
            <v>8</v>
          </cell>
          <cell r="P1640">
            <v>15307.093609565763</v>
          </cell>
          <cell r="Q1640">
            <v>1913.3867011957204</v>
          </cell>
          <cell r="R1640">
            <v>983.96669999999995</v>
          </cell>
          <cell r="V1640">
            <v>0.64858956807099144</v>
          </cell>
          <cell r="W1640">
            <v>4.73862777114617E-5</v>
          </cell>
          <cell r="X1640">
            <v>8</v>
          </cell>
          <cell r="Y1640" t="str">
            <v>Proteger</v>
          </cell>
        </row>
        <row r="1641">
          <cell r="A1641" t="str">
            <v>0435</v>
          </cell>
          <cell r="B1641" t="str">
            <v>0435 - FARMACIA EL TERMINAL, C.A</v>
          </cell>
          <cell r="C1641" t="str">
            <v>INDEPENDIENTE</v>
          </cell>
          <cell r="D1641">
            <v>3</v>
          </cell>
          <cell r="E1641"/>
          <cell r="F1641" t="str">
            <v>ESTE</v>
          </cell>
          <cell r="G1641" t="str">
            <v>IRAIDA RODRIGUEZ</v>
          </cell>
          <cell r="H1641"/>
          <cell r="I1641" t="str">
            <v>AB</v>
          </cell>
          <cell r="J1641" t="str">
            <v>Suspendido</v>
          </cell>
          <cell r="K1641">
            <v>9925.4329210641099</v>
          </cell>
          <cell r="L1641">
            <v>1102.8258801182344</v>
          </cell>
          <cell r="M1641">
            <v>1213.4270403547036</v>
          </cell>
          <cell r="N1641" t="str">
            <v>Si Compra</v>
          </cell>
          <cell r="O1641">
            <v>9</v>
          </cell>
          <cell r="P1641">
            <v>243360.34659005009</v>
          </cell>
          <cell r="Q1641">
            <v>27040.038510005565</v>
          </cell>
          <cell r="R1641">
            <v>35934.320496683351</v>
          </cell>
          <cell r="T1641"/>
          <cell r="U1641"/>
          <cell r="V1641">
            <v>4.0784922688263121E-2</v>
          </cell>
          <cell r="W1641">
            <v>4.2110154439078085E-5</v>
          </cell>
          <cell r="X1641">
            <v>9</v>
          </cell>
          <cell r="Y1641" t="str">
            <v>Conquistar</v>
          </cell>
        </row>
        <row r="1642">
          <cell r="A1642" t="str">
            <v>E407</v>
          </cell>
          <cell r="B1642" t="str">
            <v>E407 - LITOFARMA C.A.</v>
          </cell>
          <cell r="C1642" t="e">
            <v>#N/A</v>
          </cell>
          <cell r="D1642">
            <v>2</v>
          </cell>
          <cell r="F1642" t="str">
            <v>ESTE</v>
          </cell>
          <cell r="G1642">
            <v>0</v>
          </cell>
          <cell r="H1642"/>
          <cell r="I1642" t="str">
            <v>A7</v>
          </cell>
          <cell r="J1642" t="str">
            <v>Inactivo</v>
          </cell>
          <cell r="K1642">
            <v>9886.6396252180621</v>
          </cell>
          <cell r="L1642">
            <v>2471.6599063045155</v>
          </cell>
          <cell r="M1642">
            <v>2055.5456126090312</v>
          </cell>
          <cell r="N1642" t="str">
            <v>Si Compra</v>
          </cell>
          <cell r="O1642">
            <v>4</v>
          </cell>
          <cell r="P1642">
            <v>0</v>
          </cell>
          <cell r="Q1642">
            <v>0</v>
          </cell>
          <cell r="R1642">
            <v>0</v>
          </cell>
          <cell r="V1642">
            <v>0</v>
          </cell>
          <cell r="W1642">
            <v>9.4377527995808148E-5</v>
          </cell>
          <cell r="X1642">
            <v>0</v>
          </cell>
          <cell r="Y1642" t="str">
            <v>Conquistar</v>
          </cell>
        </row>
        <row r="1643">
          <cell r="A1643" t="str">
            <v>2900</v>
          </cell>
          <cell r="B1643" t="str">
            <v>2900 - FARMACIA LA PUERTA DEL LLANO, C.A.</v>
          </cell>
          <cell r="C1643" t="str">
            <v>INDEPENDIENTE</v>
          </cell>
          <cell r="D1643">
            <v>3</v>
          </cell>
          <cell r="E1643"/>
          <cell r="F1643" t="str">
            <v>CENTRO OESTE</v>
          </cell>
          <cell r="G1643" t="str">
            <v>LUIS PLACERES</v>
          </cell>
          <cell r="H1643"/>
          <cell r="I1643" t="str">
            <v>E</v>
          </cell>
          <cell r="J1643" t="str">
            <v>Activo</v>
          </cell>
          <cell r="K1643">
            <v>9855.8311999999987</v>
          </cell>
          <cell r="L1643">
            <v>985.58311999999989</v>
          </cell>
          <cell r="M1643">
            <v>739.06050000000005</v>
          </cell>
          <cell r="N1643" t="str">
            <v>Si Compra</v>
          </cell>
          <cell r="O1643">
            <v>10</v>
          </cell>
          <cell r="P1643">
            <v>11837.983900000001</v>
          </cell>
          <cell r="Q1643">
            <v>1183.7983900000002</v>
          </cell>
          <cell r="R1643">
            <v>700.03476666666666</v>
          </cell>
          <cell r="T1643"/>
          <cell r="U1643"/>
          <cell r="V1643">
            <v>0.83255994291392788</v>
          </cell>
          <cell r="W1643">
            <v>3.7633372723624212E-5</v>
          </cell>
          <cell r="X1643">
            <v>10</v>
          </cell>
          <cell r="Y1643" t="str">
            <v>Proteger</v>
          </cell>
        </row>
        <row r="1644">
          <cell r="A1644" t="str">
            <v>1389</v>
          </cell>
          <cell r="B1644" t="str">
            <v>1389 - FARMACIA AVENIDA BOLIVAR, C.A.</v>
          </cell>
          <cell r="C1644" t="str">
            <v>INDEPENDIENTE</v>
          </cell>
          <cell r="D1644">
            <v>3</v>
          </cell>
          <cell r="E1644"/>
          <cell r="F1644" t="str">
            <v>CENTRO ESTE</v>
          </cell>
          <cell r="G1644" t="str">
            <v>LAURA FLORES</v>
          </cell>
          <cell r="H1644"/>
          <cell r="I1644" t="str">
            <v>+</v>
          </cell>
          <cell r="J1644" t="str">
            <v>Activo</v>
          </cell>
          <cell r="K1644">
            <v>9850.9418379365197</v>
          </cell>
          <cell r="L1644">
            <v>985.09418379365195</v>
          </cell>
          <cell r="M1644">
            <v>429.16120000000001</v>
          </cell>
          <cell r="N1644" t="str">
            <v>Si Compra</v>
          </cell>
          <cell r="O1644">
            <v>10</v>
          </cell>
          <cell r="P1644">
            <v>11122.215250718607</v>
          </cell>
          <cell r="Q1644">
            <v>1112.2215250718607</v>
          </cell>
          <cell r="R1644">
            <v>368.93266666666665</v>
          </cell>
          <cell r="T1644"/>
          <cell r="U1644"/>
          <cell r="V1644">
            <v>0.88569962151200499</v>
          </cell>
          <cell r="W1644">
            <v>3.7614703249565477E-5</v>
          </cell>
          <cell r="X1644">
            <v>10</v>
          </cell>
          <cell r="Y1644" t="str">
            <v>Proteger</v>
          </cell>
        </row>
        <row r="1645">
          <cell r="A1645" t="str">
            <v>A097</v>
          </cell>
          <cell r="B1645" t="str">
            <v>A097 - CORPORACIÓN ALCÁNTARA. N &amp; ASOCIADOS, C.A</v>
          </cell>
          <cell r="C1645" t="str">
            <v>INDEPENDIENTE</v>
          </cell>
          <cell r="D1645">
            <v>2</v>
          </cell>
          <cell r="E1645"/>
          <cell r="F1645" t="str">
            <v>CARACAS</v>
          </cell>
          <cell r="G1645">
            <v>0</v>
          </cell>
          <cell r="H1645"/>
          <cell r="I1645" t="str">
            <v>CB</v>
          </cell>
          <cell r="J1645" t="str">
            <v>Permiso</v>
          </cell>
          <cell r="K1645">
            <v>9833.2336824336089</v>
          </cell>
          <cell r="L1645">
            <v>1229.1542103042011</v>
          </cell>
          <cell r="M1645">
            <v>959.64760000000001</v>
          </cell>
          <cell r="N1645" t="str">
            <v>Si Compra</v>
          </cell>
          <cell r="O1645">
            <v>8</v>
          </cell>
          <cell r="P1645">
            <v>0</v>
          </cell>
          <cell r="Q1645">
            <v>0</v>
          </cell>
          <cell r="R1645">
            <v>0</v>
          </cell>
          <cell r="T1645"/>
          <cell r="U1645"/>
          <cell r="V1645">
            <v>0</v>
          </cell>
          <cell r="W1645">
            <v>4.6933858334738916E-5</v>
          </cell>
          <cell r="X1645">
            <v>0</v>
          </cell>
          <cell r="Y1645" t="str">
            <v>Conquistar</v>
          </cell>
        </row>
        <row r="1646">
          <cell r="A1646" t="str">
            <v>D918</v>
          </cell>
          <cell r="B1646" t="str">
            <v>D918 - FARMACIA BARUCH C.A.</v>
          </cell>
          <cell r="C1646" t="str">
            <v>INDEPENDIENTE</v>
          </cell>
          <cell r="D1646">
            <v>3</v>
          </cell>
          <cell r="E1646"/>
          <cell r="F1646" t="str">
            <v>ESTE</v>
          </cell>
          <cell r="G1646" t="str">
            <v>IRAIDA RODRIGUEZ</v>
          </cell>
          <cell r="H1646"/>
          <cell r="I1646" t="str">
            <v>AB</v>
          </cell>
          <cell r="J1646" t="str">
            <v>Inactivo</v>
          </cell>
          <cell r="K1646">
            <v>9817.734053630722</v>
          </cell>
          <cell r="L1646">
            <v>1227.2167567038402</v>
          </cell>
          <cell r="M1646">
            <v>799.06290000000001</v>
          </cell>
          <cell r="N1646" t="str">
            <v>Si Compra</v>
          </cell>
          <cell r="O1646">
            <v>7</v>
          </cell>
          <cell r="P1646">
            <v>76590.850975827052</v>
          </cell>
          <cell r="Q1646">
            <v>9573.8563719783815</v>
          </cell>
          <cell r="R1646">
            <v>6289.5550333333331</v>
          </cell>
          <cell r="T1646"/>
          <cell r="U1646"/>
          <cell r="V1646">
            <v>0.1281841620578065</v>
          </cell>
          <cell r="W1646">
            <v>4.6859878868169816E-5</v>
          </cell>
          <cell r="X1646">
            <v>8</v>
          </cell>
          <cell r="Y1646" t="str">
            <v>Conquistar</v>
          </cell>
        </row>
        <row r="1647">
          <cell r="A1647" t="str">
            <v>C772</v>
          </cell>
          <cell r="B1647" t="str">
            <v>C772 - EXPENDIO DE MEDICINAS VALLE ALTO, C.A.</v>
          </cell>
          <cell r="C1647" t="str">
            <v>INDEPENDIENTE</v>
          </cell>
          <cell r="D1647">
            <v>3</v>
          </cell>
          <cell r="E1647"/>
          <cell r="F1647" t="str">
            <v>CENTRO ESTE</v>
          </cell>
          <cell r="G1647">
            <v>0</v>
          </cell>
          <cell r="H1647"/>
          <cell r="I1647" t="str">
            <v>H</v>
          </cell>
          <cell r="J1647" t="str">
            <v>Activo</v>
          </cell>
          <cell r="K1647">
            <v>9796.8479619549726</v>
          </cell>
          <cell r="L1647">
            <v>979.68479619549726</v>
          </cell>
          <cell r="M1647">
            <v>1116.2070292757401</v>
          </cell>
          <cell r="N1647" t="str">
            <v>Si Compra</v>
          </cell>
          <cell r="O1647">
            <v>10</v>
          </cell>
          <cell r="P1647">
            <v>0</v>
          </cell>
          <cell r="Q1647">
            <v>0</v>
          </cell>
          <cell r="R1647">
            <v>0</v>
          </cell>
          <cell r="T1647"/>
          <cell r="U1647"/>
          <cell r="V1647">
            <v>0</v>
          </cell>
          <cell r="W1647">
            <v>3.7408151924206022E-5</v>
          </cell>
          <cell r="X1647">
            <v>0</v>
          </cell>
          <cell r="Y1647" t="str">
            <v>Conquistar</v>
          </cell>
        </row>
        <row r="1648">
          <cell r="A1648" t="str">
            <v>C686</v>
          </cell>
          <cell r="B1648" t="str">
            <v>C686 - FARMACIA REAL 2022, C.A</v>
          </cell>
          <cell r="C1648" t="str">
            <v>INDEPENDIENTE</v>
          </cell>
          <cell r="D1648">
            <v>3</v>
          </cell>
          <cell r="E1648"/>
          <cell r="F1648" t="str">
            <v>CENTRO ESTE</v>
          </cell>
          <cell r="G1648" t="str">
            <v>LAURA FLORES</v>
          </cell>
          <cell r="H1648"/>
          <cell r="I1648" t="str">
            <v>+</v>
          </cell>
          <cell r="J1648" t="str">
            <v>Activo</v>
          </cell>
          <cell r="K1648">
            <v>9780.9992915650473</v>
          </cell>
          <cell r="L1648">
            <v>978.09992915650469</v>
          </cell>
          <cell r="M1648">
            <v>838.75786666666647</v>
          </cell>
          <cell r="N1648" t="str">
            <v>Si Compra</v>
          </cell>
          <cell r="O1648">
            <v>10</v>
          </cell>
          <cell r="P1648">
            <v>40422.727702811899</v>
          </cell>
          <cell r="Q1648">
            <v>4042.2727702811899</v>
          </cell>
          <cell r="R1648">
            <v>4467.2958666666664</v>
          </cell>
          <cell r="T1648"/>
          <cell r="U1648"/>
          <cell r="V1648">
            <v>0.24196781977394013</v>
          </cell>
          <cell r="W1648">
            <v>3.7347635575269572E-5</v>
          </cell>
          <cell r="X1648">
            <v>10</v>
          </cell>
          <cell r="Y1648" t="str">
            <v>Potenciar</v>
          </cell>
        </row>
        <row r="1649">
          <cell r="A1649" t="str">
            <v>8502</v>
          </cell>
          <cell r="B1649" t="str">
            <v>8502 - FARMACIA LA CAPELLANIA, C.A</v>
          </cell>
          <cell r="C1649" t="str">
            <v>INDEPENDIENTE</v>
          </cell>
          <cell r="D1649">
            <v>3</v>
          </cell>
          <cell r="E1649"/>
          <cell r="F1649" t="str">
            <v>ANDES</v>
          </cell>
          <cell r="G1649" t="str">
            <v>ZULAY PARRA</v>
          </cell>
          <cell r="H1649"/>
          <cell r="I1649" t="str">
            <v>5</v>
          </cell>
          <cell r="J1649" t="str">
            <v>Inactivo</v>
          </cell>
          <cell r="K1649">
            <v>9756.3664761082728</v>
          </cell>
          <cell r="L1649">
            <v>1084.0407195675859</v>
          </cell>
          <cell r="M1649">
            <v>1357.8850253694238</v>
          </cell>
          <cell r="N1649" t="str">
            <v>Si Compra</v>
          </cell>
          <cell r="O1649">
            <v>9</v>
          </cell>
          <cell r="P1649">
            <v>51445.656266522732</v>
          </cell>
          <cell r="Q1649">
            <v>5716.184029613637</v>
          </cell>
          <cell r="R1649">
            <v>2735.9625221742463</v>
          </cell>
          <cell r="T1649"/>
          <cell r="U1649"/>
          <cell r="V1649">
            <v>0.18964412516313919</v>
          </cell>
          <cell r="W1649">
            <v>4.1392864406071359E-5</v>
          </cell>
          <cell r="X1649">
            <v>9</v>
          </cell>
          <cell r="Y1649" t="str">
            <v>Conquistar</v>
          </cell>
        </row>
        <row r="1650">
          <cell r="A1650" t="str">
            <v>$190</v>
          </cell>
          <cell r="B1650" t="str">
            <v>$190 - FARMACIA FATIMA C. A.</v>
          </cell>
          <cell r="C1650" t="str">
            <v>INDEPENDIENTE</v>
          </cell>
          <cell r="D1650">
            <v>0</v>
          </cell>
          <cell r="E1650"/>
          <cell r="F1650" t="str">
            <v>CENTRO ESTE</v>
          </cell>
          <cell r="G1650" t="str">
            <v>MARCOS CRUCES</v>
          </cell>
          <cell r="H1650"/>
          <cell r="I1650" t="str">
            <v>$</v>
          </cell>
          <cell r="J1650" t="str">
            <v>Activo</v>
          </cell>
          <cell r="K1650">
            <v>9734.8288807650406</v>
          </cell>
          <cell r="L1650">
            <v>1622.4714801275068</v>
          </cell>
          <cell r="M1650">
            <v>0</v>
          </cell>
          <cell r="N1650" t="str">
            <v>No Compra</v>
          </cell>
          <cell r="O1650">
            <v>6</v>
          </cell>
          <cell r="P1650">
            <v>15570.879303282969</v>
          </cell>
          <cell r="Q1650">
            <v>2595.1465505471615</v>
          </cell>
          <cell r="R1650">
            <v>0</v>
          </cell>
          <cell r="T1650"/>
          <cell r="U1650"/>
          <cell r="V1650">
            <v>0.62519455010562863</v>
          </cell>
          <cell r="W1650">
            <v>6.1952231837218076E-5</v>
          </cell>
          <cell r="X1650">
            <v>6</v>
          </cell>
          <cell r="Y1650" t="str">
            <v>Proteger</v>
          </cell>
        </row>
        <row r="1651">
          <cell r="A1651" t="str">
            <v>D408</v>
          </cell>
          <cell r="B1651" t="str">
            <v>D408 - SUMMASALUD FARMACIAS C.A.</v>
          </cell>
          <cell r="C1651" t="str">
            <v>INDEPENDIENTE</v>
          </cell>
          <cell r="D1651">
            <v>3</v>
          </cell>
          <cell r="E1651"/>
          <cell r="F1651" t="str">
            <v>ESTE</v>
          </cell>
          <cell r="G1651" t="str">
            <v>PEDRO VIRE</v>
          </cell>
          <cell r="H1651"/>
          <cell r="I1651" t="str">
            <v>A7</v>
          </cell>
          <cell r="J1651" t="str">
            <v>Activo</v>
          </cell>
          <cell r="K1651">
            <v>9722.0552771980601</v>
          </cell>
          <cell r="L1651">
            <v>972.20552771980601</v>
          </cell>
          <cell r="M1651">
            <v>1124.8024333333333</v>
          </cell>
          <cell r="N1651" t="str">
            <v>Si Compra</v>
          </cell>
          <cell r="O1651">
            <v>10</v>
          </cell>
          <cell r="P1651">
            <v>74502.118595485299</v>
          </cell>
          <cell r="Q1651">
            <v>7450.2118595485299</v>
          </cell>
          <cell r="R1651">
            <v>8836.6277666666665</v>
          </cell>
          <cell r="T1651"/>
          <cell r="U1651"/>
          <cell r="V1651">
            <v>0.13049367535418249</v>
          </cell>
          <cell r="W1651">
            <v>3.7122564547013787E-5</v>
          </cell>
          <cell r="X1651">
            <v>10</v>
          </cell>
          <cell r="Y1651" t="str">
            <v>Conquistar</v>
          </cell>
        </row>
        <row r="1652">
          <cell r="A1652" t="str">
            <v>B284</v>
          </cell>
          <cell r="B1652" t="str">
            <v>B284 - NAMASTE, C.A.</v>
          </cell>
          <cell r="C1652" t="str">
            <v>INDEPENDIENTE</v>
          </cell>
          <cell r="D1652">
            <v>3</v>
          </cell>
          <cell r="E1652"/>
          <cell r="F1652" t="str">
            <v>ANDES</v>
          </cell>
          <cell r="G1652" t="str">
            <v>MARIA GABRIELA FORTUL</v>
          </cell>
          <cell r="H1652"/>
          <cell r="I1652" t="str">
            <v>3</v>
          </cell>
          <cell r="J1652" t="str">
            <v>Activo</v>
          </cell>
          <cell r="K1652">
            <v>9711.3466340175728</v>
          </cell>
          <cell r="L1652">
            <v>971.13466340175728</v>
          </cell>
          <cell r="M1652">
            <v>903.8923065881703</v>
          </cell>
          <cell r="N1652" t="str">
            <v>Si Compra</v>
          </cell>
          <cell r="O1652">
            <v>10</v>
          </cell>
          <cell r="P1652">
            <v>11088.244492817441</v>
          </cell>
          <cell r="Q1652">
            <v>1108.8244492817441</v>
          </cell>
          <cell r="R1652">
            <v>934.31338362141503</v>
          </cell>
          <cell r="T1652"/>
          <cell r="U1652"/>
          <cell r="V1652">
            <v>0.87582363829623588</v>
          </cell>
          <cell r="W1652">
            <v>3.7081674808543469E-5</v>
          </cell>
          <cell r="X1652">
            <v>10</v>
          </cell>
          <cell r="Y1652" t="str">
            <v>Proteger</v>
          </cell>
        </row>
        <row r="1653">
          <cell r="A1653" t="str">
            <v>D327</v>
          </cell>
          <cell r="B1653" t="str">
            <v>D327 - TODO SALUD KMA, C.A.</v>
          </cell>
          <cell r="C1653" t="str">
            <v>INDEPENDIENTE</v>
          </cell>
          <cell r="D1653">
            <v>3</v>
          </cell>
          <cell r="E1653"/>
          <cell r="F1653" t="str">
            <v>ANDES</v>
          </cell>
          <cell r="G1653">
            <v>0</v>
          </cell>
          <cell r="H1653"/>
          <cell r="I1653" t="str">
            <v xml:space="preserve">4 </v>
          </cell>
          <cell r="J1653" t="str">
            <v>Activo</v>
          </cell>
          <cell r="K1653">
            <v>9699.3989999999994</v>
          </cell>
          <cell r="L1653">
            <v>969.93989999999997</v>
          </cell>
          <cell r="M1653">
            <v>727.73016666666661</v>
          </cell>
          <cell r="N1653" t="str">
            <v>Si Compra</v>
          </cell>
          <cell r="O1653">
            <v>10</v>
          </cell>
          <cell r="P1653">
            <v>0</v>
          </cell>
          <cell r="Q1653">
            <v>0</v>
          </cell>
          <cell r="R1653">
            <v>0</v>
          </cell>
          <cell r="T1653"/>
          <cell r="U1653"/>
          <cell r="V1653">
            <v>0</v>
          </cell>
          <cell r="W1653">
            <v>3.7036054124196846E-5</v>
          </cell>
          <cell r="X1653">
            <v>0</v>
          </cell>
          <cell r="Y1653" t="str">
            <v>Conquistar</v>
          </cell>
        </row>
        <row r="1654">
          <cell r="A1654" t="str">
            <v>7069</v>
          </cell>
          <cell r="B1654" t="str">
            <v>7069 - FARMACIA BUCARE, S.R.L</v>
          </cell>
          <cell r="C1654" t="str">
            <v>INDEPENDIENTE</v>
          </cell>
          <cell r="D1654">
            <v>3</v>
          </cell>
          <cell r="E1654"/>
          <cell r="F1654" t="str">
            <v>CARACAS</v>
          </cell>
          <cell r="G1654" t="str">
            <v>WILLIAM ARAQUE</v>
          </cell>
          <cell r="H1654"/>
          <cell r="I1654" t="str">
            <v>C3</v>
          </cell>
          <cell r="J1654" t="str">
            <v>Activo</v>
          </cell>
          <cell r="K1654">
            <v>9696.9929363416195</v>
          </cell>
          <cell r="L1654">
            <v>969.6992936341619</v>
          </cell>
          <cell r="M1654">
            <v>986.71072309060162</v>
          </cell>
          <cell r="N1654" t="str">
            <v>Si Compra</v>
          </cell>
          <cell r="O1654">
            <v>10</v>
          </cell>
          <cell r="P1654">
            <v>11774.758002362254</v>
          </cell>
          <cell r="Q1654">
            <v>1177.4758002362255</v>
          </cell>
          <cell r="R1654">
            <v>1103.1134858817436</v>
          </cell>
          <cell r="T1654"/>
          <cell r="U1654"/>
          <cell r="V1654">
            <v>0.8235407415079109</v>
          </cell>
          <cell r="W1654">
            <v>3.7026866843224277E-5</v>
          </cell>
          <cell r="X1654">
            <v>10</v>
          </cell>
          <cell r="Y1654" t="str">
            <v>Proteger</v>
          </cell>
        </row>
        <row r="1655">
          <cell r="A1655" t="str">
            <v>B393</v>
          </cell>
          <cell r="B1655" t="str">
            <v>B393 - ALTHEA HERBOLARIO C.A.</v>
          </cell>
          <cell r="C1655" t="str">
            <v>INDEPENDIENTE</v>
          </cell>
          <cell r="D1655">
            <v>3</v>
          </cell>
          <cell r="E1655"/>
          <cell r="F1655" t="str">
            <v>CARACAS</v>
          </cell>
          <cell r="G1655">
            <v>0</v>
          </cell>
          <cell r="H1655"/>
          <cell r="I1655" t="str">
            <v>C2</v>
          </cell>
          <cell r="J1655" t="str">
            <v>Activo</v>
          </cell>
          <cell r="K1655">
            <v>9694.2279726742509</v>
          </cell>
          <cell r="L1655">
            <v>969.42279726742504</v>
          </cell>
          <cell r="M1655">
            <v>706.90435364309076</v>
          </cell>
          <cell r="N1655" t="str">
            <v>Si Compra</v>
          </cell>
          <cell r="O1655">
            <v>10</v>
          </cell>
          <cell r="P1655">
            <v>0</v>
          </cell>
          <cell r="Q1655">
            <v>0</v>
          </cell>
          <cell r="R1655">
            <v>0</v>
          </cell>
          <cell r="T1655"/>
          <cell r="U1655"/>
          <cell r="V1655">
            <v>0</v>
          </cell>
          <cell r="W1655">
            <v>3.7016309143305335E-5</v>
          </cell>
          <cell r="X1655">
            <v>0</v>
          </cell>
          <cell r="Y1655" t="str">
            <v>Conquistar</v>
          </cell>
        </row>
        <row r="1656">
          <cell r="A1656" t="str">
            <v>C27</v>
          </cell>
          <cell r="B1656" t="str">
            <v>C27 - FARMACIA PIRITU C.A</v>
          </cell>
          <cell r="C1656" t="str">
            <v>INDEPENDIENTE</v>
          </cell>
          <cell r="D1656">
            <v>3</v>
          </cell>
          <cell r="E1656"/>
          <cell r="F1656" t="str">
            <v>CENTRO OESTE</v>
          </cell>
          <cell r="G1656" t="str">
            <v>SORALI SILVA</v>
          </cell>
          <cell r="H1656"/>
          <cell r="I1656" t="str">
            <v>C</v>
          </cell>
          <cell r="J1656" t="str">
            <v>Activo</v>
          </cell>
          <cell r="K1656">
            <v>9642.4742000000006</v>
          </cell>
          <cell r="L1656">
            <v>1377.4963142857143</v>
          </cell>
          <cell r="M1656">
            <v>1548.2068999999999</v>
          </cell>
          <cell r="N1656" t="str">
            <v>Si Compra</v>
          </cell>
          <cell r="O1656">
            <v>7</v>
          </cell>
          <cell r="P1656">
            <v>10220.8192</v>
          </cell>
          <cell r="Q1656">
            <v>1460.1170285714286</v>
          </cell>
          <cell r="R1656">
            <v>1732.4357333333335</v>
          </cell>
          <cell r="T1656"/>
          <cell r="U1656"/>
          <cell r="V1656">
            <v>0.94341500532560052</v>
          </cell>
          <cell r="W1656">
            <v>5.2598133195435503E-5</v>
          </cell>
          <cell r="X1656">
            <v>7</v>
          </cell>
          <cell r="Y1656" t="str">
            <v>Proteger</v>
          </cell>
        </row>
        <row r="1657">
          <cell r="A1657" t="str">
            <v>1930</v>
          </cell>
          <cell r="B1657" t="str">
            <v>1930 - FARMEX VENEZUELA, C.A</v>
          </cell>
          <cell r="C1657" t="str">
            <v>INDEPENDIENTE</v>
          </cell>
          <cell r="D1657">
            <v>3</v>
          </cell>
          <cell r="E1657"/>
          <cell r="F1657" t="str">
            <v>ESTE</v>
          </cell>
          <cell r="G1657" t="str">
            <v>ALEXMAR CASTILLO</v>
          </cell>
          <cell r="H1657"/>
          <cell r="I1657" t="str">
            <v>A1</v>
          </cell>
          <cell r="J1657" t="str">
            <v>Activo</v>
          </cell>
          <cell r="K1657">
            <v>9617.8452583138733</v>
          </cell>
          <cell r="L1657">
            <v>1202.2306572892342</v>
          </cell>
          <cell r="M1657">
            <v>1150.1789593785795</v>
          </cell>
          <cell r="N1657" t="str">
            <v>Si Compra</v>
          </cell>
          <cell r="O1657">
            <v>8</v>
          </cell>
          <cell r="P1657">
            <v>24500.923240809308</v>
          </cell>
          <cell r="Q1657">
            <v>3062.6154051011636</v>
          </cell>
          <cell r="R1657">
            <v>2742.9658081377634</v>
          </cell>
          <cell r="T1657"/>
          <cell r="U1657"/>
          <cell r="V1657">
            <v>0.39255031999341827</v>
          </cell>
          <cell r="W1657">
            <v>4.590581302319126E-5</v>
          </cell>
          <cell r="X1657">
            <v>8</v>
          </cell>
          <cell r="Y1657" t="str">
            <v>Potenciar</v>
          </cell>
        </row>
        <row r="1658">
          <cell r="A1658" t="str">
            <v>E186</v>
          </cell>
          <cell r="B1658" t="str">
            <v>E186 - FARMACIA FARMA BLUE BF, C.A</v>
          </cell>
          <cell r="C1658" t="str">
            <v>INDEPENDIENTE</v>
          </cell>
          <cell r="D1658">
            <v>3</v>
          </cell>
          <cell r="F1658" t="str">
            <v>CENTRO ESTE</v>
          </cell>
          <cell r="G1658">
            <v>0</v>
          </cell>
          <cell r="H1658"/>
          <cell r="I1658" t="str">
            <v>H</v>
          </cell>
          <cell r="J1658" t="str">
            <v>Activo</v>
          </cell>
          <cell r="K1658">
            <v>9614.7833817468727</v>
          </cell>
          <cell r="L1658">
            <v>1373.540483106696</v>
          </cell>
          <cell r="M1658">
            <v>852.69816058229105</v>
          </cell>
          <cell r="N1658" t="str">
            <v>Si Compra</v>
          </cell>
          <cell r="O1658">
            <v>7</v>
          </cell>
          <cell r="P1658">
            <v>0</v>
          </cell>
          <cell r="Q1658">
            <v>0</v>
          </cell>
          <cell r="R1658">
            <v>0</v>
          </cell>
          <cell r="V1658">
            <v>0</v>
          </cell>
          <cell r="W1658">
            <v>5.2447084272041061E-5</v>
          </cell>
          <cell r="X1658">
            <v>0</v>
          </cell>
          <cell r="Y1658" t="str">
            <v>Conquistar</v>
          </cell>
        </row>
        <row r="1659">
          <cell r="A1659" t="str">
            <v>D838</v>
          </cell>
          <cell r="B1659" t="str">
            <v>FARMAMARKET</v>
          </cell>
          <cell r="C1659" t="e">
            <v>#N/A</v>
          </cell>
          <cell r="D1659">
            <v>3</v>
          </cell>
          <cell r="E1659"/>
          <cell r="F1659" t="str">
            <v>ANDES</v>
          </cell>
          <cell r="H1659"/>
          <cell r="I1659"/>
          <cell r="J1659" t="str">
            <v>Suspendido</v>
          </cell>
          <cell r="K1659">
            <v>9602.4938999999995</v>
          </cell>
          <cell r="L1659">
            <v>1200.3117374999999</v>
          </cell>
          <cell r="M1659">
            <v>1832.1557999999998</v>
          </cell>
          <cell r="N1659" t="str">
            <v>Si Compra</v>
          </cell>
          <cell r="O1659">
            <v>8</v>
          </cell>
          <cell r="P1659">
            <v>37453.262000000002</v>
          </cell>
          <cell r="Q1659">
            <v>6242.2103333333334</v>
          </cell>
          <cell r="R1659">
            <v>9874.9172999999992</v>
          </cell>
          <cell r="S1659"/>
          <cell r="T1659"/>
          <cell r="U1659"/>
          <cell r="V1659">
            <v>0.19228953742400326</v>
          </cell>
          <cell r="W1659">
            <v>4.5832541249162715E-5</v>
          </cell>
          <cell r="X1659">
            <v>6</v>
          </cell>
          <cell r="Y1659" t="str">
            <v>Conquistar</v>
          </cell>
        </row>
        <row r="1660">
          <cell r="A1660" t="str">
            <v>B666</v>
          </cell>
          <cell r="B1660" t="str">
            <v>B666 - FARMACIA LA ENTRADA, C.A.</v>
          </cell>
          <cell r="C1660" t="str">
            <v>INDEPENDIENTE</v>
          </cell>
          <cell r="D1660">
            <v>3</v>
          </cell>
          <cell r="E1660"/>
          <cell r="F1660" t="str">
            <v>CENTRO OESTE</v>
          </cell>
          <cell r="G1660" t="str">
            <v>LUIS PLACERES</v>
          </cell>
          <cell r="H1660"/>
          <cell r="I1660" t="str">
            <v>E</v>
          </cell>
          <cell r="J1660" t="str">
            <v>Inactivo</v>
          </cell>
          <cell r="K1660">
            <v>9535.8263224525035</v>
          </cell>
          <cell r="L1660">
            <v>1059.5362580502781</v>
          </cell>
          <cell r="M1660">
            <v>1413.057907484168</v>
          </cell>
          <cell r="N1660" t="str">
            <v>Si Compra</v>
          </cell>
          <cell r="O1660">
            <v>9</v>
          </cell>
          <cell r="P1660">
            <v>8448.7268335828867</v>
          </cell>
          <cell r="Q1660">
            <v>938.7474259536541</v>
          </cell>
          <cell r="R1660">
            <v>1188.236177860962</v>
          </cell>
          <cell r="T1660"/>
          <cell r="U1660"/>
          <cell r="V1660">
            <v>1.1286702139011642</v>
          </cell>
          <cell r="W1660">
            <v>4.0457189357504627E-5</v>
          </cell>
          <cell r="X1660">
            <v>9</v>
          </cell>
          <cell r="Y1660" t="str">
            <v>Proteger</v>
          </cell>
        </row>
        <row r="1661">
          <cell r="A1661" t="str">
            <v>7039</v>
          </cell>
          <cell r="B1661" t="str">
            <v>7039 - FARMACIA KRISTAL S.R.L.</v>
          </cell>
          <cell r="C1661" t="str">
            <v>INDEPENDIENTE</v>
          </cell>
          <cell r="D1661">
            <v>2</v>
          </cell>
          <cell r="E1661"/>
          <cell r="F1661" t="str">
            <v>CARACAS</v>
          </cell>
          <cell r="G1661" t="str">
            <v>MAIRE ACOSTA FERNANDEZ</v>
          </cell>
          <cell r="H1661"/>
          <cell r="I1661" t="str">
            <v>C9</v>
          </cell>
          <cell r="J1661" t="str">
            <v>Inactivo</v>
          </cell>
          <cell r="K1661">
            <v>9526.5520374970256</v>
          </cell>
          <cell r="L1661">
            <v>1905.3104074994051</v>
          </cell>
          <cell r="M1661">
            <v>1387.39345</v>
          </cell>
          <cell r="N1661" t="str">
            <v>Si Compra</v>
          </cell>
          <cell r="O1661">
            <v>5</v>
          </cell>
          <cell r="P1661">
            <v>12770.842467792358</v>
          </cell>
          <cell r="Q1661">
            <v>2554.1684935584717</v>
          </cell>
          <cell r="R1661">
            <v>1341.6315500000001</v>
          </cell>
          <cell r="T1661"/>
          <cell r="U1661"/>
          <cell r="V1661">
            <v>0.74596112680292426</v>
          </cell>
          <cell r="W1661">
            <v>7.2752115234710443E-5</v>
          </cell>
          <cell r="X1661">
            <v>5</v>
          </cell>
          <cell r="Y1661" t="str">
            <v>Proteger</v>
          </cell>
        </row>
        <row r="1662">
          <cell r="A1662" t="str">
            <v>B935</v>
          </cell>
          <cell r="B1662" t="str">
            <v>B935 - FARMACIA TEIM, C.A.</v>
          </cell>
          <cell r="C1662" t="str">
            <v>INDEPENDIENTE</v>
          </cell>
          <cell r="D1662">
            <v>3</v>
          </cell>
          <cell r="E1662"/>
          <cell r="F1662" t="str">
            <v>ESTE</v>
          </cell>
          <cell r="G1662" t="str">
            <v>IRAIDA RODRIGUEZ</v>
          </cell>
          <cell r="H1662"/>
          <cell r="I1662" t="str">
            <v>AB</v>
          </cell>
          <cell r="J1662" t="str">
            <v>Activo</v>
          </cell>
          <cell r="K1662">
            <v>9493.5063736244992</v>
          </cell>
          <cell r="L1662">
            <v>949.3506373624499</v>
          </cell>
          <cell r="M1662">
            <v>757.8038452374941</v>
          </cell>
          <cell r="N1662" t="str">
            <v>Si Compra</v>
          </cell>
          <cell r="O1662">
            <v>10</v>
          </cell>
          <cell r="P1662">
            <v>73861.229714835543</v>
          </cell>
          <cell r="Q1662">
            <v>7386.1229714835545</v>
          </cell>
          <cell r="R1662">
            <v>8065.6645209587177</v>
          </cell>
          <cell r="T1662"/>
          <cell r="U1662"/>
          <cell r="V1662">
            <v>0.12853165876437692</v>
          </cell>
          <cell r="W1662">
            <v>3.6249876500798114E-5</v>
          </cell>
          <cell r="X1662">
            <v>10</v>
          </cell>
          <cell r="Y1662" t="str">
            <v>Conquistar</v>
          </cell>
        </row>
        <row r="1663">
          <cell r="A1663" t="str">
            <v>D052</v>
          </cell>
          <cell r="B1663" t="str">
            <v>D052 - FARMA ECONOMAX, C.A.</v>
          </cell>
          <cell r="C1663" t="str">
            <v>INDEPENDIENTE</v>
          </cell>
          <cell r="D1663">
            <v>3</v>
          </cell>
          <cell r="E1663"/>
          <cell r="F1663" t="str">
            <v>ANDES</v>
          </cell>
          <cell r="G1663" t="str">
            <v>MARIA GABRIELA FORTUL</v>
          </cell>
          <cell r="H1663"/>
          <cell r="I1663" t="str">
            <v>3</v>
          </cell>
          <cell r="J1663" t="str">
            <v>Activo</v>
          </cell>
          <cell r="K1663">
            <v>9493.4886000000006</v>
          </cell>
          <cell r="L1663">
            <v>949.34886000000006</v>
          </cell>
          <cell r="M1663">
            <v>974.60329999999988</v>
          </cell>
          <cell r="N1663" t="str">
            <v>Si Compra</v>
          </cell>
          <cell r="O1663">
            <v>10</v>
          </cell>
          <cell r="P1663">
            <v>17059.528900000001</v>
          </cell>
          <cell r="Q1663">
            <v>1705.95289</v>
          </cell>
          <cell r="R1663">
            <v>1735.6130000000001</v>
          </cell>
          <cell r="T1663"/>
          <cell r="U1663"/>
          <cell r="V1663">
            <v>0.5564918384117864</v>
          </cell>
          <cell r="W1663">
            <v>3.6249808634230409E-5</v>
          </cell>
          <cell r="X1663">
            <v>10</v>
          </cell>
          <cell r="Y1663" t="str">
            <v>Potenciar</v>
          </cell>
        </row>
        <row r="1664">
          <cell r="A1664" t="str">
            <v>348</v>
          </cell>
          <cell r="B1664" t="str">
            <v>348 - FARMACIA PANAMERICANA, C. A.</v>
          </cell>
          <cell r="C1664" t="str">
            <v>INDEPENDIENTE</v>
          </cell>
          <cell r="D1664">
            <v>3</v>
          </cell>
          <cell r="E1664"/>
          <cell r="F1664" t="str">
            <v>ANDES</v>
          </cell>
          <cell r="G1664" t="str">
            <v>JESUS CONTRERAS</v>
          </cell>
          <cell r="H1664"/>
          <cell r="I1664" t="str">
            <v>G2</v>
          </cell>
          <cell r="J1664" t="str">
            <v>Activo</v>
          </cell>
          <cell r="K1664">
            <v>9473.7484712939713</v>
          </cell>
          <cell r="L1664">
            <v>947.37484712939715</v>
          </cell>
          <cell r="M1664">
            <v>621.57871764003846</v>
          </cell>
          <cell r="N1664" t="str">
            <v>Si Compra</v>
          </cell>
          <cell r="O1664">
            <v>10</v>
          </cell>
          <cell r="P1664">
            <v>9912.3581401615775</v>
          </cell>
          <cell r="Q1664">
            <v>991.23581401615775</v>
          </cell>
          <cell r="R1664">
            <v>543.12135237633595</v>
          </cell>
          <cell r="T1664"/>
          <cell r="U1664"/>
          <cell r="V1664">
            <v>0.95575122865158535</v>
          </cell>
          <cell r="W1664">
            <v>3.6174433193424738E-5</v>
          </cell>
          <cell r="X1664">
            <v>10</v>
          </cell>
          <cell r="Y1664" t="str">
            <v>Proteger</v>
          </cell>
        </row>
        <row r="1665">
          <cell r="A1665" t="str">
            <v>E453</v>
          </cell>
          <cell r="B1665" t="str">
            <v>E453 - FARMA INTEGRAL C.A</v>
          </cell>
          <cell r="C1665" t="e">
            <v>#N/A</v>
          </cell>
          <cell r="D1665">
            <v>3</v>
          </cell>
          <cell r="F1665" t="str">
            <v>ANDES</v>
          </cell>
          <cell r="G1665">
            <v>0</v>
          </cell>
          <cell r="H1665"/>
          <cell r="I1665" t="str">
            <v>6</v>
          </cell>
          <cell r="J1665" t="str">
            <v>Activo</v>
          </cell>
          <cell r="K1665">
            <v>9458.2888000000003</v>
          </cell>
          <cell r="L1665">
            <v>1891.6577600000001</v>
          </cell>
          <cell r="M1665">
            <v>1887.2102666666667</v>
          </cell>
          <cell r="N1665" t="str">
            <v>Si Compra</v>
          </cell>
          <cell r="O1665">
            <v>5</v>
          </cell>
          <cell r="P1665">
            <v>0</v>
          </cell>
          <cell r="Q1665">
            <v>0</v>
          </cell>
          <cell r="R1665">
            <v>0</v>
          </cell>
          <cell r="V1665">
            <v>0</v>
          </cell>
          <cell r="W1665">
            <v>7.2230804386763528E-5</v>
          </cell>
          <cell r="X1665">
            <v>0</v>
          </cell>
          <cell r="Y1665" t="str">
            <v>Conquistar</v>
          </cell>
        </row>
        <row r="1666">
          <cell r="A1666" t="str">
            <v>0035</v>
          </cell>
          <cell r="B1666" t="str">
            <v>0035 - FARMACIA DOÑA LELIA, C.A</v>
          </cell>
          <cell r="C1666" t="str">
            <v>INDEPENDIENTE</v>
          </cell>
          <cell r="D1666">
            <v>0</v>
          </cell>
          <cell r="E1666"/>
          <cell r="F1666" t="str">
            <v>ESTE</v>
          </cell>
          <cell r="G1666" t="str">
            <v>ADOLFO GONZALEZ</v>
          </cell>
          <cell r="H1666"/>
          <cell r="I1666" t="str">
            <v>A8</v>
          </cell>
          <cell r="J1666" t="str">
            <v>Bloqueado</v>
          </cell>
          <cell r="K1666">
            <v>9448.7795094105822</v>
          </cell>
          <cell r="L1666">
            <v>1349.8256442015117</v>
          </cell>
          <cell r="M1666">
            <v>0</v>
          </cell>
          <cell r="N1666" t="str">
            <v>No Compra</v>
          </cell>
          <cell r="O1666">
            <v>7</v>
          </cell>
          <cell r="P1666">
            <v>12038.648014100781</v>
          </cell>
          <cell r="Q1666">
            <v>1719.8068591572544</v>
          </cell>
          <cell r="R1666">
            <v>0</v>
          </cell>
          <cell r="T1666"/>
          <cell r="U1666"/>
          <cell r="V1666">
            <v>0.78487048531889092</v>
          </cell>
          <cell r="W1666">
            <v>5.1541560066635125E-5</v>
          </cell>
          <cell r="X1666">
            <v>6</v>
          </cell>
          <cell r="Y1666" t="str">
            <v>Proteger</v>
          </cell>
        </row>
        <row r="1667">
          <cell r="A1667" t="str">
            <v>A520</v>
          </cell>
          <cell r="B1667" t="str">
            <v>A520 - FARMACIA S.K.I., C.A.</v>
          </cell>
          <cell r="C1667" t="str">
            <v>INDEPENDIENTE</v>
          </cell>
          <cell r="D1667">
            <v>3</v>
          </cell>
          <cell r="E1667"/>
          <cell r="F1667" t="str">
            <v>ANDES</v>
          </cell>
          <cell r="G1667" t="str">
            <v>LUCIA DUGARTE</v>
          </cell>
          <cell r="H1667"/>
          <cell r="I1667" t="str">
            <v>6</v>
          </cell>
          <cell r="J1667" t="str">
            <v>Inactivo</v>
          </cell>
          <cell r="K1667">
            <v>9433.6627515315122</v>
          </cell>
          <cell r="L1667">
            <v>1886.7325503063025</v>
          </cell>
          <cell r="M1667">
            <v>508.93176666666659</v>
          </cell>
          <cell r="N1667" t="str">
            <v>Si Compra</v>
          </cell>
          <cell r="O1667">
            <v>5</v>
          </cell>
          <cell r="P1667">
            <v>16789.712365459465</v>
          </cell>
          <cell r="Q1667">
            <v>3357.9424730918931</v>
          </cell>
          <cell r="R1667">
            <v>2629.8476999999998</v>
          </cell>
          <cell r="T1667"/>
          <cell r="U1667"/>
          <cell r="V1667">
            <v>0.56187161198418489</v>
          </cell>
          <cell r="W1667">
            <v>7.2042740845106154E-5</v>
          </cell>
          <cell r="X1667">
            <v>5</v>
          </cell>
          <cell r="Y1667" t="str">
            <v>Potenciar</v>
          </cell>
        </row>
        <row r="1668">
          <cell r="A1668" t="str">
            <v>3103</v>
          </cell>
          <cell r="B1668" t="str">
            <v>3103 - FARMACIA PRINCIPAL C.A.</v>
          </cell>
          <cell r="C1668" t="e">
            <v>#N/A</v>
          </cell>
          <cell r="D1668">
            <v>3</v>
          </cell>
          <cell r="E1668"/>
          <cell r="F1668" t="str">
            <v>ANDES</v>
          </cell>
          <cell r="G1668" t="str">
            <v>ZULAY PARRA</v>
          </cell>
          <cell r="H1668"/>
          <cell r="I1668" t="str">
            <v>5</v>
          </cell>
          <cell r="J1668" t="str">
            <v>Activo</v>
          </cell>
          <cell r="K1668">
            <v>9429.2875147925624</v>
          </cell>
          <cell r="L1668">
            <v>942.92875147925622</v>
          </cell>
          <cell r="M1668">
            <v>796.32566666666662</v>
          </cell>
          <cell r="N1668" t="str">
            <v>Si Compra</v>
          </cell>
          <cell r="O1668">
            <v>10</v>
          </cell>
          <cell r="P1668">
            <v>1163.0617999999999</v>
          </cell>
          <cell r="Q1668">
            <v>129.2290888888889</v>
          </cell>
          <cell r="R1668">
            <v>387.68726666666663</v>
          </cell>
          <cell r="T1668"/>
          <cell r="U1668"/>
          <cell r="V1668">
            <v>7.2965673563634414</v>
          </cell>
          <cell r="W1668">
            <v>3.6004664077688824E-5</v>
          </cell>
          <cell r="X1668">
            <v>1</v>
          </cell>
          <cell r="Y1668" t="str">
            <v>Proteger</v>
          </cell>
        </row>
        <row r="1669">
          <cell r="A1669" t="str">
            <v>E217</v>
          </cell>
          <cell r="B1669" t="str">
            <v>E217 - FARMACIA TRES TESOROS, C.A.</v>
          </cell>
          <cell r="C1669" t="str">
            <v>INDEPENDIENTE</v>
          </cell>
          <cell r="D1669">
            <v>0</v>
          </cell>
          <cell r="F1669" t="str">
            <v>CARACAS</v>
          </cell>
          <cell r="H1669"/>
          <cell r="I1669" t="str">
            <v>C9</v>
          </cell>
          <cell r="J1669" t="str">
            <v>Activo</v>
          </cell>
          <cell r="K1669">
            <v>9386.745336853357</v>
          </cell>
          <cell r="L1669">
            <v>2346.6863342133393</v>
          </cell>
          <cell r="M1669">
            <v>0</v>
          </cell>
          <cell r="N1669" t="str">
            <v>No Compra</v>
          </cell>
          <cell r="O1669">
            <v>4</v>
          </cell>
          <cell r="P1669">
            <v>0</v>
          </cell>
          <cell r="Q1669">
            <v>0</v>
          </cell>
          <cell r="R1669">
            <v>0</v>
          </cell>
          <cell r="V1669">
            <v>0</v>
          </cell>
          <cell r="W1669">
            <v>8.9605554000240966E-5</v>
          </cell>
          <cell r="X1669">
            <v>0</v>
          </cell>
          <cell r="Y1669" t="str">
            <v>Conquistar</v>
          </cell>
        </row>
        <row r="1670">
          <cell r="A1670" t="str">
            <v>9834</v>
          </cell>
          <cell r="B1670" t="str">
            <v>9834 - FARMACIA FARMACONSULT, C.A</v>
          </cell>
          <cell r="C1670" t="str">
            <v>INDEPENDIENTE</v>
          </cell>
          <cell r="D1670">
            <v>3</v>
          </cell>
          <cell r="E1670"/>
          <cell r="F1670" t="str">
            <v>ESTE</v>
          </cell>
          <cell r="G1670" t="str">
            <v>ADOLFO GONZALEZ</v>
          </cell>
          <cell r="H1670"/>
          <cell r="I1670" t="str">
            <v>A8</v>
          </cell>
          <cell r="J1670" t="str">
            <v>Activo</v>
          </cell>
          <cell r="K1670">
            <v>9365.1729955350984</v>
          </cell>
          <cell r="L1670">
            <v>936.51729955350982</v>
          </cell>
          <cell r="M1670">
            <v>812.87306666666655</v>
          </cell>
          <cell r="N1670" t="str">
            <v>Si Compra</v>
          </cell>
          <cell r="O1670">
            <v>10</v>
          </cell>
          <cell r="P1670">
            <v>20065.857540916513</v>
          </cell>
          <cell r="Q1670">
            <v>2006.5857540916513</v>
          </cell>
          <cell r="R1670">
            <v>1125.8220000000001</v>
          </cell>
          <cell r="T1670"/>
          <cell r="U1670"/>
          <cell r="V1670">
            <v>0.4667217923001033</v>
          </cell>
          <cell r="W1670">
            <v>3.575985006340131E-5</v>
          </cell>
          <cell r="X1670">
            <v>10</v>
          </cell>
          <cell r="Y1670" t="str">
            <v>Potenciar</v>
          </cell>
        </row>
        <row r="1671">
          <cell r="A1671" t="str">
            <v>A262</v>
          </cell>
          <cell r="B1671" t="str">
            <v>A262 - MULTIFARMA LIBERTADOR C.A</v>
          </cell>
          <cell r="C1671" t="str">
            <v>INDEPENDIENTE</v>
          </cell>
          <cell r="D1671">
            <v>3</v>
          </cell>
          <cell r="E1671"/>
          <cell r="F1671" t="str">
            <v>CENTRO ESTE</v>
          </cell>
          <cell r="G1671" t="str">
            <v>WILLIBETTI GONZALEZ</v>
          </cell>
          <cell r="H1671"/>
          <cell r="I1671" t="str">
            <v>AG</v>
          </cell>
          <cell r="J1671" t="str">
            <v>Activo</v>
          </cell>
          <cell r="K1671">
            <v>9362.8860972306575</v>
          </cell>
          <cell r="L1671">
            <v>936.28860972306575</v>
          </cell>
          <cell r="M1671">
            <v>945.2629990768861</v>
          </cell>
          <cell r="N1671" t="str">
            <v>Si Compra</v>
          </cell>
          <cell r="O1671">
            <v>10</v>
          </cell>
          <cell r="P1671">
            <v>8101.1367164366575</v>
          </cell>
          <cell r="Q1671">
            <v>810.11367164366573</v>
          </cell>
          <cell r="R1671">
            <v>711.45480547888576</v>
          </cell>
          <cell r="T1671"/>
          <cell r="U1671"/>
          <cell r="V1671">
            <v>1.1557496713064965</v>
          </cell>
          <cell r="W1671">
            <v>3.5751117801806569E-5</v>
          </cell>
          <cell r="X1671">
            <v>10</v>
          </cell>
          <cell r="Y1671" t="str">
            <v>Proteger</v>
          </cell>
        </row>
        <row r="1672">
          <cell r="A1672" t="str">
            <v>5110</v>
          </cell>
          <cell r="B1672" t="str">
            <v>5110 - FARMACIA LA CAMPIÑA, C.A.</v>
          </cell>
          <cell r="C1672" t="str">
            <v>INDEPENDIENTE</v>
          </cell>
          <cell r="D1672">
            <v>3</v>
          </cell>
          <cell r="E1672"/>
          <cell r="F1672" t="str">
            <v>ANDES</v>
          </cell>
          <cell r="G1672">
            <v>0</v>
          </cell>
          <cell r="H1672"/>
          <cell r="I1672" t="str">
            <v>5</v>
          </cell>
          <cell r="J1672" t="str">
            <v>Inactivo</v>
          </cell>
          <cell r="K1672">
            <v>9357.9406450116549</v>
          </cell>
          <cell r="L1672">
            <v>1169.7425806264569</v>
          </cell>
          <cell r="M1672">
            <v>761.17718124774399</v>
          </cell>
          <cell r="N1672" t="str">
            <v>Si Compra</v>
          </cell>
          <cell r="O1672">
            <v>8</v>
          </cell>
          <cell r="P1672">
            <v>0</v>
          </cell>
          <cell r="Q1672">
            <v>0</v>
          </cell>
          <cell r="R1672">
            <v>0</v>
          </cell>
          <cell r="T1672"/>
          <cell r="U1672"/>
          <cell r="V1672">
            <v>0</v>
          </cell>
          <cell r="W1672">
            <v>4.4665292692319546E-5</v>
          </cell>
          <cell r="X1672">
            <v>0</v>
          </cell>
          <cell r="Y1672" t="str">
            <v>Conquistar</v>
          </cell>
        </row>
        <row r="1673">
          <cell r="A1673" t="str">
            <v>7360</v>
          </cell>
          <cell r="B1673" t="str">
            <v>7360 - FARMACIA MIRANDA PLUS,C.A</v>
          </cell>
          <cell r="C1673" t="str">
            <v>INDEPENDIENTE</v>
          </cell>
          <cell r="D1673">
            <v>3</v>
          </cell>
          <cell r="E1673"/>
          <cell r="F1673" t="str">
            <v>CENTRO ESTE</v>
          </cell>
          <cell r="G1673" t="str">
            <v>MARCOS CRUCES</v>
          </cell>
          <cell r="H1673"/>
          <cell r="I1673" t="str">
            <v>AV</v>
          </cell>
          <cell r="J1673" t="str">
            <v>Inactivo</v>
          </cell>
          <cell r="K1673">
            <v>9350.5931822126677</v>
          </cell>
          <cell r="L1673">
            <v>935.05931822126672</v>
          </cell>
          <cell r="M1673">
            <v>658.20236683556038</v>
          </cell>
          <cell r="N1673" t="str">
            <v>Si Compra</v>
          </cell>
          <cell r="O1673">
            <v>10</v>
          </cell>
          <cell r="P1673">
            <v>12756.015331698471</v>
          </cell>
          <cell r="Q1673">
            <v>1275.601533169847</v>
          </cell>
          <cell r="R1673">
            <v>622.31311616273103</v>
          </cell>
          <cell r="T1673"/>
          <cell r="U1673"/>
          <cell r="V1673">
            <v>0.73303401877987795</v>
          </cell>
          <cell r="W1673">
            <v>3.5704178701151935E-5</v>
          </cell>
          <cell r="X1673">
            <v>9</v>
          </cell>
          <cell r="Y1673" t="str">
            <v>Proteger</v>
          </cell>
        </row>
        <row r="1674">
          <cell r="A1674" t="str">
            <v>1020</v>
          </cell>
          <cell r="B1674" t="str">
            <v>1020 - FARMACIA MEDICAL, C.A.</v>
          </cell>
          <cell r="C1674" t="str">
            <v>INDEPENDIENTE</v>
          </cell>
          <cell r="D1674">
            <v>3</v>
          </cell>
          <cell r="E1674"/>
          <cell r="F1674" t="str">
            <v>ESTE</v>
          </cell>
          <cell r="G1674" t="str">
            <v>CARLOS BLONDELL</v>
          </cell>
          <cell r="H1674"/>
          <cell r="I1674" t="str">
            <v>A3</v>
          </cell>
          <cell r="J1674" t="str">
            <v>Activo</v>
          </cell>
          <cell r="K1674">
            <v>9330.5400174513416</v>
          </cell>
          <cell r="L1674">
            <v>933.0540017451342</v>
          </cell>
          <cell r="M1674">
            <v>1149.1563419810611</v>
          </cell>
          <cell r="N1674" t="str">
            <v>Si Compra</v>
          </cell>
          <cell r="O1674">
            <v>10</v>
          </cell>
          <cell r="P1674">
            <v>9995.6655634516683</v>
          </cell>
          <cell r="Q1674">
            <v>999.56655634516687</v>
          </cell>
          <cell r="R1674">
            <v>1149.6417231157811</v>
          </cell>
          <cell r="T1674"/>
          <cell r="U1674"/>
          <cell r="V1674">
            <v>0.93345860345385068</v>
          </cell>
          <cell r="W1674">
            <v>3.5627607967701142E-5</v>
          </cell>
          <cell r="X1674">
            <v>10</v>
          </cell>
          <cell r="Y1674" t="str">
            <v>Proteger</v>
          </cell>
        </row>
        <row r="1675">
          <cell r="A1675" t="str">
            <v>+272</v>
          </cell>
          <cell r="B1675" t="str">
            <v>+272 - FARMACIA LA OFERTA C.A.</v>
          </cell>
          <cell r="C1675" t="str">
            <v>INDEPENDIENTE</v>
          </cell>
          <cell r="D1675">
            <v>3</v>
          </cell>
          <cell r="E1675"/>
          <cell r="F1675" t="str">
            <v>CENTRO ESTE</v>
          </cell>
          <cell r="G1675" t="str">
            <v>MARCOS CRUCES</v>
          </cell>
          <cell r="H1675"/>
          <cell r="I1675" t="str">
            <v>AV</v>
          </cell>
          <cell r="J1675" t="str">
            <v>Activo</v>
          </cell>
          <cell r="K1675">
            <v>9312.9895180729654</v>
          </cell>
          <cell r="L1675">
            <v>931.29895180729659</v>
          </cell>
          <cell r="M1675">
            <v>964.24655274996883</v>
          </cell>
          <cell r="N1675" t="str">
            <v>Si Compra</v>
          </cell>
          <cell r="O1675">
            <v>10</v>
          </cell>
          <cell r="P1675">
            <v>12748.212621383824</v>
          </cell>
          <cell r="Q1675">
            <v>1274.8212621383823</v>
          </cell>
          <cell r="R1675">
            <v>1266.366361626033</v>
          </cell>
          <cell r="T1675"/>
          <cell r="U1675"/>
          <cell r="V1675">
            <v>0.73053296133854706</v>
          </cell>
          <cell r="W1675">
            <v>3.556059337794314E-5</v>
          </cell>
          <cell r="X1675">
            <v>10</v>
          </cell>
          <cell r="Y1675" t="str">
            <v>Proteger</v>
          </cell>
        </row>
        <row r="1676">
          <cell r="A1676" t="str">
            <v>5847</v>
          </cell>
          <cell r="B1676" t="str">
            <v>5847 - FARMACIA LA GRAN FAMILIA, C.A</v>
          </cell>
          <cell r="C1676" t="str">
            <v>INDEPENDIENTE</v>
          </cell>
          <cell r="D1676">
            <v>0</v>
          </cell>
          <cell r="E1676"/>
          <cell r="F1676" t="str">
            <v>ANDES</v>
          </cell>
          <cell r="G1676" t="str">
            <v>ZULAY PARRA</v>
          </cell>
          <cell r="H1676"/>
          <cell r="I1676" t="str">
            <v>5</v>
          </cell>
          <cell r="J1676" t="str">
            <v>Bloqueado</v>
          </cell>
          <cell r="K1676">
            <v>9302.3490805525034</v>
          </cell>
          <cell r="L1676">
            <v>2325.5872701381259</v>
          </cell>
          <cell r="M1676">
            <v>0</v>
          </cell>
          <cell r="N1676" t="str">
            <v>No Compra</v>
          </cell>
          <cell r="O1676">
            <v>2</v>
          </cell>
          <cell r="P1676">
            <v>15500.221664878914</v>
          </cell>
          <cell r="Q1676">
            <v>5166.7405549596378</v>
          </cell>
          <cell r="R1676">
            <v>0</v>
          </cell>
          <cell r="T1676"/>
          <cell r="U1676"/>
          <cell r="V1676">
            <v>0.45010722822258936</v>
          </cell>
          <cell r="W1676">
            <v>8.8799910187609379E-5</v>
          </cell>
          <cell r="X1676">
            <v>1</v>
          </cell>
          <cell r="Y1676" t="str">
            <v>Potenciar</v>
          </cell>
        </row>
        <row r="1677">
          <cell r="A1677" t="str">
            <v>6561</v>
          </cell>
          <cell r="B1677" t="str">
            <v>6561 - EXPENDIO DE MEDICINAS PALMARITO, S.R.L.</v>
          </cell>
          <cell r="C1677" t="str">
            <v>INDEPENDIENTE</v>
          </cell>
          <cell r="D1677">
            <v>3</v>
          </cell>
          <cell r="E1677"/>
          <cell r="F1677" t="str">
            <v>CENTRO OESTE</v>
          </cell>
          <cell r="G1677">
            <v>0</v>
          </cell>
          <cell r="H1677"/>
          <cell r="I1677" t="str">
            <v xml:space="preserve">A </v>
          </cell>
          <cell r="J1677" t="str">
            <v>Activo</v>
          </cell>
          <cell r="K1677">
            <v>9279.5908155574707</v>
          </cell>
          <cell r="L1677">
            <v>927.95908155574705</v>
          </cell>
          <cell r="M1677">
            <v>1082.1445666666666</v>
          </cell>
          <cell r="N1677" t="str">
            <v>Si Compra</v>
          </cell>
          <cell r="O1677">
            <v>10</v>
          </cell>
          <cell r="P1677">
            <v>0</v>
          </cell>
          <cell r="Q1677">
            <v>0</v>
          </cell>
          <cell r="R1677">
            <v>0</v>
          </cell>
          <cell r="T1677"/>
          <cell r="U1677"/>
          <cell r="V1677">
            <v>0</v>
          </cell>
          <cell r="W1677">
            <v>3.5433064223400487E-5</v>
          </cell>
          <cell r="X1677">
            <v>0</v>
          </cell>
          <cell r="Y1677" t="str">
            <v>Conquistar</v>
          </cell>
        </row>
        <row r="1678">
          <cell r="A1678" t="str">
            <v>C925</v>
          </cell>
          <cell r="B1678" t="str">
            <v>C925 - FARMACONTIGO I, C.A.</v>
          </cell>
          <cell r="C1678" t="str">
            <v>INDEPENDIENTE</v>
          </cell>
          <cell r="D1678">
            <v>3</v>
          </cell>
          <cell r="E1678"/>
          <cell r="F1678" t="str">
            <v>CENTRO ESTE</v>
          </cell>
          <cell r="G1678" t="str">
            <v>LAURA FLORES</v>
          </cell>
          <cell r="H1678"/>
          <cell r="I1678" t="str">
            <v>+</v>
          </cell>
          <cell r="J1678" t="str">
            <v>Activo</v>
          </cell>
          <cell r="K1678">
            <v>9256.3575857971628</v>
          </cell>
          <cell r="L1678">
            <v>925.63575857971625</v>
          </cell>
          <cell r="M1678">
            <v>1249.8529666666666</v>
          </cell>
          <cell r="N1678" t="str">
            <v>Si Compra</v>
          </cell>
          <cell r="O1678">
            <v>10</v>
          </cell>
          <cell r="P1678">
            <v>21898.205797496503</v>
          </cell>
          <cell r="Q1678">
            <v>2189.8205797496503</v>
          </cell>
          <cell r="R1678">
            <v>2329.9270666666666</v>
          </cell>
          <cell r="T1678"/>
          <cell r="U1678"/>
          <cell r="V1678">
            <v>0.42269936045880935</v>
          </cell>
          <cell r="W1678">
            <v>3.5344350772713216E-5</v>
          </cell>
          <cell r="X1678">
            <v>10</v>
          </cell>
          <cell r="Y1678" t="str">
            <v>Potenciar</v>
          </cell>
        </row>
        <row r="1679">
          <cell r="A1679" t="str">
            <v>0293</v>
          </cell>
          <cell r="B1679" t="str">
            <v>0293 - FARMACIA LA FE, C.A.</v>
          </cell>
          <cell r="C1679" t="str">
            <v>INDEPENDIENTE</v>
          </cell>
          <cell r="D1679">
            <v>3</v>
          </cell>
          <cell r="E1679"/>
          <cell r="F1679" t="str">
            <v>ESTE</v>
          </cell>
          <cell r="G1679" t="str">
            <v>ALEXMAR CASTILLO</v>
          </cell>
          <cell r="H1679"/>
          <cell r="I1679" t="str">
            <v>A1</v>
          </cell>
          <cell r="J1679" t="str">
            <v>Activo</v>
          </cell>
          <cell r="K1679">
            <v>9244.8552876845333</v>
          </cell>
          <cell r="L1679">
            <v>924.48552876845338</v>
          </cell>
          <cell r="M1679">
            <v>1098.7898785848995</v>
          </cell>
          <cell r="N1679" t="str">
            <v>Si Compra</v>
          </cell>
          <cell r="O1679">
            <v>10</v>
          </cell>
          <cell r="P1679">
            <v>22376.504390545902</v>
          </cell>
          <cell r="Q1679">
            <v>2237.6504390545902</v>
          </cell>
          <cell r="R1679">
            <v>2361.982317819517</v>
          </cell>
          <cell r="T1679"/>
          <cell r="U1679"/>
          <cell r="V1679">
            <v>0.41315011166759791</v>
          </cell>
          <cell r="W1679">
            <v>3.5300430552970532E-5</v>
          </cell>
          <cell r="X1679">
            <v>10</v>
          </cell>
          <cell r="Y1679" t="str">
            <v>Potenciar</v>
          </cell>
        </row>
        <row r="1680">
          <cell r="A1680" t="str">
            <v>8908</v>
          </cell>
          <cell r="B1680" t="str">
            <v>8908 - FARMACIA LA ESTACION,C.A</v>
          </cell>
          <cell r="C1680" t="str">
            <v>INDEPENDIENTE</v>
          </cell>
          <cell r="D1680">
            <v>0</v>
          </cell>
          <cell r="E1680"/>
          <cell r="F1680" t="str">
            <v>CENTRO OESTE</v>
          </cell>
          <cell r="G1680" t="str">
            <v>YAMILEX LAMEDA</v>
          </cell>
          <cell r="H1680"/>
          <cell r="I1680" t="str">
            <v>Y1</v>
          </cell>
          <cell r="J1680" t="str">
            <v>Activo</v>
          </cell>
          <cell r="K1680">
            <v>9214.3824928163631</v>
          </cell>
          <cell r="L1680">
            <v>1535.7304154693938</v>
          </cell>
          <cell r="M1680">
            <v>0</v>
          </cell>
          <cell r="N1680" t="str">
            <v>No Compra</v>
          </cell>
          <cell r="O1680">
            <v>6</v>
          </cell>
          <cell r="P1680">
            <v>11180.878373719881</v>
          </cell>
          <cell r="Q1680">
            <v>1863.4797289533135</v>
          </cell>
          <cell r="R1680">
            <v>0</v>
          </cell>
          <cell r="T1680"/>
          <cell r="U1680"/>
          <cell r="V1680">
            <v>0.82411973235254288</v>
          </cell>
          <cell r="W1680">
            <v>5.8640122741109818E-5</v>
          </cell>
          <cell r="X1680">
            <v>6</v>
          </cell>
          <cell r="Y1680" t="str">
            <v>Proteger</v>
          </cell>
        </row>
        <row r="1681">
          <cell r="A1681" t="str">
            <v>3170</v>
          </cell>
          <cell r="B1681" t="str">
            <v>3170 - EDGAR BENITEZ (FARMACIA PANAMERICANA II)</v>
          </cell>
          <cell r="C1681" t="str">
            <v>INDEPENDIENTE</v>
          </cell>
          <cell r="D1681">
            <v>0</v>
          </cell>
          <cell r="E1681"/>
          <cell r="F1681" t="str">
            <v>ANDES</v>
          </cell>
          <cell r="G1681" t="str">
            <v>JESUS CONTRERAS</v>
          </cell>
          <cell r="H1681"/>
          <cell r="I1681" t="str">
            <v>G2</v>
          </cell>
          <cell r="J1681" t="str">
            <v>Bloqueado</v>
          </cell>
          <cell r="K1681">
            <v>9210.1851000000006</v>
          </cell>
          <cell r="L1681">
            <v>1535.0308500000001</v>
          </cell>
          <cell r="M1681">
            <v>0</v>
          </cell>
          <cell r="N1681" t="str">
            <v>No Compra</v>
          </cell>
          <cell r="O1681">
            <v>6</v>
          </cell>
          <cell r="P1681">
            <v>10399.416299999999</v>
          </cell>
          <cell r="Q1681">
            <v>1733.2360499999998</v>
          </cell>
          <cell r="R1681">
            <v>0</v>
          </cell>
          <cell r="T1681"/>
          <cell r="U1681"/>
          <cell r="V1681">
            <v>0.88564442794736487</v>
          </cell>
          <cell r="W1681">
            <v>5.8613410627722291E-5</v>
          </cell>
          <cell r="X1681">
            <v>6</v>
          </cell>
          <cell r="Y1681" t="str">
            <v>Proteger</v>
          </cell>
        </row>
        <row r="1682">
          <cell r="A1682" t="str">
            <v>E292</v>
          </cell>
          <cell r="B1682" t="str">
            <v>E292 - FARMACIA DOÑA GOYA Y C.A</v>
          </cell>
          <cell r="C1682" t="str">
            <v>INDEPENDIENTE</v>
          </cell>
          <cell r="D1682">
            <v>3</v>
          </cell>
          <cell r="F1682" t="str">
            <v>CENTRO OESTE</v>
          </cell>
          <cell r="G1682">
            <v>0</v>
          </cell>
          <cell r="H1682"/>
          <cell r="I1682" t="str">
            <v>E</v>
          </cell>
          <cell r="J1682" t="str">
            <v>Activo</v>
          </cell>
          <cell r="K1682">
            <v>9182.7546999999995</v>
          </cell>
          <cell r="L1682">
            <v>1311.8220999999999</v>
          </cell>
          <cell r="M1682">
            <v>1378.1716333333334</v>
          </cell>
          <cell r="N1682" t="str">
            <v>Si Compra</v>
          </cell>
          <cell r="O1682">
            <v>7</v>
          </cell>
          <cell r="P1682">
            <v>0</v>
          </cell>
          <cell r="Q1682">
            <v>0</v>
          </cell>
          <cell r="R1682">
            <v>0</v>
          </cell>
          <cell r="V1682">
            <v>0</v>
          </cell>
          <cell r="W1682">
            <v>5.0090437868281906E-5</v>
          </cell>
          <cell r="X1682">
            <v>0</v>
          </cell>
          <cell r="Y1682" t="str">
            <v>Conquistar</v>
          </cell>
        </row>
        <row r="1683">
          <cell r="A1683" t="str">
            <v>H265</v>
          </cell>
          <cell r="B1683" t="str">
            <v>H265 - FARMACIA MI FARMACIA, S.R.L.</v>
          </cell>
          <cell r="C1683" t="str">
            <v>INDEPENDIENTE</v>
          </cell>
          <cell r="D1683">
            <v>3</v>
          </cell>
          <cell r="F1683" t="str">
            <v>CENTRO ESTE</v>
          </cell>
          <cell r="G1683">
            <v>0</v>
          </cell>
          <cell r="H1683"/>
          <cell r="I1683" t="str">
            <v>H</v>
          </cell>
          <cell r="J1683" t="str">
            <v>Activo</v>
          </cell>
          <cell r="K1683">
            <v>9166.7606499104731</v>
          </cell>
          <cell r="L1683">
            <v>1018.5289611011636</v>
          </cell>
          <cell r="M1683">
            <v>902.3548044357193</v>
          </cell>
          <cell r="N1683" t="str">
            <v>Si Compra</v>
          </cell>
          <cell r="O1683">
            <v>9</v>
          </cell>
          <cell r="P1683">
            <v>0</v>
          </cell>
          <cell r="Q1683">
            <v>0</v>
          </cell>
          <cell r="R1683">
            <v>0</v>
          </cell>
          <cell r="V1683">
            <v>0</v>
          </cell>
          <cell r="W1683">
            <v>3.8891372269977435E-5</v>
          </cell>
          <cell r="X1683">
            <v>0</v>
          </cell>
          <cell r="Y1683" t="str">
            <v>Conquistar</v>
          </cell>
        </row>
        <row r="1684">
          <cell r="A1684" t="str">
            <v>E329</v>
          </cell>
          <cell r="B1684" t="str">
            <v>E329 - FARMANIDDAL BARINAS, C.A</v>
          </cell>
          <cell r="C1684" t="e">
            <v>#N/A</v>
          </cell>
          <cell r="D1684">
            <v>3</v>
          </cell>
          <cell r="F1684" t="str">
            <v>CENTRO OESTE</v>
          </cell>
          <cell r="G1684">
            <v>0</v>
          </cell>
          <cell r="H1684"/>
          <cell r="I1684" t="str">
            <v>E</v>
          </cell>
          <cell r="J1684" t="str">
            <v>Activo</v>
          </cell>
          <cell r="K1684">
            <v>9125.2132946664624</v>
          </cell>
          <cell r="L1684">
            <v>1520.8688824444105</v>
          </cell>
          <cell r="M1684">
            <v>1578.1764315554874</v>
          </cell>
          <cell r="N1684" t="str">
            <v>Si Compra</v>
          </cell>
          <cell r="O1684">
            <v>6</v>
          </cell>
          <cell r="P1684">
            <v>0</v>
          </cell>
          <cell r="Q1684">
            <v>0</v>
          </cell>
          <cell r="R1684">
            <v>0</v>
          </cell>
          <cell r="V1684">
            <v>0</v>
          </cell>
          <cell r="W1684">
            <v>5.8072651971547891E-5</v>
          </cell>
          <cell r="X1684">
            <v>0</v>
          </cell>
          <cell r="Y1684" t="str">
            <v>Conquistar</v>
          </cell>
        </row>
        <row r="1685">
          <cell r="A1685" t="str">
            <v>7306</v>
          </cell>
          <cell r="B1685" t="str">
            <v>7306 - RODRIGUEZ PACHECO, FERNANDO JOSE (FCIA NAZARENO, SANTA ANA)</v>
          </cell>
          <cell r="C1685" t="str">
            <v>INDEPENDIENTE</v>
          </cell>
          <cell r="D1685">
            <v>0</v>
          </cell>
          <cell r="E1685"/>
          <cell r="F1685" t="str">
            <v>ANDES</v>
          </cell>
          <cell r="G1685" t="str">
            <v>ANYERSSON TORRES</v>
          </cell>
          <cell r="H1685"/>
          <cell r="I1685" t="str">
            <v>4</v>
          </cell>
          <cell r="J1685" t="str">
            <v>Bloqueado</v>
          </cell>
          <cell r="K1685">
            <v>9110.4377000000004</v>
          </cell>
          <cell r="L1685">
            <v>4555.2188500000002</v>
          </cell>
          <cell r="M1685">
            <v>0</v>
          </cell>
          <cell r="N1685" t="str">
            <v>No Compra</v>
          </cell>
          <cell r="O1685">
            <v>2</v>
          </cell>
          <cell r="P1685">
            <v>18553.1194</v>
          </cell>
          <cell r="Q1685">
            <v>9276.5596999999998</v>
          </cell>
          <cell r="R1685">
            <v>0</v>
          </cell>
          <cell r="T1685"/>
          <cell r="U1685"/>
          <cell r="V1685">
            <v>0.49104614181483686</v>
          </cell>
          <cell r="W1685">
            <v>1.7393586125919941E-4</v>
          </cell>
          <cell r="X1685">
            <v>2</v>
          </cell>
          <cell r="Y1685" t="str">
            <v>Potenciar</v>
          </cell>
        </row>
        <row r="1686">
          <cell r="A1686">
            <v>0</v>
          </cell>
          <cell r="B1686" t="str">
            <v>S351 - LA ORTOPEDIA   KILEMBERG  PARRA  F.P.</v>
          </cell>
          <cell r="C1686" t="e">
            <v>#N/A</v>
          </cell>
          <cell r="D1686">
            <v>0</v>
          </cell>
          <cell r="E1686"/>
          <cell r="F1686" t="str">
            <v>ANDES</v>
          </cell>
          <cell r="G1686">
            <v>0</v>
          </cell>
          <cell r="H1686"/>
          <cell r="I1686" t="str">
            <v>4</v>
          </cell>
          <cell r="J1686" t="str">
            <v>Activo</v>
          </cell>
          <cell r="K1686">
            <v>9083.2926971008364</v>
          </cell>
          <cell r="L1686">
            <v>908.32926971008362</v>
          </cell>
          <cell r="M1686">
            <v>708.30646666666678</v>
          </cell>
          <cell r="N1686" t="str">
            <v>Si Compra</v>
          </cell>
          <cell r="O1686">
            <v>10</v>
          </cell>
          <cell r="P1686">
            <v>0</v>
          </cell>
          <cell r="Q1686">
            <v>0</v>
          </cell>
          <cell r="R1686">
            <v>0</v>
          </cell>
          <cell r="T1686"/>
          <cell r="U1686"/>
          <cell r="V1686">
            <v>0</v>
          </cell>
          <cell r="W1686">
            <v>3.4683522139438592E-5</v>
          </cell>
          <cell r="X1686">
            <v>0</v>
          </cell>
          <cell r="Y1686" t="str">
            <v>Conquistar</v>
          </cell>
        </row>
        <row r="1687">
          <cell r="A1687" t="str">
            <v>E356</v>
          </cell>
          <cell r="B1687" t="str">
            <v>E356 - FARMACIA ABRAHAMNYS C.A.</v>
          </cell>
          <cell r="C1687" t="e">
            <v>#N/A</v>
          </cell>
          <cell r="D1687">
            <v>3</v>
          </cell>
          <cell r="F1687" t="str">
            <v>ESTE</v>
          </cell>
          <cell r="G1687">
            <v>0</v>
          </cell>
          <cell r="H1687"/>
          <cell r="I1687" t="str">
            <v>A1</v>
          </cell>
          <cell r="J1687" t="str">
            <v>Activo</v>
          </cell>
          <cell r="K1687">
            <v>9069.2475368925006</v>
          </cell>
          <cell r="L1687">
            <v>1813.8495073785002</v>
          </cell>
          <cell r="M1687">
            <v>1481.8796133177045</v>
          </cell>
          <cell r="N1687" t="str">
            <v>Si Compra</v>
          </cell>
          <cell r="O1687">
            <v>5</v>
          </cell>
          <cell r="P1687">
            <v>0</v>
          </cell>
          <cell r="Q1687">
            <v>0</v>
          </cell>
          <cell r="R1687">
            <v>0</v>
          </cell>
          <cell r="V1687">
            <v>0</v>
          </cell>
          <cell r="W1687">
            <v>6.9259784578836207E-5</v>
          </cell>
          <cell r="X1687">
            <v>0</v>
          </cell>
          <cell r="Y1687" t="str">
            <v>Conquistar</v>
          </cell>
        </row>
        <row r="1688">
          <cell r="A1688" t="str">
            <v>2920</v>
          </cell>
          <cell r="B1688" t="str">
            <v>ROMMEL MORENO</v>
          </cell>
          <cell r="C1688" t="str">
            <v>GRUPO</v>
          </cell>
          <cell r="D1688">
            <v>6</v>
          </cell>
          <cell r="E1688"/>
          <cell r="F1688" t="str">
            <v>CENTRO ESTE</v>
          </cell>
          <cell r="H1688"/>
          <cell r="I1688"/>
          <cell r="J1688" t="str">
            <v>Activo</v>
          </cell>
          <cell r="K1688">
            <v>9047.5320235219915</v>
          </cell>
          <cell r="L1688">
            <v>904.7532023521992</v>
          </cell>
          <cell r="M1688">
            <v>1174.1793557707379</v>
          </cell>
          <cell r="N1688" t="str">
            <v>Si Compra</v>
          </cell>
          <cell r="O1688">
            <v>9</v>
          </cell>
          <cell r="P1688">
            <v>92445.629684384388</v>
          </cell>
          <cell r="Q1688">
            <v>9244.5629684384385</v>
          </cell>
          <cell r="R1688">
            <v>6747.1605333333328</v>
          </cell>
          <cell r="S1688"/>
          <cell r="T1688"/>
          <cell r="U1688"/>
          <cell r="V1688">
            <v>9.7868682969772358E-2</v>
          </cell>
          <cell r="W1688">
            <v>3.4546974066492651E-5</v>
          </cell>
          <cell r="X1688">
            <v>10</v>
          </cell>
          <cell r="Y1688" t="str">
            <v>Conquistar</v>
          </cell>
        </row>
        <row r="1689">
          <cell r="A1689" t="str">
            <v>5676</v>
          </cell>
          <cell r="B1689" t="str">
            <v>5676 - FARMACIA FARMATLANTICO, C.A.</v>
          </cell>
          <cell r="C1689" t="str">
            <v>INDEPENDIENTE</v>
          </cell>
          <cell r="D1689">
            <v>3</v>
          </cell>
          <cell r="E1689"/>
          <cell r="F1689" t="str">
            <v>ESTE</v>
          </cell>
          <cell r="G1689">
            <v>0</v>
          </cell>
          <cell r="H1689"/>
          <cell r="I1689" t="str">
            <v>A2</v>
          </cell>
          <cell r="J1689" t="str">
            <v>Inactivo</v>
          </cell>
          <cell r="K1689">
            <v>9025.6950855398554</v>
          </cell>
          <cell r="L1689">
            <v>1128.2118856924819</v>
          </cell>
          <cell r="M1689">
            <v>1330.6412384424477</v>
          </cell>
          <cell r="N1689" t="str">
            <v>Si Compra</v>
          </cell>
          <cell r="O1689">
            <v>8</v>
          </cell>
          <cell r="P1689">
            <v>0</v>
          </cell>
          <cell r="Q1689">
            <v>0</v>
          </cell>
          <cell r="R1689">
            <v>0</v>
          </cell>
          <cell r="T1689"/>
          <cell r="U1689"/>
          <cell r="V1689">
            <v>0</v>
          </cell>
          <cell r="W1689">
            <v>4.3079490246837922E-5</v>
          </cell>
          <cell r="X1689">
            <v>0</v>
          </cell>
          <cell r="Y1689" t="str">
            <v>Conquistar</v>
          </cell>
        </row>
        <row r="1690">
          <cell r="A1690" t="str">
            <v>E330</v>
          </cell>
          <cell r="B1690" t="str">
            <v>E330 - MULTY FARMA MARYNEL, C.A</v>
          </cell>
          <cell r="C1690" t="e">
            <v>#N/A</v>
          </cell>
          <cell r="D1690">
            <v>3</v>
          </cell>
          <cell r="F1690" t="str">
            <v>ANDES</v>
          </cell>
          <cell r="G1690">
            <v>0</v>
          </cell>
          <cell r="H1690"/>
          <cell r="I1690" t="str">
            <v>G2</v>
          </cell>
          <cell r="J1690" t="str">
            <v>Activo</v>
          </cell>
          <cell r="K1690">
            <v>9011.1058494197878</v>
          </cell>
          <cell r="L1690">
            <v>1501.850974903298</v>
          </cell>
          <cell r="M1690">
            <v>1348.2433666666666</v>
          </cell>
          <cell r="N1690" t="str">
            <v>Si Compra</v>
          </cell>
          <cell r="O1690">
            <v>6</v>
          </cell>
          <cell r="P1690">
            <v>0</v>
          </cell>
          <cell r="Q1690">
            <v>0</v>
          </cell>
          <cell r="R1690">
            <v>0</v>
          </cell>
          <cell r="V1690">
            <v>0</v>
          </cell>
          <cell r="W1690">
            <v>5.7346474758896248E-5</v>
          </cell>
          <cell r="X1690">
            <v>0</v>
          </cell>
          <cell r="Y1690" t="str">
            <v>Conquistar</v>
          </cell>
        </row>
        <row r="1691">
          <cell r="A1691" t="str">
            <v>C478</v>
          </cell>
          <cell r="B1691" t="str">
            <v>C478 - SERVICIOS INTEGRALES DE SALUD ENMANUEL 2224, C.A</v>
          </cell>
          <cell r="C1691" t="str">
            <v>INDEPENDIENTE</v>
          </cell>
          <cell r="D1691">
            <v>1</v>
          </cell>
          <cell r="E1691"/>
          <cell r="F1691" t="str">
            <v>CENTRO ESTE</v>
          </cell>
          <cell r="G1691">
            <v>0</v>
          </cell>
          <cell r="H1691"/>
          <cell r="I1691" t="str">
            <v>$</v>
          </cell>
          <cell r="J1691" t="str">
            <v>Activo</v>
          </cell>
          <cell r="K1691">
            <v>8998.5421038148288</v>
          </cell>
          <cell r="L1691">
            <v>1124.8177629768536</v>
          </cell>
          <cell r="M1691">
            <v>12.132</v>
          </cell>
          <cell r="N1691" t="str">
            <v>Si Compra</v>
          </cell>
          <cell r="O1691">
            <v>8</v>
          </cell>
          <cell r="P1691">
            <v>0</v>
          </cell>
          <cell r="Q1691">
            <v>0</v>
          </cell>
          <cell r="R1691">
            <v>0</v>
          </cell>
          <cell r="T1691"/>
          <cell r="U1691"/>
          <cell r="V1691">
            <v>0</v>
          </cell>
          <cell r="W1691">
            <v>4.2949889523535191E-5</v>
          </cell>
          <cell r="X1691">
            <v>0</v>
          </cell>
          <cell r="Y1691" t="str">
            <v>Conquistar</v>
          </cell>
        </row>
        <row r="1692">
          <cell r="A1692" t="str">
            <v>D435</v>
          </cell>
          <cell r="B1692" t="str">
            <v>D435 - FARMACIA MARANATHAS C.A.</v>
          </cell>
          <cell r="C1692" t="str">
            <v>INDEPENDIENTE</v>
          </cell>
          <cell r="D1692">
            <v>2</v>
          </cell>
          <cell r="E1692"/>
          <cell r="F1692" t="str">
            <v>ESTE</v>
          </cell>
          <cell r="G1692" t="str">
            <v>PEDRO VIRE</v>
          </cell>
          <cell r="H1692"/>
          <cell r="I1692" t="str">
            <v>A7</v>
          </cell>
          <cell r="J1692" t="str">
            <v>Activo</v>
          </cell>
          <cell r="K1692">
            <v>8970.502792280924</v>
          </cell>
          <cell r="L1692">
            <v>1121.3128490351155</v>
          </cell>
          <cell r="M1692">
            <v>1153.5767499999999</v>
          </cell>
          <cell r="N1692" t="str">
            <v>Si Compra</v>
          </cell>
          <cell r="O1692">
            <v>8</v>
          </cell>
          <cell r="P1692">
            <v>8814.4168404165321</v>
          </cell>
          <cell r="Q1692">
            <v>1101.8021050520665</v>
          </cell>
          <cell r="R1692">
            <v>993.95029999999997</v>
          </cell>
          <cell r="T1692"/>
          <cell r="U1692"/>
          <cell r="V1692">
            <v>1.0177080293217691</v>
          </cell>
          <cell r="W1692">
            <v>4.281605836302013E-5</v>
          </cell>
          <cell r="X1692">
            <v>7</v>
          </cell>
          <cell r="Y1692" t="str">
            <v>Proteger</v>
          </cell>
        </row>
        <row r="1693">
          <cell r="A1693" t="str">
            <v>E056</v>
          </cell>
          <cell r="B1693" t="str">
            <v>E056 - FARMAPARIMA C.A.</v>
          </cell>
          <cell r="C1693" t="str">
            <v>INDEPENDIENTE</v>
          </cell>
          <cell r="D1693">
            <v>3</v>
          </cell>
          <cell r="F1693" t="str">
            <v>ESTE</v>
          </cell>
          <cell r="G1693">
            <v>0</v>
          </cell>
          <cell r="H1693"/>
          <cell r="I1693" t="str">
            <v>A2</v>
          </cell>
          <cell r="J1693" t="str">
            <v>Activo</v>
          </cell>
          <cell r="K1693">
            <v>8959.1945955842584</v>
          </cell>
          <cell r="L1693">
            <v>1279.8849422263227</v>
          </cell>
          <cell r="M1693">
            <v>1137.5719242138121</v>
          </cell>
          <cell r="N1693" t="str">
            <v>Si Compra</v>
          </cell>
          <cell r="O1693">
            <v>7</v>
          </cell>
          <cell r="P1693">
            <v>0</v>
          </cell>
          <cell r="Q1693">
            <v>0</v>
          </cell>
          <cell r="R1693">
            <v>0</v>
          </cell>
          <cell r="V1693">
            <v>0</v>
          </cell>
          <cell r="W1693">
            <v>4.8870953749854651E-5</v>
          </cell>
          <cell r="X1693">
            <v>0</v>
          </cell>
          <cell r="Y1693" t="str">
            <v>Conquistar</v>
          </cell>
        </row>
        <row r="1694">
          <cell r="A1694" t="str">
            <v>E340</v>
          </cell>
          <cell r="B1694" t="str">
            <v>E340 - EL GRAN KIKO SUPERMARKET, C.A.</v>
          </cell>
          <cell r="C1694" t="e">
            <v>#N/A</v>
          </cell>
          <cell r="D1694">
            <v>3</v>
          </cell>
          <cell r="F1694" t="str">
            <v>MARACAIBO</v>
          </cell>
          <cell r="G1694">
            <v>0</v>
          </cell>
          <cell r="H1694"/>
          <cell r="I1694" t="str">
            <v>D</v>
          </cell>
          <cell r="J1694" t="str">
            <v>Inactivo</v>
          </cell>
          <cell r="K1694">
            <v>8923.5714512048962</v>
          </cell>
          <cell r="L1694">
            <v>1487.2619085341494</v>
          </cell>
          <cell r="M1694">
            <v>1533.9941333333334</v>
          </cell>
          <cell r="N1694" t="str">
            <v>Si Compra</v>
          </cell>
          <cell r="O1694">
            <v>6</v>
          </cell>
          <cell r="P1694">
            <v>0</v>
          </cell>
          <cell r="Q1694">
            <v>0</v>
          </cell>
          <cell r="R1694">
            <v>0</v>
          </cell>
          <cell r="V1694">
            <v>0</v>
          </cell>
          <cell r="W1694">
            <v>5.6789407819316499E-5</v>
          </cell>
          <cell r="X1694">
            <v>0</v>
          </cell>
          <cell r="Y1694" t="str">
            <v>Conquistar</v>
          </cell>
        </row>
        <row r="1695">
          <cell r="A1695" t="str">
            <v>B622</v>
          </cell>
          <cell r="B1695" t="str">
            <v>B622 - FARMAVALOR, C.A.</v>
          </cell>
          <cell r="C1695" t="e">
            <v>#N/A</v>
          </cell>
          <cell r="D1695">
            <v>0</v>
          </cell>
          <cell r="E1695"/>
          <cell r="F1695" t="str">
            <v>CARACAS</v>
          </cell>
          <cell r="G1695" t="str">
            <v>JHON TORRES</v>
          </cell>
          <cell r="H1695"/>
          <cell r="I1695" t="str">
            <v>C4</v>
          </cell>
          <cell r="J1695" t="str">
            <v>Bloqueado</v>
          </cell>
          <cell r="K1695">
            <v>8898.640912995148</v>
          </cell>
          <cell r="L1695">
            <v>1779.7281825990297</v>
          </cell>
          <cell r="M1695">
            <v>2112.746331757844</v>
          </cell>
          <cell r="N1695" t="str">
            <v>Si Compra</v>
          </cell>
          <cell r="O1695">
            <v>3</v>
          </cell>
          <cell r="P1695">
            <v>68716.404569519131</v>
          </cell>
          <cell r="Q1695">
            <v>13743.280913903825</v>
          </cell>
          <cell r="R1695">
            <v>9541.8870494937873</v>
          </cell>
          <cell r="T1695"/>
          <cell r="U1695"/>
          <cell r="V1695">
            <v>0.12949805754159557</v>
          </cell>
          <cell r="W1695">
            <v>6.7956900522492321E-5</v>
          </cell>
          <cell r="X1695">
            <v>5</v>
          </cell>
          <cell r="Y1695" t="str">
            <v>Conquistar</v>
          </cell>
        </row>
        <row r="1696">
          <cell r="A1696" t="str">
            <v>C767</v>
          </cell>
          <cell r="B1696" t="str">
            <v>C767 - FARMAVEN SAN JORGE, C.A.</v>
          </cell>
          <cell r="C1696" t="str">
            <v>INDEPENDIENTE</v>
          </cell>
          <cell r="D1696">
            <v>3</v>
          </cell>
          <cell r="E1696"/>
          <cell r="F1696" t="str">
            <v>ANDES</v>
          </cell>
          <cell r="G1696" t="str">
            <v>MILAGRO BRICEñO</v>
          </cell>
          <cell r="H1696"/>
          <cell r="I1696" t="str">
            <v>G</v>
          </cell>
          <cell r="J1696" t="str">
            <v>Bloqueado</v>
          </cell>
          <cell r="K1696">
            <v>8891.9984489865928</v>
          </cell>
          <cell r="L1696">
            <v>889.19984489865931</v>
          </cell>
          <cell r="M1696">
            <v>587.06553333333329</v>
          </cell>
          <cell r="N1696" t="str">
            <v>Si Compra</v>
          </cell>
          <cell r="O1696">
            <v>10</v>
          </cell>
          <cell r="P1696">
            <v>14724.900939847354</v>
          </cell>
          <cell r="Q1696">
            <v>1472.4900939847353</v>
          </cell>
          <cell r="R1696">
            <v>1058.7737</v>
          </cell>
          <cell r="T1696"/>
          <cell r="U1696"/>
          <cell r="V1696">
            <v>0.60387492488481032</v>
          </cell>
          <cell r="W1696">
            <v>3.3953086766400879E-5</v>
          </cell>
          <cell r="X1696">
            <v>10</v>
          </cell>
          <cell r="Y1696" t="str">
            <v>Potenciar</v>
          </cell>
        </row>
        <row r="1697">
          <cell r="A1697" t="str">
            <v>D495</v>
          </cell>
          <cell r="B1697" t="str">
            <v>D495 - FARMACIA CARABOBO 4M, C.A.</v>
          </cell>
          <cell r="C1697" t="str">
            <v>INDEPENDIENTE</v>
          </cell>
          <cell r="D1697">
            <v>3</v>
          </cell>
          <cell r="E1697"/>
          <cell r="F1697" t="str">
            <v>ANDES</v>
          </cell>
          <cell r="G1697">
            <v>0</v>
          </cell>
          <cell r="H1697"/>
          <cell r="I1697" t="str">
            <v xml:space="preserve">3 </v>
          </cell>
          <cell r="J1697" t="str">
            <v>Activo</v>
          </cell>
          <cell r="K1697">
            <v>8875.3279820564894</v>
          </cell>
          <cell r="L1697">
            <v>887.53279820564899</v>
          </cell>
          <cell r="M1697">
            <v>688.33566666666673</v>
          </cell>
          <cell r="N1697" t="str">
            <v>Si Compra</v>
          </cell>
          <cell r="O1697">
            <v>10</v>
          </cell>
          <cell r="P1697">
            <v>0</v>
          </cell>
          <cell r="Q1697">
            <v>0</v>
          </cell>
          <cell r="R1697">
            <v>0</v>
          </cell>
          <cell r="T1697"/>
          <cell r="U1697"/>
          <cell r="V1697">
            <v>0</v>
          </cell>
          <cell r="W1697">
            <v>3.3889432480656065E-5</v>
          </cell>
          <cell r="X1697">
            <v>0</v>
          </cell>
          <cell r="Y1697" t="str">
            <v>Conquistar</v>
          </cell>
        </row>
        <row r="1698">
          <cell r="A1698" t="str">
            <v>D008</v>
          </cell>
          <cell r="B1698" t="str">
            <v>D008 - FARMABAHIA 1098, C.A.</v>
          </cell>
          <cell r="C1698" t="str">
            <v>INDEPENDIENTE</v>
          </cell>
          <cell r="D1698">
            <v>3</v>
          </cell>
          <cell r="E1698"/>
          <cell r="F1698" t="str">
            <v>ESTE</v>
          </cell>
          <cell r="G1698" t="str">
            <v>JOSE RAMIREZ</v>
          </cell>
          <cell r="H1698"/>
          <cell r="I1698" t="str">
            <v>A2</v>
          </cell>
          <cell r="J1698" t="str">
            <v>Activo</v>
          </cell>
          <cell r="K1698">
            <v>8864.282834332902</v>
          </cell>
          <cell r="L1698">
            <v>886.42828343329018</v>
          </cell>
          <cell r="M1698">
            <v>1247.6305781109675</v>
          </cell>
          <cell r="N1698" t="str">
            <v>Si Compra</v>
          </cell>
          <cell r="O1698">
            <v>10</v>
          </cell>
          <cell r="P1698">
            <v>23813.040981258451</v>
          </cell>
          <cell r="Q1698">
            <v>2381.304098125845</v>
          </cell>
          <cell r="R1698">
            <v>2886.3658270861488</v>
          </cell>
          <cell r="T1698"/>
          <cell r="U1698"/>
          <cell r="V1698">
            <v>0.37224489057526705</v>
          </cell>
          <cell r="W1698">
            <v>3.3847257837783808E-5</v>
          </cell>
          <cell r="X1698">
            <v>10</v>
          </cell>
          <cell r="Y1698" t="str">
            <v>Potenciar</v>
          </cell>
        </row>
        <row r="1699">
          <cell r="A1699" t="str">
            <v>E014</v>
          </cell>
          <cell r="B1699" t="str">
            <v>E014 - FARMACIA VILLA SALUD, C.A</v>
          </cell>
          <cell r="C1699" t="str">
            <v>INDEPENDIENTE</v>
          </cell>
          <cell r="D1699">
            <v>2</v>
          </cell>
          <cell r="F1699" t="str">
            <v>CENTRO ESTE</v>
          </cell>
          <cell r="G1699">
            <v>0</v>
          </cell>
          <cell r="H1699"/>
          <cell r="I1699" t="str">
            <v>AV</v>
          </cell>
          <cell r="J1699" t="str">
            <v>Inactivo</v>
          </cell>
          <cell r="K1699">
            <v>8845.3493807589075</v>
          </cell>
          <cell r="L1699">
            <v>982.81659786210082</v>
          </cell>
          <cell r="M1699">
            <v>933.81394037945392</v>
          </cell>
          <cell r="N1699" t="str">
            <v>Si Compra</v>
          </cell>
          <cell r="O1699">
            <v>9</v>
          </cell>
          <cell r="P1699">
            <v>0</v>
          </cell>
          <cell r="Q1699">
            <v>0</v>
          </cell>
          <cell r="R1699">
            <v>0</v>
          </cell>
          <cell r="V1699">
            <v>0</v>
          </cell>
          <cell r="W1699">
            <v>3.7527736216006556E-5</v>
          </cell>
          <cell r="X1699">
            <v>0</v>
          </cell>
          <cell r="Y1699" t="str">
            <v>Conquistar</v>
          </cell>
        </row>
        <row r="1700">
          <cell r="A1700" t="str">
            <v>9864</v>
          </cell>
          <cell r="B1700" t="str">
            <v>9864 - FARMA PLAZA LIBERTAD C.A</v>
          </cell>
          <cell r="C1700" t="e">
            <v>#N/A</v>
          </cell>
          <cell r="D1700">
            <v>3</v>
          </cell>
          <cell r="E1700"/>
          <cell r="F1700" t="str">
            <v>ANDES</v>
          </cell>
          <cell r="G1700" t="str">
            <v>MARIA GABRIELA FORTUL</v>
          </cell>
          <cell r="H1700"/>
          <cell r="I1700" t="str">
            <v xml:space="preserve">3 </v>
          </cell>
          <cell r="J1700" t="str">
            <v>Activo</v>
          </cell>
          <cell r="K1700">
            <v>8836.6830408430942</v>
          </cell>
          <cell r="L1700">
            <v>1472.7805068071823</v>
          </cell>
          <cell r="M1700">
            <v>1792.2932666666666</v>
          </cell>
          <cell r="N1700" t="str">
            <v>Si Compra</v>
          </cell>
          <cell r="O1700">
            <v>6</v>
          </cell>
          <cell r="P1700">
            <v>18794.374315981135</v>
          </cell>
          <cell r="Q1700">
            <v>3132.395719330189</v>
          </cell>
          <cell r="R1700">
            <v>3015.3631333333337</v>
          </cell>
          <cell r="T1700"/>
          <cell r="U1700"/>
          <cell r="V1700">
            <v>0.47017702703351671</v>
          </cell>
          <cell r="W1700">
            <v>5.6236451931890695E-5</v>
          </cell>
          <cell r="X1700">
            <v>6</v>
          </cell>
          <cell r="Y1700" t="str">
            <v>Potenciar</v>
          </cell>
        </row>
        <row r="1701">
          <cell r="A1701" t="str">
            <v>D279</v>
          </cell>
          <cell r="B1701" t="str">
            <v>D279 - FARMACIA CUALIS,C.A</v>
          </cell>
          <cell r="C1701" t="str">
            <v>INDEPENDIENTE</v>
          </cell>
          <cell r="D1701">
            <v>3</v>
          </cell>
          <cell r="E1701"/>
          <cell r="F1701" t="str">
            <v>ESTE</v>
          </cell>
          <cell r="G1701" t="str">
            <v>CARMEN ALCALA</v>
          </cell>
          <cell r="H1701"/>
          <cell r="I1701" t="str">
            <v>A0</v>
          </cell>
          <cell r="J1701" t="str">
            <v>Suspendido</v>
          </cell>
          <cell r="K1701">
            <v>8808.1909708258572</v>
          </cell>
          <cell r="L1701">
            <v>880.8190970825857</v>
          </cell>
          <cell r="M1701">
            <v>464.23819999999995</v>
          </cell>
          <cell r="N1701" t="str">
            <v>Si Compra</v>
          </cell>
          <cell r="O1701">
            <v>10</v>
          </cell>
          <cell r="P1701">
            <v>93534.357742369655</v>
          </cell>
          <cell r="Q1701">
            <v>9353.4357742369648</v>
          </cell>
          <cell r="R1701">
            <v>4469.6318666666666</v>
          </cell>
          <cell r="T1701"/>
          <cell r="U1701"/>
          <cell r="V1701">
            <v>9.4170646844949468E-2</v>
          </cell>
          <cell r="W1701">
            <v>3.3633077423845379E-5</v>
          </cell>
          <cell r="X1701">
            <v>10</v>
          </cell>
          <cell r="Y1701" t="str">
            <v>Conquistar</v>
          </cell>
        </row>
        <row r="1702">
          <cell r="A1702" t="str">
            <v>$172</v>
          </cell>
          <cell r="B1702" t="str">
            <v>$172 - FARMACIA LAS ACACIAS, C.A.</v>
          </cell>
          <cell r="C1702" t="str">
            <v>INDEPENDIENTE</v>
          </cell>
          <cell r="D1702">
            <v>3</v>
          </cell>
          <cell r="E1702"/>
          <cell r="F1702" t="str">
            <v>CENTRO ESTE</v>
          </cell>
          <cell r="G1702" t="str">
            <v>LAURA FLORES</v>
          </cell>
          <cell r="H1702"/>
          <cell r="I1702" t="str">
            <v>-</v>
          </cell>
          <cell r="J1702" t="str">
            <v>Activo</v>
          </cell>
          <cell r="K1702">
            <v>8798.7939785988237</v>
          </cell>
          <cell r="L1702">
            <v>879.87939785988237</v>
          </cell>
          <cell r="M1702">
            <v>984.17306479986928</v>
          </cell>
          <cell r="N1702" t="str">
            <v>Si Compra</v>
          </cell>
          <cell r="O1702">
            <v>10</v>
          </cell>
          <cell r="P1702">
            <v>24460.388220465127</v>
          </cell>
          <cell r="Q1702">
            <v>2446.0388220465129</v>
          </cell>
          <cell r="R1702">
            <v>2172.2743270794194</v>
          </cell>
          <cell r="T1702"/>
          <cell r="U1702"/>
          <cell r="V1702">
            <v>0.35971603963493876</v>
          </cell>
          <cell r="W1702">
            <v>3.359719607565823E-5</v>
          </cell>
          <cell r="X1702">
            <v>10</v>
          </cell>
          <cell r="Y1702" t="str">
            <v>Potenciar</v>
          </cell>
        </row>
        <row r="1703">
          <cell r="A1703" t="str">
            <v>D701</v>
          </cell>
          <cell r="B1703" t="str">
            <v>D701 - FARMACIA VED BIENESTAR, C.A</v>
          </cell>
          <cell r="C1703" t="str">
            <v>INDEPENDIENTE</v>
          </cell>
          <cell r="D1703">
            <v>3</v>
          </cell>
          <cell r="E1703"/>
          <cell r="F1703" t="str">
            <v>CENTRO OESTE</v>
          </cell>
          <cell r="G1703" t="str">
            <v>YAMILEX LAMEDA</v>
          </cell>
          <cell r="H1703"/>
          <cell r="I1703" t="str">
            <v>Y1</v>
          </cell>
          <cell r="J1703" t="str">
            <v>Activo</v>
          </cell>
          <cell r="K1703">
            <v>8796.7026271018585</v>
          </cell>
          <cell r="L1703">
            <v>879.67026271018585</v>
          </cell>
          <cell r="M1703">
            <v>562.74754734817418</v>
          </cell>
          <cell r="N1703" t="str">
            <v>Si Compra</v>
          </cell>
          <cell r="O1703">
            <v>10</v>
          </cell>
          <cell r="P1703">
            <v>12317.736818950852</v>
          </cell>
          <cell r="Q1703">
            <v>1231.7736818950852</v>
          </cell>
          <cell r="R1703">
            <v>807.63060732675649</v>
          </cell>
          <cell r="T1703"/>
          <cell r="U1703"/>
          <cell r="V1703">
            <v>0.71414925942955054</v>
          </cell>
          <cell r="W1703">
            <v>3.3589210487351744E-5</v>
          </cell>
          <cell r="X1703">
            <v>10</v>
          </cell>
          <cell r="Y1703" t="str">
            <v>Proteger</v>
          </cell>
        </row>
        <row r="1704">
          <cell r="A1704" t="str">
            <v>E624</v>
          </cell>
          <cell r="B1704" t="str">
            <v>E624 - FARMACIA LA ARBOLEDA 2025, CA</v>
          </cell>
          <cell r="C1704" t="e">
            <v>#N/A</v>
          </cell>
          <cell r="D1704">
            <v>3</v>
          </cell>
          <cell r="F1704" t="str">
            <v>ESTE</v>
          </cell>
          <cell r="G1704">
            <v>0</v>
          </cell>
          <cell r="H1704"/>
          <cell r="I1704" t="str">
            <v>A3</v>
          </cell>
          <cell r="J1704" t="str">
            <v>Inactivo</v>
          </cell>
          <cell r="K1704">
            <v>8790.4050000000007</v>
          </cell>
          <cell r="L1704">
            <v>2930.1350000000002</v>
          </cell>
          <cell r="M1704">
            <v>2930.1350000000002</v>
          </cell>
          <cell r="N1704" t="str">
            <v>Si Compra</v>
          </cell>
          <cell r="O1704">
            <v>3</v>
          </cell>
          <cell r="P1704">
            <v>0</v>
          </cell>
          <cell r="Q1704">
            <v>0</v>
          </cell>
          <cell r="R1704">
            <v>0</v>
          </cell>
          <cell r="V1704">
            <v>0</v>
          </cell>
          <cell r="W1704">
            <v>1.1188387904364336E-4</v>
          </cell>
          <cell r="X1704">
            <v>0</v>
          </cell>
          <cell r="Y1704" t="str">
            <v>Conquistar</v>
          </cell>
        </row>
        <row r="1705">
          <cell r="A1705" t="str">
            <v>8242</v>
          </cell>
          <cell r="B1705" t="str">
            <v>8242 - FARMACIA CARMEN ROSA C.A.</v>
          </cell>
          <cell r="C1705" t="str">
            <v>INDEPENDIENTE</v>
          </cell>
          <cell r="D1705">
            <v>3</v>
          </cell>
          <cell r="E1705"/>
          <cell r="F1705" t="str">
            <v>CENTRO ESTE</v>
          </cell>
          <cell r="G1705" t="str">
            <v>KARLA SALAZAR</v>
          </cell>
          <cell r="H1705"/>
          <cell r="I1705" t="str">
            <v>O</v>
          </cell>
          <cell r="J1705" t="str">
            <v>Activo</v>
          </cell>
          <cell r="K1705">
            <v>8772.0346480209173</v>
          </cell>
          <cell r="L1705">
            <v>974.6705164467686</v>
          </cell>
          <cell r="M1705">
            <v>1021.7684</v>
          </cell>
          <cell r="N1705" t="str">
            <v>Si Compra</v>
          </cell>
          <cell r="O1705">
            <v>9</v>
          </cell>
          <cell r="P1705">
            <v>9557.9776581940696</v>
          </cell>
          <cell r="Q1705">
            <v>1061.9975175771187</v>
          </cell>
          <cell r="R1705">
            <v>987.42959999999994</v>
          </cell>
          <cell r="T1705"/>
          <cell r="U1705"/>
          <cell r="V1705">
            <v>0.91777099316617872</v>
          </cell>
          <cell r="W1705">
            <v>3.7216687343598729E-5</v>
          </cell>
          <cell r="X1705">
            <v>9</v>
          </cell>
          <cell r="Y1705" t="str">
            <v>Proteger</v>
          </cell>
        </row>
        <row r="1706">
          <cell r="A1706" t="str">
            <v>9529</v>
          </cell>
          <cell r="B1706" t="str">
            <v>9529 - FARMA CLIP CARRIZAL C.A.</v>
          </cell>
          <cell r="C1706" t="str">
            <v>INDEPENDIENTE</v>
          </cell>
          <cell r="D1706">
            <v>3</v>
          </cell>
          <cell r="E1706"/>
          <cell r="F1706" t="str">
            <v>CARACAS</v>
          </cell>
          <cell r="G1706" t="str">
            <v>RAMON SERRANO</v>
          </cell>
          <cell r="H1706"/>
          <cell r="I1706" t="str">
            <v>CB</v>
          </cell>
          <cell r="J1706" t="str">
            <v>Activo</v>
          </cell>
          <cell r="K1706">
            <v>8758.176423080562</v>
          </cell>
          <cell r="L1706">
            <v>1094.7720528850703</v>
          </cell>
          <cell r="M1706">
            <v>865.98419999999987</v>
          </cell>
          <cell r="N1706" t="str">
            <v>Si Compra</v>
          </cell>
          <cell r="O1706">
            <v>8</v>
          </cell>
          <cell r="P1706">
            <v>16389.189598929377</v>
          </cell>
          <cell r="Q1706">
            <v>2048.6486998661721</v>
          </cell>
          <cell r="R1706">
            <v>1432.0163666666667</v>
          </cell>
          <cell r="T1706"/>
          <cell r="U1706"/>
          <cell r="V1706">
            <v>0.53438740031738297</v>
          </cell>
          <cell r="W1706">
            <v>4.1802628187900668E-5</v>
          </cell>
          <cell r="X1706">
            <v>8</v>
          </cell>
          <cell r="Y1706" t="str">
            <v>Potenciar</v>
          </cell>
        </row>
        <row r="1707">
          <cell r="A1707" t="str">
            <v>N155</v>
          </cell>
          <cell r="B1707" t="str">
            <v>N155 - FARMACIA EL CAMPANO,C.A.</v>
          </cell>
          <cell r="C1707" t="str">
            <v>INDEPENDIENTE</v>
          </cell>
          <cell r="D1707">
            <v>2</v>
          </cell>
          <cell r="F1707" t="str">
            <v>CENTRO OESTE</v>
          </cell>
          <cell r="G1707" t="str">
            <v>DIEGO TORI</v>
          </cell>
          <cell r="H1707"/>
          <cell r="I1707" t="str">
            <v>A</v>
          </cell>
          <cell r="J1707" t="str">
            <v>Activo</v>
          </cell>
          <cell r="K1707">
            <v>8740.5300098922944</v>
          </cell>
          <cell r="L1707">
            <v>971.17000109914386</v>
          </cell>
          <cell r="M1707">
            <v>600.97284999999999</v>
          </cell>
          <cell r="N1707" t="str">
            <v>Si Compra</v>
          </cell>
          <cell r="O1707">
            <v>9</v>
          </cell>
          <cell r="P1707">
            <v>17455.121494550145</v>
          </cell>
          <cell r="Q1707">
            <v>1939.4579438389051</v>
          </cell>
          <cell r="R1707">
            <v>1830.3234</v>
          </cell>
          <cell r="V1707">
            <v>0.50074300614987244</v>
          </cell>
          <cell r="W1707">
            <v>3.7083024138407138E-5</v>
          </cell>
          <cell r="X1707">
            <v>9</v>
          </cell>
          <cell r="Y1707" t="str">
            <v>Potenciar</v>
          </cell>
        </row>
        <row r="1708">
          <cell r="A1708" t="str">
            <v>B071</v>
          </cell>
          <cell r="B1708" t="str">
            <v>B071 - INVERSIONES FARMAZITA, C.A</v>
          </cell>
          <cell r="C1708" t="str">
            <v>INDEPENDIENTE</v>
          </cell>
          <cell r="D1708">
            <v>2</v>
          </cell>
          <cell r="E1708"/>
          <cell r="F1708" t="str">
            <v>CARACAS</v>
          </cell>
          <cell r="G1708" t="str">
            <v>WILLIAM ARAQUE</v>
          </cell>
          <cell r="H1708"/>
          <cell r="I1708" t="str">
            <v>C8</v>
          </cell>
          <cell r="J1708" t="str">
            <v>Inactivo</v>
          </cell>
          <cell r="K1708">
            <v>8726.4786999999997</v>
          </cell>
          <cell r="L1708">
            <v>969.60874444444437</v>
          </cell>
          <cell r="M1708">
            <v>679.20675000000006</v>
          </cell>
          <cell r="N1708" t="str">
            <v>Si Compra</v>
          </cell>
          <cell r="O1708">
            <v>9</v>
          </cell>
          <cell r="P1708">
            <v>194367.48930000002</v>
          </cell>
          <cell r="Q1708">
            <v>21596.387700000003</v>
          </cell>
          <cell r="R1708">
            <v>30053.737549999998</v>
          </cell>
          <cell r="T1708"/>
          <cell r="U1708"/>
          <cell r="V1708">
            <v>4.4896802090862824E-2</v>
          </cell>
          <cell r="W1708">
            <v>3.7023409325195295E-5</v>
          </cell>
          <cell r="X1708">
            <v>9</v>
          </cell>
          <cell r="Y1708" t="str">
            <v>Conquistar</v>
          </cell>
        </row>
        <row r="1709">
          <cell r="A1709" t="str">
            <v>7704</v>
          </cell>
          <cell r="B1709" t="str">
            <v>7704 - FARMACIA SAN ROQUE ACARIGUA,C.A</v>
          </cell>
          <cell r="C1709" t="str">
            <v>INDEPENDIENTE</v>
          </cell>
          <cell r="D1709">
            <v>3</v>
          </cell>
          <cell r="E1709"/>
          <cell r="F1709" t="str">
            <v>CENTRO OESTE</v>
          </cell>
          <cell r="G1709" t="str">
            <v>SORALI SILVA</v>
          </cell>
          <cell r="H1709"/>
          <cell r="I1709" t="str">
            <v>C</v>
          </cell>
          <cell r="J1709" t="str">
            <v>Activo</v>
          </cell>
          <cell r="K1709">
            <v>8711.2962176245346</v>
          </cell>
          <cell r="L1709">
            <v>967.92180195828166</v>
          </cell>
          <cell r="M1709">
            <v>610.80157254151163</v>
          </cell>
          <cell r="N1709" t="str">
            <v>Si Compra</v>
          </cell>
          <cell r="O1709">
            <v>9</v>
          </cell>
          <cell r="P1709">
            <v>40572.437211184151</v>
          </cell>
          <cell r="Q1709">
            <v>4508.0485790204611</v>
          </cell>
          <cell r="R1709">
            <v>489.37730372804975</v>
          </cell>
          <cell r="T1709"/>
          <cell r="U1709"/>
          <cell r="V1709">
            <v>0.21470970975397036</v>
          </cell>
          <cell r="W1709">
            <v>3.6958995341172236E-5</v>
          </cell>
          <cell r="X1709">
            <v>9</v>
          </cell>
          <cell r="Y1709" t="str">
            <v>Potenciar</v>
          </cell>
        </row>
        <row r="1710">
          <cell r="A1710" t="str">
            <v>B539</v>
          </cell>
          <cell r="B1710" t="str">
            <v>B539 - FARMACIA NUEVA SAN JOSE, C.A.</v>
          </cell>
          <cell r="C1710" t="str">
            <v>INDEPENDIENTE</v>
          </cell>
          <cell r="D1710">
            <v>3</v>
          </cell>
          <cell r="E1710"/>
          <cell r="F1710" t="str">
            <v>MARACAIBO</v>
          </cell>
          <cell r="G1710" t="str">
            <v>MARIA FUSELLA</v>
          </cell>
          <cell r="H1710"/>
          <cell r="I1710" t="str">
            <v>BZ</v>
          </cell>
          <cell r="J1710" t="str">
            <v>Inactivo</v>
          </cell>
          <cell r="K1710">
            <v>8705.4639999999981</v>
          </cell>
          <cell r="L1710">
            <v>870.54639999999984</v>
          </cell>
          <cell r="M1710">
            <v>555.57916666666665</v>
          </cell>
          <cell r="N1710" t="str">
            <v>Si Compra</v>
          </cell>
          <cell r="O1710">
            <v>10</v>
          </cell>
          <cell r="P1710">
            <v>13394.932199999999</v>
          </cell>
          <cell r="Q1710">
            <v>1339.4932199999998</v>
          </cell>
          <cell r="R1710">
            <v>1141.3414666666667</v>
          </cell>
          <cell r="T1710"/>
          <cell r="U1710"/>
          <cell r="V1710">
            <v>0.6499072835919244</v>
          </cell>
          <cell r="W1710">
            <v>3.3240826146057828E-5</v>
          </cell>
          <cell r="X1710">
            <v>10</v>
          </cell>
          <cell r="Y1710" t="str">
            <v>Proteger</v>
          </cell>
        </row>
        <row r="1711">
          <cell r="A1711" t="str">
            <v>8071</v>
          </cell>
          <cell r="B1711" t="str">
            <v>8071 - FARMACIA SANTO TOMAS CA</v>
          </cell>
          <cell r="C1711" t="str">
            <v>INDEPENDIENTE</v>
          </cell>
          <cell r="D1711">
            <v>0</v>
          </cell>
          <cell r="E1711"/>
          <cell r="F1711" t="str">
            <v>ESTE</v>
          </cell>
          <cell r="G1711" t="str">
            <v>IRAIDA RODRIGUEZ</v>
          </cell>
          <cell r="H1711"/>
          <cell r="I1711" t="str">
            <v>AB</v>
          </cell>
          <cell r="J1711" t="str">
            <v>Bloqueado</v>
          </cell>
          <cell r="K1711">
            <v>8685.8943999999992</v>
          </cell>
          <cell r="L1711">
            <v>1737.1788799999999</v>
          </cell>
          <cell r="M1711">
            <v>0</v>
          </cell>
          <cell r="N1711" t="str">
            <v>No Compra</v>
          </cell>
          <cell r="O1711">
            <v>5</v>
          </cell>
          <cell r="P1711">
            <v>53486.125100000005</v>
          </cell>
          <cell r="Q1711">
            <v>10697.225020000002</v>
          </cell>
          <cell r="R1711">
            <v>0</v>
          </cell>
          <cell r="T1711"/>
          <cell r="U1711"/>
          <cell r="V1711">
            <v>0.16239528258516522</v>
          </cell>
          <cell r="W1711">
            <v>6.6332203699519588E-5</v>
          </cell>
          <cell r="X1711">
            <v>5</v>
          </cell>
          <cell r="Y1711" t="str">
            <v>Conquistar</v>
          </cell>
        </row>
        <row r="1712">
          <cell r="A1712" t="str">
            <v>D867</v>
          </cell>
          <cell r="B1712" t="str">
            <v>D867 - FARMA SALUD SHALOM 12.360 C.A</v>
          </cell>
          <cell r="C1712" t="str">
            <v>INDEPENDIENTE</v>
          </cell>
          <cell r="D1712">
            <v>3</v>
          </cell>
          <cell r="E1712"/>
          <cell r="F1712" t="str">
            <v>CARACAS</v>
          </cell>
          <cell r="G1712" t="str">
            <v>RAMON SERRANO</v>
          </cell>
          <cell r="H1712"/>
          <cell r="I1712" t="str">
            <v>CB</v>
          </cell>
          <cell r="J1712" t="str">
            <v>Activo</v>
          </cell>
          <cell r="K1712">
            <v>8679.0714549664863</v>
          </cell>
          <cell r="L1712">
            <v>964.341272774054</v>
          </cell>
          <cell r="M1712">
            <v>1364.3574516554957</v>
          </cell>
          <cell r="N1712" t="str">
            <v>Si Compra</v>
          </cell>
          <cell r="O1712">
            <v>9</v>
          </cell>
          <cell r="P1712">
            <v>16009.423912039209</v>
          </cell>
          <cell r="Q1712">
            <v>1778.8248791154676</v>
          </cell>
          <cell r="R1712">
            <v>1959.2521706797363</v>
          </cell>
          <cell r="T1712"/>
          <cell r="U1712"/>
          <cell r="V1712">
            <v>0.54212265866979503</v>
          </cell>
          <cell r="W1712">
            <v>3.6822276898451895E-5</v>
          </cell>
          <cell r="X1712">
            <v>9</v>
          </cell>
          <cell r="Y1712" t="str">
            <v>Potenciar</v>
          </cell>
        </row>
        <row r="1713">
          <cell r="A1713" t="str">
            <v>D706</v>
          </cell>
          <cell r="B1713" t="str">
            <v>D706 - FARMACIA DIVINA MISERICORDIA S/C, C.A.</v>
          </cell>
          <cell r="C1713" t="str">
            <v>INDEPENDIENTE</v>
          </cell>
          <cell r="D1713">
            <v>3</v>
          </cell>
          <cell r="E1713"/>
          <cell r="F1713" t="str">
            <v>ANDES</v>
          </cell>
          <cell r="G1713" t="str">
            <v>ANYERSSON TORRES</v>
          </cell>
          <cell r="H1713"/>
          <cell r="I1713" t="str">
            <v>4</v>
          </cell>
          <cell r="J1713" t="str">
            <v>Inactivo</v>
          </cell>
          <cell r="K1713">
            <v>8654.5505000000012</v>
          </cell>
          <cell r="L1713">
            <v>865.45505000000014</v>
          </cell>
          <cell r="M1713">
            <v>1220.1197666666667</v>
          </cell>
          <cell r="N1713" t="str">
            <v>Si Compra</v>
          </cell>
          <cell r="O1713">
            <v>10</v>
          </cell>
          <cell r="P1713">
            <v>51731.239899999993</v>
          </cell>
          <cell r="Q1713">
            <v>5173.1239899999991</v>
          </cell>
          <cell r="R1713">
            <v>4233.0814666666665</v>
          </cell>
          <cell r="T1713"/>
          <cell r="U1713"/>
          <cell r="V1713">
            <v>0.1672983388128689</v>
          </cell>
          <cell r="W1713">
            <v>3.3046418725386485E-5</v>
          </cell>
          <cell r="X1713">
            <v>10</v>
          </cell>
          <cell r="Y1713" t="str">
            <v>Conquistar</v>
          </cell>
        </row>
        <row r="1714">
          <cell r="A1714" t="str">
            <v>B963</v>
          </cell>
          <cell r="B1714" t="str">
            <v>B963 - MARPER INVERSIONES, C.A.</v>
          </cell>
          <cell r="C1714" t="str">
            <v>INDEPENDIENTE</v>
          </cell>
          <cell r="D1714">
            <v>1</v>
          </cell>
          <cell r="E1714"/>
          <cell r="F1714" t="str">
            <v>CARACAS</v>
          </cell>
          <cell r="G1714">
            <v>0</v>
          </cell>
          <cell r="H1714"/>
          <cell r="I1714" t="str">
            <v>C7</v>
          </cell>
          <cell r="J1714" t="str">
            <v>Activo</v>
          </cell>
          <cell r="K1714">
            <v>8648.6862000000001</v>
          </cell>
          <cell r="L1714">
            <v>1235.5265999999999</v>
          </cell>
          <cell r="M1714">
            <v>1452.3928000000001</v>
          </cell>
          <cell r="N1714" t="str">
            <v>Si Compra</v>
          </cell>
          <cell r="O1714">
            <v>7</v>
          </cell>
          <cell r="P1714">
            <v>0</v>
          </cell>
          <cell r="Q1714">
            <v>0</v>
          </cell>
          <cell r="R1714">
            <v>0</v>
          </cell>
          <cell r="T1714"/>
          <cell r="U1714"/>
          <cell r="V1714">
            <v>0</v>
          </cell>
          <cell r="W1714">
            <v>4.7177180802114551E-5</v>
          </cell>
          <cell r="X1714">
            <v>0</v>
          </cell>
          <cell r="Y1714" t="str">
            <v>Conquistar</v>
          </cell>
        </row>
        <row r="1715">
          <cell r="A1715" t="str">
            <v>E030</v>
          </cell>
          <cell r="B1715" t="str">
            <v>E030 - FARMACIA COMSALUD PLUS C.A</v>
          </cell>
          <cell r="C1715" t="str">
            <v>INDEPENDIENTE</v>
          </cell>
          <cell r="D1715">
            <v>2</v>
          </cell>
          <cell r="F1715" t="str">
            <v>ANDES</v>
          </cell>
          <cell r="G1715">
            <v>0</v>
          </cell>
          <cell r="H1715"/>
          <cell r="I1715" t="str">
            <v>3</v>
          </cell>
          <cell r="J1715" t="str">
            <v>Suspendido</v>
          </cell>
          <cell r="K1715">
            <v>8608.6578610396209</v>
          </cell>
          <cell r="L1715">
            <v>1076.0822326299526</v>
          </cell>
          <cell r="M1715">
            <v>2269.1484614489709</v>
          </cell>
          <cell r="N1715" t="str">
            <v>Si Compra</v>
          </cell>
          <cell r="O1715">
            <v>8</v>
          </cell>
          <cell r="P1715">
            <v>0</v>
          </cell>
          <cell r="Q1715">
            <v>0</v>
          </cell>
          <cell r="R1715">
            <v>0</v>
          </cell>
          <cell r="V1715">
            <v>0</v>
          </cell>
          <cell r="W1715">
            <v>4.1088978615860125E-5</v>
          </cell>
          <cell r="X1715">
            <v>0</v>
          </cell>
          <cell r="Y1715" t="str">
            <v>Conquistar</v>
          </cell>
        </row>
        <row r="1716">
          <cell r="A1716" t="str">
            <v>B710</v>
          </cell>
          <cell r="B1716" t="str">
            <v>B710 - FARMACIA LUZ 1, C.A.</v>
          </cell>
          <cell r="C1716" t="str">
            <v>INDEPENDIENTE</v>
          </cell>
          <cell r="D1716">
            <v>3</v>
          </cell>
          <cell r="E1716"/>
          <cell r="F1716" t="str">
            <v>ESTE</v>
          </cell>
          <cell r="G1716" t="str">
            <v>ADOLFO GONZALEZ</v>
          </cell>
          <cell r="H1716"/>
          <cell r="I1716" t="str">
            <v>A8</v>
          </cell>
          <cell r="J1716" t="str">
            <v>Inactivo</v>
          </cell>
          <cell r="K1716">
            <v>8594.3438999999998</v>
          </cell>
          <cell r="L1716">
            <v>859.43439000000001</v>
          </cell>
          <cell r="M1716">
            <v>889.62416666666661</v>
          </cell>
          <cell r="N1716" t="str">
            <v>Si Compra</v>
          </cell>
          <cell r="O1716">
            <v>10</v>
          </cell>
          <cell r="P1716">
            <v>28881.218000000004</v>
          </cell>
          <cell r="Q1716">
            <v>2888.1218000000003</v>
          </cell>
          <cell r="R1716">
            <v>1451.5014333333336</v>
          </cell>
          <cell r="T1716"/>
          <cell r="U1716"/>
          <cell r="V1716">
            <v>0.29757553507611761</v>
          </cell>
          <cell r="W1716">
            <v>3.281652665720433E-5</v>
          </cell>
          <cell r="X1716">
            <v>10</v>
          </cell>
          <cell r="Y1716" t="str">
            <v>Potenciar</v>
          </cell>
        </row>
        <row r="1717">
          <cell r="A1717" t="str">
            <v>E344</v>
          </cell>
          <cell r="B1717" t="str">
            <v>E344 - FARMACIA LAS PILAS 1, C.A</v>
          </cell>
          <cell r="C1717" t="e">
            <v>#N/A</v>
          </cell>
          <cell r="D1717">
            <v>3</v>
          </cell>
          <cell r="F1717" t="str">
            <v>ANDES</v>
          </cell>
          <cell r="G1717">
            <v>0</v>
          </cell>
          <cell r="H1717"/>
          <cell r="I1717" t="str">
            <v xml:space="preserve">3 </v>
          </cell>
          <cell r="J1717" t="str">
            <v>Activo</v>
          </cell>
          <cell r="K1717">
            <v>8577.1270000000004</v>
          </cell>
          <cell r="L1717">
            <v>1429.5211666666667</v>
          </cell>
          <cell r="M1717">
            <v>1183.6624333333332</v>
          </cell>
          <cell r="N1717" t="str">
            <v>Si Compra</v>
          </cell>
          <cell r="O1717">
            <v>6</v>
          </cell>
          <cell r="P1717">
            <v>0</v>
          </cell>
          <cell r="Q1717">
            <v>0</v>
          </cell>
          <cell r="R1717">
            <v>0</v>
          </cell>
          <cell r="V1717">
            <v>0</v>
          </cell>
          <cell r="W1717">
            <v>5.4584643131344212E-5</v>
          </cell>
          <cell r="X1717">
            <v>0</v>
          </cell>
          <cell r="Y1717" t="str">
            <v>Conquistar</v>
          </cell>
        </row>
        <row r="1718">
          <cell r="A1718" t="str">
            <v>E424</v>
          </cell>
          <cell r="B1718" t="str">
            <v>E424 - TODOFARMA 25, C.A</v>
          </cell>
          <cell r="C1718" t="e">
            <v>#N/A</v>
          </cell>
          <cell r="D1718">
            <v>3</v>
          </cell>
          <cell r="F1718" t="str">
            <v>CENTRO ESTE</v>
          </cell>
          <cell r="G1718">
            <v>0</v>
          </cell>
          <cell r="H1718"/>
          <cell r="I1718" t="str">
            <v>H</v>
          </cell>
          <cell r="J1718" t="str">
            <v>Activo</v>
          </cell>
          <cell r="K1718">
            <v>8568.5416240675513</v>
          </cell>
          <cell r="L1718">
            <v>1713.7083248135102</v>
          </cell>
          <cell r="M1718">
            <v>1333.9652036683708</v>
          </cell>
          <cell r="N1718" t="str">
            <v>Si Compra</v>
          </cell>
          <cell r="O1718">
            <v>5</v>
          </cell>
          <cell r="P1718">
            <v>0</v>
          </cell>
          <cell r="Q1718">
            <v>0</v>
          </cell>
          <cell r="R1718">
            <v>0</v>
          </cell>
          <cell r="V1718">
            <v>0</v>
          </cell>
          <cell r="W1718">
            <v>6.5436007190630959E-5</v>
          </cell>
          <cell r="X1718">
            <v>0</v>
          </cell>
          <cell r="Y1718" t="str">
            <v>Conquistar</v>
          </cell>
        </row>
        <row r="1719">
          <cell r="A1719" t="str">
            <v>E381</v>
          </cell>
          <cell r="B1719" t="str">
            <v>E381 - FARMACIA VICROS C.A.</v>
          </cell>
          <cell r="C1719" t="e">
            <v>#N/A</v>
          </cell>
          <cell r="D1719">
            <v>3</v>
          </cell>
          <cell r="F1719" t="str">
            <v>ESTE</v>
          </cell>
          <cell r="G1719">
            <v>0</v>
          </cell>
          <cell r="H1719"/>
          <cell r="I1719" t="str">
            <v>A0</v>
          </cell>
          <cell r="J1719" t="str">
            <v>Activo</v>
          </cell>
          <cell r="K1719">
            <v>8560.48211360801</v>
          </cell>
          <cell r="L1719">
            <v>1426.7470189346684</v>
          </cell>
          <cell r="M1719">
            <v>1560.8679045360029</v>
          </cell>
          <cell r="N1719" t="str">
            <v>Si Compra</v>
          </cell>
          <cell r="O1719">
            <v>6</v>
          </cell>
          <cell r="P1719">
            <v>0</v>
          </cell>
          <cell r="Q1719">
            <v>0</v>
          </cell>
          <cell r="R1719">
            <v>0</v>
          </cell>
          <cell r="V1719">
            <v>0</v>
          </cell>
          <cell r="W1719">
            <v>5.4478715449071524E-5</v>
          </cell>
          <cell r="X1719">
            <v>0</v>
          </cell>
          <cell r="Y1719" t="str">
            <v>Conquistar</v>
          </cell>
        </row>
        <row r="1720">
          <cell r="A1720" t="str">
            <v>9140</v>
          </cell>
          <cell r="B1720" t="str">
            <v>9140 - FARMACIA FARMARAYA, C.A.</v>
          </cell>
          <cell r="C1720" t="str">
            <v>INDEPENDIENTE</v>
          </cell>
          <cell r="D1720">
            <v>3</v>
          </cell>
          <cell r="E1720"/>
          <cell r="F1720" t="str">
            <v>ESTE</v>
          </cell>
          <cell r="G1720" t="str">
            <v>CARLOS BLONDELL</v>
          </cell>
          <cell r="H1720"/>
          <cell r="I1720" t="str">
            <v>A3</v>
          </cell>
          <cell r="J1720" t="str">
            <v>Activo</v>
          </cell>
          <cell r="K1720">
            <v>8505.7973027881362</v>
          </cell>
          <cell r="L1720">
            <v>1215.1139003983051</v>
          </cell>
          <cell r="M1720">
            <v>970.42694928226047</v>
          </cell>
          <cell r="N1720" t="str">
            <v>Si Compra</v>
          </cell>
          <cell r="O1720">
            <v>7</v>
          </cell>
          <cell r="P1720">
            <v>7823.1017847750963</v>
          </cell>
          <cell r="Q1720">
            <v>1117.5859692535853</v>
          </cell>
          <cell r="R1720">
            <v>850.63927045245055</v>
          </cell>
          <cell r="T1720"/>
          <cell r="U1720"/>
          <cell r="V1720">
            <v>1.0872666030424996</v>
          </cell>
          <cell r="W1720">
            <v>4.6397745037827158E-5</v>
          </cell>
          <cell r="X1720">
            <v>6</v>
          </cell>
          <cell r="Y1720" t="str">
            <v>Proteger</v>
          </cell>
        </row>
        <row r="1721">
          <cell r="A1721" t="str">
            <v>L500</v>
          </cell>
          <cell r="B1721" t="str">
            <v>L500 - FARMACIA VIRGEN DEL ROSARIO C.A.</v>
          </cell>
          <cell r="C1721" t="str">
            <v>INDEPENDIENTE</v>
          </cell>
          <cell r="D1721">
            <v>1</v>
          </cell>
          <cell r="F1721" t="str">
            <v>CENTRO OESTE</v>
          </cell>
          <cell r="G1721" t="str">
            <v>SORALI SILVA</v>
          </cell>
          <cell r="H1721"/>
          <cell r="I1721" t="str">
            <v>C</v>
          </cell>
          <cell r="J1721" t="str">
            <v>Activo</v>
          </cell>
          <cell r="K1721">
            <v>8478.2651595835778</v>
          </cell>
          <cell r="L1721">
            <v>1413.0441932639296</v>
          </cell>
          <cell r="M1721">
            <v>1250.0751</v>
          </cell>
          <cell r="N1721" t="str">
            <v>Si Compra</v>
          </cell>
          <cell r="O1721">
            <v>6</v>
          </cell>
          <cell r="P1721">
            <v>10513.571010322772</v>
          </cell>
          <cell r="Q1721">
            <v>1752.2618350537953</v>
          </cell>
          <cell r="R1721">
            <v>1326.3588</v>
          </cell>
          <cell r="V1721">
            <v>0.80641155619334048</v>
          </cell>
          <cell r="W1721">
            <v>5.3955488604608359E-5</v>
          </cell>
          <cell r="X1721">
            <v>6</v>
          </cell>
          <cell r="Y1721" t="str">
            <v>Proteger</v>
          </cell>
        </row>
        <row r="1722">
          <cell r="A1722" t="str">
            <v>A289</v>
          </cell>
          <cell r="B1722" t="str">
            <v>A289 - FARMACIA VIRGEN DEL VALLE, C.A.</v>
          </cell>
          <cell r="C1722" t="str">
            <v>INDEPENDIENTE</v>
          </cell>
          <cell r="D1722">
            <v>3</v>
          </cell>
          <cell r="E1722"/>
          <cell r="F1722" t="str">
            <v>ESTE</v>
          </cell>
          <cell r="G1722" t="str">
            <v>CARMEN ALCALA</v>
          </cell>
          <cell r="H1722"/>
          <cell r="I1722" t="str">
            <v>A0</v>
          </cell>
          <cell r="J1722" t="str">
            <v>Activo</v>
          </cell>
          <cell r="K1722">
            <v>8458.0673417235557</v>
          </cell>
          <cell r="L1722">
            <v>845.80673417235562</v>
          </cell>
          <cell r="M1722">
            <v>703.8060999999999</v>
          </cell>
          <cell r="N1722" t="str">
            <v>Si Compra</v>
          </cell>
          <cell r="O1722">
            <v>10</v>
          </cell>
          <cell r="P1722">
            <v>21713.732552296024</v>
          </cell>
          <cell r="Q1722">
            <v>2171.3732552296024</v>
          </cell>
          <cell r="R1722">
            <v>1806.2716666666668</v>
          </cell>
          <cell r="T1722"/>
          <cell r="U1722"/>
          <cell r="V1722">
            <v>0.38952618216849111</v>
          </cell>
          <cell r="W1722">
            <v>3.2296170087876106E-5</v>
          </cell>
          <cell r="X1722">
            <v>10</v>
          </cell>
          <cell r="Y1722" t="str">
            <v>Potenciar</v>
          </cell>
        </row>
        <row r="1723">
          <cell r="A1723" t="str">
            <v>D547</v>
          </cell>
          <cell r="B1723" t="str">
            <v>D547 - FARMA SALUD VIRGEN DEL VALLE C.A.</v>
          </cell>
          <cell r="C1723" t="str">
            <v>INDEPENDIENTE</v>
          </cell>
          <cell r="D1723">
            <v>3</v>
          </cell>
          <cell r="E1723"/>
          <cell r="F1723" t="str">
            <v>ESTE</v>
          </cell>
          <cell r="G1723" t="str">
            <v>CARLOS BLONDELL</v>
          </cell>
          <cell r="H1723"/>
          <cell r="I1723" t="str">
            <v>A5</v>
          </cell>
          <cell r="J1723" t="str">
            <v>Inactivo</v>
          </cell>
          <cell r="K1723">
            <v>8442.3708905169842</v>
          </cell>
          <cell r="L1723">
            <v>1055.296361314623</v>
          </cell>
          <cell r="M1723">
            <v>991.23779683899465</v>
          </cell>
          <cell r="N1723" t="str">
            <v>Si Compra</v>
          </cell>
          <cell r="O1723">
            <v>8</v>
          </cell>
          <cell r="P1723">
            <v>21913.07289816004</v>
          </cell>
          <cell r="Q1723">
            <v>2739.1341122700051</v>
          </cell>
          <cell r="R1723">
            <v>4026.9909993866809</v>
          </cell>
          <cell r="T1723"/>
          <cell r="U1723"/>
          <cell r="V1723">
            <v>0.3852664083103497</v>
          </cell>
          <cell r="W1723">
            <v>4.0295293713266537E-5</v>
          </cell>
          <cell r="X1723">
            <v>8</v>
          </cell>
          <cell r="Y1723" t="str">
            <v>Potenciar</v>
          </cell>
        </row>
        <row r="1724">
          <cell r="A1724" t="str">
            <v>559</v>
          </cell>
          <cell r="B1724" t="str">
            <v>559 - FARMACIA LA TORRE ANDINA C.A</v>
          </cell>
          <cell r="C1724" t="str">
            <v>INDEPENDIENTE</v>
          </cell>
          <cell r="D1724">
            <v>3</v>
          </cell>
          <cell r="E1724"/>
          <cell r="F1724" t="str">
            <v>ANDES</v>
          </cell>
          <cell r="G1724" t="str">
            <v>LUCIA DUGARTE</v>
          </cell>
          <cell r="H1724"/>
          <cell r="I1724" t="str">
            <v>6</v>
          </cell>
          <cell r="J1724" t="str">
            <v>Activo</v>
          </cell>
          <cell r="K1724">
            <v>8437.2990214513884</v>
          </cell>
          <cell r="L1724">
            <v>843.72990214513879</v>
          </cell>
          <cell r="M1724">
            <v>606.20694048379653</v>
          </cell>
          <cell r="N1724" t="str">
            <v>Si Compra</v>
          </cell>
          <cell r="O1724">
            <v>10</v>
          </cell>
          <cell r="P1724">
            <v>22783.98185081987</v>
          </cell>
          <cell r="Q1724">
            <v>2278.3981850819869</v>
          </cell>
          <cell r="R1724">
            <v>1884.4520502732896</v>
          </cell>
          <cell r="T1724"/>
          <cell r="U1724"/>
          <cell r="V1724">
            <v>0.37031714108163127</v>
          </cell>
          <cell r="W1724">
            <v>3.2216868614282875E-5</v>
          </cell>
          <cell r="X1724">
            <v>10</v>
          </cell>
          <cell r="Y1724" t="str">
            <v>Potenciar</v>
          </cell>
        </row>
        <row r="1725">
          <cell r="A1725" t="str">
            <v>8582</v>
          </cell>
          <cell r="B1725" t="str">
            <v>8582 - FARMACIA BUENA SALUD MARQUEZ BARRETO, C.A</v>
          </cell>
          <cell r="C1725" t="str">
            <v>INDEPENDIENTE</v>
          </cell>
          <cell r="D1725">
            <v>3</v>
          </cell>
          <cell r="E1725"/>
          <cell r="F1725" t="str">
            <v>ESTE</v>
          </cell>
          <cell r="G1725" t="str">
            <v>CARMEN ALCALA</v>
          </cell>
          <cell r="H1725"/>
          <cell r="I1725" t="str">
            <v>A0</v>
          </cell>
          <cell r="J1725" t="str">
            <v>Activo</v>
          </cell>
          <cell r="K1725">
            <v>8425.5678868182331</v>
          </cell>
          <cell r="L1725">
            <v>842.55678868182326</v>
          </cell>
          <cell r="M1725">
            <v>759.69228200898976</v>
          </cell>
          <cell r="N1725" t="str">
            <v>Si Compra</v>
          </cell>
          <cell r="O1725">
            <v>10</v>
          </cell>
          <cell r="P1725">
            <v>11836.712293725639</v>
          </cell>
          <cell r="Q1725">
            <v>1183.6712293725639</v>
          </cell>
          <cell r="R1725">
            <v>885.30745356710497</v>
          </cell>
          <cell r="T1725"/>
          <cell r="U1725"/>
          <cell r="V1725">
            <v>0.71181656508492031</v>
          </cell>
          <cell r="W1725">
            <v>3.217207460826129E-5</v>
          </cell>
          <cell r="X1725">
            <v>10</v>
          </cell>
          <cell r="Y1725" t="str">
            <v>Proteger</v>
          </cell>
        </row>
        <row r="1726">
          <cell r="A1726" t="str">
            <v>C132</v>
          </cell>
          <cell r="B1726" t="str">
            <v>C132 - FARMACIA PLAZA, C.A.</v>
          </cell>
          <cell r="C1726" t="str">
            <v>INDEPENDIENTE</v>
          </cell>
          <cell r="D1726">
            <v>3</v>
          </cell>
          <cell r="E1726"/>
          <cell r="F1726" t="str">
            <v>CENTRO OESTE</v>
          </cell>
          <cell r="G1726" t="str">
            <v>SORALI SILVA</v>
          </cell>
          <cell r="H1726"/>
          <cell r="I1726" t="str">
            <v>C</v>
          </cell>
          <cell r="J1726" t="str">
            <v>Activo</v>
          </cell>
          <cell r="K1726">
            <v>8419.0239000000001</v>
          </cell>
          <cell r="L1726">
            <v>1052.3779875</v>
          </cell>
          <cell r="M1726">
            <v>813.88569999999993</v>
          </cell>
          <cell r="N1726" t="str">
            <v>Si Compra</v>
          </cell>
          <cell r="O1726">
            <v>8</v>
          </cell>
          <cell r="P1726">
            <v>11298.728800000001</v>
          </cell>
          <cell r="Q1726">
            <v>1412.3411000000001</v>
          </cell>
          <cell r="R1726">
            <v>1124.5195333333331</v>
          </cell>
          <cell r="T1726"/>
          <cell r="U1726"/>
          <cell r="V1726">
            <v>0.74513018668082376</v>
          </cell>
          <cell r="W1726">
            <v>4.018385892173665E-5</v>
          </cell>
          <cell r="X1726">
            <v>8</v>
          </cell>
          <cell r="Y1726" t="str">
            <v>Proteger</v>
          </cell>
        </row>
        <row r="1727">
          <cell r="A1727" t="str">
            <v>9877</v>
          </cell>
          <cell r="B1727" t="str">
            <v>9877 - ENSALUD FARMACIA EL TAMA, C.A.</v>
          </cell>
          <cell r="C1727" t="str">
            <v>INDEPENDIENTE</v>
          </cell>
          <cell r="D1727">
            <v>3</v>
          </cell>
          <cell r="E1727"/>
          <cell r="F1727" t="str">
            <v>ANDES</v>
          </cell>
          <cell r="G1727" t="str">
            <v>MARIA GABRIELA FORTUL</v>
          </cell>
          <cell r="H1727"/>
          <cell r="I1727" t="str">
            <v xml:space="preserve">3 </v>
          </cell>
          <cell r="J1727" t="str">
            <v>Inactivo</v>
          </cell>
          <cell r="K1727">
            <v>8381.8106266110444</v>
          </cell>
          <cell r="L1727">
            <v>1197.4015180872921</v>
          </cell>
          <cell r="M1727">
            <v>1262.6771741490404</v>
          </cell>
          <cell r="N1727" t="str">
            <v>Si Compra</v>
          </cell>
          <cell r="O1727">
            <v>6</v>
          </cell>
          <cell r="P1727">
            <v>15191.085048108576</v>
          </cell>
          <cell r="Q1727">
            <v>2170.1550068726538</v>
          </cell>
          <cell r="R1727">
            <v>2682.6241923658104</v>
          </cell>
          <cell r="T1727"/>
          <cell r="U1727"/>
          <cell r="V1727">
            <v>0.5517585215319859</v>
          </cell>
          <cell r="W1727">
            <v>4.5721417824214082E-5</v>
          </cell>
          <cell r="X1727">
            <v>7</v>
          </cell>
          <cell r="Y1727" t="str">
            <v>Potenciar</v>
          </cell>
        </row>
        <row r="1728">
          <cell r="A1728" t="str">
            <v>E420</v>
          </cell>
          <cell r="B1728" t="str">
            <v>E420 - EXPENDIO DE MEDICINAS ANTONIO C.A.</v>
          </cell>
          <cell r="C1728" t="e">
            <v>#N/A</v>
          </cell>
          <cell r="D1728">
            <v>3</v>
          </cell>
          <cell r="F1728" t="str">
            <v>ESTE</v>
          </cell>
          <cell r="G1728">
            <v>0</v>
          </cell>
          <cell r="H1728"/>
          <cell r="I1728" t="str">
            <v>AB</v>
          </cell>
          <cell r="J1728" t="str">
            <v>Activo</v>
          </cell>
          <cell r="K1728">
            <v>8377.7185000000009</v>
          </cell>
          <cell r="L1728">
            <v>1675.5437000000002</v>
          </cell>
          <cell r="M1728">
            <v>1298.1305333333335</v>
          </cell>
          <cell r="N1728" t="str">
            <v>Si Compra</v>
          </cell>
          <cell r="O1728">
            <v>5</v>
          </cell>
          <cell r="P1728">
            <v>0</v>
          </cell>
          <cell r="Q1728">
            <v>0</v>
          </cell>
          <cell r="R1728">
            <v>0</v>
          </cell>
          <cell r="V1728">
            <v>0</v>
          </cell>
          <cell r="W1728">
            <v>6.3978734311947636E-5</v>
          </cell>
          <cell r="X1728">
            <v>0</v>
          </cell>
          <cell r="Y1728" t="str">
            <v>Conquistar</v>
          </cell>
        </row>
        <row r="1729">
          <cell r="A1729" t="str">
            <v>D269</v>
          </cell>
          <cell r="B1729" t="str">
            <v>D269 - FARMACIA VITTA D.G, C.A.</v>
          </cell>
          <cell r="C1729" t="str">
            <v>INDEPENDIENTE</v>
          </cell>
          <cell r="D1729">
            <v>1</v>
          </cell>
          <cell r="E1729"/>
          <cell r="F1729" t="str">
            <v>CENTRO ESTE</v>
          </cell>
          <cell r="G1729" t="str">
            <v>MARCOS CRUCES</v>
          </cell>
          <cell r="H1729"/>
          <cell r="I1729" t="str">
            <v>AV</v>
          </cell>
          <cell r="J1729" t="str">
            <v>Activo</v>
          </cell>
          <cell r="K1729">
            <v>8376.9642313215536</v>
          </cell>
          <cell r="L1729">
            <v>1047.1205289151942</v>
          </cell>
          <cell r="M1729">
            <v>251.62620056620506</v>
          </cell>
          <cell r="N1729" t="str">
            <v>Si Compra</v>
          </cell>
          <cell r="O1729">
            <v>8</v>
          </cell>
          <cell r="P1729">
            <v>46199.417334710197</v>
          </cell>
          <cell r="Q1729">
            <v>5774.9271668387746</v>
          </cell>
          <cell r="R1729">
            <v>10230.157701049275</v>
          </cell>
          <cell r="T1729"/>
          <cell r="U1729"/>
          <cell r="V1729">
            <v>0.18132185890205668</v>
          </cell>
          <cell r="W1729">
            <v>3.9983108833300668E-5</v>
          </cell>
          <cell r="X1729">
            <v>8</v>
          </cell>
          <cell r="Y1729" t="str">
            <v>Conquistar</v>
          </cell>
        </row>
        <row r="1730">
          <cell r="A1730" t="str">
            <v>6251</v>
          </cell>
          <cell r="B1730" t="str">
            <v>6251 - FARMACIA NAZARET, S.R.L</v>
          </cell>
          <cell r="C1730" t="e">
            <v>#N/A</v>
          </cell>
          <cell r="D1730">
            <v>2</v>
          </cell>
          <cell r="E1730"/>
          <cell r="F1730" t="str">
            <v>ESTE</v>
          </cell>
          <cell r="G1730" t="str">
            <v>JOSE RAMIREZ</v>
          </cell>
          <cell r="H1730"/>
          <cell r="I1730" t="str">
            <v>A4</v>
          </cell>
          <cell r="J1730" t="str">
            <v>Bloqueado</v>
          </cell>
          <cell r="K1730">
            <v>8359.9775330736211</v>
          </cell>
          <cell r="L1730">
            <v>1194.2825047248029</v>
          </cell>
          <cell r="M1730">
            <v>512.38390000000004</v>
          </cell>
          <cell r="N1730" t="str">
            <v>Si Compra</v>
          </cell>
          <cell r="O1730">
            <v>7</v>
          </cell>
          <cell r="P1730">
            <v>27703.244642231937</v>
          </cell>
          <cell r="Q1730">
            <v>3957.6063774617055</v>
          </cell>
          <cell r="R1730">
            <v>4221.0201500000003</v>
          </cell>
          <cell r="T1730"/>
          <cell r="U1730"/>
          <cell r="V1730">
            <v>0.30176889534193174</v>
          </cell>
          <cell r="W1730">
            <v>4.5602321839290435E-5</v>
          </cell>
          <cell r="X1730">
            <v>7</v>
          </cell>
          <cell r="Y1730" t="str">
            <v>Potenciar</v>
          </cell>
        </row>
        <row r="1731">
          <cell r="A1731" t="str">
            <v>N119</v>
          </cell>
          <cell r="B1731" t="str">
            <v>N119 - ASOC COOPERATIVA AGROPECUARIA SERVICIOS MULTIPLES FLORENCIO JIMENEZ, RL</v>
          </cell>
          <cell r="C1731" t="str">
            <v>INDEPENDIENTE</v>
          </cell>
          <cell r="D1731">
            <v>3</v>
          </cell>
          <cell r="F1731" t="str">
            <v>CENTRO OESTE</v>
          </cell>
          <cell r="G1731">
            <v>0</v>
          </cell>
          <cell r="H1731"/>
          <cell r="I1731" t="str">
            <v>A</v>
          </cell>
          <cell r="J1731" t="str">
            <v>Inactivo</v>
          </cell>
          <cell r="K1731">
            <v>8328.4271357742073</v>
          </cell>
          <cell r="L1731">
            <v>832.84271357742068</v>
          </cell>
          <cell r="M1731">
            <v>930.52591192473574</v>
          </cell>
          <cell r="N1731" t="str">
            <v>Si Compra</v>
          </cell>
          <cell r="O1731">
            <v>10</v>
          </cell>
          <cell r="P1731">
            <v>0</v>
          </cell>
          <cell r="Q1731">
            <v>0</v>
          </cell>
          <cell r="R1731">
            <v>0</v>
          </cell>
          <cell r="V1731">
            <v>0</v>
          </cell>
          <cell r="W1731">
            <v>3.1801153676631231E-5</v>
          </cell>
          <cell r="X1731">
            <v>0</v>
          </cell>
          <cell r="Y1731" t="str">
            <v>Conquistar</v>
          </cell>
        </row>
        <row r="1732">
          <cell r="A1732" t="str">
            <v>D954</v>
          </cell>
          <cell r="B1732" t="str">
            <v>D954 - EXPENDIO DE MEDICINAS MI SANTO, C.A.</v>
          </cell>
          <cell r="C1732" t="str">
            <v>INDEPENDIENTE</v>
          </cell>
          <cell r="D1732">
            <v>3</v>
          </cell>
          <cell r="E1732"/>
          <cell r="F1732" t="str">
            <v>CENTRO OESTE</v>
          </cell>
          <cell r="G1732">
            <v>0</v>
          </cell>
          <cell r="H1732"/>
          <cell r="I1732" t="str">
            <v>C</v>
          </cell>
          <cell r="J1732" t="str">
            <v>Activo</v>
          </cell>
          <cell r="K1732">
            <v>8324.4416240627925</v>
          </cell>
          <cell r="L1732">
            <v>832.44416240627925</v>
          </cell>
          <cell r="M1732">
            <v>950.33861524434508</v>
          </cell>
          <cell r="N1732" t="str">
            <v>Si Compra</v>
          </cell>
          <cell r="O1732">
            <v>10</v>
          </cell>
          <cell r="P1732">
            <v>0</v>
          </cell>
          <cell r="Q1732">
            <v>0</v>
          </cell>
          <cell r="R1732">
            <v>0</v>
          </cell>
          <cell r="T1732"/>
          <cell r="U1732"/>
          <cell r="V1732">
            <v>0</v>
          </cell>
          <cell r="W1732">
            <v>3.1785935452547802E-5</v>
          </cell>
          <cell r="X1732">
            <v>0</v>
          </cell>
          <cell r="Y1732" t="str">
            <v>Conquistar</v>
          </cell>
        </row>
        <row r="1733">
          <cell r="A1733" t="str">
            <v>E173</v>
          </cell>
          <cell r="B1733" t="str">
            <v>E173 - FARMACIA FARMA BARATO MIRAFLORES C.A</v>
          </cell>
          <cell r="C1733" t="str">
            <v>INDEPENDIENTE</v>
          </cell>
          <cell r="D1733">
            <v>3</v>
          </cell>
          <cell r="F1733" t="str">
            <v>MARACAIBO</v>
          </cell>
          <cell r="G1733">
            <v>0</v>
          </cell>
          <cell r="H1733"/>
          <cell r="I1733" t="str">
            <v>S</v>
          </cell>
          <cell r="J1733" t="str">
            <v>Activo</v>
          </cell>
          <cell r="K1733">
            <v>8317.5321702385481</v>
          </cell>
          <cell r="L1733">
            <v>1039.6915212798185</v>
          </cell>
          <cell r="M1733">
            <v>1274.3800333333334</v>
          </cell>
          <cell r="N1733" t="str">
            <v>Si Compra</v>
          </cell>
          <cell r="O1733">
            <v>8</v>
          </cell>
          <cell r="P1733">
            <v>0</v>
          </cell>
          <cell r="Q1733">
            <v>0</v>
          </cell>
          <cell r="R1733">
            <v>0</v>
          </cell>
          <cell r="V1733">
            <v>0</v>
          </cell>
          <cell r="W1733">
            <v>3.9699440609245914E-5</v>
          </cell>
          <cell r="X1733">
            <v>0</v>
          </cell>
          <cell r="Y1733" t="str">
            <v>Conquistar</v>
          </cell>
        </row>
        <row r="1734">
          <cell r="A1734" t="str">
            <v>E027</v>
          </cell>
          <cell r="B1734" t="str">
            <v>E027 - FARMA JUMBO TURMERO, C.A</v>
          </cell>
          <cell r="C1734" t="str">
            <v>INDEPENDIENTE</v>
          </cell>
          <cell r="D1734">
            <v>3</v>
          </cell>
          <cell r="F1734" t="str">
            <v>CENTRO ESTE</v>
          </cell>
          <cell r="G1734">
            <v>0</v>
          </cell>
          <cell r="H1734"/>
          <cell r="I1734" t="str">
            <v>$</v>
          </cell>
          <cell r="J1734" t="str">
            <v>Inactivo</v>
          </cell>
          <cell r="K1734">
            <v>8310.9639225734336</v>
          </cell>
          <cell r="L1734">
            <v>831.09639225734338</v>
          </cell>
          <cell r="M1734">
            <v>939.96587419114451</v>
          </cell>
          <cell r="N1734" t="str">
            <v>Si Compra</v>
          </cell>
          <cell r="O1734">
            <v>10</v>
          </cell>
          <cell r="P1734">
            <v>0</v>
          </cell>
          <cell r="Q1734">
            <v>0</v>
          </cell>
          <cell r="R1734">
            <v>0</v>
          </cell>
          <cell r="V1734">
            <v>0</v>
          </cell>
          <cell r="W1734">
            <v>3.1734472379234739E-5</v>
          </cell>
          <cell r="X1734">
            <v>0</v>
          </cell>
          <cell r="Y1734" t="str">
            <v>Conquistar</v>
          </cell>
        </row>
        <row r="1735">
          <cell r="A1735" t="str">
            <v>E493</v>
          </cell>
          <cell r="B1735" t="str">
            <v>E493 - FARMACIA PIE DE MONTE, C.A.</v>
          </cell>
          <cell r="C1735" t="e">
            <v>#N/A</v>
          </cell>
          <cell r="D1735">
            <v>3</v>
          </cell>
          <cell r="F1735" t="str">
            <v>CENTRO OESTE</v>
          </cell>
          <cell r="G1735">
            <v>0</v>
          </cell>
          <cell r="H1735"/>
          <cell r="I1735" t="str">
            <v>E</v>
          </cell>
          <cell r="J1735" t="str">
            <v>Activo</v>
          </cell>
          <cell r="K1735">
            <v>8301.7536</v>
          </cell>
          <cell r="L1735">
            <v>2075.4384</v>
          </cell>
          <cell r="M1735">
            <v>2349.2268333333332</v>
          </cell>
          <cell r="N1735" t="str">
            <v>Si Compra</v>
          </cell>
          <cell r="O1735">
            <v>4</v>
          </cell>
          <cell r="P1735">
            <v>0</v>
          </cell>
          <cell r="Q1735">
            <v>0</v>
          </cell>
          <cell r="R1735">
            <v>0</v>
          </cell>
          <cell r="V1735">
            <v>0</v>
          </cell>
          <cell r="W1735">
            <v>7.9248259519828503E-5</v>
          </cell>
          <cell r="X1735">
            <v>0</v>
          </cell>
          <cell r="Y1735" t="str">
            <v>Conquistar</v>
          </cell>
        </row>
        <row r="1736">
          <cell r="A1736" t="str">
            <v>E218</v>
          </cell>
          <cell r="B1736" t="str">
            <v>E218 - FARMACIA RENNY&amp;ROS, C.A</v>
          </cell>
          <cell r="C1736" t="str">
            <v>INDEPENDIENTE</v>
          </cell>
          <cell r="D1736">
            <v>3</v>
          </cell>
          <cell r="F1736" t="str">
            <v>CENTRO OESTE</v>
          </cell>
          <cell r="G1736">
            <v>0</v>
          </cell>
          <cell r="H1736"/>
          <cell r="I1736" t="str">
            <v>E</v>
          </cell>
          <cell r="J1736" t="str">
            <v>Activo</v>
          </cell>
          <cell r="K1736">
            <v>8300.9544016628879</v>
          </cell>
          <cell r="L1736">
            <v>1037.619300207861</v>
          </cell>
          <cell r="M1736">
            <v>1424.737800554296</v>
          </cell>
          <cell r="N1736" t="str">
            <v>Si Compra</v>
          </cell>
          <cell r="O1736">
            <v>8</v>
          </cell>
          <cell r="P1736">
            <v>0</v>
          </cell>
          <cell r="Q1736">
            <v>0</v>
          </cell>
          <cell r="R1736">
            <v>0</v>
          </cell>
          <cell r="V1736">
            <v>0</v>
          </cell>
          <cell r="W1736">
            <v>3.9620315199745465E-5</v>
          </cell>
          <cell r="X1736">
            <v>0</v>
          </cell>
          <cell r="Y1736" t="str">
            <v>Conquistar</v>
          </cell>
        </row>
        <row r="1737">
          <cell r="A1737" t="str">
            <v>B958</v>
          </cell>
          <cell r="B1737" t="str">
            <v>B958 - FARMACIA FARMA STA CRUZ C.A.</v>
          </cell>
          <cell r="C1737" t="str">
            <v>INDEPENDIENTE</v>
          </cell>
          <cell r="D1737">
            <v>3</v>
          </cell>
          <cell r="E1737"/>
          <cell r="F1737" t="str">
            <v>MARACAIBO</v>
          </cell>
          <cell r="G1737" t="str">
            <v>JOEL JIMENEZ</v>
          </cell>
          <cell r="H1737"/>
          <cell r="I1737" t="str">
            <v>D</v>
          </cell>
          <cell r="J1737" t="str">
            <v>Activo</v>
          </cell>
          <cell r="K1737">
            <v>8293.7266506063406</v>
          </cell>
          <cell r="L1737">
            <v>829.37266506063406</v>
          </cell>
          <cell r="M1737">
            <v>1183.5191333333332</v>
          </cell>
          <cell r="N1737" t="str">
            <v>Si Compra</v>
          </cell>
          <cell r="O1737">
            <v>10</v>
          </cell>
          <cell r="P1737">
            <v>132641.51970113203</v>
          </cell>
          <cell r="Q1737">
            <v>13264.151970113202</v>
          </cell>
          <cell r="R1737">
            <v>10055.709666666668</v>
          </cell>
          <cell r="T1737"/>
          <cell r="U1737"/>
          <cell r="V1737">
            <v>6.2527379581399339E-2</v>
          </cell>
          <cell r="W1737">
            <v>3.1668653812792964E-5</v>
          </cell>
          <cell r="X1737">
            <v>10</v>
          </cell>
          <cell r="Y1737" t="str">
            <v>Conquistar</v>
          </cell>
        </row>
        <row r="1738">
          <cell r="A1738" t="str">
            <v>9516</v>
          </cell>
          <cell r="B1738" t="str">
            <v>9516 - FARMACIA NUEVA NAZARETH,C.A</v>
          </cell>
          <cell r="C1738" t="str">
            <v>INDEPENDIENTE</v>
          </cell>
          <cell r="D1738">
            <v>2</v>
          </cell>
          <cell r="E1738"/>
          <cell r="F1738" t="str">
            <v>ANDES</v>
          </cell>
          <cell r="G1738">
            <v>0</v>
          </cell>
          <cell r="H1738"/>
          <cell r="I1738" t="str">
            <v xml:space="preserve">4 </v>
          </cell>
          <cell r="J1738" t="str">
            <v>Suspendido</v>
          </cell>
          <cell r="K1738">
            <v>8249.285460324505</v>
          </cell>
          <cell r="L1738">
            <v>824.92854603245053</v>
          </cell>
          <cell r="M1738">
            <v>1093.7519867748349</v>
          </cell>
          <cell r="N1738" t="str">
            <v>Si Compra</v>
          </cell>
          <cell r="O1738">
            <v>9</v>
          </cell>
          <cell r="P1738">
            <v>0</v>
          </cell>
          <cell r="Q1738">
            <v>0</v>
          </cell>
          <cell r="R1738">
            <v>0</v>
          </cell>
          <cell r="T1738"/>
          <cell r="U1738"/>
          <cell r="V1738">
            <v>0</v>
          </cell>
          <cell r="W1738">
            <v>3.1498960172122884E-5</v>
          </cell>
          <cell r="X1738">
            <v>0</v>
          </cell>
          <cell r="Y1738" t="str">
            <v>Conquistar</v>
          </cell>
        </row>
        <row r="1739">
          <cell r="A1739" t="str">
            <v>A767</v>
          </cell>
          <cell r="B1739" t="str">
            <v>A767 - FARMACIA GRUPO BISALUD, C.A</v>
          </cell>
          <cell r="C1739" t="str">
            <v>INDEPENDIENTE</v>
          </cell>
          <cell r="D1739">
            <v>3</v>
          </cell>
          <cell r="E1739"/>
          <cell r="F1739" t="str">
            <v>CENTRO ESTE</v>
          </cell>
          <cell r="G1739" t="str">
            <v>ELIANA PERAZA</v>
          </cell>
          <cell r="H1739"/>
          <cell r="I1739" t="str">
            <v>M</v>
          </cell>
          <cell r="J1739" t="str">
            <v>Activo</v>
          </cell>
          <cell r="K1739">
            <v>8225.6919085957252</v>
          </cell>
          <cell r="L1739">
            <v>913.9657676217472</v>
          </cell>
          <cell r="M1739">
            <v>1043.7119333333333</v>
          </cell>
          <cell r="N1739" t="str">
            <v>Si Compra</v>
          </cell>
          <cell r="O1739">
            <v>9</v>
          </cell>
          <cell r="P1739">
            <v>14741.497370141038</v>
          </cell>
          <cell r="Q1739">
            <v>1637.9441522378931</v>
          </cell>
          <cell r="R1739">
            <v>1937.1386</v>
          </cell>
          <cell r="T1739"/>
          <cell r="U1739"/>
          <cell r="V1739">
            <v>0.55799568402439881</v>
          </cell>
          <cell r="W1739">
            <v>3.4898745414331494E-5</v>
          </cell>
          <cell r="X1739">
            <v>9</v>
          </cell>
          <cell r="Y1739" t="str">
            <v>Potenciar</v>
          </cell>
        </row>
        <row r="1740">
          <cell r="A1740" t="str">
            <v>C348</v>
          </cell>
          <cell r="B1740" t="str">
            <v>C348 - FARMACIA FABEL,C.A.</v>
          </cell>
          <cell r="C1740" t="str">
            <v>INDEPENDIENTE</v>
          </cell>
          <cell r="D1740">
            <v>3</v>
          </cell>
          <cell r="E1740"/>
          <cell r="F1740" t="str">
            <v>CARACAS</v>
          </cell>
          <cell r="G1740" t="str">
            <v>MAIRUBI QUIJADA</v>
          </cell>
          <cell r="H1740"/>
          <cell r="I1740" t="str">
            <v>C1</v>
          </cell>
          <cell r="J1740" t="str">
            <v>Activo</v>
          </cell>
          <cell r="K1740">
            <v>8213.562261689216</v>
          </cell>
          <cell r="L1740">
            <v>1026.695282711152</v>
          </cell>
          <cell r="M1740">
            <v>951.21232519036164</v>
          </cell>
          <cell r="N1740" t="str">
            <v>Si Compra</v>
          </cell>
          <cell r="O1740">
            <v>8</v>
          </cell>
          <cell r="P1740">
            <v>7635.1158267933542</v>
          </cell>
          <cell r="Q1740">
            <v>954.38947834916928</v>
          </cell>
          <cell r="R1740">
            <v>772.39710159450226</v>
          </cell>
          <cell r="T1740"/>
          <cell r="U1740"/>
          <cell r="V1740">
            <v>1.0757613175776537</v>
          </cell>
          <cell r="W1740">
            <v>3.9203193991244005E-5</v>
          </cell>
          <cell r="X1740">
            <v>8</v>
          </cell>
          <cell r="Y1740" t="str">
            <v>Proteger</v>
          </cell>
        </row>
        <row r="1741">
          <cell r="A1741" t="str">
            <v>D424</v>
          </cell>
          <cell r="B1741" t="str">
            <v>D424 - FARMA PORRAS VIDA Y SALUD, C.A.</v>
          </cell>
          <cell r="C1741" t="str">
            <v>INDEPENDIENTE</v>
          </cell>
          <cell r="D1741">
            <v>3</v>
          </cell>
          <cell r="E1741"/>
          <cell r="F1741" t="str">
            <v>ANDES</v>
          </cell>
          <cell r="G1741" t="str">
            <v>ANYERSSON TORRES</v>
          </cell>
          <cell r="H1741"/>
          <cell r="I1741" t="str">
            <v>4</v>
          </cell>
          <cell r="J1741" t="str">
            <v>Activo</v>
          </cell>
          <cell r="K1741">
            <v>8191.4378889250229</v>
          </cell>
          <cell r="L1741">
            <v>819.14378889250224</v>
          </cell>
          <cell r="M1741">
            <v>679.63289630834095</v>
          </cell>
          <cell r="N1741" t="str">
            <v>Si Compra</v>
          </cell>
          <cell r="O1741">
            <v>10</v>
          </cell>
          <cell r="P1741">
            <v>15917.382340386557</v>
          </cell>
          <cell r="Q1741">
            <v>1591.7382340386557</v>
          </cell>
          <cell r="R1741">
            <v>1076.021380128853</v>
          </cell>
          <cell r="T1741"/>
          <cell r="U1741"/>
          <cell r="V1741">
            <v>0.51462217302786051</v>
          </cell>
          <cell r="W1741">
            <v>3.1278075786883694E-5</v>
          </cell>
          <cell r="X1741">
            <v>10</v>
          </cell>
          <cell r="Y1741" t="str">
            <v>Potenciar</v>
          </cell>
        </row>
        <row r="1742">
          <cell r="A1742" t="str">
            <v>0188</v>
          </cell>
          <cell r="B1742" t="str">
            <v>FARMA EXITO EXPRESS</v>
          </cell>
          <cell r="C1742" t="e">
            <v>#N/A</v>
          </cell>
          <cell r="D1742">
            <v>2</v>
          </cell>
          <cell r="E1742"/>
          <cell r="F1742" t="str">
            <v>ANDES</v>
          </cell>
          <cell r="H1742"/>
          <cell r="I1742"/>
          <cell r="J1742" t="str">
            <v>Activo</v>
          </cell>
          <cell r="K1742">
            <v>8184.0322258817523</v>
          </cell>
          <cell r="L1742">
            <v>4092.0161129408762</v>
          </cell>
          <cell r="M1742">
            <v>4092.0161129408762</v>
          </cell>
          <cell r="N1742" t="str">
            <v>Si Compra</v>
          </cell>
          <cell r="O1742">
            <v>2</v>
          </cell>
          <cell r="P1742">
            <v>0</v>
          </cell>
          <cell r="Q1742">
            <v>0</v>
          </cell>
          <cell r="R1742">
            <v>0</v>
          </cell>
          <cell r="S1742"/>
          <cell r="T1742"/>
          <cell r="U1742"/>
          <cell r="V1742">
            <v>0</v>
          </cell>
          <cell r="W1742">
            <v>1.562489905157669E-4</v>
          </cell>
          <cell r="X1742">
            <v>0</v>
          </cell>
          <cell r="Y1742" t="str">
            <v>Conquistar</v>
          </cell>
        </row>
        <row r="1743">
          <cell r="A1743" t="str">
            <v>A081</v>
          </cell>
          <cell r="B1743" t="str">
            <v>A081 - FARMACIA MALL SALUD, C.A.</v>
          </cell>
          <cell r="C1743" t="str">
            <v>INDEPENDIENTE</v>
          </cell>
          <cell r="D1743">
            <v>3</v>
          </cell>
          <cell r="E1743"/>
          <cell r="F1743" t="str">
            <v>CENTRO OESTE</v>
          </cell>
          <cell r="G1743" t="str">
            <v>YAMILEX LAMEDA</v>
          </cell>
          <cell r="H1743"/>
          <cell r="I1743" t="str">
            <v>Y1</v>
          </cell>
          <cell r="J1743" t="str">
            <v>Activo</v>
          </cell>
          <cell r="K1743">
            <v>8166.646058267801</v>
          </cell>
          <cell r="L1743">
            <v>816.66460582678008</v>
          </cell>
          <cell r="M1743">
            <v>461.97087494320914</v>
          </cell>
          <cell r="N1743" t="str">
            <v>Si Compra</v>
          </cell>
          <cell r="O1743">
            <v>10</v>
          </cell>
          <cell r="P1743">
            <v>77276.965373191444</v>
          </cell>
          <cell r="Q1743">
            <v>7727.6965373191442</v>
          </cell>
          <cell r="R1743">
            <v>4018.3468231260304</v>
          </cell>
          <cell r="T1743"/>
          <cell r="U1743"/>
          <cell r="V1743">
            <v>0.10568021167535306</v>
          </cell>
          <cell r="W1743">
            <v>3.1183410995584892E-5</v>
          </cell>
          <cell r="X1743">
            <v>10</v>
          </cell>
          <cell r="Y1743" t="str">
            <v>Conquistar</v>
          </cell>
        </row>
        <row r="1744">
          <cell r="A1744" t="str">
            <v>B789</v>
          </cell>
          <cell r="B1744" t="str">
            <v>B789 - GRUPO VFG 2016, C.A</v>
          </cell>
          <cell r="C1744" t="str">
            <v>INDEPENDIENTE</v>
          </cell>
          <cell r="D1744">
            <v>3</v>
          </cell>
          <cell r="E1744"/>
          <cell r="F1744" t="str">
            <v>CARACAS</v>
          </cell>
          <cell r="G1744" t="str">
            <v>JHON TORRES</v>
          </cell>
          <cell r="H1744"/>
          <cell r="I1744" t="str">
            <v>C4</v>
          </cell>
          <cell r="J1744" t="str">
            <v>Inactivo</v>
          </cell>
          <cell r="K1744">
            <v>8161.40627663956</v>
          </cell>
          <cell r="L1744">
            <v>1632.281255327912</v>
          </cell>
          <cell r="M1744">
            <v>1156.1874922131867</v>
          </cell>
          <cell r="N1744" t="str">
            <v>Si Compra</v>
          </cell>
          <cell r="O1744">
            <v>5</v>
          </cell>
          <cell r="P1744">
            <v>33866.112174963717</v>
          </cell>
          <cell r="Q1744">
            <v>6773.2224349927437</v>
          </cell>
          <cell r="R1744">
            <v>6564.6239249879045</v>
          </cell>
          <cell r="T1744"/>
          <cell r="U1744"/>
          <cell r="V1744">
            <v>0.24099035148986078</v>
          </cell>
          <cell r="W1744">
            <v>6.2326806968386942E-5</v>
          </cell>
          <cell r="X1744">
            <v>5</v>
          </cell>
          <cell r="Y1744" t="str">
            <v>Potenciar</v>
          </cell>
        </row>
        <row r="1745">
          <cell r="A1745" t="str">
            <v>8591</v>
          </cell>
          <cell r="B1745" t="str">
            <v>8591 - ALBA MARINA MEDINA DE CARRION (FARMACIA DR. MATIAS)</v>
          </cell>
          <cell r="C1745" t="str">
            <v>INDEPENDIENTE</v>
          </cell>
          <cell r="D1745">
            <v>3</v>
          </cell>
          <cell r="E1745"/>
          <cell r="F1745" t="str">
            <v>ANDES</v>
          </cell>
          <cell r="G1745" t="str">
            <v>ANYERSSON TORRES</v>
          </cell>
          <cell r="H1745"/>
          <cell r="I1745" t="str">
            <v>4</v>
          </cell>
          <cell r="J1745" t="str">
            <v>Activo</v>
          </cell>
          <cell r="K1745">
            <v>8156.3300756451863</v>
          </cell>
          <cell r="L1745">
            <v>815.63300756451861</v>
          </cell>
          <cell r="M1745">
            <v>1252.9839554828429</v>
          </cell>
          <cell r="N1745" t="str">
            <v>Si Compra</v>
          </cell>
          <cell r="O1745">
            <v>10</v>
          </cell>
          <cell r="P1745">
            <v>16230.473628175927</v>
          </cell>
          <cell r="Q1745">
            <v>1623.0473628175928</v>
          </cell>
          <cell r="R1745">
            <v>1776.662806333936</v>
          </cell>
          <cell r="T1745"/>
          <cell r="U1745"/>
          <cell r="V1745">
            <v>0.50253185843485704</v>
          </cell>
          <cell r="W1745">
            <v>3.1144020586884782E-5</v>
          </cell>
          <cell r="X1745">
            <v>10</v>
          </cell>
          <cell r="Y1745" t="str">
            <v>Potenciar</v>
          </cell>
        </row>
        <row r="1746">
          <cell r="A1746" t="str">
            <v>1829</v>
          </cell>
          <cell r="B1746" t="str">
            <v>1829 - FARMACIA MIS HIJOS, C.A</v>
          </cell>
          <cell r="C1746" t="str">
            <v>INDEPENDIENTE</v>
          </cell>
          <cell r="D1746">
            <v>3</v>
          </cell>
          <cell r="E1746"/>
          <cell r="F1746" t="str">
            <v>ESTE</v>
          </cell>
          <cell r="G1746" t="str">
            <v>CARMEN ALCALA</v>
          </cell>
          <cell r="H1746"/>
          <cell r="I1746" t="str">
            <v>A6</v>
          </cell>
          <cell r="J1746" t="str">
            <v>Activo</v>
          </cell>
          <cell r="K1746">
            <v>8145.5573000000004</v>
          </cell>
          <cell r="L1746">
            <v>814.55573000000004</v>
          </cell>
          <cell r="M1746">
            <v>1060.7911333333334</v>
          </cell>
          <cell r="N1746" t="str">
            <v>Si Compra</v>
          </cell>
          <cell r="O1746">
            <v>10</v>
          </cell>
          <cell r="P1746">
            <v>34749.235399999998</v>
          </cell>
          <cell r="Q1746">
            <v>3474.9235399999998</v>
          </cell>
          <cell r="R1746">
            <v>3452.6559000000002</v>
          </cell>
          <cell r="T1746"/>
          <cell r="U1746"/>
          <cell r="V1746">
            <v>0.23440968430632003</v>
          </cell>
          <cell r="W1746">
            <v>3.1102885965877554E-5</v>
          </cell>
          <cell r="X1746">
            <v>10</v>
          </cell>
          <cell r="Y1746" t="str">
            <v>Potenciar</v>
          </cell>
        </row>
        <row r="1747">
          <cell r="A1747" t="str">
            <v>D328</v>
          </cell>
          <cell r="B1747" t="str">
            <v>D328 - TU MISERICORDIA FARMACIA C,A</v>
          </cell>
          <cell r="C1747" t="str">
            <v>INDEPENDIENTE</v>
          </cell>
          <cell r="D1747">
            <v>3</v>
          </cell>
          <cell r="E1747"/>
          <cell r="F1747" t="str">
            <v>MARACAIBO</v>
          </cell>
          <cell r="G1747" t="str">
            <v>MARIA FUSELLA</v>
          </cell>
          <cell r="H1747"/>
          <cell r="I1747" t="str">
            <v>Z</v>
          </cell>
          <cell r="J1747" t="str">
            <v>Activo</v>
          </cell>
          <cell r="K1747">
            <v>8132.0982526146017</v>
          </cell>
          <cell r="L1747">
            <v>813.2098252614602</v>
          </cell>
          <cell r="M1747">
            <v>573.34901753820043</v>
          </cell>
          <cell r="N1747" t="str">
            <v>Si Compra</v>
          </cell>
          <cell r="O1747">
            <v>10</v>
          </cell>
          <cell r="P1747">
            <v>30198.409118410513</v>
          </cell>
          <cell r="Q1747">
            <v>3019.8409118410514</v>
          </cell>
          <cell r="R1747">
            <v>2260.0354394701717</v>
          </cell>
          <cell r="T1747"/>
          <cell r="U1747"/>
          <cell r="V1747">
            <v>0.26928896223400239</v>
          </cell>
          <cell r="W1747">
            <v>3.1051494121143075E-5</v>
          </cell>
          <cell r="X1747">
            <v>10</v>
          </cell>
          <cell r="Y1747" t="str">
            <v>Potenciar</v>
          </cell>
        </row>
        <row r="1748">
          <cell r="A1748" t="str">
            <v>-7</v>
          </cell>
          <cell r="B1748" t="str">
            <v>-7 - FARMACIA CAMINO REAL C.A.</v>
          </cell>
          <cell r="C1748" t="str">
            <v>INDEPENDIENTE</v>
          </cell>
          <cell r="D1748">
            <v>3</v>
          </cell>
          <cell r="E1748"/>
          <cell r="F1748" t="str">
            <v>CARACAS</v>
          </cell>
          <cell r="G1748" t="str">
            <v>RAMON SERRANO</v>
          </cell>
          <cell r="H1748"/>
          <cell r="I1748" t="str">
            <v>CB</v>
          </cell>
          <cell r="J1748" t="str">
            <v>Inactivo</v>
          </cell>
          <cell r="K1748">
            <v>8092.0812798514489</v>
          </cell>
          <cell r="L1748">
            <v>899.12014220571655</v>
          </cell>
          <cell r="M1748">
            <v>469.6275333333333</v>
          </cell>
          <cell r="N1748" t="str">
            <v>Si Compra</v>
          </cell>
          <cell r="O1748">
            <v>9</v>
          </cell>
          <cell r="P1748">
            <v>107573.05955127277</v>
          </cell>
          <cell r="Q1748">
            <v>11952.562172363641</v>
          </cell>
          <cell r="R1748">
            <v>8058.7425000000003</v>
          </cell>
          <cell r="T1748"/>
          <cell r="U1748"/>
          <cell r="V1748">
            <v>7.5224050646198304E-2</v>
          </cell>
          <cell r="W1748">
            <v>3.4331882058761047E-5</v>
          </cell>
          <cell r="X1748">
            <v>9</v>
          </cell>
          <cell r="Y1748" t="str">
            <v>Conquistar</v>
          </cell>
        </row>
        <row r="1749">
          <cell r="A1749" t="str">
            <v>D725</v>
          </cell>
          <cell r="B1749" t="str">
            <v>D725 - FARMACIA MULTIMAFER C.A.</v>
          </cell>
          <cell r="C1749" t="str">
            <v>INDEPENDIENTE</v>
          </cell>
          <cell r="D1749">
            <v>3</v>
          </cell>
          <cell r="E1749"/>
          <cell r="F1749" t="str">
            <v>ESTE</v>
          </cell>
          <cell r="G1749" t="str">
            <v>CARLOS BLONDELL</v>
          </cell>
          <cell r="H1749"/>
          <cell r="I1749" t="str">
            <v>A3</v>
          </cell>
          <cell r="J1749" t="str">
            <v>Inactivo</v>
          </cell>
          <cell r="K1749">
            <v>8088.3966543183997</v>
          </cell>
          <cell r="L1749">
            <v>808.83966543183999</v>
          </cell>
          <cell r="M1749">
            <v>509.00786666666664</v>
          </cell>
          <cell r="N1749" t="str">
            <v>Si Compra</v>
          </cell>
          <cell r="O1749">
            <v>10</v>
          </cell>
          <cell r="P1749">
            <v>1205291.813537867</v>
          </cell>
          <cell r="Q1749">
            <v>120529.1813537867</v>
          </cell>
          <cell r="R1749">
            <v>152270.41089999999</v>
          </cell>
          <cell r="T1749"/>
          <cell r="U1749"/>
          <cell r="V1749">
            <v>6.7107372367996958E-3</v>
          </cell>
          <cell r="W1749">
            <v>3.088462452852068E-5</v>
          </cell>
          <cell r="X1749">
            <v>10</v>
          </cell>
          <cell r="Y1749" t="str">
            <v>Conquistar</v>
          </cell>
        </row>
        <row r="1750">
          <cell r="A1750" t="str">
            <v>1780</v>
          </cell>
          <cell r="B1750" t="str">
            <v>1780 - FARMACIA BUCARAL, C.A.</v>
          </cell>
          <cell r="C1750" t="str">
            <v>INDEPENDIENTE</v>
          </cell>
          <cell r="D1750">
            <v>1</v>
          </cell>
          <cell r="E1750"/>
          <cell r="F1750" t="str">
            <v>CENTRO ESTE</v>
          </cell>
          <cell r="G1750" t="str">
            <v>ELIANA PERAZA</v>
          </cell>
          <cell r="H1750"/>
          <cell r="I1750" t="str">
            <v>I</v>
          </cell>
          <cell r="J1750" t="str">
            <v>Inactivo</v>
          </cell>
          <cell r="K1750">
            <v>8087.4769475955127</v>
          </cell>
          <cell r="L1750">
            <v>1010.9346184494391</v>
          </cell>
          <cell r="M1750">
            <v>1626.3765000000001</v>
          </cell>
          <cell r="N1750" t="str">
            <v>Si Compra</v>
          </cell>
          <cell r="O1750">
            <v>8</v>
          </cell>
          <cell r="P1750">
            <v>8702.9120171108771</v>
          </cell>
          <cell r="Q1750">
            <v>1087.8640021388596</v>
          </cell>
          <cell r="R1750">
            <v>1582.4177999999999</v>
          </cell>
          <cell r="T1750"/>
          <cell r="U1750"/>
          <cell r="V1750">
            <v>0.92928400651352649</v>
          </cell>
          <cell r="W1750">
            <v>3.8601390915991511E-5</v>
          </cell>
          <cell r="X1750">
            <v>8</v>
          </cell>
          <cell r="Y1750" t="str">
            <v>Proteger</v>
          </cell>
        </row>
        <row r="1751">
          <cell r="A1751" t="str">
            <v>C014</v>
          </cell>
          <cell r="B1751" t="str">
            <v>C014 - INVERSIONES LENOY PHARMACEUTICAL, C.A.</v>
          </cell>
          <cell r="C1751" t="str">
            <v>INDEPENDIENTE</v>
          </cell>
          <cell r="D1751">
            <v>3</v>
          </cell>
          <cell r="E1751"/>
          <cell r="F1751" t="str">
            <v>CARACAS</v>
          </cell>
          <cell r="G1751">
            <v>0</v>
          </cell>
          <cell r="H1751"/>
          <cell r="I1751" t="str">
            <v>CB</v>
          </cell>
          <cell r="J1751" t="str">
            <v>Activo</v>
          </cell>
          <cell r="K1751">
            <v>8085.4372937354601</v>
          </cell>
          <cell r="L1751">
            <v>808.54372937354606</v>
          </cell>
          <cell r="M1751">
            <v>993.9346333333333</v>
          </cell>
          <cell r="N1751" t="str">
            <v>Si Compra</v>
          </cell>
          <cell r="O1751">
            <v>10</v>
          </cell>
          <cell r="P1751">
            <v>0</v>
          </cell>
          <cell r="Q1751">
            <v>0</v>
          </cell>
          <cell r="R1751">
            <v>0</v>
          </cell>
          <cell r="T1751"/>
          <cell r="U1751"/>
          <cell r="V1751">
            <v>0</v>
          </cell>
          <cell r="W1751">
            <v>3.0873324546045197E-5</v>
          </cell>
          <cell r="X1751">
            <v>0</v>
          </cell>
          <cell r="Y1751" t="str">
            <v>Conquistar</v>
          </cell>
        </row>
        <row r="1752">
          <cell r="A1752" t="str">
            <v>E528</v>
          </cell>
          <cell r="B1752" t="str">
            <v>E528 - FARMAYA24, C.A.</v>
          </cell>
          <cell r="C1752" t="e">
            <v>#N/A</v>
          </cell>
          <cell r="D1752">
            <v>3</v>
          </cell>
          <cell r="F1752" t="str">
            <v>CENTRO OESTE</v>
          </cell>
          <cell r="G1752">
            <v>0</v>
          </cell>
          <cell r="H1752"/>
          <cell r="I1752" t="str">
            <v>E</v>
          </cell>
          <cell r="J1752" t="str">
            <v>Activo</v>
          </cell>
          <cell r="K1752">
            <v>8077.1359678965946</v>
          </cell>
          <cell r="L1752">
            <v>2019.2839919741486</v>
          </cell>
          <cell r="M1752">
            <v>1083.8258559655314</v>
          </cell>
          <cell r="N1752" t="str">
            <v>Si Compra</v>
          </cell>
          <cell r="O1752">
            <v>4</v>
          </cell>
          <cell r="P1752">
            <v>0</v>
          </cell>
          <cell r="Q1752">
            <v>0</v>
          </cell>
          <cell r="R1752">
            <v>0</v>
          </cell>
          <cell r="V1752">
            <v>0</v>
          </cell>
          <cell r="W1752">
            <v>7.7104067188986497E-5</v>
          </cell>
          <cell r="X1752">
            <v>0</v>
          </cell>
          <cell r="Y1752" t="str">
            <v>Conquistar</v>
          </cell>
        </row>
        <row r="1753">
          <cell r="A1753" t="str">
            <v>D801</v>
          </cell>
          <cell r="B1753" t="str">
            <v>D801 - FARMAJOTA CARRIZALES C.A.</v>
          </cell>
          <cell r="C1753" t="str">
            <v>INDEPENDIENTE</v>
          </cell>
          <cell r="D1753">
            <v>3</v>
          </cell>
          <cell r="E1753"/>
          <cell r="F1753" t="str">
            <v>ESTE</v>
          </cell>
          <cell r="G1753" t="str">
            <v>CARMEN ALCALA</v>
          </cell>
          <cell r="H1753"/>
          <cell r="I1753" t="str">
            <v>A0</v>
          </cell>
          <cell r="J1753" t="str">
            <v>Inactivo</v>
          </cell>
          <cell r="K1753">
            <v>8064.9387999999999</v>
          </cell>
          <cell r="L1753">
            <v>1008.11735</v>
          </cell>
          <cell r="M1753">
            <v>788.00226666666674</v>
          </cell>
          <cell r="N1753" t="str">
            <v>Si Compra</v>
          </cell>
          <cell r="O1753">
            <v>8</v>
          </cell>
          <cell r="P1753">
            <v>235788.4731</v>
          </cell>
          <cell r="Q1753">
            <v>29473.5591375</v>
          </cell>
          <cell r="R1753">
            <v>19898.725666666669</v>
          </cell>
          <cell r="T1753"/>
          <cell r="U1753"/>
          <cell r="V1753">
            <v>3.4204126664748313E-2</v>
          </cell>
          <cell r="W1753">
            <v>3.8493816718068716E-5</v>
          </cell>
          <cell r="X1753">
            <v>8</v>
          </cell>
          <cell r="Y1753" t="str">
            <v>Conquistar</v>
          </cell>
        </row>
        <row r="1754">
          <cell r="A1754" t="str">
            <v>S103</v>
          </cell>
          <cell r="B1754" t="str">
            <v>S103 - FARMACIA EL RECIPE C.A</v>
          </cell>
          <cell r="C1754" t="str">
            <v>INDEPENDIENTE</v>
          </cell>
          <cell r="D1754">
            <v>3</v>
          </cell>
          <cell r="F1754" t="str">
            <v>MARACAIBO</v>
          </cell>
          <cell r="G1754" t="str">
            <v>JOEL JIMENEZ</v>
          </cell>
          <cell r="H1754"/>
          <cell r="I1754" t="str">
            <v>S1</v>
          </cell>
          <cell r="J1754" t="str">
            <v>Activo</v>
          </cell>
          <cell r="K1754">
            <v>8047.4562000000005</v>
          </cell>
          <cell r="L1754">
            <v>804.74562000000003</v>
          </cell>
          <cell r="M1754">
            <v>642.97733333333338</v>
          </cell>
          <cell r="N1754" t="str">
            <v>Si Compra</v>
          </cell>
          <cell r="O1754">
            <v>10</v>
          </cell>
          <cell r="P1754">
            <v>9961.4650000000001</v>
          </cell>
          <cell r="Q1754">
            <v>996.14650000000006</v>
          </cell>
          <cell r="R1754">
            <v>715.14109999999994</v>
          </cell>
          <cell r="V1754">
            <v>0.80785870351399114</v>
          </cell>
          <cell r="W1754">
            <v>3.0728298050766191E-5</v>
          </cell>
          <cell r="X1754">
            <v>10</v>
          </cell>
          <cell r="Y1754" t="str">
            <v>Proteger</v>
          </cell>
        </row>
        <row r="1755">
          <cell r="A1755" t="str">
            <v>4911</v>
          </cell>
          <cell r="B1755" t="str">
            <v>4911 - METROFARMA SOCIAL, C.A</v>
          </cell>
          <cell r="C1755" t="e">
            <v>#N/A</v>
          </cell>
          <cell r="D1755">
            <v>0</v>
          </cell>
          <cell r="E1755"/>
          <cell r="F1755" t="str">
            <v>CARACAS</v>
          </cell>
          <cell r="G1755" t="str">
            <v>RAMON SERRANO</v>
          </cell>
          <cell r="H1755"/>
          <cell r="I1755" t="str">
            <v>CB</v>
          </cell>
          <cell r="J1755" t="str">
            <v>Activo</v>
          </cell>
          <cell r="K1755">
            <v>8038.9043863829211</v>
          </cell>
          <cell r="L1755">
            <v>1339.8173977304868</v>
          </cell>
          <cell r="M1755">
            <v>0</v>
          </cell>
          <cell r="N1755" t="str">
            <v>No Compra</v>
          </cell>
          <cell r="O1755">
            <v>5</v>
          </cell>
          <cell r="P1755">
            <v>14777.258339958496</v>
          </cell>
          <cell r="Q1755">
            <v>2462.8763899930827</v>
          </cell>
          <cell r="R1755">
            <v>0</v>
          </cell>
          <cell r="T1755"/>
          <cell r="U1755"/>
          <cell r="V1755">
            <v>0.54400513284966356</v>
          </cell>
          <cell r="W1755">
            <v>5.1159406535277999E-5</v>
          </cell>
          <cell r="X1755">
            <v>5</v>
          </cell>
          <cell r="Y1755" t="str">
            <v>Potenciar</v>
          </cell>
        </row>
        <row r="1756">
          <cell r="A1756" t="str">
            <v>0171</v>
          </cell>
          <cell r="B1756" t="str">
            <v>0171 - BENITEZ ARELLANO ILIA DEL  SOCORRO (FCIA SN PEDRO)</v>
          </cell>
          <cell r="C1756" t="str">
            <v>INDEPENDIENTE</v>
          </cell>
          <cell r="D1756">
            <v>3</v>
          </cell>
          <cell r="E1756"/>
          <cell r="F1756" t="str">
            <v>ANDES</v>
          </cell>
          <cell r="G1756" t="str">
            <v>JESUS CONTRERAS</v>
          </cell>
          <cell r="H1756"/>
          <cell r="I1756" t="str">
            <v>G2</v>
          </cell>
          <cell r="J1756" t="str">
            <v>Activo</v>
          </cell>
          <cell r="K1756">
            <v>7976.3059896992017</v>
          </cell>
          <cell r="L1756">
            <v>797.63059896992013</v>
          </cell>
          <cell r="M1756">
            <v>750.10589999999991</v>
          </cell>
          <cell r="N1756" t="str">
            <v>Si Compra</v>
          </cell>
          <cell r="O1756">
            <v>10</v>
          </cell>
          <cell r="P1756">
            <v>9696.2580888911489</v>
          </cell>
          <cell r="Q1756">
            <v>969.62580888911486</v>
          </cell>
          <cell r="R1756">
            <v>721.85196666666661</v>
          </cell>
          <cell r="T1756"/>
          <cell r="U1756"/>
          <cell r="V1756">
            <v>0.82261692258764552</v>
          </cell>
          <cell r="W1756">
            <v>3.0456619048835411E-5</v>
          </cell>
          <cell r="X1756">
            <v>9</v>
          </cell>
          <cell r="Y1756" t="str">
            <v>Proteger</v>
          </cell>
        </row>
        <row r="1757">
          <cell r="A1757" t="str">
            <v>D805</v>
          </cell>
          <cell r="B1757" t="str">
            <v>D805 - FARMACIA FARMACAT27, C.A</v>
          </cell>
          <cell r="C1757" t="str">
            <v>INDEPENDIENTE</v>
          </cell>
          <cell r="D1757">
            <v>3</v>
          </cell>
          <cell r="E1757"/>
          <cell r="F1757" t="str">
            <v>ANDES</v>
          </cell>
          <cell r="G1757" t="str">
            <v>ZULAY PARRA</v>
          </cell>
          <cell r="H1757"/>
          <cell r="I1757" t="str">
            <v>5</v>
          </cell>
          <cell r="J1757" t="str">
            <v>Inactivo</v>
          </cell>
          <cell r="K1757">
            <v>7976.0230414858797</v>
          </cell>
          <cell r="L1757">
            <v>886.22478238731992</v>
          </cell>
          <cell r="M1757">
            <v>902.37100000000009</v>
          </cell>
          <cell r="N1757" t="str">
            <v>Si Compra</v>
          </cell>
          <cell r="O1757">
            <v>9</v>
          </cell>
          <cell r="P1757">
            <v>720347.16599058721</v>
          </cell>
          <cell r="Q1757">
            <v>80038.573998954133</v>
          </cell>
          <cell r="R1757">
            <v>18222.972033333335</v>
          </cell>
          <cell r="T1757"/>
          <cell r="U1757"/>
          <cell r="V1757">
            <v>1.1072470911324584E-2</v>
          </cell>
          <cell r="W1757">
            <v>3.3839487381332964E-5</v>
          </cell>
          <cell r="X1757">
            <v>9</v>
          </cell>
          <cell r="Y1757" t="str">
            <v>Conquistar</v>
          </cell>
        </row>
        <row r="1758">
          <cell r="A1758" t="str">
            <v>B970</v>
          </cell>
          <cell r="B1758" t="str">
            <v>B970 - FARMACIAS GOURMAND, C.A.</v>
          </cell>
          <cell r="C1758" t="str">
            <v>INDEPENDIENTE</v>
          </cell>
          <cell r="D1758">
            <v>1</v>
          </cell>
          <cell r="E1758"/>
          <cell r="F1758" t="str">
            <v>CARACAS</v>
          </cell>
          <cell r="G1758" t="str">
            <v>MAIRUBI QUIJADA</v>
          </cell>
          <cell r="H1758"/>
          <cell r="I1758" t="str">
            <v>C2</v>
          </cell>
          <cell r="J1758" t="str">
            <v>Inactivo</v>
          </cell>
          <cell r="K1758">
            <v>7974.5435885949355</v>
          </cell>
          <cell r="L1758">
            <v>1993.6358971487339</v>
          </cell>
          <cell r="M1758">
            <v>1100.1076</v>
          </cell>
          <cell r="N1758" t="str">
            <v>Si Compra</v>
          </cell>
          <cell r="O1758">
            <v>4</v>
          </cell>
          <cell r="P1758">
            <v>9293.6705831667587</v>
          </cell>
          <cell r="Q1758">
            <v>2323.4176457916897</v>
          </cell>
          <cell r="R1758">
            <v>2266.2075</v>
          </cell>
          <cell r="T1758"/>
          <cell r="U1758"/>
          <cell r="V1758">
            <v>0.85806178702297631</v>
          </cell>
          <cell r="W1758">
            <v>7.6124723800662545E-5</v>
          </cell>
          <cell r="X1758">
            <v>4</v>
          </cell>
          <cell r="Y1758" t="str">
            <v>Proteger</v>
          </cell>
        </row>
        <row r="1759">
          <cell r="A1759" t="str">
            <v>B751</v>
          </cell>
          <cell r="B1759" t="str">
            <v>B751 - FARMA PUKY, C.A.</v>
          </cell>
          <cell r="C1759" t="str">
            <v>INDEPENDIENTE</v>
          </cell>
          <cell r="D1759">
            <v>3</v>
          </cell>
          <cell r="E1759"/>
          <cell r="F1759" t="str">
            <v>CENTRO ESTE</v>
          </cell>
          <cell r="G1759" t="str">
            <v>ELIANA PERAZA</v>
          </cell>
          <cell r="H1759"/>
          <cell r="I1759" t="str">
            <v>M</v>
          </cell>
          <cell r="J1759" t="str">
            <v>Activo</v>
          </cell>
          <cell r="K1759">
            <v>7966.8808250542488</v>
          </cell>
          <cell r="L1759">
            <v>796.68808250542486</v>
          </cell>
          <cell r="M1759">
            <v>916.25566225333034</v>
          </cell>
          <cell r="N1759" t="str">
            <v>Si Compra</v>
          </cell>
          <cell r="O1759">
            <v>10</v>
          </cell>
          <cell r="P1759">
            <v>72727.775608701224</v>
          </cell>
          <cell r="Q1759">
            <v>7272.7775608701222</v>
          </cell>
          <cell r="R1759">
            <v>11262.388079805096</v>
          </cell>
          <cell r="T1759"/>
          <cell r="U1759"/>
          <cell r="V1759">
            <v>0.10954385389041217</v>
          </cell>
          <cell r="W1759">
            <v>3.0420630127468227E-5</v>
          </cell>
          <cell r="X1759">
            <v>10</v>
          </cell>
          <cell r="Y1759" t="str">
            <v>Conquistar</v>
          </cell>
        </row>
        <row r="1760">
          <cell r="A1760" t="str">
            <v>D907</v>
          </cell>
          <cell r="B1760" t="str">
            <v>D907 - FARMACIAS FARMAPIU, C.A</v>
          </cell>
          <cell r="C1760" t="str">
            <v>INDEPENDIENTE</v>
          </cell>
          <cell r="D1760">
            <v>3</v>
          </cell>
          <cell r="E1760"/>
          <cell r="F1760" t="str">
            <v>CARACAS</v>
          </cell>
          <cell r="G1760" t="str">
            <v>RAMON SERRANO</v>
          </cell>
          <cell r="H1760"/>
          <cell r="I1760" t="str">
            <v>CB</v>
          </cell>
          <cell r="J1760" t="str">
            <v>Activo</v>
          </cell>
          <cell r="K1760">
            <v>7939.6677598005235</v>
          </cell>
          <cell r="L1760">
            <v>793.96677598005238</v>
          </cell>
          <cell r="M1760">
            <v>910.40360701713325</v>
          </cell>
          <cell r="N1760" t="str">
            <v>Si Compra</v>
          </cell>
          <cell r="O1760">
            <v>10</v>
          </cell>
          <cell r="P1760">
            <v>35732.301390652749</v>
          </cell>
          <cell r="Q1760">
            <v>3573.2301390652747</v>
          </cell>
          <cell r="R1760">
            <v>2787.312497391089</v>
          </cell>
          <cell r="T1760"/>
          <cell r="U1760"/>
          <cell r="V1760">
            <v>0.22219861164267105</v>
          </cell>
          <cell r="W1760">
            <v>3.0316720126691658E-5</v>
          </cell>
          <cell r="X1760">
            <v>10</v>
          </cell>
          <cell r="Y1760" t="str">
            <v>Potenciar</v>
          </cell>
        </row>
        <row r="1761">
          <cell r="A1761" t="str">
            <v>9070</v>
          </cell>
          <cell r="B1761" t="str">
            <v>9070 - FARMACIA MAGNETICA, C.A.</v>
          </cell>
          <cell r="C1761" t="str">
            <v>INDEPENDIENTE</v>
          </cell>
          <cell r="D1761">
            <v>1</v>
          </cell>
          <cell r="E1761"/>
          <cell r="F1761" t="str">
            <v>CENTRO ESTE</v>
          </cell>
          <cell r="G1761">
            <v>0</v>
          </cell>
          <cell r="H1761"/>
          <cell r="I1761" t="str">
            <v>$</v>
          </cell>
          <cell r="J1761" t="str">
            <v>Suspendido</v>
          </cell>
          <cell r="K1761">
            <v>7934.7702190529144</v>
          </cell>
          <cell r="L1761">
            <v>991.8462773816143</v>
          </cell>
          <cell r="M1761">
            <v>798.02359999999999</v>
          </cell>
          <cell r="N1761" t="str">
            <v>Si Compra</v>
          </cell>
          <cell r="O1761">
            <v>8</v>
          </cell>
          <cell r="P1761">
            <v>0</v>
          </cell>
          <cell r="Q1761">
            <v>0</v>
          </cell>
          <cell r="R1761">
            <v>0</v>
          </cell>
          <cell r="T1761"/>
          <cell r="U1761"/>
          <cell r="V1761">
            <v>0</v>
          </cell>
          <cell r="W1761">
            <v>3.7872524279069898E-5</v>
          </cell>
          <cell r="X1761">
            <v>0</v>
          </cell>
          <cell r="Y1761" t="str">
            <v>Conquistar</v>
          </cell>
        </row>
        <row r="1762">
          <cell r="A1762" t="str">
            <v>8422</v>
          </cell>
          <cell r="B1762" t="str">
            <v>8422 - FARMACIA EL CANTACLARO,C.A</v>
          </cell>
          <cell r="C1762" t="str">
            <v>INDEPENDIENTE</v>
          </cell>
          <cell r="D1762">
            <v>3</v>
          </cell>
          <cell r="E1762"/>
          <cell r="F1762" t="str">
            <v>CENTRO ESTE</v>
          </cell>
          <cell r="G1762" t="str">
            <v>LAURA FLORES</v>
          </cell>
          <cell r="H1762"/>
          <cell r="I1762" t="str">
            <v xml:space="preserve">- </v>
          </cell>
          <cell r="J1762" t="str">
            <v>Activo</v>
          </cell>
          <cell r="K1762">
            <v>7908.160742008884</v>
          </cell>
          <cell r="L1762">
            <v>790.81607420088835</v>
          </cell>
          <cell r="M1762">
            <v>859.62996927875668</v>
          </cell>
          <cell r="N1762" t="str">
            <v>Si Compra</v>
          </cell>
          <cell r="O1762">
            <v>10</v>
          </cell>
          <cell r="P1762">
            <v>18078.193498379842</v>
          </cell>
          <cell r="Q1762">
            <v>1807.8193498379842</v>
          </cell>
          <cell r="R1762">
            <v>1518.3188353864855</v>
          </cell>
          <cell r="T1762"/>
          <cell r="U1762"/>
          <cell r="V1762">
            <v>0.43744197907371712</v>
          </cell>
          <cell r="W1762">
            <v>3.0196414155546104E-5</v>
          </cell>
          <cell r="X1762">
            <v>10</v>
          </cell>
          <cell r="Y1762" t="str">
            <v>Potenciar</v>
          </cell>
        </row>
        <row r="1763">
          <cell r="A1763" t="str">
            <v>E182</v>
          </cell>
          <cell r="B1763" t="str">
            <v>E182 - EXPENDIO DE MEDICINAS MEDIEXPRESS, ECONOMIA Y SALUD, C.A</v>
          </cell>
          <cell r="C1763" t="str">
            <v>INDEPENDIENTE</v>
          </cell>
          <cell r="D1763">
            <v>3</v>
          </cell>
          <cell r="F1763" t="str">
            <v>ANDES</v>
          </cell>
          <cell r="G1763">
            <v>0</v>
          </cell>
          <cell r="H1763"/>
          <cell r="I1763" t="str">
            <v>G1</v>
          </cell>
          <cell r="J1763" t="str">
            <v>Activo</v>
          </cell>
          <cell r="K1763">
            <v>7895.2798999999995</v>
          </cell>
          <cell r="L1763">
            <v>986.90998749999994</v>
          </cell>
          <cell r="M1763">
            <v>775.55679999999995</v>
          </cell>
          <cell r="N1763" t="str">
            <v>Si Compra</v>
          </cell>
          <cell r="O1763">
            <v>8</v>
          </cell>
          <cell r="P1763">
            <v>0</v>
          </cell>
          <cell r="Q1763">
            <v>0</v>
          </cell>
          <cell r="R1763">
            <v>0</v>
          </cell>
          <cell r="V1763">
            <v>0</v>
          </cell>
          <cell r="W1763">
            <v>3.7684037653013791E-5</v>
          </cell>
          <cell r="X1763">
            <v>0</v>
          </cell>
          <cell r="Y1763" t="str">
            <v>Conquistar</v>
          </cell>
        </row>
        <row r="1764">
          <cell r="A1764" t="str">
            <v>1824</v>
          </cell>
          <cell r="B1764" t="str">
            <v>1824 - FARMACIA MONAGAS, C.A.</v>
          </cell>
          <cell r="C1764" t="str">
            <v>INDEPENDIENTE</v>
          </cell>
          <cell r="D1764">
            <v>2</v>
          </cell>
          <cell r="E1764"/>
          <cell r="F1764" t="str">
            <v>ESTE</v>
          </cell>
          <cell r="G1764" t="str">
            <v>CARMEN ALCALA</v>
          </cell>
          <cell r="H1764"/>
          <cell r="I1764" t="str">
            <v>A0</v>
          </cell>
          <cell r="J1764" t="str">
            <v>Activo</v>
          </cell>
          <cell r="K1764">
            <v>7894.5720999999994</v>
          </cell>
          <cell r="L1764">
            <v>1315.7620166666666</v>
          </cell>
          <cell r="M1764">
            <v>667.43079999999998</v>
          </cell>
          <cell r="N1764" t="str">
            <v>Si Compra</v>
          </cell>
          <cell r="O1764">
            <v>6</v>
          </cell>
          <cell r="P1764">
            <v>12562.419399999999</v>
          </cell>
          <cell r="Q1764">
            <v>2093.7365666666665</v>
          </cell>
          <cell r="R1764">
            <v>1378.4920999999999</v>
          </cell>
          <cell r="T1764"/>
          <cell r="U1764"/>
          <cell r="V1764">
            <v>0.62842768169322549</v>
          </cell>
          <cell r="W1764">
            <v>5.0240879114086412E-5</v>
          </cell>
          <cell r="X1764">
            <v>6</v>
          </cell>
          <cell r="Y1764" t="str">
            <v>Proteger</v>
          </cell>
        </row>
        <row r="1765">
          <cell r="A1765" t="str">
            <v>A643</v>
          </cell>
          <cell r="B1765" t="str">
            <v>A643 - FARMACIA LAS MARIAS, C.A.</v>
          </cell>
          <cell r="C1765" t="str">
            <v>INDEPENDIENTE</v>
          </cell>
          <cell r="D1765">
            <v>3</v>
          </cell>
          <cell r="E1765"/>
          <cell r="F1765" t="str">
            <v>ESTE</v>
          </cell>
          <cell r="G1765" t="str">
            <v>CARLOS BLONDELL</v>
          </cell>
          <cell r="H1765"/>
          <cell r="I1765" t="str">
            <v>A3</v>
          </cell>
          <cell r="J1765" t="str">
            <v>Activo</v>
          </cell>
          <cell r="K1765">
            <v>7888.3434110819599</v>
          </cell>
          <cell r="L1765">
            <v>788.83434110819599</v>
          </cell>
          <cell r="M1765">
            <v>557.42013702731992</v>
          </cell>
          <cell r="N1765" t="str">
            <v>Si Compra</v>
          </cell>
          <cell r="O1765">
            <v>10</v>
          </cell>
          <cell r="P1765">
            <v>11418.749941479116</v>
          </cell>
          <cell r="Q1765">
            <v>1141.8749941479116</v>
          </cell>
          <cell r="R1765">
            <v>841.04474715970537</v>
          </cell>
          <cell r="T1765"/>
          <cell r="U1765"/>
          <cell r="V1765">
            <v>0.69082372864889552</v>
          </cell>
          <cell r="W1765">
            <v>3.0120743926822999E-5</v>
          </cell>
          <cell r="X1765">
            <v>10</v>
          </cell>
          <cell r="Y1765" t="str">
            <v>Proteger</v>
          </cell>
        </row>
        <row r="1766">
          <cell r="A1766" t="str">
            <v>D414</v>
          </cell>
          <cell r="B1766" t="str">
            <v>D414 - FARMA NATURAL VIRGEN DEL ROSARIO C.A</v>
          </cell>
          <cell r="C1766" t="str">
            <v>INDEPENDIENTE</v>
          </cell>
          <cell r="D1766">
            <v>3</v>
          </cell>
          <cell r="E1766"/>
          <cell r="F1766" t="str">
            <v>CENTRO ESTE</v>
          </cell>
          <cell r="G1766" t="str">
            <v>MARCOS CRUCES</v>
          </cell>
          <cell r="H1766"/>
          <cell r="I1766" t="str">
            <v>AV</v>
          </cell>
          <cell r="J1766" t="str">
            <v>Activo</v>
          </cell>
          <cell r="K1766">
            <v>7874.8372661384165</v>
          </cell>
          <cell r="L1766">
            <v>787.48372661384167</v>
          </cell>
          <cell r="M1766">
            <v>661.29877726054235</v>
          </cell>
          <cell r="N1766" t="str">
            <v>Si Compra</v>
          </cell>
          <cell r="O1766">
            <v>10</v>
          </cell>
          <cell r="P1766">
            <v>16106.263778281553</v>
          </cell>
          <cell r="Q1766">
            <v>1610.6263778281552</v>
          </cell>
          <cell r="R1766">
            <v>1225.4101629754261</v>
          </cell>
          <cell r="T1766"/>
          <cell r="U1766"/>
          <cell r="V1766">
            <v>0.48893010660592928</v>
          </cell>
          <cell r="W1766">
            <v>3.0069172245408684E-5</v>
          </cell>
          <cell r="X1766">
            <v>10</v>
          </cell>
          <cell r="Y1766" t="str">
            <v>Potenciar</v>
          </cell>
        </row>
        <row r="1767">
          <cell r="A1767" t="str">
            <v>6975</v>
          </cell>
          <cell r="B1767" t="str">
            <v>6975 - FARMACIA SABANITA EXPRESS, C.A</v>
          </cell>
          <cell r="C1767" t="str">
            <v>INDEPENDIENTE</v>
          </cell>
          <cell r="D1767">
            <v>3</v>
          </cell>
          <cell r="E1767"/>
          <cell r="F1767" t="str">
            <v>ESTE</v>
          </cell>
          <cell r="G1767" t="str">
            <v>IRAIDA RODRIGUEZ</v>
          </cell>
          <cell r="H1767"/>
          <cell r="I1767" t="str">
            <v>AB</v>
          </cell>
          <cell r="J1767" t="str">
            <v>Inactivo</v>
          </cell>
          <cell r="K1767">
            <v>7839.1013000000003</v>
          </cell>
          <cell r="L1767">
            <v>871.01125555555564</v>
          </cell>
          <cell r="M1767">
            <v>576.07000000000005</v>
          </cell>
          <cell r="N1767" t="str">
            <v>Si Compra</v>
          </cell>
          <cell r="O1767">
            <v>9</v>
          </cell>
          <cell r="P1767">
            <v>16965.48</v>
          </cell>
          <cell r="Q1767">
            <v>1885.0533333333333</v>
          </cell>
          <cell r="R1767">
            <v>1043.0316666666665</v>
          </cell>
          <cell r="T1767"/>
          <cell r="U1767"/>
          <cell r="V1767">
            <v>0.46206186326587878</v>
          </cell>
          <cell r="W1767">
            <v>3.3258576127799479E-5</v>
          </cell>
          <cell r="X1767">
            <v>9</v>
          </cell>
          <cell r="Y1767" t="str">
            <v>Potenciar</v>
          </cell>
        </row>
        <row r="1768">
          <cell r="A1768" t="str">
            <v>5306</v>
          </cell>
          <cell r="B1768" t="str">
            <v>GRUPO FARMAEXITO</v>
          </cell>
          <cell r="C1768" t="str">
            <v>INDEPENDIENTE</v>
          </cell>
          <cell r="D1768">
            <v>2</v>
          </cell>
          <cell r="E1768"/>
          <cell r="F1768" t="str">
            <v>ESTE</v>
          </cell>
          <cell r="G1768" t="str">
            <v>JOSE RAMIREZ</v>
          </cell>
          <cell r="H1768"/>
          <cell r="I1768" t="str">
            <v>A4</v>
          </cell>
          <cell r="J1768" t="str">
            <v>Activo</v>
          </cell>
          <cell r="K1768">
            <v>7804.8274856503849</v>
          </cell>
          <cell r="L1768">
            <v>867.20305396115384</v>
          </cell>
          <cell r="M1768">
            <v>144.83884999999998</v>
          </cell>
          <cell r="N1768" t="str">
            <v>Si Compra</v>
          </cell>
          <cell r="O1768">
            <v>9</v>
          </cell>
          <cell r="P1768">
            <v>201788.61313347271</v>
          </cell>
          <cell r="Q1768">
            <v>22420.957014830303</v>
          </cell>
          <cell r="R1768">
            <v>38181.703750000001</v>
          </cell>
          <cell r="T1768"/>
          <cell r="U1768"/>
          <cell r="V1768">
            <v>3.8678235428913403E-2</v>
          </cell>
          <cell r="W1768">
            <v>3.3113164272522552E-5</v>
          </cell>
          <cell r="X1768">
            <v>9</v>
          </cell>
          <cell r="Y1768" t="str">
            <v>Conquistar</v>
          </cell>
        </row>
        <row r="1769">
          <cell r="A1769" t="str">
            <v>0967</v>
          </cell>
          <cell r="B1769" t="str">
            <v>0967 - FARMACIA SAN RAMON, C.A.</v>
          </cell>
          <cell r="C1769" t="str">
            <v>INDEPENDIENTE</v>
          </cell>
          <cell r="D1769">
            <v>3</v>
          </cell>
          <cell r="E1769"/>
          <cell r="F1769" t="str">
            <v>ESTE</v>
          </cell>
          <cell r="G1769" t="str">
            <v>CARLOS BLONDELL</v>
          </cell>
          <cell r="H1769"/>
          <cell r="I1769" t="str">
            <v>A3</v>
          </cell>
          <cell r="J1769" t="str">
            <v>Activo</v>
          </cell>
          <cell r="K1769">
            <v>7787.0152883388919</v>
          </cell>
          <cell r="L1769">
            <v>865.22392092654354</v>
          </cell>
          <cell r="M1769">
            <v>474.60964299397091</v>
          </cell>
          <cell r="N1769" t="str">
            <v>Si Compra</v>
          </cell>
          <cell r="O1769">
            <v>9</v>
          </cell>
          <cell r="P1769">
            <v>83119.155921129714</v>
          </cell>
          <cell r="Q1769">
            <v>9235.4617690144132</v>
          </cell>
          <cell r="R1769">
            <v>13237.455572184224</v>
          </cell>
          <cell r="T1769"/>
          <cell r="U1769"/>
          <cell r="V1769">
            <v>9.3684965902779999E-2</v>
          </cell>
          <cell r="W1769">
            <v>3.3037593324066042E-5</v>
          </cell>
          <cell r="X1769">
            <v>9</v>
          </cell>
          <cell r="Y1769" t="str">
            <v>Conquistar</v>
          </cell>
        </row>
        <row r="1770">
          <cell r="A1770" t="str">
            <v>D463</v>
          </cell>
          <cell r="B1770" t="str">
            <v>EXPENDIO DE MEDICAMENTOS SUCRE</v>
          </cell>
          <cell r="C1770" t="str">
            <v>GRUPO</v>
          </cell>
          <cell r="D1770">
            <v>2</v>
          </cell>
          <cell r="E1770"/>
          <cell r="F1770" t="str">
            <v>ESTE</v>
          </cell>
          <cell r="H1770"/>
          <cell r="I1770"/>
          <cell r="J1770" t="str">
            <v>Activo</v>
          </cell>
          <cell r="K1770">
            <v>7763.9120324074047</v>
          </cell>
          <cell r="L1770">
            <v>1109.130290343915</v>
          </cell>
          <cell r="M1770">
            <v>2072.4033324074044</v>
          </cell>
          <cell r="N1770" t="str">
            <v>Si Compra</v>
          </cell>
          <cell r="O1770">
            <v>7</v>
          </cell>
          <cell r="P1770">
            <v>0</v>
          </cell>
          <cell r="Q1770">
            <v>0</v>
          </cell>
          <cell r="R1770">
            <v>0</v>
          </cell>
          <cell r="S1770"/>
          <cell r="T1770"/>
          <cell r="U1770"/>
          <cell r="V1770">
            <v>0</v>
          </cell>
          <cell r="W1770">
            <v>4.2350881187549252E-5</v>
          </cell>
          <cell r="X1770">
            <v>0</v>
          </cell>
          <cell r="Y1770" t="str">
            <v>Conquistar</v>
          </cell>
        </row>
        <row r="1771">
          <cell r="A1771" t="str">
            <v>0222</v>
          </cell>
          <cell r="B1771" t="str">
            <v>0222 - FARMACIA TEATIS, C.A.</v>
          </cell>
          <cell r="C1771" t="str">
            <v>INDEPENDIENTE</v>
          </cell>
          <cell r="D1771">
            <v>3</v>
          </cell>
          <cell r="E1771"/>
          <cell r="F1771" t="str">
            <v>CARACAS</v>
          </cell>
          <cell r="G1771" t="str">
            <v>WILLIAM ARAQUE</v>
          </cell>
          <cell r="H1771"/>
          <cell r="I1771" t="str">
            <v>C8</v>
          </cell>
          <cell r="J1771" t="str">
            <v>Activo</v>
          </cell>
          <cell r="K1771">
            <v>7763.6785295850323</v>
          </cell>
          <cell r="L1771">
            <v>776.36785295850325</v>
          </cell>
          <cell r="M1771">
            <v>990.00243333333344</v>
          </cell>
          <cell r="N1771" t="str">
            <v>Si Compra</v>
          </cell>
          <cell r="O1771">
            <v>10</v>
          </cell>
          <cell r="P1771">
            <v>13351.290233143001</v>
          </cell>
          <cell r="Q1771">
            <v>1335.1290233143002</v>
          </cell>
          <cell r="R1771">
            <v>862.73453333333327</v>
          </cell>
          <cell r="T1771"/>
          <cell r="U1771"/>
          <cell r="V1771">
            <v>0.5814927541843572</v>
          </cell>
          <cell r="W1771">
            <v>2.9644725227261636E-5</v>
          </cell>
          <cell r="X1771">
            <v>10</v>
          </cell>
          <cell r="Y1771" t="str">
            <v>Potenciar</v>
          </cell>
        </row>
        <row r="1772">
          <cell r="A1772" t="str">
            <v>2801</v>
          </cell>
          <cell r="B1772" t="str">
            <v>2801 - EXPENDIO DE MEDICINAS LA INTEGRAL, C.A</v>
          </cell>
          <cell r="C1772" t="str">
            <v>INDEPENDIENTE</v>
          </cell>
          <cell r="D1772">
            <v>3</v>
          </cell>
          <cell r="E1772"/>
          <cell r="F1772" t="str">
            <v>MARACAIBO</v>
          </cell>
          <cell r="G1772">
            <v>0</v>
          </cell>
          <cell r="H1772"/>
          <cell r="I1772" t="str">
            <v>S1</v>
          </cell>
          <cell r="J1772" t="str">
            <v>Activo</v>
          </cell>
          <cell r="K1772">
            <v>7750.9040999999988</v>
          </cell>
          <cell r="L1772">
            <v>775.09040999999991</v>
          </cell>
          <cell r="M1772">
            <v>754.9622333333333</v>
          </cell>
          <cell r="N1772" t="str">
            <v>Si Compra</v>
          </cell>
          <cell r="O1772">
            <v>10</v>
          </cell>
          <cell r="P1772">
            <v>0</v>
          </cell>
          <cell r="Q1772">
            <v>0</v>
          </cell>
          <cell r="R1772">
            <v>0</v>
          </cell>
          <cell r="T1772"/>
          <cell r="U1772"/>
          <cell r="V1772">
            <v>0</v>
          </cell>
          <cell r="W1772">
            <v>2.95959475178884E-5</v>
          </cell>
          <cell r="X1772">
            <v>0</v>
          </cell>
          <cell r="Y1772" t="str">
            <v>Conquistar</v>
          </cell>
        </row>
        <row r="1773">
          <cell r="A1773" t="str">
            <v>5209</v>
          </cell>
          <cell r="B1773" t="str">
            <v>5209 - FARMACIA INTERCOMUNAL,C.A</v>
          </cell>
          <cell r="C1773" t="str">
            <v>INDEPENDIENTE</v>
          </cell>
          <cell r="D1773">
            <v>3</v>
          </cell>
          <cell r="E1773"/>
          <cell r="F1773" t="str">
            <v>CENTRO ESTE</v>
          </cell>
          <cell r="G1773">
            <v>0</v>
          </cell>
          <cell r="H1773"/>
          <cell r="I1773" t="str">
            <v>AG</v>
          </cell>
          <cell r="J1773" t="str">
            <v>Activo</v>
          </cell>
          <cell r="K1773">
            <v>7748.4685558855426</v>
          </cell>
          <cell r="L1773">
            <v>774.84685558855426</v>
          </cell>
          <cell r="M1773">
            <v>488.39889999999997</v>
          </cell>
          <cell r="N1773" t="str">
            <v>Si Compra</v>
          </cell>
          <cell r="O1773">
            <v>10</v>
          </cell>
          <cell r="P1773">
            <v>0</v>
          </cell>
          <cell r="Q1773">
            <v>0</v>
          </cell>
          <cell r="R1773">
            <v>0</v>
          </cell>
          <cell r="T1773"/>
          <cell r="U1773"/>
          <cell r="V1773">
            <v>0</v>
          </cell>
          <cell r="W1773">
            <v>2.9586647669140569E-5</v>
          </cell>
          <cell r="X1773">
            <v>0</v>
          </cell>
          <cell r="Y1773" t="str">
            <v>Conquistar</v>
          </cell>
        </row>
        <row r="1774">
          <cell r="A1774" t="str">
            <v>B278</v>
          </cell>
          <cell r="B1774" t="str">
            <v>B278 - FARMALEAL, C.A.</v>
          </cell>
          <cell r="C1774" t="str">
            <v>INDEPENDIENTE</v>
          </cell>
          <cell r="D1774">
            <v>3</v>
          </cell>
          <cell r="E1774"/>
          <cell r="F1774" t="str">
            <v>ANDES</v>
          </cell>
          <cell r="G1774" t="str">
            <v>JESUS CONTRERAS</v>
          </cell>
          <cell r="H1774"/>
          <cell r="I1774" t="str">
            <v>G2</v>
          </cell>
          <cell r="J1774" t="str">
            <v>Activo</v>
          </cell>
          <cell r="K1774">
            <v>7728.2507133272293</v>
          </cell>
          <cell r="L1774">
            <v>858.69452370302542</v>
          </cell>
          <cell r="M1774">
            <v>375.32436666666672</v>
          </cell>
          <cell r="N1774" t="str">
            <v>Si Compra</v>
          </cell>
          <cell r="O1774">
            <v>9</v>
          </cell>
          <cell r="P1774">
            <v>18992.021361231524</v>
          </cell>
          <cell r="Q1774">
            <v>2110.2245956923916</v>
          </cell>
          <cell r="R1774">
            <v>2379.2684000000004</v>
          </cell>
          <cell r="T1774"/>
          <cell r="U1774"/>
          <cell r="V1774">
            <v>0.40692091517456547</v>
          </cell>
          <cell r="W1774">
            <v>3.2788275702460209E-5</v>
          </cell>
          <cell r="X1774">
            <v>9</v>
          </cell>
          <cell r="Y1774" t="str">
            <v>Potenciar</v>
          </cell>
        </row>
        <row r="1775">
          <cell r="A1775" t="str">
            <v>C870</v>
          </cell>
          <cell r="B1775" t="str">
            <v>C870 - FARMACITY 07, C.A</v>
          </cell>
          <cell r="C1775" t="str">
            <v>INDEPENDIENTE</v>
          </cell>
          <cell r="D1775">
            <v>3</v>
          </cell>
          <cell r="E1775"/>
          <cell r="F1775" t="str">
            <v>CARACAS</v>
          </cell>
          <cell r="G1775" t="str">
            <v>WILLIAM ARAQUE</v>
          </cell>
          <cell r="H1775"/>
          <cell r="I1775" t="str">
            <v>C8</v>
          </cell>
          <cell r="J1775" t="str">
            <v>Inactivo</v>
          </cell>
          <cell r="K1775">
            <v>7684.6891999999998</v>
          </cell>
          <cell r="L1775">
            <v>768.46892000000003</v>
          </cell>
          <cell r="M1775">
            <v>1167.2163</v>
          </cell>
          <cell r="N1775" t="str">
            <v>Si Compra</v>
          </cell>
          <cell r="O1775">
            <v>10</v>
          </cell>
          <cell r="P1775">
            <v>41163.265699999996</v>
          </cell>
          <cell r="Q1775">
            <v>4116.3265699999993</v>
          </cell>
          <cell r="R1775">
            <v>3182.8334333333332</v>
          </cell>
          <cell r="T1775"/>
          <cell r="U1775"/>
          <cell r="V1775">
            <v>0.1866880352984239</v>
          </cell>
          <cell r="W1775">
            <v>2.9343113438145084E-5</v>
          </cell>
          <cell r="X1775">
            <v>10</v>
          </cell>
          <cell r="Y1775" t="str">
            <v>Conquistar</v>
          </cell>
        </row>
        <row r="1776">
          <cell r="A1776" t="str">
            <v>0412</v>
          </cell>
          <cell r="B1776" t="str">
            <v>0412 - FARMACIA FLEMING, C.A.</v>
          </cell>
          <cell r="C1776" t="str">
            <v>INDEPENDIENTE</v>
          </cell>
          <cell r="D1776">
            <v>0</v>
          </cell>
          <cell r="E1776"/>
          <cell r="F1776" t="str">
            <v>CENTRO ESTE</v>
          </cell>
          <cell r="G1776" t="str">
            <v>ELIANA PERAZA</v>
          </cell>
          <cell r="H1776"/>
          <cell r="I1776" t="str">
            <v>M</v>
          </cell>
          <cell r="J1776" t="str">
            <v>Suspendido</v>
          </cell>
          <cell r="K1776">
            <v>7684.5624536434025</v>
          </cell>
          <cell r="L1776">
            <v>1536.9124907286805</v>
          </cell>
          <cell r="M1776">
            <v>0</v>
          </cell>
          <cell r="N1776" t="str">
            <v>No Compra</v>
          </cell>
          <cell r="O1776">
            <v>5</v>
          </cell>
          <cell r="P1776">
            <v>10089.662916760679</v>
          </cell>
          <cell r="Q1776">
            <v>2017.9325833521357</v>
          </cell>
          <cell r="R1776">
            <v>0</v>
          </cell>
          <cell r="T1776"/>
          <cell r="U1776"/>
          <cell r="V1776">
            <v>0.76162727308540834</v>
          </cell>
          <cell r="W1776">
            <v>5.8685258943138231E-5</v>
          </cell>
          <cell r="X1776">
            <v>4</v>
          </cell>
          <cell r="Y1776" t="str">
            <v>Proteger</v>
          </cell>
        </row>
        <row r="1777">
          <cell r="A1777" t="str">
            <v>E559</v>
          </cell>
          <cell r="B1777" t="str">
            <v>E559 - FARMACIA ALTERNATIVA FAMILIAR, C.A</v>
          </cell>
          <cell r="C1777" t="e">
            <v>#N/A</v>
          </cell>
          <cell r="D1777">
            <v>3</v>
          </cell>
          <cell r="F1777" t="str">
            <v>MARACAIBO</v>
          </cell>
          <cell r="G1777">
            <v>0</v>
          </cell>
          <cell r="H1777"/>
          <cell r="I1777" t="str">
            <v>D</v>
          </cell>
          <cell r="J1777" t="str">
            <v>Inactivo</v>
          </cell>
          <cell r="K1777">
            <v>7682.6162999999997</v>
          </cell>
          <cell r="L1777">
            <v>2560.8721</v>
          </cell>
          <cell r="M1777">
            <v>2560.8721</v>
          </cell>
          <cell r="N1777" t="str">
            <v>Si Compra</v>
          </cell>
          <cell r="O1777">
            <v>3</v>
          </cell>
          <cell r="P1777">
            <v>0</v>
          </cell>
          <cell r="Q1777">
            <v>0</v>
          </cell>
          <cell r="R1777">
            <v>0</v>
          </cell>
          <cell r="V1777">
            <v>0</v>
          </cell>
          <cell r="W1777">
            <v>9.7783994349284574E-5</v>
          </cell>
          <cell r="X1777">
            <v>0</v>
          </cell>
          <cell r="Y1777" t="str">
            <v>Conquistar</v>
          </cell>
        </row>
        <row r="1778">
          <cell r="A1778" t="str">
            <v>B870</v>
          </cell>
          <cell r="B1778" t="str">
            <v>B870 - FARMASALUD NATHALIA, C.A.</v>
          </cell>
          <cell r="C1778" t="e">
            <v>#N/A</v>
          </cell>
          <cell r="D1778">
            <v>3</v>
          </cell>
          <cell r="E1778"/>
          <cell r="F1778" t="str">
            <v>ANDES</v>
          </cell>
          <cell r="G1778" t="str">
            <v>ANYERSSON TORRES</v>
          </cell>
          <cell r="H1778"/>
          <cell r="I1778" t="str">
            <v>4</v>
          </cell>
          <cell r="J1778" t="str">
            <v>Activo</v>
          </cell>
          <cell r="K1778">
            <v>7677.2909796475797</v>
          </cell>
          <cell r="L1778">
            <v>767.72909796475801</v>
          </cell>
          <cell r="M1778">
            <v>2095.5371822731936</v>
          </cell>
          <cell r="N1778" t="str">
            <v>Si Compra</v>
          </cell>
          <cell r="O1778">
            <v>10</v>
          </cell>
          <cell r="P1778">
            <v>7829.5482529988567</v>
          </cell>
          <cell r="Q1778">
            <v>782.95482529988567</v>
          </cell>
          <cell r="R1778">
            <v>2183.9212207065198</v>
          </cell>
          <cell r="T1778"/>
          <cell r="U1778"/>
          <cell r="V1778">
            <v>0.98055350469384239</v>
          </cell>
          <cell r="W1778">
            <v>2.931486417348498E-5</v>
          </cell>
          <cell r="X1778">
            <v>5</v>
          </cell>
          <cell r="Y1778" t="str">
            <v>Proteger</v>
          </cell>
        </row>
        <row r="1779">
          <cell r="A1779" t="str">
            <v>D232</v>
          </cell>
          <cell r="B1779" t="str">
            <v>D232 - FARMACIA CATA SALUD, C.A</v>
          </cell>
          <cell r="C1779" t="str">
            <v>INDEPENDIENTE</v>
          </cell>
          <cell r="D1779">
            <v>3</v>
          </cell>
          <cell r="E1779"/>
          <cell r="F1779" t="str">
            <v>CENTRO OESTE</v>
          </cell>
          <cell r="G1779" t="str">
            <v>LUIS PLACERES</v>
          </cell>
          <cell r="H1779"/>
          <cell r="I1779" t="str">
            <v>E</v>
          </cell>
          <cell r="J1779" t="str">
            <v>Activo</v>
          </cell>
          <cell r="K1779">
            <v>7675.1690334230643</v>
          </cell>
          <cell r="L1779">
            <v>767.51690334230648</v>
          </cell>
          <cell r="M1779">
            <v>607.56943333333345</v>
          </cell>
          <cell r="N1779" t="str">
            <v>Si Compra</v>
          </cell>
          <cell r="O1779">
            <v>10</v>
          </cell>
          <cell r="P1779">
            <v>10178.465990446646</v>
          </cell>
          <cell r="Q1779">
            <v>1017.8465990446646</v>
          </cell>
          <cell r="R1779">
            <v>865.32980000000009</v>
          </cell>
          <cell r="T1779"/>
          <cell r="U1779"/>
          <cell r="V1779">
            <v>0.75405950568846647</v>
          </cell>
          <cell r="W1779">
            <v>2.9306761762684084E-5</v>
          </cell>
          <cell r="X1779">
            <v>10</v>
          </cell>
          <cell r="Y1779" t="str">
            <v>Proteger</v>
          </cell>
        </row>
        <row r="1780">
          <cell r="A1780" t="str">
            <v>A932</v>
          </cell>
          <cell r="B1780" t="str">
            <v>A932 - FARMAKEI C.A.</v>
          </cell>
          <cell r="C1780" t="str">
            <v>INDEPENDIENTE</v>
          </cell>
          <cell r="D1780">
            <v>3</v>
          </cell>
          <cell r="E1780"/>
          <cell r="F1780" t="str">
            <v>ESTE</v>
          </cell>
          <cell r="G1780" t="str">
            <v>ADOLFO GONZALEZ</v>
          </cell>
          <cell r="H1780"/>
          <cell r="I1780" t="str">
            <v>A8</v>
          </cell>
          <cell r="J1780" t="str">
            <v>Inactivo</v>
          </cell>
          <cell r="K1780">
            <v>7661.0535143320794</v>
          </cell>
          <cell r="L1780">
            <v>766.10535143320794</v>
          </cell>
          <cell r="M1780">
            <v>204.90297087255922</v>
          </cell>
          <cell r="N1780" t="str">
            <v>Si Compra</v>
          </cell>
          <cell r="O1780">
            <v>10</v>
          </cell>
          <cell r="P1780">
            <v>399388.51422613015</v>
          </cell>
          <cell r="Q1780">
            <v>39938.851422613014</v>
          </cell>
          <cell r="R1780">
            <v>53219.797314225762</v>
          </cell>
          <cell r="T1780"/>
          <cell r="U1780"/>
          <cell r="V1780">
            <v>1.9181957521178138E-2</v>
          </cell>
          <cell r="W1780">
            <v>2.9252863255256473E-5</v>
          </cell>
          <cell r="X1780">
            <v>10</v>
          </cell>
          <cell r="Y1780" t="str">
            <v>Conquistar</v>
          </cell>
        </row>
        <row r="1781">
          <cell r="A1781" t="str">
            <v>3277</v>
          </cell>
          <cell r="B1781" t="str">
            <v>3277 - FARMA JUNIOR´S PLUS,C.A</v>
          </cell>
          <cell r="C1781" t="str">
            <v>INDEPENDIENTE</v>
          </cell>
          <cell r="D1781">
            <v>0</v>
          </cell>
          <cell r="E1781"/>
          <cell r="F1781" t="str">
            <v>ANDES</v>
          </cell>
          <cell r="G1781" t="str">
            <v>ZULAY PARRA</v>
          </cell>
          <cell r="H1781"/>
          <cell r="I1781" t="str">
            <v>5</v>
          </cell>
          <cell r="J1781" t="str">
            <v>Bloqueado</v>
          </cell>
          <cell r="K1781">
            <v>7649.0423785111134</v>
          </cell>
          <cell r="L1781">
            <v>3824.5211892555567</v>
          </cell>
          <cell r="M1781">
            <v>0</v>
          </cell>
          <cell r="N1781" t="str">
            <v>No Compra</v>
          </cell>
          <cell r="O1781">
            <v>2</v>
          </cell>
          <cell r="P1781">
            <v>7316.2935931570801</v>
          </cell>
          <cell r="Q1781">
            <v>3658.14679657854</v>
          </cell>
          <cell r="R1781">
            <v>0</v>
          </cell>
          <cell r="T1781"/>
          <cell r="U1781"/>
          <cell r="V1781">
            <v>1.0454805129287392</v>
          </cell>
          <cell r="W1781">
            <v>1.4603500048240771E-4</v>
          </cell>
          <cell r="X1781">
            <v>2</v>
          </cell>
          <cell r="Y1781" t="str">
            <v>Proteger</v>
          </cell>
        </row>
        <row r="1782">
          <cell r="A1782" t="str">
            <v>9129</v>
          </cell>
          <cell r="B1782" t="str">
            <v>9129 - FARMACIA GARMOL C.A</v>
          </cell>
          <cell r="C1782" t="str">
            <v>INDEPENDIENTE</v>
          </cell>
          <cell r="D1782">
            <v>3</v>
          </cell>
          <cell r="E1782"/>
          <cell r="F1782" t="str">
            <v>CENTRO OESTE</v>
          </cell>
          <cell r="G1782" t="str">
            <v>LUIS PLACERES</v>
          </cell>
          <cell r="H1782"/>
          <cell r="I1782" t="str">
            <v>E</v>
          </cell>
          <cell r="J1782" t="str">
            <v>Activo</v>
          </cell>
          <cell r="K1782">
            <v>7606.9160873871797</v>
          </cell>
          <cell r="L1782">
            <v>760.69160873871795</v>
          </cell>
          <cell r="M1782">
            <v>769.74936666666656</v>
          </cell>
          <cell r="N1782" t="str">
            <v>Si Compra</v>
          </cell>
          <cell r="O1782">
            <v>10</v>
          </cell>
          <cell r="P1782">
            <v>9127.9029859423445</v>
          </cell>
          <cell r="Q1782">
            <v>912.7902985942344</v>
          </cell>
          <cell r="R1782">
            <v>772.42299999999989</v>
          </cell>
          <cell r="T1782"/>
          <cell r="U1782"/>
          <cell r="V1782">
            <v>0.83336951533144044</v>
          </cell>
          <cell r="W1782">
            <v>2.9046145635486827E-5</v>
          </cell>
          <cell r="X1782">
            <v>10</v>
          </cell>
          <cell r="Y1782" t="str">
            <v>Proteger</v>
          </cell>
        </row>
        <row r="1783">
          <cell r="A1783" t="str">
            <v>C938</v>
          </cell>
          <cell r="B1783" t="str">
            <v>C938 - FARMACIA EL GUERRERO DE DIOS 2021, C.A.</v>
          </cell>
          <cell r="C1783" t="str">
            <v>INDEPENDIENTE</v>
          </cell>
          <cell r="D1783">
            <v>3</v>
          </cell>
          <cell r="E1783"/>
          <cell r="F1783" t="str">
            <v>CENTRO ESTE</v>
          </cell>
          <cell r="G1783" t="str">
            <v>KARLA SALAZAR</v>
          </cell>
          <cell r="H1783"/>
          <cell r="I1783" t="str">
            <v>H</v>
          </cell>
          <cell r="J1783" t="str">
            <v>Activo</v>
          </cell>
          <cell r="K1783">
            <v>7599.634276410673</v>
          </cell>
          <cell r="L1783">
            <v>844.40380849007477</v>
          </cell>
          <cell r="M1783">
            <v>539.87039213689093</v>
          </cell>
          <cell r="N1783" t="str">
            <v>Si Compra</v>
          </cell>
          <cell r="O1783">
            <v>9</v>
          </cell>
          <cell r="P1783">
            <v>26660.4192</v>
          </cell>
          <cell r="Q1783">
            <v>2962.2687999999998</v>
          </cell>
          <cell r="R1783">
            <v>1311.1122666666668</v>
          </cell>
          <cell r="T1783"/>
          <cell r="U1783"/>
          <cell r="V1783">
            <v>0.28505306759807714</v>
          </cell>
          <cell r="W1783">
            <v>3.2242600963128085E-5</v>
          </cell>
          <cell r="X1783">
            <v>8</v>
          </cell>
          <cell r="Y1783" t="str">
            <v>Potenciar</v>
          </cell>
        </row>
        <row r="1784">
          <cell r="A1784" t="str">
            <v>E354</v>
          </cell>
          <cell r="B1784" t="str">
            <v>E354 - IMT FARMA, C.A</v>
          </cell>
          <cell r="C1784" t="e">
            <v>#N/A</v>
          </cell>
          <cell r="D1784">
            <v>3</v>
          </cell>
          <cell r="F1784" t="str">
            <v>CARACAS</v>
          </cell>
          <cell r="G1784">
            <v>0</v>
          </cell>
          <cell r="H1784"/>
          <cell r="I1784" t="str">
            <v>CB</v>
          </cell>
          <cell r="J1784" t="str">
            <v>Activo</v>
          </cell>
          <cell r="K1784">
            <v>7572.5152836067118</v>
          </cell>
          <cell r="L1784">
            <v>1262.0858806011186</v>
          </cell>
          <cell r="M1784">
            <v>281.77121579044092</v>
          </cell>
          <cell r="N1784" t="str">
            <v>Si Compra</v>
          </cell>
          <cell r="O1784">
            <v>6</v>
          </cell>
          <cell r="P1784">
            <v>0</v>
          </cell>
          <cell r="Q1784">
            <v>0</v>
          </cell>
          <cell r="R1784">
            <v>0</v>
          </cell>
          <cell r="V1784">
            <v>0</v>
          </cell>
          <cell r="W1784">
            <v>4.819131678501696E-5</v>
          </cell>
          <cell r="X1784">
            <v>0</v>
          </cell>
          <cell r="Y1784" t="str">
            <v>Conquistar</v>
          </cell>
        </row>
        <row r="1785">
          <cell r="A1785" t="str">
            <v>B038</v>
          </cell>
          <cell r="B1785" t="str">
            <v>B038 - DAY PHARMA, C.A.</v>
          </cell>
          <cell r="C1785" t="str">
            <v>INDEPENDIENTE</v>
          </cell>
          <cell r="D1785">
            <v>2</v>
          </cell>
          <cell r="E1785"/>
          <cell r="F1785" t="str">
            <v>ESTE</v>
          </cell>
          <cell r="G1785" t="str">
            <v>ALEXMAR CASTILLO</v>
          </cell>
          <cell r="H1785"/>
          <cell r="I1785" t="str">
            <v>A1</v>
          </cell>
          <cell r="J1785" t="str">
            <v>Inactivo</v>
          </cell>
          <cell r="K1785">
            <v>7566.0739235806404</v>
          </cell>
          <cell r="L1785">
            <v>1080.8677033686629</v>
          </cell>
          <cell r="M1785">
            <v>520.09731179032019</v>
          </cell>
          <cell r="N1785" t="str">
            <v>Si Compra</v>
          </cell>
          <cell r="O1785">
            <v>7</v>
          </cell>
          <cell r="P1785">
            <v>19378.959011786101</v>
          </cell>
          <cell r="Q1785">
            <v>2768.4227159694428</v>
          </cell>
          <cell r="R1785">
            <v>831.91415589304938</v>
          </cell>
          <cell r="T1785"/>
          <cell r="U1785"/>
          <cell r="V1785">
            <v>0.39042726283589463</v>
          </cell>
          <cell r="W1785">
            <v>4.1271706384135909E-5</v>
          </cell>
          <cell r="X1785">
            <v>7</v>
          </cell>
          <cell r="Y1785" t="str">
            <v>Potenciar</v>
          </cell>
        </row>
        <row r="1786">
          <cell r="A1786" t="str">
            <v>D423</v>
          </cell>
          <cell r="B1786" t="str">
            <v>D423 - FARMACIA PIRINEOS, C.A.</v>
          </cell>
          <cell r="C1786" t="str">
            <v>INDEPENDIENTE</v>
          </cell>
          <cell r="D1786">
            <v>3</v>
          </cell>
          <cell r="E1786"/>
          <cell r="F1786" t="str">
            <v>ANDES</v>
          </cell>
          <cell r="G1786" t="str">
            <v>ANYERSSON TORRES</v>
          </cell>
          <cell r="H1786"/>
          <cell r="I1786" t="str">
            <v>4</v>
          </cell>
          <cell r="J1786" t="str">
            <v>Activo</v>
          </cell>
          <cell r="K1786">
            <v>7565.5681999999997</v>
          </cell>
          <cell r="L1786">
            <v>756.55682000000002</v>
          </cell>
          <cell r="M1786">
            <v>858.63316666666663</v>
          </cell>
          <cell r="N1786" t="str">
            <v>Si Compra</v>
          </cell>
          <cell r="O1786">
            <v>10</v>
          </cell>
          <cell r="P1786">
            <v>14248.106</v>
          </cell>
          <cell r="Q1786">
            <v>1424.8106</v>
          </cell>
          <cell r="R1786">
            <v>1247.3622</v>
          </cell>
          <cell r="T1786"/>
          <cell r="U1786"/>
          <cell r="V1786">
            <v>0.53098764144511557</v>
          </cell>
          <cell r="W1786">
            <v>2.8888263420806024E-5</v>
          </cell>
          <cell r="X1786">
            <v>10</v>
          </cell>
          <cell r="Y1786" t="str">
            <v>Potenciar</v>
          </cell>
        </row>
        <row r="1787">
          <cell r="A1787" t="str">
            <v>B774</v>
          </cell>
          <cell r="B1787" t="str">
            <v>B774 - FARMACIA HERMANOS R., C.A</v>
          </cell>
          <cell r="C1787" t="str">
            <v>INDEPENDIENTE</v>
          </cell>
          <cell r="D1787">
            <v>3</v>
          </cell>
          <cell r="E1787"/>
          <cell r="F1787" t="str">
            <v>CENTRO OESTE</v>
          </cell>
          <cell r="G1787" t="str">
            <v>YAMILEX LAMEDA</v>
          </cell>
          <cell r="H1787"/>
          <cell r="I1787" t="str">
            <v>Y1</v>
          </cell>
          <cell r="J1787" t="str">
            <v>Activo</v>
          </cell>
          <cell r="K1787">
            <v>7535.522899999999</v>
          </cell>
          <cell r="L1787">
            <v>753.55228999999986</v>
          </cell>
          <cell r="M1787">
            <v>714.36203333333333</v>
          </cell>
          <cell r="N1787" t="str">
            <v>Si Compra</v>
          </cell>
          <cell r="O1787">
            <v>10</v>
          </cell>
          <cell r="P1787">
            <v>7153.6005999999988</v>
          </cell>
          <cell r="Q1787">
            <v>715.36005999999986</v>
          </cell>
          <cell r="R1787">
            <v>599.51003333333324</v>
          </cell>
          <cell r="T1787"/>
          <cell r="U1787"/>
          <cell r="V1787">
            <v>1.0533888207289628</v>
          </cell>
          <cell r="W1787">
            <v>2.8773538853131492E-5</v>
          </cell>
          <cell r="X1787">
            <v>10</v>
          </cell>
          <cell r="Y1787" t="str">
            <v>Proteger</v>
          </cell>
        </row>
        <row r="1788">
          <cell r="A1788" t="str">
            <v>B280</v>
          </cell>
          <cell r="B1788" t="str">
            <v>B280 - FARMACIA MEDICAL DEL ESTE, C.A.</v>
          </cell>
          <cell r="C1788" t="str">
            <v>INDEPENDIENTE</v>
          </cell>
          <cell r="D1788">
            <v>2</v>
          </cell>
          <cell r="E1788"/>
          <cell r="F1788" t="str">
            <v>CENTRO OESTE</v>
          </cell>
          <cell r="G1788" t="str">
            <v>JOSE LUIS GARCIA</v>
          </cell>
          <cell r="H1788"/>
          <cell r="I1788" t="str">
            <v>Y</v>
          </cell>
          <cell r="J1788" t="str">
            <v>Inactivo</v>
          </cell>
          <cell r="K1788">
            <v>7505.3165169974764</v>
          </cell>
          <cell r="L1788">
            <v>833.92405744416408</v>
          </cell>
          <cell r="M1788">
            <v>822.20915000000002</v>
          </cell>
          <cell r="N1788" t="str">
            <v>Si Compra</v>
          </cell>
          <cell r="O1788">
            <v>9</v>
          </cell>
          <cell r="P1788">
            <v>16706.488756425479</v>
          </cell>
          <cell r="Q1788">
            <v>1856.2765284917198</v>
          </cell>
          <cell r="R1788">
            <v>1365.3051</v>
          </cell>
          <cell r="T1788"/>
          <cell r="U1788"/>
          <cell r="V1788">
            <v>0.4492455971103359</v>
          </cell>
          <cell r="W1788">
            <v>3.1842443564773349E-5</v>
          </cell>
          <cell r="X1788">
            <v>9</v>
          </cell>
          <cell r="Y1788" t="str">
            <v>Potenciar</v>
          </cell>
        </row>
        <row r="1789">
          <cell r="A1789" t="str">
            <v>A672</v>
          </cell>
          <cell r="B1789" t="str">
            <v>A672 - INVERSIONES FACIFARMA 2021, C.A.</v>
          </cell>
          <cell r="C1789" t="str">
            <v>INDEPENDIENTE</v>
          </cell>
          <cell r="D1789">
            <v>2</v>
          </cell>
          <cell r="E1789"/>
          <cell r="F1789" t="str">
            <v>CENTRO ESTE</v>
          </cell>
          <cell r="G1789" t="str">
            <v>LAURA FLORES</v>
          </cell>
          <cell r="H1789"/>
          <cell r="I1789" t="str">
            <v>+</v>
          </cell>
          <cell r="J1789" t="str">
            <v>Activo</v>
          </cell>
          <cell r="K1789">
            <v>7467.1250906870882</v>
          </cell>
          <cell r="L1789">
            <v>1493.4250181374177</v>
          </cell>
          <cell r="M1789">
            <v>206.43129999999999</v>
          </cell>
          <cell r="N1789" t="str">
            <v>Si Compra</v>
          </cell>
          <cell r="O1789">
            <v>4</v>
          </cell>
          <cell r="P1789">
            <v>40236.632467476156</v>
          </cell>
          <cell r="Q1789">
            <v>8047.3264934952313</v>
          </cell>
          <cell r="R1789">
            <v>11882.6685</v>
          </cell>
          <cell r="T1789"/>
          <cell r="U1789"/>
          <cell r="V1789">
            <v>0.18558026934095123</v>
          </cell>
          <cell r="W1789">
            <v>5.7024739163908054E-5</v>
          </cell>
          <cell r="X1789">
            <v>5</v>
          </cell>
          <cell r="Y1789" t="str">
            <v>Conquistar</v>
          </cell>
        </row>
        <row r="1790">
          <cell r="A1790" t="str">
            <v>7262</v>
          </cell>
          <cell r="B1790" t="str">
            <v>7262 - FARMACIA EL BRILLANTE, C.A.</v>
          </cell>
          <cell r="C1790" t="str">
            <v>INDEPENDIENTE</v>
          </cell>
          <cell r="D1790">
            <v>3</v>
          </cell>
          <cell r="E1790"/>
          <cell r="F1790" t="str">
            <v>CARACAS</v>
          </cell>
          <cell r="G1790" t="str">
            <v>MAIRE ACOSTA FERNANDEZ</v>
          </cell>
          <cell r="H1790"/>
          <cell r="I1790" t="str">
            <v>C9</v>
          </cell>
          <cell r="J1790" t="str">
            <v>Inactivo</v>
          </cell>
          <cell r="K1790">
            <v>7446.4402837921061</v>
          </cell>
          <cell r="L1790">
            <v>744.64402837921057</v>
          </cell>
          <cell r="M1790">
            <v>861.34006909675043</v>
          </cell>
          <cell r="N1790" t="str">
            <v>Si Compra</v>
          </cell>
          <cell r="O1790">
            <v>10</v>
          </cell>
          <cell r="P1790">
            <v>8809.4083551773492</v>
          </cell>
          <cell r="Q1790">
            <v>880.94083551773497</v>
          </cell>
          <cell r="R1790">
            <v>719.53035004449055</v>
          </cell>
          <cell r="T1790"/>
          <cell r="U1790"/>
          <cell r="V1790">
            <v>0.84528267774257304</v>
          </cell>
          <cell r="W1790">
            <v>2.8433386994712165E-5</v>
          </cell>
          <cell r="X1790">
            <v>10</v>
          </cell>
          <cell r="Y1790" t="str">
            <v>Proteger</v>
          </cell>
        </row>
        <row r="1791">
          <cell r="A1791" t="str">
            <v>D306</v>
          </cell>
          <cell r="B1791" t="str">
            <v>D306 - FARMACIA FARMA EXPRESS 286, C.A</v>
          </cell>
          <cell r="C1791" t="str">
            <v>INDEPENDIENTE</v>
          </cell>
          <cell r="D1791">
            <v>0</v>
          </cell>
          <cell r="E1791"/>
          <cell r="F1791" t="str">
            <v>ESTE</v>
          </cell>
          <cell r="G1791" t="str">
            <v>JOSE RAMIREZ</v>
          </cell>
          <cell r="H1791"/>
          <cell r="I1791" t="str">
            <v>A2</v>
          </cell>
          <cell r="J1791" t="str">
            <v>Bloqueado</v>
          </cell>
          <cell r="K1791">
            <v>7441.7447574882544</v>
          </cell>
          <cell r="L1791">
            <v>2480.5815858294181</v>
          </cell>
          <cell r="M1791">
            <v>0</v>
          </cell>
          <cell r="N1791" t="str">
            <v>No Compra</v>
          </cell>
          <cell r="O1791">
            <v>3</v>
          </cell>
          <cell r="P1791">
            <v>9471.314798873831</v>
          </cell>
          <cell r="Q1791">
            <v>3157.1049329579437</v>
          </cell>
          <cell r="R1791">
            <v>0</v>
          </cell>
          <cell r="T1791"/>
          <cell r="U1791"/>
          <cell r="V1791">
            <v>0.78571401283938969</v>
          </cell>
          <cell r="W1791">
            <v>9.4718192201665672E-5</v>
          </cell>
          <cell r="X1791">
            <v>3</v>
          </cell>
          <cell r="Y1791" t="str">
            <v>Proteger</v>
          </cell>
        </row>
        <row r="1792">
          <cell r="A1792" t="str">
            <v>S24</v>
          </cell>
          <cell r="B1792" t="str">
            <v>S24 - FARMACIA CONCORDIA, C.A</v>
          </cell>
          <cell r="C1792" t="e">
            <v>#N/A</v>
          </cell>
          <cell r="D1792">
            <v>3</v>
          </cell>
          <cell r="F1792" t="str">
            <v>MARACAIBO</v>
          </cell>
          <cell r="G1792">
            <v>0</v>
          </cell>
          <cell r="H1792"/>
          <cell r="I1792" t="str">
            <v>S1</v>
          </cell>
          <cell r="J1792" t="str">
            <v>Activo</v>
          </cell>
          <cell r="K1792">
            <v>7432.8496999999998</v>
          </cell>
          <cell r="L1792">
            <v>1238.8082833333333</v>
          </cell>
          <cell r="M1792">
            <v>1384.3161</v>
          </cell>
          <cell r="N1792" t="str">
            <v>Si Compra</v>
          </cell>
          <cell r="O1792">
            <v>6</v>
          </cell>
          <cell r="P1792">
            <v>0</v>
          </cell>
          <cell r="Q1792">
            <v>0</v>
          </cell>
          <cell r="R1792">
            <v>0</v>
          </cell>
          <cell r="V1792">
            <v>0</v>
          </cell>
          <cell r="W1792">
            <v>4.7302488155231802E-5</v>
          </cell>
          <cell r="X1792">
            <v>0</v>
          </cell>
          <cell r="Y1792" t="str">
            <v>Conquistar</v>
          </cell>
        </row>
        <row r="1793">
          <cell r="A1793" t="str">
            <v>7090</v>
          </cell>
          <cell r="B1793" t="str">
            <v>7090 - FARMACIA PUNTO BLANCO,C.A</v>
          </cell>
          <cell r="C1793" t="str">
            <v>INDEPENDIENTE</v>
          </cell>
          <cell r="D1793">
            <v>3</v>
          </cell>
          <cell r="E1793"/>
          <cell r="F1793" t="str">
            <v>CENTRO ESTE</v>
          </cell>
          <cell r="G1793" t="str">
            <v>LAURA FLORES</v>
          </cell>
          <cell r="H1793"/>
          <cell r="I1793" t="str">
            <v>-</v>
          </cell>
          <cell r="J1793" t="str">
            <v>Activo</v>
          </cell>
          <cell r="K1793">
            <v>7420.4178482512198</v>
          </cell>
          <cell r="L1793">
            <v>742.04178482512202</v>
          </cell>
          <cell r="M1793">
            <v>813.7788932688328</v>
          </cell>
          <cell r="N1793" t="str">
            <v>Si Compra</v>
          </cell>
          <cell r="O1793">
            <v>10</v>
          </cell>
          <cell r="P1793">
            <v>7525.6585233136102</v>
          </cell>
          <cell r="Q1793">
            <v>752.56585233136104</v>
          </cell>
          <cell r="R1793">
            <v>810.17616459988449</v>
          </cell>
          <cell r="T1793"/>
          <cell r="U1793"/>
          <cell r="V1793">
            <v>0.98601575201208413</v>
          </cell>
          <cell r="W1793">
            <v>2.8334023278348331E-5</v>
          </cell>
          <cell r="X1793">
            <v>10</v>
          </cell>
          <cell r="Y1793" t="str">
            <v>Proteger</v>
          </cell>
        </row>
        <row r="1794">
          <cell r="A1794" t="str">
            <v>B961</v>
          </cell>
          <cell r="B1794" t="str">
            <v>B961 - FRANCY MARCELY QUIROZ GUERRERO (FARMACIA SUCRE)</v>
          </cell>
          <cell r="C1794" t="str">
            <v>INDEPENDIENTE</v>
          </cell>
          <cell r="D1794">
            <v>3</v>
          </cell>
          <cell r="E1794"/>
          <cell r="F1794" t="str">
            <v>ANDES</v>
          </cell>
          <cell r="G1794" t="str">
            <v>JESUS CONTRERAS</v>
          </cell>
          <cell r="H1794"/>
          <cell r="I1794" t="str">
            <v>G2</v>
          </cell>
          <cell r="J1794" t="str">
            <v>Inactivo</v>
          </cell>
          <cell r="K1794">
            <v>7382.4715000000006</v>
          </cell>
          <cell r="L1794">
            <v>922.80893750000007</v>
          </cell>
          <cell r="M1794">
            <v>225.71453333333338</v>
          </cell>
          <cell r="N1794" t="str">
            <v>Si Compra</v>
          </cell>
          <cell r="O1794">
            <v>8</v>
          </cell>
          <cell r="P1794">
            <v>16299.452200000002</v>
          </cell>
          <cell r="Q1794">
            <v>2037.4315250000002</v>
          </cell>
          <cell r="R1794">
            <v>132.60653333333332</v>
          </cell>
          <cell r="T1794"/>
          <cell r="U1794"/>
          <cell r="V1794">
            <v>0.45292758366443747</v>
          </cell>
          <cell r="W1794">
            <v>3.5236411818446267E-5</v>
          </cell>
          <cell r="X1794">
            <v>6</v>
          </cell>
          <cell r="Y1794" t="str">
            <v>Potenciar</v>
          </cell>
        </row>
        <row r="1795">
          <cell r="A1795" t="str">
            <v>E674</v>
          </cell>
          <cell r="B1795" t="str">
            <v>E674 - COSMO´S LH C.A.</v>
          </cell>
          <cell r="C1795" t="e">
            <v>#N/A</v>
          </cell>
          <cell r="D1795">
            <v>2</v>
          </cell>
          <cell r="F1795" t="str">
            <v>CENTRO ESTE</v>
          </cell>
          <cell r="G1795">
            <v>0</v>
          </cell>
          <cell r="H1795"/>
          <cell r="I1795" t="str">
            <v>AV</v>
          </cell>
          <cell r="J1795" t="str">
            <v>Inactivo</v>
          </cell>
          <cell r="K1795">
            <v>7352.3724000000002</v>
          </cell>
          <cell r="L1795">
            <v>3676.1862000000001</v>
          </cell>
          <cell r="M1795">
            <v>3676.1862000000001</v>
          </cell>
          <cell r="N1795" t="str">
            <v>Si Compra</v>
          </cell>
          <cell r="O1795">
            <v>2</v>
          </cell>
          <cell r="P1795">
            <v>0</v>
          </cell>
          <cell r="Q1795">
            <v>0</v>
          </cell>
          <cell r="R1795">
            <v>0</v>
          </cell>
          <cell r="V1795">
            <v>0</v>
          </cell>
          <cell r="W1795">
            <v>1.4037099728944603E-4</v>
          </cell>
          <cell r="X1795">
            <v>0</v>
          </cell>
          <cell r="Y1795" t="str">
            <v>Conquistar</v>
          </cell>
        </row>
        <row r="1796">
          <cell r="A1796" t="str">
            <v>3032</v>
          </cell>
          <cell r="B1796" t="str">
            <v>3032 - FARMACIA MAGNIFICA SALUD C.A.</v>
          </cell>
          <cell r="C1796" t="str">
            <v>INDEPENDIENTE</v>
          </cell>
          <cell r="D1796">
            <v>3</v>
          </cell>
          <cell r="E1796"/>
          <cell r="F1796" t="str">
            <v>CARACAS</v>
          </cell>
          <cell r="G1796" t="str">
            <v>RAMON SERRANO</v>
          </cell>
          <cell r="H1796"/>
          <cell r="I1796" t="str">
            <v>CB</v>
          </cell>
          <cell r="J1796" t="str">
            <v>Activo</v>
          </cell>
          <cell r="K1796">
            <v>7288.7079921791519</v>
          </cell>
          <cell r="L1796">
            <v>911.08849902239399</v>
          </cell>
          <cell r="M1796">
            <v>1645.9502812093697</v>
          </cell>
          <cell r="N1796" t="str">
            <v>Si Compra</v>
          </cell>
          <cell r="O1796">
            <v>8</v>
          </cell>
          <cell r="P1796">
            <v>21230.735217892987</v>
          </cell>
          <cell r="Q1796">
            <v>3538.4558696488311</v>
          </cell>
          <cell r="R1796">
            <v>0</v>
          </cell>
          <cell r="T1796"/>
          <cell r="U1796"/>
          <cell r="V1796">
            <v>0.25748194483284981</v>
          </cell>
          <cell r="W1796">
            <v>3.4788880178789072E-5</v>
          </cell>
          <cell r="X1796">
            <v>5</v>
          </cell>
          <cell r="Y1796" t="str">
            <v>Potenciar</v>
          </cell>
        </row>
        <row r="1797">
          <cell r="A1797" t="str">
            <v>D237</v>
          </cell>
          <cell r="B1797" t="str">
            <v>D237 - FARMACIA EL SOL DE TACARIGUA, CA</v>
          </cell>
          <cell r="C1797" t="str">
            <v>INDEPENDIENTE</v>
          </cell>
          <cell r="D1797">
            <v>2</v>
          </cell>
          <cell r="E1797"/>
          <cell r="F1797" t="str">
            <v>CARACAS</v>
          </cell>
          <cell r="G1797" t="str">
            <v>MAIRUBI QUIJADA</v>
          </cell>
          <cell r="H1797"/>
          <cell r="I1797" t="str">
            <v>C7</v>
          </cell>
          <cell r="J1797" t="str">
            <v>Suspendido</v>
          </cell>
          <cell r="K1797">
            <v>7280.5540000000001</v>
          </cell>
          <cell r="L1797">
            <v>1040.0791428571429</v>
          </cell>
          <cell r="M1797">
            <v>749.56454999999994</v>
          </cell>
          <cell r="N1797" t="str">
            <v>Si Compra</v>
          </cell>
          <cell r="O1797">
            <v>7</v>
          </cell>
          <cell r="P1797">
            <v>7748.4801000000007</v>
          </cell>
          <cell r="Q1797">
            <v>1106.9257285714286</v>
          </cell>
          <cell r="R1797">
            <v>433.07294999999999</v>
          </cell>
          <cell r="T1797"/>
          <cell r="U1797"/>
          <cell r="V1797">
            <v>0.93961059537340741</v>
          </cell>
          <cell r="W1797">
            <v>3.971424149919537E-5</v>
          </cell>
          <cell r="X1797">
            <v>7</v>
          </cell>
          <cell r="Y1797" t="str">
            <v>Proteger</v>
          </cell>
        </row>
        <row r="1798">
          <cell r="A1798" t="str">
            <v>C797</v>
          </cell>
          <cell r="B1798" t="str">
            <v>C797 - FARMACIA LAS TRINITARIAS MERIDA DE MARIA YELITZA MOLINA CONTRERAS</v>
          </cell>
          <cell r="C1798" t="str">
            <v>INDEPENDIENTE</v>
          </cell>
          <cell r="D1798">
            <v>3</v>
          </cell>
          <cell r="E1798"/>
          <cell r="F1798" t="str">
            <v>ANDES</v>
          </cell>
          <cell r="G1798" t="str">
            <v>LUCIA DUGARTE</v>
          </cell>
          <cell r="H1798"/>
          <cell r="I1798" t="str">
            <v>6</v>
          </cell>
          <cell r="J1798" t="str">
            <v>Activo</v>
          </cell>
          <cell r="K1798">
            <v>7267.5888051835445</v>
          </cell>
          <cell r="L1798">
            <v>726.75888051835443</v>
          </cell>
          <cell r="M1798">
            <v>729.01935994774794</v>
          </cell>
          <cell r="N1798" t="str">
            <v>Si Compra</v>
          </cell>
          <cell r="O1798">
            <v>10</v>
          </cell>
          <cell r="P1798">
            <v>13268.603668137317</v>
          </cell>
          <cell r="Q1798">
            <v>1326.8603668137316</v>
          </cell>
          <cell r="R1798">
            <v>1074.7647284690472</v>
          </cell>
          <cell r="T1798"/>
          <cell r="U1798"/>
          <cell r="V1798">
            <v>0.54772823026100592</v>
          </cell>
          <cell r="W1798">
            <v>2.7750462924680679E-5</v>
          </cell>
          <cell r="X1798">
            <v>10</v>
          </cell>
          <cell r="Y1798" t="str">
            <v>Potenciar</v>
          </cell>
        </row>
        <row r="1799">
          <cell r="A1799" t="str">
            <v>E613</v>
          </cell>
          <cell r="B1799" t="str">
            <v>E613 - FARMACIA HERMELINDA LEA, C.A</v>
          </cell>
          <cell r="C1799" t="e">
            <v>#N/A</v>
          </cell>
          <cell r="D1799">
            <v>2</v>
          </cell>
          <cell r="F1799" t="str">
            <v>CENTRO ESTE</v>
          </cell>
          <cell r="G1799">
            <v>0</v>
          </cell>
          <cell r="H1799"/>
          <cell r="I1799" t="str">
            <v>I</v>
          </cell>
          <cell r="J1799" t="str">
            <v>Activo</v>
          </cell>
          <cell r="K1799">
            <v>7249.7371802577563</v>
          </cell>
          <cell r="L1799">
            <v>3624.8685901288782</v>
          </cell>
          <cell r="M1799">
            <v>3624.8685901288782</v>
          </cell>
          <cell r="N1799" t="str">
            <v>Si Compra</v>
          </cell>
          <cell r="O1799">
            <v>2</v>
          </cell>
          <cell r="P1799">
            <v>0</v>
          </cell>
          <cell r="Q1799">
            <v>0</v>
          </cell>
          <cell r="R1799">
            <v>0</v>
          </cell>
          <cell r="V1799">
            <v>0</v>
          </cell>
          <cell r="W1799">
            <v>1.3841149260599987E-4</v>
          </cell>
          <cell r="X1799">
            <v>0</v>
          </cell>
          <cell r="Y1799" t="str">
            <v>Conquistar</v>
          </cell>
        </row>
        <row r="1800">
          <cell r="A1800" t="str">
            <v>D920</v>
          </cell>
          <cell r="B1800" t="str">
            <v>D920 - FARMACIA LA GALENICA AMF C.A.</v>
          </cell>
          <cell r="C1800" t="str">
            <v>INDEPENDIENTE</v>
          </cell>
          <cell r="D1800">
            <v>3</v>
          </cell>
          <cell r="E1800"/>
          <cell r="F1800" t="str">
            <v>ESTE</v>
          </cell>
          <cell r="G1800">
            <v>0</v>
          </cell>
          <cell r="H1800"/>
          <cell r="I1800" t="str">
            <v>A7</v>
          </cell>
          <cell r="J1800" t="str">
            <v>Activo</v>
          </cell>
          <cell r="K1800">
            <v>7246.8921676833806</v>
          </cell>
          <cell r="L1800">
            <v>724.68921676833804</v>
          </cell>
          <cell r="M1800">
            <v>831.91886666666676</v>
          </cell>
          <cell r="N1800" t="str">
            <v>Si Compra</v>
          </cell>
          <cell r="O1800">
            <v>10</v>
          </cell>
          <cell r="P1800">
            <v>0</v>
          </cell>
          <cell r="Q1800">
            <v>0</v>
          </cell>
          <cell r="R1800">
            <v>0</v>
          </cell>
          <cell r="T1800"/>
          <cell r="U1800"/>
          <cell r="V1800">
            <v>0</v>
          </cell>
          <cell r="W1800">
            <v>2.7671435163615798E-5</v>
          </cell>
          <cell r="X1800">
            <v>0</v>
          </cell>
          <cell r="Y1800" t="str">
            <v>Conquistar</v>
          </cell>
        </row>
        <row r="1801">
          <cell r="A1801" t="str">
            <v>E576</v>
          </cell>
          <cell r="B1801" t="str">
            <v>E576 - FARMACIA VIRGEN LA CARIDAD DEL COBRE, C.A</v>
          </cell>
          <cell r="C1801" t="e">
            <v>#N/A</v>
          </cell>
          <cell r="D1801">
            <v>3</v>
          </cell>
          <cell r="F1801" t="str">
            <v>CENTRO ESTE</v>
          </cell>
          <cell r="G1801">
            <v>0</v>
          </cell>
          <cell r="H1801"/>
          <cell r="I1801" t="str">
            <v>-</v>
          </cell>
          <cell r="J1801" t="str">
            <v>Activo</v>
          </cell>
          <cell r="K1801">
            <v>7212.8308568456705</v>
          </cell>
          <cell r="L1801">
            <v>2404.2769522818903</v>
          </cell>
          <cell r="M1801">
            <v>2404.2769522818903</v>
          </cell>
          <cell r="N1801" t="str">
            <v>Si Compra</v>
          </cell>
          <cell r="O1801">
            <v>3</v>
          </cell>
          <cell r="P1801">
            <v>0</v>
          </cell>
          <cell r="Q1801">
            <v>0</v>
          </cell>
          <cell r="R1801">
            <v>0</v>
          </cell>
          <cell r="V1801">
            <v>0</v>
          </cell>
          <cell r="W1801">
            <v>9.1804586381353254E-5</v>
          </cell>
          <cell r="X1801">
            <v>0</v>
          </cell>
          <cell r="Y1801" t="str">
            <v>Conquistar</v>
          </cell>
        </row>
        <row r="1802">
          <cell r="A1802" t="str">
            <v>8658</v>
          </cell>
          <cell r="B1802" t="str">
            <v>8658 - FARMACIA PLAZA AHORRO,C.A</v>
          </cell>
          <cell r="C1802" t="str">
            <v>INDEPENDIENTE</v>
          </cell>
          <cell r="D1802">
            <v>3</v>
          </cell>
          <cell r="E1802"/>
          <cell r="F1802" t="str">
            <v>CENTRO ESTE</v>
          </cell>
          <cell r="G1802" t="str">
            <v>WILLIBETTI GONZALEZ</v>
          </cell>
          <cell r="H1802"/>
          <cell r="I1802" t="str">
            <v>AF</v>
          </cell>
          <cell r="J1802" t="str">
            <v>Activo</v>
          </cell>
          <cell r="K1802">
            <v>7190.8725237950257</v>
          </cell>
          <cell r="L1802">
            <v>719.08725237950262</v>
          </cell>
          <cell r="M1802">
            <v>669.37293333333321</v>
          </cell>
          <cell r="N1802" t="str">
            <v>Si Compra</v>
          </cell>
          <cell r="O1802">
            <v>10</v>
          </cell>
          <cell r="P1802">
            <v>16407.549345824111</v>
          </cell>
          <cell r="Q1802">
            <v>1640.7549345824111</v>
          </cell>
          <cell r="R1802">
            <v>1500.9803333333332</v>
          </cell>
          <cell r="T1802"/>
          <cell r="U1802"/>
          <cell r="V1802">
            <v>0.43826609155529839</v>
          </cell>
          <cell r="W1802">
            <v>2.7457530512093851E-5</v>
          </cell>
          <cell r="X1802">
            <v>10</v>
          </cell>
          <cell r="Y1802" t="str">
            <v>Potenciar</v>
          </cell>
        </row>
        <row r="1803">
          <cell r="A1803" t="str">
            <v>E445</v>
          </cell>
          <cell r="B1803" t="str">
            <v>E445 - FARMACIA BIOSISTER, C.A</v>
          </cell>
          <cell r="C1803" t="e">
            <v>#N/A</v>
          </cell>
          <cell r="D1803">
            <v>3</v>
          </cell>
          <cell r="F1803" t="str">
            <v>MARACAIBO</v>
          </cell>
          <cell r="G1803">
            <v>0</v>
          </cell>
          <cell r="H1803"/>
          <cell r="I1803" t="str">
            <v>BZ</v>
          </cell>
          <cell r="J1803" t="str">
            <v>Activo</v>
          </cell>
          <cell r="K1803">
            <v>7169.2896000000001</v>
          </cell>
          <cell r="L1803">
            <v>1433.8579199999999</v>
          </cell>
          <cell r="M1803">
            <v>1552.7707666666665</v>
          </cell>
          <cell r="N1803" t="str">
            <v>Si Compra</v>
          </cell>
          <cell r="O1803">
            <v>5</v>
          </cell>
          <cell r="P1803">
            <v>0</v>
          </cell>
          <cell r="Q1803">
            <v>0</v>
          </cell>
          <cell r="R1803">
            <v>0</v>
          </cell>
          <cell r="V1803">
            <v>0</v>
          </cell>
          <cell r="W1803">
            <v>5.4750237134824861E-5</v>
          </cell>
          <cell r="X1803">
            <v>0</v>
          </cell>
          <cell r="Y1803" t="str">
            <v>Conquistar</v>
          </cell>
        </row>
        <row r="1804">
          <cell r="A1804" t="str">
            <v>C334</v>
          </cell>
          <cell r="B1804" t="str">
            <v>C334 - FARMACIA ALIADAS, S.A.</v>
          </cell>
          <cell r="C1804" t="str">
            <v>INDEPENDIENTE</v>
          </cell>
          <cell r="D1804">
            <v>2</v>
          </cell>
          <cell r="E1804"/>
          <cell r="F1804" t="str">
            <v>CARACAS</v>
          </cell>
          <cell r="G1804" t="str">
            <v>MAIRUBI QUIJADA</v>
          </cell>
          <cell r="H1804"/>
          <cell r="I1804" t="str">
            <v>C2</v>
          </cell>
          <cell r="J1804" t="str">
            <v>Activo</v>
          </cell>
          <cell r="K1804">
            <v>7166.7085029602858</v>
          </cell>
          <cell r="L1804">
            <v>895.83856287003573</v>
          </cell>
          <cell r="M1804">
            <v>907.24651820389875</v>
          </cell>
          <cell r="N1804" t="str">
            <v>Si Compra</v>
          </cell>
          <cell r="O1804">
            <v>8</v>
          </cell>
          <cell r="P1804">
            <v>46675.591005028873</v>
          </cell>
          <cell r="Q1804">
            <v>5834.4488756286091</v>
          </cell>
          <cell r="R1804">
            <v>2086.9859544344899</v>
          </cell>
          <cell r="T1804"/>
          <cell r="U1804"/>
          <cell r="V1804">
            <v>0.15354296214884858</v>
          </cell>
          <cell r="W1804">
            <v>3.4206578676676114E-5</v>
          </cell>
          <cell r="X1804">
            <v>8</v>
          </cell>
          <cell r="Y1804" t="str">
            <v>Conquistar</v>
          </cell>
        </row>
        <row r="1805">
          <cell r="A1805" t="str">
            <v>C650</v>
          </cell>
          <cell r="B1805" t="str">
            <v>C650 - FARMACIA MULTIFARMA PLUS 2.0 C.A</v>
          </cell>
          <cell r="C1805" t="str">
            <v>INDEPENDIENTE</v>
          </cell>
          <cell r="D1805">
            <v>3</v>
          </cell>
          <cell r="E1805"/>
          <cell r="F1805" t="str">
            <v>ANDES</v>
          </cell>
          <cell r="G1805" t="str">
            <v>JESUS CONTRERAS</v>
          </cell>
          <cell r="H1805"/>
          <cell r="I1805" t="str">
            <v>G2</v>
          </cell>
          <cell r="J1805" t="str">
            <v>Inactivo</v>
          </cell>
          <cell r="K1805">
            <v>7118.0197999999991</v>
          </cell>
          <cell r="L1805">
            <v>711.80197999999996</v>
          </cell>
          <cell r="M1805">
            <v>453.55790000000007</v>
          </cell>
          <cell r="N1805" t="str">
            <v>Si Compra</v>
          </cell>
          <cell r="O1805">
            <v>10</v>
          </cell>
          <cell r="P1805">
            <v>26906.8249</v>
          </cell>
          <cell r="Q1805">
            <v>2690.6824900000001</v>
          </cell>
          <cell r="R1805">
            <v>1773.4096</v>
          </cell>
          <cell r="T1805"/>
          <cell r="U1805"/>
          <cell r="V1805">
            <v>0.26454328321733717</v>
          </cell>
          <cell r="W1805">
            <v>2.7179350655633902E-5</v>
          </cell>
          <cell r="X1805">
            <v>10</v>
          </cell>
          <cell r="Y1805" t="str">
            <v>Potenciar</v>
          </cell>
        </row>
        <row r="1806">
          <cell r="A1806" t="str">
            <v>E389</v>
          </cell>
          <cell r="B1806" t="str">
            <v>E389 - FARMAGAMA 24 C.A</v>
          </cell>
          <cell r="C1806" t="e">
            <v>#N/A</v>
          </cell>
          <cell r="D1806">
            <v>3</v>
          </cell>
          <cell r="F1806" t="str">
            <v>ANDES</v>
          </cell>
          <cell r="G1806">
            <v>0</v>
          </cell>
          <cell r="H1806"/>
          <cell r="I1806" t="str">
            <v>3</v>
          </cell>
          <cell r="J1806" t="str">
            <v>Activo</v>
          </cell>
          <cell r="K1806">
            <v>7107.8641370466512</v>
          </cell>
          <cell r="L1806">
            <v>1421.5728274093303</v>
          </cell>
          <cell r="M1806">
            <v>140.57411234888372</v>
          </cell>
          <cell r="N1806" t="str">
            <v>Si Compra</v>
          </cell>
          <cell r="O1806">
            <v>5</v>
          </cell>
          <cell r="P1806">
            <v>0</v>
          </cell>
          <cell r="Q1806">
            <v>0</v>
          </cell>
          <cell r="R1806">
            <v>0</v>
          </cell>
          <cell r="V1806">
            <v>0</v>
          </cell>
          <cell r="W1806">
            <v>5.4281144818786714E-5</v>
          </cell>
          <cell r="X1806">
            <v>0</v>
          </cell>
          <cell r="Y1806" t="str">
            <v>Conquistar</v>
          </cell>
        </row>
        <row r="1807">
          <cell r="A1807" t="str">
            <v>A784</v>
          </cell>
          <cell r="B1807" t="str">
            <v>A784 - FARMACIA UNICENTRO ANDINO C.A.</v>
          </cell>
          <cell r="C1807" t="str">
            <v>INDEPENDIENTE</v>
          </cell>
          <cell r="D1807">
            <v>3</v>
          </cell>
          <cell r="E1807"/>
          <cell r="F1807" t="str">
            <v>ANDES</v>
          </cell>
          <cell r="G1807" t="str">
            <v>MARIA GABRIELA FORTUL</v>
          </cell>
          <cell r="H1807"/>
          <cell r="I1807" t="str">
            <v xml:space="preserve">3 </v>
          </cell>
          <cell r="J1807" t="str">
            <v>Inactivo</v>
          </cell>
          <cell r="K1807">
            <v>7102.2679356530061</v>
          </cell>
          <cell r="L1807">
            <v>710.22679356530057</v>
          </cell>
          <cell r="M1807">
            <v>543.84546666666665</v>
          </cell>
          <cell r="N1807" t="str">
            <v>Si Compra</v>
          </cell>
          <cell r="O1807">
            <v>10</v>
          </cell>
          <cell r="P1807">
            <v>16420.318875664656</v>
          </cell>
          <cell r="Q1807">
            <v>1642.0318875664657</v>
          </cell>
          <cell r="R1807">
            <v>1361.1432</v>
          </cell>
          <cell r="T1807"/>
          <cell r="U1807"/>
          <cell r="V1807">
            <v>0.43252923341085375</v>
          </cell>
          <cell r="W1807">
            <v>2.7119203949584149E-5</v>
          </cell>
          <cell r="X1807">
            <v>10</v>
          </cell>
          <cell r="Y1807" t="str">
            <v>Potenciar</v>
          </cell>
        </row>
        <row r="1808">
          <cell r="A1808" t="str">
            <v>E687</v>
          </cell>
          <cell r="B1808" t="str">
            <v>E687 - VENUSCO C.A</v>
          </cell>
          <cell r="C1808" t="e">
            <v>#N/A</v>
          </cell>
          <cell r="D1808">
            <v>1</v>
          </cell>
          <cell r="F1808" t="str">
            <v>ANDES</v>
          </cell>
          <cell r="G1808">
            <v>0</v>
          </cell>
          <cell r="H1808"/>
          <cell r="I1808" t="str">
            <v>G2</v>
          </cell>
          <cell r="J1808" t="str">
            <v>Activo</v>
          </cell>
          <cell r="K1808">
            <v>7097.1079366103313</v>
          </cell>
          <cell r="L1808">
            <v>7097.1079366103313</v>
          </cell>
          <cell r="M1808">
            <v>7097.1079366103313</v>
          </cell>
          <cell r="N1808" t="str">
            <v>Si Compra</v>
          </cell>
          <cell r="O1808">
            <v>1</v>
          </cell>
          <cell r="P1808">
            <v>0</v>
          </cell>
          <cell r="Q1808">
            <v>0</v>
          </cell>
          <cell r="R1808">
            <v>0</v>
          </cell>
          <cell r="V1808">
            <v>0</v>
          </cell>
          <cell r="W1808">
            <v>2.7099501078939764E-4</v>
          </cell>
          <cell r="X1808">
            <v>0</v>
          </cell>
          <cell r="Y1808" t="str">
            <v>Conquistar</v>
          </cell>
        </row>
        <row r="1809">
          <cell r="A1809" t="str">
            <v>2140</v>
          </cell>
          <cell r="B1809" t="str">
            <v>2140 - FARMACENTER CENTRO II, C.A.</v>
          </cell>
          <cell r="C1809" t="str">
            <v>INDEPENDIENTE</v>
          </cell>
          <cell r="D1809">
            <v>3</v>
          </cell>
          <cell r="E1809"/>
          <cell r="F1809" t="str">
            <v>CENTRO ESTE</v>
          </cell>
          <cell r="G1809" t="str">
            <v>LAURA FLORES</v>
          </cell>
          <cell r="H1809"/>
          <cell r="I1809" t="str">
            <v>+</v>
          </cell>
          <cell r="J1809" t="str">
            <v>Activo</v>
          </cell>
          <cell r="K1809">
            <v>7049.948170661366</v>
          </cell>
          <cell r="L1809">
            <v>704.99481706613665</v>
          </cell>
          <cell r="M1809">
            <v>312.26326666666665</v>
          </cell>
          <cell r="N1809" t="str">
            <v>Si Compra</v>
          </cell>
          <cell r="O1809">
            <v>10</v>
          </cell>
          <cell r="P1809">
            <v>112210.61523797463</v>
          </cell>
          <cell r="Q1809">
            <v>11221.061523797463</v>
          </cell>
          <cell r="R1809">
            <v>4235.4755999999998</v>
          </cell>
          <cell r="T1809"/>
          <cell r="U1809"/>
          <cell r="V1809">
            <v>6.2827818524209489E-2</v>
          </cell>
          <cell r="W1809">
            <v>2.6919426865664246E-5</v>
          </cell>
          <cell r="X1809">
            <v>10</v>
          </cell>
          <cell r="Y1809" t="str">
            <v>Conquistar</v>
          </cell>
        </row>
        <row r="1810">
          <cell r="A1810" t="str">
            <v>B058</v>
          </cell>
          <cell r="B1810" t="str">
            <v>B058 - FARMACIA CARRUYO, C.A.</v>
          </cell>
          <cell r="C1810" t="e">
            <v>#N/A</v>
          </cell>
          <cell r="D1810">
            <v>1</v>
          </cell>
          <cell r="E1810"/>
          <cell r="F1810" t="str">
            <v>CENTRO ESTE</v>
          </cell>
          <cell r="G1810" t="str">
            <v>ELIANA PERAZA</v>
          </cell>
          <cell r="H1810"/>
          <cell r="I1810" t="str">
            <v>M</v>
          </cell>
          <cell r="J1810" t="str">
            <v>Activo</v>
          </cell>
          <cell r="K1810">
            <v>7028.6291000000001</v>
          </cell>
          <cell r="L1810">
            <v>2342.8763666666669</v>
          </cell>
          <cell r="M1810">
            <v>6903.3734999999997</v>
          </cell>
          <cell r="N1810" t="str">
            <v>Si Compra</v>
          </cell>
          <cell r="O1810">
            <v>3</v>
          </cell>
          <cell r="P1810">
            <v>145444.14449999999</v>
          </cell>
          <cell r="Q1810">
            <v>48481.381499999996</v>
          </cell>
          <cell r="R1810">
            <v>48362.0694</v>
          </cell>
          <cell r="T1810"/>
          <cell r="U1810"/>
          <cell r="V1810">
            <v>4.8325280637200221E-2</v>
          </cell>
          <cell r="W1810">
            <v>8.9460074714081087E-5</v>
          </cell>
          <cell r="X1810">
            <v>3</v>
          </cell>
          <cell r="Y1810" t="str">
            <v>Conquistar</v>
          </cell>
        </row>
        <row r="1811">
          <cell r="A1811" t="str">
            <v>D291</v>
          </cell>
          <cell r="B1811" t="str">
            <v>D291 - EXPENDIO DE MEDICAMENTOS DR. JOSÉ GREGORIO HERNÁNDEZ, F.P.</v>
          </cell>
          <cell r="C1811" t="str">
            <v>INDEPENDIENTE</v>
          </cell>
          <cell r="D1811">
            <v>3</v>
          </cell>
          <cell r="E1811"/>
          <cell r="F1811" t="str">
            <v>ANDES</v>
          </cell>
          <cell r="G1811">
            <v>0</v>
          </cell>
          <cell r="H1811"/>
          <cell r="I1811" t="str">
            <v>G1</v>
          </cell>
          <cell r="J1811" t="str">
            <v>Activo</v>
          </cell>
          <cell r="K1811">
            <v>7024.8861159777798</v>
          </cell>
          <cell r="L1811">
            <v>702.488611597778</v>
          </cell>
          <cell r="M1811">
            <v>679.68140442673905</v>
          </cell>
          <cell r="N1811" t="str">
            <v>Si Compra</v>
          </cell>
          <cell r="O1811">
            <v>10</v>
          </cell>
          <cell r="P1811">
            <v>0</v>
          </cell>
          <cell r="Q1811">
            <v>0</v>
          </cell>
          <cell r="R1811">
            <v>0</v>
          </cell>
          <cell r="T1811"/>
          <cell r="U1811"/>
          <cell r="V1811">
            <v>0</v>
          </cell>
          <cell r="W1811">
            <v>2.6823730254593304E-5</v>
          </cell>
          <cell r="X1811">
            <v>0</v>
          </cell>
          <cell r="Y1811" t="str">
            <v>Conquistar</v>
          </cell>
        </row>
        <row r="1812">
          <cell r="A1812" t="str">
            <v>E626</v>
          </cell>
          <cell r="B1812" t="str">
            <v>E626 - SOMOS TU FARMACIA, C.A</v>
          </cell>
          <cell r="C1812" t="e">
            <v>#N/A</v>
          </cell>
          <cell r="D1812">
            <v>3</v>
          </cell>
          <cell r="F1812" t="str">
            <v>CENTRO ESTE</v>
          </cell>
          <cell r="G1812">
            <v>0</v>
          </cell>
          <cell r="H1812"/>
          <cell r="I1812" t="str">
            <v>-</v>
          </cell>
          <cell r="J1812" t="str">
            <v>Activo</v>
          </cell>
          <cell r="K1812">
            <v>7023.0123870826319</v>
          </cell>
          <cell r="L1812">
            <v>2341.004129027544</v>
          </cell>
          <cell r="M1812">
            <v>2341.004129027544</v>
          </cell>
          <cell r="N1812" t="str">
            <v>Si Compra</v>
          </cell>
          <cell r="O1812">
            <v>3</v>
          </cell>
          <cell r="P1812">
            <v>0</v>
          </cell>
          <cell r="Q1812">
            <v>0</v>
          </cell>
          <cell r="R1812">
            <v>0</v>
          </cell>
          <cell r="V1812">
            <v>0</v>
          </cell>
          <cell r="W1812">
            <v>8.9388585444966667E-5</v>
          </cell>
          <cell r="X1812">
            <v>0</v>
          </cell>
          <cell r="Y1812" t="str">
            <v>Conquistar</v>
          </cell>
        </row>
        <row r="1813">
          <cell r="A1813" t="str">
            <v>427</v>
          </cell>
          <cell r="B1813" t="str">
            <v>427 - FARMACIA MANZANARES, C.A</v>
          </cell>
          <cell r="C1813" t="str">
            <v>INDEPENDIENTE</v>
          </cell>
          <cell r="D1813">
            <v>3</v>
          </cell>
          <cell r="E1813"/>
          <cell r="F1813" t="str">
            <v>CARACAS</v>
          </cell>
          <cell r="G1813" t="str">
            <v>WILLIAM ARAQUE</v>
          </cell>
          <cell r="H1813"/>
          <cell r="I1813" t="str">
            <v>C8</v>
          </cell>
          <cell r="J1813" t="str">
            <v>Inactivo</v>
          </cell>
          <cell r="K1813">
            <v>6991.7074306877412</v>
          </cell>
          <cell r="L1813">
            <v>873.96342883596765</v>
          </cell>
          <cell r="M1813">
            <v>801.69753333333335</v>
          </cell>
          <cell r="N1813" t="str">
            <v>Si Compra</v>
          </cell>
          <cell r="O1813">
            <v>8</v>
          </cell>
          <cell r="P1813">
            <v>4998.5309872839216</v>
          </cell>
          <cell r="Q1813">
            <v>624.8163734104902</v>
          </cell>
          <cell r="R1813">
            <v>491.48323333333337</v>
          </cell>
          <cell r="T1813"/>
          <cell r="U1813"/>
          <cell r="V1813">
            <v>1.3987524431626785</v>
          </cell>
          <cell r="W1813">
            <v>3.3371301513565488E-5</v>
          </cell>
          <cell r="X1813">
            <v>7</v>
          </cell>
          <cell r="Y1813" t="str">
            <v>Proteger</v>
          </cell>
        </row>
        <row r="1814">
          <cell r="A1814" t="str">
            <v>6985</v>
          </cell>
          <cell r="B1814" t="str">
            <v>6985 - FARMACIA UNINORTE, C.A</v>
          </cell>
          <cell r="C1814" t="str">
            <v>INDEPENDIENTE</v>
          </cell>
          <cell r="D1814">
            <v>2</v>
          </cell>
          <cell r="E1814"/>
          <cell r="F1814" t="str">
            <v>CENTRO ESTE</v>
          </cell>
          <cell r="G1814" t="str">
            <v>ELIANA PERAZA</v>
          </cell>
          <cell r="H1814"/>
          <cell r="I1814" t="str">
            <v>M</v>
          </cell>
          <cell r="J1814" t="str">
            <v>Inactivo</v>
          </cell>
          <cell r="K1814">
            <v>6983.4879662607618</v>
          </cell>
          <cell r="L1814">
            <v>775.94310736230682</v>
          </cell>
          <cell r="M1814">
            <v>99.500050000000002</v>
          </cell>
          <cell r="N1814" t="str">
            <v>Si Compra</v>
          </cell>
          <cell r="O1814">
            <v>9</v>
          </cell>
          <cell r="P1814">
            <v>10571.38200698362</v>
          </cell>
          <cell r="Q1814">
            <v>1174.5980007759579</v>
          </cell>
          <cell r="R1814">
            <v>725.3741500000001</v>
          </cell>
          <cell r="T1814"/>
          <cell r="U1814"/>
          <cell r="V1814">
            <v>0.66060312281283184</v>
          </cell>
          <cell r="W1814">
            <v>2.9628506798790195E-5</v>
          </cell>
          <cell r="X1814">
            <v>9</v>
          </cell>
          <cell r="Y1814" t="str">
            <v>Proteger</v>
          </cell>
        </row>
        <row r="1815">
          <cell r="A1815" t="str">
            <v>1845</v>
          </cell>
          <cell r="B1815" t="str">
            <v>1845 - FARMACIA LOS GODOS, C.A.</v>
          </cell>
          <cell r="C1815" t="str">
            <v>INDEPENDIENTE</v>
          </cell>
          <cell r="D1815">
            <v>2</v>
          </cell>
          <cell r="E1815"/>
          <cell r="F1815" t="str">
            <v>ESTE</v>
          </cell>
          <cell r="G1815" t="str">
            <v>CARMEN ALCALA</v>
          </cell>
          <cell r="H1815"/>
          <cell r="I1815" t="str">
            <v>A6</v>
          </cell>
          <cell r="J1815" t="str">
            <v>Activo</v>
          </cell>
          <cell r="K1815">
            <v>6967.9225550704214</v>
          </cell>
          <cell r="L1815">
            <v>995.41750786720308</v>
          </cell>
          <cell r="M1815">
            <v>2382.0790999999999</v>
          </cell>
          <cell r="N1815" t="str">
            <v>Si Compra</v>
          </cell>
          <cell r="O1815">
            <v>6</v>
          </cell>
          <cell r="P1815">
            <v>48439.37442618607</v>
          </cell>
          <cell r="Q1815">
            <v>6919.910632312296</v>
          </cell>
          <cell r="R1815">
            <v>21155.18735</v>
          </cell>
          <cell r="T1815"/>
          <cell r="U1815"/>
          <cell r="V1815">
            <v>0.14384831838999967</v>
          </cell>
          <cell r="W1815">
            <v>3.8008887661537461E-5</v>
          </cell>
          <cell r="X1815">
            <v>3</v>
          </cell>
          <cell r="Y1815" t="str">
            <v>Conquistar</v>
          </cell>
        </row>
        <row r="1816">
          <cell r="A1816" t="str">
            <v>E623</v>
          </cell>
          <cell r="B1816" t="str">
            <v>E623 - PHARMACY CARUPANO C.A</v>
          </cell>
          <cell r="C1816" t="e">
            <v>#N/A</v>
          </cell>
          <cell r="D1816">
            <v>3</v>
          </cell>
          <cell r="F1816" t="str">
            <v>ESTE</v>
          </cell>
          <cell r="G1816">
            <v>0</v>
          </cell>
          <cell r="H1816"/>
          <cell r="I1816" t="str">
            <v>A5</v>
          </cell>
          <cell r="J1816" t="str">
            <v>Activo</v>
          </cell>
          <cell r="K1816">
            <v>6952.5339949907038</v>
          </cell>
          <cell r="L1816">
            <v>2317.5113316635679</v>
          </cell>
          <cell r="M1816">
            <v>2317.5113316635679</v>
          </cell>
          <cell r="N1816" t="str">
            <v>Si Compra</v>
          </cell>
          <cell r="O1816">
            <v>3</v>
          </cell>
          <cell r="P1816">
            <v>0</v>
          </cell>
          <cell r="Q1816">
            <v>0</v>
          </cell>
          <cell r="R1816">
            <v>0</v>
          </cell>
          <cell r="V1816">
            <v>0</v>
          </cell>
          <cell r="W1816">
            <v>8.8491539643777327E-5</v>
          </cell>
          <cell r="X1816">
            <v>0</v>
          </cell>
          <cell r="Y1816" t="str">
            <v>Conquistar</v>
          </cell>
        </row>
        <row r="1817">
          <cell r="A1817" t="str">
            <v>C946</v>
          </cell>
          <cell r="B1817" t="str">
            <v>C946 - FARMACIA AVENIDA LUIS DEL VALLE, C.A.</v>
          </cell>
          <cell r="C1817" t="str">
            <v>INDEPENDIENTE</v>
          </cell>
          <cell r="D1817">
            <v>0</v>
          </cell>
          <cell r="E1817"/>
          <cell r="F1817" t="str">
            <v>ESTE</v>
          </cell>
          <cell r="G1817" t="str">
            <v>CARMEN ALCALA</v>
          </cell>
          <cell r="H1817"/>
          <cell r="I1817" t="str">
            <v>A0</v>
          </cell>
          <cell r="J1817" t="str">
            <v>Bloqueado</v>
          </cell>
          <cell r="K1817">
            <v>6906.2388986690321</v>
          </cell>
          <cell r="L1817">
            <v>1726.559724667258</v>
          </cell>
          <cell r="M1817">
            <v>0</v>
          </cell>
          <cell r="N1817" t="str">
            <v>No Compra</v>
          </cell>
          <cell r="O1817">
            <v>3</v>
          </cell>
          <cell r="P1817">
            <v>83721.221103235759</v>
          </cell>
          <cell r="Q1817">
            <v>20930.30527580894</v>
          </cell>
          <cell r="R1817">
            <v>0</v>
          </cell>
          <cell r="T1817"/>
          <cell r="U1817"/>
          <cell r="V1817">
            <v>8.2490900248015031E-2</v>
          </cell>
          <cell r="W1817">
            <v>6.592672330670692E-5</v>
          </cell>
          <cell r="X1817">
            <v>4</v>
          </cell>
          <cell r="Y1817" t="str">
            <v>Conquistar</v>
          </cell>
        </row>
        <row r="1818">
          <cell r="A1818" t="str">
            <v>S139</v>
          </cell>
          <cell r="B1818" t="str">
            <v>S139 - FARMA SALUD TOTAL,C.A.</v>
          </cell>
          <cell r="C1818" t="str">
            <v>INDEPENDIENTE</v>
          </cell>
          <cell r="D1818">
            <v>3</v>
          </cell>
          <cell r="F1818" t="str">
            <v>MARACAIBO</v>
          </cell>
          <cell r="G1818" t="str">
            <v>JOEL JIMENEZ</v>
          </cell>
          <cell r="H1818"/>
          <cell r="I1818" t="str">
            <v>S</v>
          </cell>
          <cell r="J1818" t="str">
            <v>Activo</v>
          </cell>
          <cell r="K1818">
            <v>6900.0274999999992</v>
          </cell>
          <cell r="L1818">
            <v>690.00274999999988</v>
          </cell>
          <cell r="M1818">
            <v>548.79759999999999</v>
          </cell>
          <cell r="N1818" t="str">
            <v>Si Compra</v>
          </cell>
          <cell r="O1818">
            <v>10</v>
          </cell>
          <cell r="P1818">
            <v>7597.8951000000006</v>
          </cell>
          <cell r="Q1818">
            <v>759.78951000000006</v>
          </cell>
          <cell r="R1818">
            <v>431.25116666666668</v>
          </cell>
          <cell r="V1818">
            <v>0.9081498769310461</v>
          </cell>
          <cell r="W1818">
            <v>2.6346971801907173E-5</v>
          </cell>
          <cell r="X1818">
            <v>10</v>
          </cell>
          <cell r="Y1818" t="str">
            <v>Proteger</v>
          </cell>
        </row>
        <row r="1819">
          <cell r="A1819" t="str">
            <v>E078</v>
          </cell>
          <cell r="B1819" t="str">
            <v>E078 - FARMACIA TU BIENESTAR CNA C.A.</v>
          </cell>
          <cell r="C1819" t="str">
            <v>INDEPENDIENTE</v>
          </cell>
          <cell r="D1819">
            <v>2</v>
          </cell>
          <cell r="F1819" t="str">
            <v>ESTE</v>
          </cell>
          <cell r="G1819">
            <v>0</v>
          </cell>
          <cell r="H1819"/>
          <cell r="I1819" t="str">
            <v>A3</v>
          </cell>
          <cell r="J1819" t="str">
            <v>Inactivo</v>
          </cell>
          <cell r="K1819">
            <v>6857.8989000000001</v>
          </cell>
          <cell r="L1819">
            <v>979.69984285714293</v>
          </cell>
          <cell r="M1819">
            <v>1233.5698</v>
          </cell>
          <cell r="N1819" t="str">
            <v>Si Compra</v>
          </cell>
          <cell r="O1819">
            <v>7</v>
          </cell>
          <cell r="P1819">
            <v>0</v>
          </cell>
          <cell r="Q1819">
            <v>0</v>
          </cell>
          <cell r="R1819">
            <v>0</v>
          </cell>
          <cell r="V1819">
            <v>0</v>
          </cell>
          <cell r="W1819">
            <v>3.740872646390183E-5</v>
          </cell>
          <cell r="X1819">
            <v>0</v>
          </cell>
          <cell r="Y1819" t="str">
            <v>Conquistar</v>
          </cell>
        </row>
        <row r="1820">
          <cell r="A1820" t="str">
            <v>Y58</v>
          </cell>
          <cell r="B1820" t="str">
            <v>Y58 - DROFARMA, C.A</v>
          </cell>
          <cell r="C1820" t="str">
            <v>INDEPENDIENTE</v>
          </cell>
          <cell r="D1820">
            <v>3</v>
          </cell>
          <cell r="F1820" t="str">
            <v>CENTRO OESTE</v>
          </cell>
          <cell r="G1820" t="str">
            <v>YAMILEX LAMEDA</v>
          </cell>
          <cell r="H1820"/>
          <cell r="I1820" t="str">
            <v>Y1</v>
          </cell>
          <cell r="J1820" t="str">
            <v>Activo</v>
          </cell>
          <cell r="K1820">
            <v>6855.9568999999992</v>
          </cell>
          <cell r="L1820">
            <v>685.59568999999988</v>
          </cell>
          <cell r="M1820">
            <v>672.08426666666662</v>
          </cell>
          <cell r="N1820" t="str">
            <v>Si Compra</v>
          </cell>
          <cell r="O1820">
            <v>10</v>
          </cell>
          <cell r="P1820">
            <v>13948.5566</v>
          </cell>
          <cell r="Q1820">
            <v>1394.8556599999999</v>
          </cell>
          <cell r="R1820">
            <v>1356.2058666666669</v>
          </cell>
          <cell r="V1820">
            <v>0.49151730151060929</v>
          </cell>
          <cell r="W1820">
            <v>2.6178693218163393E-5</v>
          </cell>
          <cell r="X1820">
            <v>10</v>
          </cell>
          <cell r="Y1820" t="str">
            <v>Potenciar</v>
          </cell>
        </row>
        <row r="1821">
          <cell r="A1821" t="str">
            <v>A789</v>
          </cell>
          <cell r="B1821" t="str">
            <v>A789 - INVERSIONES FARMA OLIMPO, C.A.</v>
          </cell>
          <cell r="C1821" t="str">
            <v>INDEPENDIENTE</v>
          </cell>
          <cell r="D1821">
            <v>3</v>
          </cell>
          <cell r="E1821"/>
          <cell r="F1821" t="str">
            <v>CARACAS</v>
          </cell>
          <cell r="G1821" t="str">
            <v>JHON TORRES</v>
          </cell>
          <cell r="H1821"/>
          <cell r="I1821" t="str">
            <v>C4</v>
          </cell>
          <cell r="J1821" t="str">
            <v>Activo</v>
          </cell>
          <cell r="K1821">
            <v>6841.9715599129213</v>
          </cell>
          <cell r="L1821">
            <v>855.24644498911516</v>
          </cell>
          <cell r="M1821">
            <v>848.73953333333327</v>
          </cell>
          <cell r="N1821" t="str">
            <v>Si Compra</v>
          </cell>
          <cell r="O1821">
            <v>8</v>
          </cell>
          <cell r="P1821">
            <v>8574.2263657881886</v>
          </cell>
          <cell r="Q1821">
            <v>1071.7782957235236</v>
          </cell>
          <cell r="R1821">
            <v>1124.0947666666666</v>
          </cell>
          <cell r="T1821"/>
          <cell r="U1821"/>
          <cell r="V1821">
            <v>0.79796955060726005</v>
          </cell>
          <cell r="W1821">
            <v>3.265661473060734E-5</v>
          </cell>
          <cell r="X1821">
            <v>8</v>
          </cell>
          <cell r="Y1821" t="str">
            <v>Proteger</v>
          </cell>
        </row>
        <row r="1822">
          <cell r="A1822" t="str">
            <v>Y9</v>
          </cell>
          <cell r="B1822" t="str">
            <v>Y9 - FARMACIA ALEGRIA  C.A.</v>
          </cell>
          <cell r="C1822" t="str">
            <v>INDEPENDIENTE</v>
          </cell>
          <cell r="D1822">
            <v>3</v>
          </cell>
          <cell r="F1822" t="str">
            <v>CENTRO OESTE</v>
          </cell>
          <cell r="G1822" t="str">
            <v>JOSE LUIS GARCIA</v>
          </cell>
          <cell r="H1822"/>
          <cell r="I1822" t="str">
            <v xml:space="preserve">Y </v>
          </cell>
          <cell r="J1822" t="str">
            <v>Activo</v>
          </cell>
          <cell r="K1822">
            <v>6833.1470136269263</v>
          </cell>
          <cell r="L1822">
            <v>683.31470136269263</v>
          </cell>
          <cell r="M1822">
            <v>568.44550505286907</v>
          </cell>
          <cell r="N1822" t="str">
            <v>Si Compra</v>
          </cell>
          <cell r="O1822">
            <v>10</v>
          </cell>
          <cell r="P1822">
            <v>9409.7133393477616</v>
          </cell>
          <cell r="Q1822">
            <v>940.97133393477611</v>
          </cell>
          <cell r="R1822">
            <v>628.38071253679004</v>
          </cell>
          <cell r="V1822">
            <v>0.7261801467482929</v>
          </cell>
          <cell r="W1822">
            <v>2.6091596256147512E-5</v>
          </cell>
          <cell r="X1822">
            <v>10</v>
          </cell>
          <cell r="Y1822" t="str">
            <v>Proteger</v>
          </cell>
        </row>
        <row r="1823">
          <cell r="A1823" t="str">
            <v>A549</v>
          </cell>
          <cell r="B1823" t="str">
            <v>A549 - FARMACIA CENTER SALUD II, CA</v>
          </cell>
          <cell r="C1823" t="str">
            <v>INDEPENDIENTE</v>
          </cell>
          <cell r="D1823">
            <v>3</v>
          </cell>
          <cell r="E1823"/>
          <cell r="F1823" t="str">
            <v>ESTE</v>
          </cell>
          <cell r="G1823" t="str">
            <v>ALEXMAR CASTILLO</v>
          </cell>
          <cell r="H1823"/>
          <cell r="I1823" t="str">
            <v>A1</v>
          </cell>
          <cell r="J1823" t="str">
            <v>Activo</v>
          </cell>
          <cell r="K1823">
            <v>6832.4807782397775</v>
          </cell>
          <cell r="L1823">
            <v>683.24807782397772</v>
          </cell>
          <cell r="M1823">
            <v>505.02125622607292</v>
          </cell>
          <cell r="N1823" t="str">
            <v>Si Compra</v>
          </cell>
          <cell r="O1823">
            <v>10</v>
          </cell>
          <cell r="P1823">
            <v>19635.051730906212</v>
          </cell>
          <cell r="Q1823">
            <v>1963.5051730906212</v>
          </cell>
          <cell r="R1823">
            <v>916.24928880494861</v>
          </cell>
          <cell r="T1823"/>
          <cell r="U1823"/>
          <cell r="V1823">
            <v>0.34797365812310183</v>
          </cell>
          <cell r="W1823">
            <v>2.6089052311944585E-5</v>
          </cell>
          <cell r="X1823">
            <v>10</v>
          </cell>
          <cell r="Y1823" t="str">
            <v>Potenciar</v>
          </cell>
        </row>
        <row r="1824">
          <cell r="A1824" t="str">
            <v>8293</v>
          </cell>
          <cell r="B1824" t="str">
            <v>8293 - FARMACIA MAZIAD, C.A.</v>
          </cell>
          <cell r="C1824" t="str">
            <v>INDEPENDIENTE</v>
          </cell>
          <cell r="D1824">
            <v>3</v>
          </cell>
          <cell r="E1824"/>
          <cell r="F1824" t="str">
            <v>ESTE</v>
          </cell>
          <cell r="G1824" t="str">
            <v>IRAIDA RODRIGUEZ</v>
          </cell>
          <cell r="H1824"/>
          <cell r="I1824" t="str">
            <v>AB</v>
          </cell>
          <cell r="J1824" t="str">
            <v>Activo</v>
          </cell>
          <cell r="K1824">
            <v>6822.5705790825723</v>
          </cell>
          <cell r="L1824">
            <v>682.25705790825725</v>
          </cell>
          <cell r="M1824">
            <v>424.10283333333336</v>
          </cell>
          <cell r="N1824" t="str">
            <v>Si Compra</v>
          </cell>
          <cell r="O1824">
            <v>10</v>
          </cell>
          <cell r="P1824">
            <v>89945.043951714295</v>
          </cell>
          <cell r="Q1824">
            <v>8994.5043951714288</v>
          </cell>
          <cell r="R1824">
            <v>10079.684033333333</v>
          </cell>
          <cell r="T1824"/>
          <cell r="U1824"/>
          <cell r="V1824">
            <v>7.585265712633564E-2</v>
          </cell>
          <cell r="W1824">
            <v>2.6051211341347561E-5</v>
          </cell>
          <cell r="X1824">
            <v>10</v>
          </cell>
          <cell r="Y1824" t="str">
            <v>Conquistar</v>
          </cell>
        </row>
        <row r="1825">
          <cell r="A1825" t="str">
            <v>0081</v>
          </cell>
          <cell r="B1825" t="str">
            <v>0081 - FARMACIA SANTA CECILIA, C.A.</v>
          </cell>
          <cell r="C1825" t="str">
            <v>INDEPENDIENTE</v>
          </cell>
          <cell r="D1825">
            <v>3</v>
          </cell>
          <cell r="E1825"/>
          <cell r="F1825" t="str">
            <v>ESTE</v>
          </cell>
          <cell r="G1825" t="str">
            <v>ADOLFO GONZALEZ</v>
          </cell>
          <cell r="H1825"/>
          <cell r="I1825" t="str">
            <v>A8</v>
          </cell>
          <cell r="J1825" t="str">
            <v>Activo</v>
          </cell>
          <cell r="K1825">
            <v>6806.5522000000001</v>
          </cell>
          <cell r="L1825">
            <v>756.28357777777774</v>
          </cell>
          <cell r="M1825">
            <v>1163.8984333333333</v>
          </cell>
          <cell r="N1825" t="str">
            <v>Si Compra</v>
          </cell>
          <cell r="O1825">
            <v>9</v>
          </cell>
          <cell r="P1825">
            <v>5629.1405999999997</v>
          </cell>
          <cell r="Q1825">
            <v>625.46006666666665</v>
          </cell>
          <cell r="R1825">
            <v>840.60680000000002</v>
          </cell>
          <cell r="T1825"/>
          <cell r="U1825"/>
          <cell r="V1825">
            <v>1.2091636510198378</v>
          </cell>
          <cell r="W1825">
            <v>2.8877829976701663E-5</v>
          </cell>
          <cell r="X1825">
            <v>8</v>
          </cell>
          <cell r="Y1825" t="str">
            <v>Proteger</v>
          </cell>
        </row>
        <row r="1826">
          <cell r="A1826">
            <v>0</v>
          </cell>
          <cell r="B1826" t="str">
            <v>S323 - MARYI  NOVA, C.A.</v>
          </cell>
          <cell r="C1826" t="e">
            <v>#N/A</v>
          </cell>
          <cell r="D1826">
            <v>0</v>
          </cell>
          <cell r="E1826"/>
          <cell r="F1826" t="str">
            <v>ANDES</v>
          </cell>
          <cell r="G1826" t="str">
            <v>ANYERSSON TORRES</v>
          </cell>
          <cell r="H1826"/>
          <cell r="I1826" t="str">
            <v>4</v>
          </cell>
          <cell r="J1826" t="str">
            <v>Activo</v>
          </cell>
          <cell r="K1826">
            <v>6793.9599853643795</v>
          </cell>
          <cell r="L1826">
            <v>679.3959985364379</v>
          </cell>
          <cell r="M1826">
            <v>773.39217294448372</v>
          </cell>
          <cell r="N1826" t="str">
            <v>Si Compra</v>
          </cell>
          <cell r="O1826">
            <v>10</v>
          </cell>
          <cell r="P1826">
            <v>32172.632482616882</v>
          </cell>
          <cell r="Q1826">
            <v>3217.2632482616882</v>
          </cell>
          <cell r="R1826">
            <v>3470.3969535951778</v>
          </cell>
          <cell r="T1826"/>
          <cell r="U1826"/>
          <cell r="V1826">
            <v>0.2111720260701454</v>
          </cell>
          <cell r="W1826">
            <v>2.5941965036759781E-5</v>
          </cell>
          <cell r="X1826">
            <v>10</v>
          </cell>
          <cell r="Y1826" t="str">
            <v>Potenciar</v>
          </cell>
        </row>
        <row r="1827">
          <cell r="A1827" t="str">
            <v>E169</v>
          </cell>
          <cell r="B1827" t="str">
            <v>E169 - FARMACIA EL RINCON DE LA VILLA, C.A.</v>
          </cell>
          <cell r="C1827" t="str">
            <v>INDEPENDIENTE</v>
          </cell>
          <cell r="D1827">
            <v>2</v>
          </cell>
          <cell r="F1827" t="str">
            <v>ANDES</v>
          </cell>
          <cell r="G1827">
            <v>0</v>
          </cell>
          <cell r="H1827"/>
          <cell r="I1827" t="str">
            <v>5</v>
          </cell>
          <cell r="J1827" t="str">
            <v>Suspendido</v>
          </cell>
          <cell r="K1827">
            <v>6793.8976885666898</v>
          </cell>
          <cell r="L1827">
            <v>970.55681265238422</v>
          </cell>
          <cell r="M1827">
            <v>359.82320000000004</v>
          </cell>
          <cell r="N1827" t="str">
            <v>Si Compra</v>
          </cell>
          <cell r="O1827">
            <v>7</v>
          </cell>
          <cell r="P1827">
            <v>0</v>
          </cell>
          <cell r="Q1827">
            <v>0</v>
          </cell>
          <cell r="R1827">
            <v>0</v>
          </cell>
          <cell r="V1827">
            <v>0</v>
          </cell>
          <cell r="W1827">
            <v>3.7059610233584251E-5</v>
          </cell>
          <cell r="X1827">
            <v>0</v>
          </cell>
          <cell r="Y1827" t="str">
            <v>Conquistar</v>
          </cell>
        </row>
        <row r="1828">
          <cell r="A1828" t="str">
            <v>4335</v>
          </cell>
          <cell r="B1828" t="str">
            <v>4335 - SERVICIO DE DIAGNOSTICO Y ATENCION PRIMARIA SERVIDIAP, C.A.</v>
          </cell>
          <cell r="C1828" t="str">
            <v>INDEPENDIENTE</v>
          </cell>
          <cell r="D1828">
            <v>3</v>
          </cell>
          <cell r="E1828"/>
          <cell r="F1828" t="str">
            <v>CARACAS</v>
          </cell>
          <cell r="G1828" t="str">
            <v>JHON TORRES</v>
          </cell>
          <cell r="H1828"/>
          <cell r="I1828" t="str">
            <v>C4</v>
          </cell>
          <cell r="J1828" t="str">
            <v>Inactivo</v>
          </cell>
          <cell r="K1828">
            <v>6792.3666834076985</v>
          </cell>
          <cell r="L1828">
            <v>754.70740926752205</v>
          </cell>
          <cell r="M1828">
            <v>525.90779999999995</v>
          </cell>
          <cell r="N1828" t="str">
            <v>Si Compra</v>
          </cell>
          <cell r="O1828">
            <v>8</v>
          </cell>
          <cell r="P1828">
            <v>10011.83759308886</v>
          </cell>
          <cell r="Q1828">
            <v>1112.4263992320955</v>
          </cell>
          <cell r="R1828">
            <v>819.11686666666674</v>
          </cell>
          <cell r="T1828"/>
          <cell r="U1828"/>
          <cell r="V1828">
            <v>0.67843356629121199</v>
          </cell>
          <cell r="W1828">
            <v>2.8817645771211525E-5</v>
          </cell>
          <cell r="X1828">
            <v>8</v>
          </cell>
          <cell r="Y1828" t="str">
            <v>Proteger</v>
          </cell>
        </row>
        <row r="1829">
          <cell r="A1829" t="str">
            <v>2821</v>
          </cell>
          <cell r="B1829" t="str">
            <v>FARMA FE</v>
          </cell>
          <cell r="C1829" t="str">
            <v>GRUPO</v>
          </cell>
          <cell r="D1829">
            <v>3</v>
          </cell>
          <cell r="E1829"/>
          <cell r="F1829" t="str">
            <v>ESTE</v>
          </cell>
          <cell r="H1829"/>
          <cell r="I1829"/>
          <cell r="J1829" t="str">
            <v>Activo</v>
          </cell>
          <cell r="K1829">
            <v>6788.5489774509069</v>
          </cell>
          <cell r="L1829">
            <v>678.85489774509074</v>
          </cell>
          <cell r="M1829">
            <v>659.6325205461909</v>
          </cell>
          <cell r="N1829" t="str">
            <v>Si Compra</v>
          </cell>
          <cell r="O1829">
            <v>10</v>
          </cell>
          <cell r="P1829">
            <v>132894.21811242879</v>
          </cell>
          <cell r="Q1829">
            <v>13289.421811242879</v>
          </cell>
          <cell r="R1829">
            <v>10787.100668436162</v>
          </cell>
          <cell r="S1829"/>
          <cell r="T1829"/>
          <cell r="U1829"/>
          <cell r="V1829">
            <v>5.1082350111784254E-2</v>
          </cell>
          <cell r="W1829">
            <v>2.5921303717233717E-5</v>
          </cell>
          <cell r="X1829">
            <v>10</v>
          </cell>
          <cell r="Y1829" t="str">
            <v>Conquistar</v>
          </cell>
        </row>
        <row r="1830">
          <cell r="A1830" t="str">
            <v>E585</v>
          </cell>
          <cell r="B1830" t="str">
            <v>E585 - FARMACIA CASTILLA 2024, C.A</v>
          </cell>
          <cell r="C1830" t="e">
            <v>#N/A</v>
          </cell>
          <cell r="D1830">
            <v>3</v>
          </cell>
          <cell r="F1830" t="str">
            <v>ANDES</v>
          </cell>
          <cell r="G1830">
            <v>0</v>
          </cell>
          <cell r="H1830"/>
          <cell r="I1830" t="str">
            <v>G1</v>
          </cell>
          <cell r="J1830" t="str">
            <v>Activo</v>
          </cell>
          <cell r="K1830">
            <v>6762.171699999999</v>
          </cell>
          <cell r="L1830">
            <v>2254.057233333333</v>
          </cell>
          <cell r="M1830">
            <v>2254.057233333333</v>
          </cell>
          <cell r="N1830" t="str">
            <v>Si Compra</v>
          </cell>
          <cell r="O1830">
            <v>3</v>
          </cell>
          <cell r="P1830">
            <v>0</v>
          </cell>
          <cell r="Q1830">
            <v>0</v>
          </cell>
          <cell r="R1830">
            <v>0</v>
          </cell>
          <cell r="V1830">
            <v>0</v>
          </cell>
          <cell r="W1830">
            <v>8.6068616924379261E-5</v>
          </cell>
          <cell r="X1830">
            <v>0</v>
          </cell>
          <cell r="Y1830" t="str">
            <v>Conquistar</v>
          </cell>
        </row>
        <row r="1831">
          <cell r="A1831" t="str">
            <v>B630</v>
          </cell>
          <cell r="B1831" t="str">
            <v>B630 - FARMACIA VIP EXPRESS, C.A.</v>
          </cell>
          <cell r="C1831" t="str">
            <v>INDEPENDIENTE</v>
          </cell>
          <cell r="D1831">
            <v>3</v>
          </cell>
          <cell r="E1831"/>
          <cell r="F1831" t="str">
            <v>ESTE</v>
          </cell>
          <cell r="G1831" t="str">
            <v>CARLOS BLONDELL</v>
          </cell>
          <cell r="H1831"/>
          <cell r="I1831" t="str">
            <v>A5</v>
          </cell>
          <cell r="J1831" t="str">
            <v>Activo</v>
          </cell>
          <cell r="K1831">
            <v>6759.9609849864883</v>
          </cell>
          <cell r="L1831">
            <v>675.99609849864885</v>
          </cell>
          <cell r="M1831">
            <v>484.48193023366031</v>
          </cell>
          <cell r="N1831" t="str">
            <v>Si Compra</v>
          </cell>
          <cell r="O1831">
            <v>10</v>
          </cell>
          <cell r="P1831">
            <v>74738.694635755965</v>
          </cell>
          <cell r="Q1831">
            <v>7473.8694635755965</v>
          </cell>
          <cell r="R1831">
            <v>5874.8271893938545</v>
          </cell>
          <cell r="T1831"/>
          <cell r="U1831"/>
          <cell r="V1831">
            <v>9.0447940226031656E-2</v>
          </cell>
          <cell r="W1831">
            <v>2.5812143712968053E-5</v>
          </cell>
          <cell r="X1831">
            <v>10</v>
          </cell>
          <cell r="Y1831" t="str">
            <v>Conquistar</v>
          </cell>
        </row>
        <row r="1832">
          <cell r="A1832" t="str">
            <v>E294</v>
          </cell>
          <cell r="B1832" t="str">
            <v>E294 - FARMA RUTTAS C.A.</v>
          </cell>
          <cell r="C1832" t="e">
            <v>#N/A</v>
          </cell>
          <cell r="D1832">
            <v>3</v>
          </cell>
          <cell r="F1832" t="str">
            <v>ESTE</v>
          </cell>
          <cell r="G1832">
            <v>0</v>
          </cell>
          <cell r="H1832"/>
          <cell r="I1832" t="str">
            <v>A4</v>
          </cell>
          <cell r="J1832" t="str">
            <v>Activo</v>
          </cell>
          <cell r="K1832">
            <v>6739.1037818510931</v>
          </cell>
          <cell r="L1832">
            <v>1123.1839636418488</v>
          </cell>
          <cell r="M1832">
            <v>1101.3502666666666</v>
          </cell>
          <cell r="N1832" t="str">
            <v>Si Compra</v>
          </cell>
          <cell r="O1832">
            <v>6</v>
          </cell>
          <cell r="P1832">
            <v>0</v>
          </cell>
          <cell r="Q1832">
            <v>0</v>
          </cell>
          <cell r="R1832">
            <v>0</v>
          </cell>
          <cell r="V1832">
            <v>0</v>
          </cell>
          <cell r="W1832">
            <v>4.2887504750417479E-5</v>
          </cell>
          <cell r="X1832">
            <v>0</v>
          </cell>
          <cell r="Y1832" t="str">
            <v>Conquistar</v>
          </cell>
        </row>
        <row r="1833">
          <cell r="A1833" t="str">
            <v>E417</v>
          </cell>
          <cell r="B1833" t="str">
            <v>E417 - FARMACIA JUAN PABLO II C.A.</v>
          </cell>
          <cell r="C1833" t="e">
            <v>#N/A</v>
          </cell>
          <cell r="D1833">
            <v>3</v>
          </cell>
          <cell r="F1833" t="str">
            <v>ANDES</v>
          </cell>
          <cell r="G1833">
            <v>0</v>
          </cell>
          <cell r="H1833"/>
          <cell r="I1833" t="str">
            <v>5</v>
          </cell>
          <cell r="J1833" t="str">
            <v>Activo</v>
          </cell>
          <cell r="K1833">
            <v>6738.2038708001965</v>
          </cell>
          <cell r="L1833">
            <v>1347.6407741600392</v>
          </cell>
          <cell r="M1833">
            <v>1303.3023341569879</v>
          </cell>
          <cell r="N1833" t="str">
            <v>Si Compra</v>
          </cell>
          <cell r="O1833">
            <v>5</v>
          </cell>
          <cell r="P1833">
            <v>0</v>
          </cell>
          <cell r="Q1833">
            <v>0</v>
          </cell>
          <cell r="R1833">
            <v>0</v>
          </cell>
          <cell r="V1833">
            <v>0</v>
          </cell>
          <cell r="W1833">
            <v>5.1458133284099104E-5</v>
          </cell>
          <cell r="X1833">
            <v>0</v>
          </cell>
          <cell r="Y1833" t="str">
            <v>Conquistar</v>
          </cell>
        </row>
        <row r="1834">
          <cell r="A1834" t="str">
            <v>D880</v>
          </cell>
          <cell r="B1834" t="str">
            <v>D880 - FARMACIA FARMASOLUCIONES, C.A</v>
          </cell>
          <cell r="C1834" t="str">
            <v>INDEPENDIENTE</v>
          </cell>
          <cell r="D1834">
            <v>0</v>
          </cell>
          <cell r="E1834"/>
          <cell r="F1834" t="str">
            <v>MARACAIBO</v>
          </cell>
          <cell r="G1834" t="str">
            <v>YENNIFER LUZARDO</v>
          </cell>
          <cell r="H1834"/>
          <cell r="I1834" t="str">
            <v>B</v>
          </cell>
          <cell r="J1834" t="str">
            <v>Inactivo</v>
          </cell>
          <cell r="K1834">
            <v>6713.4987025368473</v>
          </cell>
          <cell r="L1834">
            <v>1118.9164504228079</v>
          </cell>
          <cell r="M1834">
            <v>0</v>
          </cell>
          <cell r="N1834" t="str">
            <v>No Compra</v>
          </cell>
          <cell r="O1834">
            <v>5</v>
          </cell>
          <cell r="P1834">
            <v>16795.5645</v>
          </cell>
          <cell r="Q1834">
            <v>2799.2607499999999</v>
          </cell>
          <cell r="R1834">
            <v>0</v>
          </cell>
          <cell r="T1834"/>
          <cell r="U1834"/>
          <cell r="V1834">
            <v>0.39971855084339963</v>
          </cell>
          <cell r="W1834">
            <v>4.2724554602108168E-5</v>
          </cell>
          <cell r="X1834">
            <v>5</v>
          </cell>
          <cell r="Y1834" t="str">
            <v>Potenciar</v>
          </cell>
        </row>
        <row r="1835">
          <cell r="A1835" t="str">
            <v>B975</v>
          </cell>
          <cell r="B1835" t="str">
            <v>B975 - FARMA DAILY, C.A.</v>
          </cell>
          <cell r="C1835" t="str">
            <v>INDEPENDIENTE</v>
          </cell>
          <cell r="D1835">
            <v>3</v>
          </cell>
          <cell r="E1835"/>
          <cell r="F1835" t="str">
            <v>CENTRO ESTE</v>
          </cell>
          <cell r="G1835" t="str">
            <v>ELIANA PERAZA</v>
          </cell>
          <cell r="H1835"/>
          <cell r="I1835" t="str">
            <v>M</v>
          </cell>
          <cell r="J1835" t="str">
            <v>Inactivo</v>
          </cell>
          <cell r="K1835">
            <v>6705.414600000001</v>
          </cell>
          <cell r="L1835">
            <v>670.54146000000014</v>
          </cell>
          <cell r="M1835">
            <v>416.35183333333333</v>
          </cell>
          <cell r="N1835" t="str">
            <v>Si Compra</v>
          </cell>
          <cell r="O1835">
            <v>10</v>
          </cell>
          <cell r="P1835">
            <v>17146.651300000005</v>
          </cell>
          <cell r="Q1835">
            <v>1714.6651300000005</v>
          </cell>
          <cell r="R1835">
            <v>1529.4078333333334</v>
          </cell>
          <cell r="T1835"/>
          <cell r="U1835"/>
          <cell r="V1835">
            <v>0.39106263273692393</v>
          </cell>
          <cell r="W1835">
            <v>2.560386453333653E-5</v>
          </cell>
          <cell r="X1835">
            <v>10</v>
          </cell>
          <cell r="Y1835" t="str">
            <v>Potenciar</v>
          </cell>
        </row>
        <row r="1836">
          <cell r="A1836" t="str">
            <v>E612</v>
          </cell>
          <cell r="B1836" t="str">
            <v>E612 - BIOCARE 928, C.A</v>
          </cell>
          <cell r="C1836" t="e">
            <v>#N/A</v>
          </cell>
          <cell r="D1836">
            <v>2</v>
          </cell>
          <cell r="F1836" t="str">
            <v>CARACAS</v>
          </cell>
          <cell r="G1836">
            <v>0</v>
          </cell>
          <cell r="H1836"/>
          <cell r="I1836" t="str">
            <v>CB</v>
          </cell>
          <cell r="J1836" t="str">
            <v>Activo</v>
          </cell>
          <cell r="K1836">
            <v>6670.6741000000002</v>
          </cell>
          <cell r="L1836">
            <v>3335.3370500000001</v>
          </cell>
          <cell r="M1836">
            <v>3335.3370500000001</v>
          </cell>
          <cell r="N1836" t="str">
            <v>Si Compra</v>
          </cell>
          <cell r="O1836">
            <v>2</v>
          </cell>
          <cell r="P1836">
            <v>0</v>
          </cell>
          <cell r="Q1836">
            <v>0</v>
          </cell>
          <cell r="R1836">
            <v>0</v>
          </cell>
          <cell r="V1836">
            <v>0</v>
          </cell>
          <cell r="W1836">
            <v>1.2735605938701879E-4</v>
          </cell>
          <cell r="X1836">
            <v>0</v>
          </cell>
          <cell r="Y1836" t="str">
            <v>Conquistar</v>
          </cell>
        </row>
        <row r="1837">
          <cell r="A1837" t="str">
            <v>C801</v>
          </cell>
          <cell r="B1837" t="str">
            <v>C801 - FAMILY MARKET C.A.</v>
          </cell>
          <cell r="C1837" t="str">
            <v>INDEPENDIENTE</v>
          </cell>
          <cell r="D1837">
            <v>3</v>
          </cell>
          <cell r="E1837"/>
          <cell r="F1837" t="str">
            <v>ESTE</v>
          </cell>
          <cell r="G1837">
            <v>0</v>
          </cell>
          <cell r="H1837"/>
          <cell r="I1837" t="str">
            <v>A8</v>
          </cell>
          <cell r="J1837" t="str">
            <v>Activo</v>
          </cell>
          <cell r="K1837">
            <v>6644.4029667576424</v>
          </cell>
          <cell r="L1837">
            <v>664.44029667576422</v>
          </cell>
          <cell r="M1837">
            <v>523.12076666666667</v>
          </cell>
          <cell r="N1837" t="str">
            <v>Si Compra</v>
          </cell>
          <cell r="O1837">
            <v>10</v>
          </cell>
          <cell r="P1837">
            <v>0</v>
          </cell>
          <cell r="Q1837">
            <v>0</v>
          </cell>
          <cell r="R1837">
            <v>0</v>
          </cell>
          <cell r="T1837"/>
          <cell r="U1837"/>
          <cell r="V1837">
            <v>0</v>
          </cell>
          <cell r="W1837">
            <v>2.5370898537095974E-5</v>
          </cell>
          <cell r="X1837">
            <v>0</v>
          </cell>
          <cell r="Y1837" t="str">
            <v>Conquistar</v>
          </cell>
        </row>
        <row r="1838">
          <cell r="A1838" t="str">
            <v>E449</v>
          </cell>
          <cell r="B1838" t="str">
            <v>E449 - INVERSIONES BENITEZ CONQUETH, C.A</v>
          </cell>
          <cell r="C1838" t="e">
            <v>#N/A</v>
          </cell>
          <cell r="D1838">
            <v>3</v>
          </cell>
          <cell r="F1838" t="str">
            <v>MARACAIBO</v>
          </cell>
          <cell r="G1838">
            <v>0</v>
          </cell>
          <cell r="H1838"/>
          <cell r="I1838" t="str">
            <v>D</v>
          </cell>
          <cell r="J1838" t="str">
            <v>Activo</v>
          </cell>
          <cell r="K1838">
            <v>6635.5069000000003</v>
          </cell>
          <cell r="L1838">
            <v>1327.1013800000001</v>
          </cell>
          <cell r="M1838">
            <v>1616.7312000000002</v>
          </cell>
          <cell r="N1838" t="str">
            <v>Si Compra</v>
          </cell>
          <cell r="O1838">
            <v>5</v>
          </cell>
          <cell r="P1838">
            <v>0</v>
          </cell>
          <cell r="Q1838">
            <v>0</v>
          </cell>
          <cell r="R1838">
            <v>0</v>
          </cell>
          <cell r="V1838">
            <v>0</v>
          </cell>
          <cell r="W1838">
            <v>5.0673859831909517E-5</v>
          </cell>
          <cell r="X1838">
            <v>0</v>
          </cell>
          <cell r="Y1838" t="str">
            <v>Conquistar</v>
          </cell>
        </row>
        <row r="1839">
          <cell r="A1839" t="str">
            <v>E364</v>
          </cell>
          <cell r="B1839" t="str">
            <v>E364 - LG SERVIFARMA, C.A.</v>
          </cell>
          <cell r="C1839" t="e">
            <v>#N/A</v>
          </cell>
          <cell r="D1839">
            <v>3</v>
          </cell>
          <cell r="F1839" t="str">
            <v>ANDES</v>
          </cell>
          <cell r="G1839">
            <v>0</v>
          </cell>
          <cell r="H1839"/>
          <cell r="I1839" t="str">
            <v>G2</v>
          </cell>
          <cell r="J1839" t="str">
            <v>Activo</v>
          </cell>
          <cell r="K1839">
            <v>6562.701756937031</v>
          </cell>
          <cell r="L1839">
            <v>1093.7836261561717</v>
          </cell>
          <cell r="M1839">
            <v>1870.5499189790105</v>
          </cell>
          <cell r="N1839" t="str">
            <v>Si Compra</v>
          </cell>
          <cell r="O1839">
            <v>6</v>
          </cell>
          <cell r="P1839">
            <v>0</v>
          </cell>
          <cell r="Q1839">
            <v>0</v>
          </cell>
          <cell r="R1839">
            <v>0</v>
          </cell>
          <cell r="V1839">
            <v>0</v>
          </cell>
          <cell r="W1839">
            <v>4.1764886235198971E-5</v>
          </cell>
          <cell r="X1839">
            <v>0</v>
          </cell>
          <cell r="Y1839" t="str">
            <v>Conquistar</v>
          </cell>
        </row>
        <row r="1840">
          <cell r="A1840" t="str">
            <v>A856</v>
          </cell>
          <cell r="B1840" t="str">
            <v>A856 - FARMACIA PHARMA VITAL., C.A.</v>
          </cell>
          <cell r="C1840" t="str">
            <v>INDEPENDIENTE</v>
          </cell>
          <cell r="D1840">
            <v>3</v>
          </cell>
          <cell r="E1840"/>
          <cell r="F1840" t="str">
            <v>ANDES</v>
          </cell>
          <cell r="G1840" t="str">
            <v>ZULAY PARRA</v>
          </cell>
          <cell r="H1840"/>
          <cell r="I1840" t="str">
            <v>5</v>
          </cell>
          <cell r="J1840" t="str">
            <v>Activo</v>
          </cell>
          <cell r="K1840">
            <v>6558.2220061388689</v>
          </cell>
          <cell r="L1840">
            <v>655.82220061388693</v>
          </cell>
          <cell r="M1840">
            <v>862.99246637933618</v>
          </cell>
          <cell r="N1840" t="str">
            <v>Si Compra</v>
          </cell>
          <cell r="O1840">
            <v>10</v>
          </cell>
          <cell r="P1840">
            <v>13153.18714958925</v>
          </cell>
          <cell r="Q1840">
            <v>1315.3187149589251</v>
          </cell>
          <cell r="R1840">
            <v>1122.7705004247266</v>
          </cell>
          <cell r="T1840"/>
          <cell r="U1840"/>
          <cell r="V1840">
            <v>0.49860326106161046</v>
          </cell>
          <cell r="W1840">
            <v>2.50418263211832E-5</v>
          </cell>
          <cell r="X1840">
            <v>10</v>
          </cell>
          <cell r="Y1840" t="str">
            <v>Potenciar</v>
          </cell>
        </row>
        <row r="1841">
          <cell r="A1841" t="str">
            <v>E319</v>
          </cell>
          <cell r="B1841" t="str">
            <v>E319 - FARMACIA MARIA JOSE DE CLARINES C.A.</v>
          </cell>
          <cell r="C1841" t="e">
            <v>#N/A</v>
          </cell>
          <cell r="D1841">
            <v>3</v>
          </cell>
          <cell r="F1841" t="str">
            <v>ESTE</v>
          </cell>
          <cell r="G1841">
            <v>0</v>
          </cell>
          <cell r="H1841"/>
          <cell r="I1841" t="str">
            <v>A7</v>
          </cell>
          <cell r="J1841" t="str">
            <v>Inactivo</v>
          </cell>
          <cell r="K1841">
            <v>6555.6241</v>
          </cell>
          <cell r="L1841">
            <v>1092.6040166666667</v>
          </cell>
          <cell r="M1841">
            <v>1176.4941999999999</v>
          </cell>
          <cell r="N1841" t="str">
            <v>Si Compra</v>
          </cell>
          <cell r="O1841">
            <v>6</v>
          </cell>
          <cell r="P1841">
            <v>0</v>
          </cell>
          <cell r="Q1841">
            <v>0</v>
          </cell>
          <cell r="R1841">
            <v>0</v>
          </cell>
          <cell r="V1841">
            <v>0</v>
          </cell>
          <cell r="W1841">
            <v>4.1719844185790836E-5</v>
          </cell>
          <cell r="X1841">
            <v>0</v>
          </cell>
          <cell r="Y1841" t="str">
            <v>Conquistar</v>
          </cell>
        </row>
        <row r="1842">
          <cell r="A1842" t="str">
            <v>0279</v>
          </cell>
          <cell r="B1842" t="str">
            <v>0279 - FARMACIA DIVINO NIÑO JESUS, C.A.</v>
          </cell>
          <cell r="C1842" t="str">
            <v>INDEPENDIENTE</v>
          </cell>
          <cell r="D1842">
            <v>3</v>
          </cell>
          <cell r="E1842"/>
          <cell r="F1842" t="str">
            <v>ESTE</v>
          </cell>
          <cell r="G1842" t="str">
            <v>ALEXMAR CASTILLO</v>
          </cell>
          <cell r="H1842"/>
          <cell r="I1842" t="str">
            <v>A1</v>
          </cell>
          <cell r="J1842" t="str">
            <v>Activo</v>
          </cell>
          <cell r="K1842">
            <v>6526.4439000000002</v>
          </cell>
          <cell r="L1842">
            <v>652.64439000000004</v>
          </cell>
          <cell r="M1842">
            <v>400.83803333333327</v>
          </cell>
          <cell r="N1842" t="str">
            <v>Si Compra</v>
          </cell>
          <cell r="O1842">
            <v>10</v>
          </cell>
          <cell r="P1842">
            <v>150854.18650000001</v>
          </cell>
          <cell r="Q1842">
            <v>15085.418650000001</v>
          </cell>
          <cell r="R1842">
            <v>10415.106399999999</v>
          </cell>
          <cell r="T1842"/>
          <cell r="U1842"/>
          <cell r="V1842">
            <v>4.3263260048802155E-2</v>
          </cell>
          <cell r="W1842">
            <v>2.492048522995439E-5</v>
          </cell>
          <cell r="X1842">
            <v>10</v>
          </cell>
          <cell r="Y1842" t="str">
            <v>Conquistar</v>
          </cell>
        </row>
        <row r="1843">
          <cell r="A1843" t="str">
            <v>E430</v>
          </cell>
          <cell r="B1843" t="str">
            <v>E430 - MOLINA FARMA-HOGAR, F.P</v>
          </cell>
          <cell r="C1843" t="e">
            <v>#N/A</v>
          </cell>
          <cell r="D1843">
            <v>3</v>
          </cell>
          <cell r="F1843" t="str">
            <v>CENTRO OESTE</v>
          </cell>
          <cell r="G1843">
            <v>0</v>
          </cell>
          <cell r="H1843"/>
          <cell r="I1843" t="str">
            <v>E</v>
          </cell>
          <cell r="J1843" t="str">
            <v>Activo</v>
          </cell>
          <cell r="K1843">
            <v>6505.4092000000001</v>
          </cell>
          <cell r="L1843">
            <v>1301.0818400000001</v>
          </cell>
          <cell r="M1843">
            <v>1487.3425666666669</v>
          </cell>
          <cell r="N1843" t="str">
            <v>Si Compra</v>
          </cell>
          <cell r="O1843">
            <v>5</v>
          </cell>
          <cell r="P1843">
            <v>0</v>
          </cell>
          <cell r="Q1843">
            <v>0</v>
          </cell>
          <cell r="R1843">
            <v>0</v>
          </cell>
          <cell r="V1843">
            <v>0</v>
          </cell>
          <cell r="W1843">
            <v>4.9680333231213218E-5</v>
          </cell>
          <cell r="X1843">
            <v>0</v>
          </cell>
          <cell r="Y1843" t="str">
            <v>Conquistar</v>
          </cell>
        </row>
        <row r="1844">
          <cell r="A1844" t="str">
            <v>4944</v>
          </cell>
          <cell r="B1844" t="str">
            <v>4944 - FARMALUZ, C.A.</v>
          </cell>
          <cell r="C1844" t="e">
            <v>#N/A</v>
          </cell>
          <cell r="D1844">
            <v>1</v>
          </cell>
          <cell r="E1844"/>
          <cell r="F1844" t="str">
            <v>CENTRO OESTE</v>
          </cell>
          <cell r="G1844" t="str">
            <v>DIEGO TORI</v>
          </cell>
          <cell r="H1844"/>
          <cell r="I1844" t="str">
            <v>A</v>
          </cell>
          <cell r="J1844" t="str">
            <v>Activo</v>
          </cell>
          <cell r="K1844">
            <v>6498.311999905929</v>
          </cell>
          <cell r="L1844">
            <v>928.33028570084696</v>
          </cell>
          <cell r="M1844">
            <v>1918.7444</v>
          </cell>
          <cell r="N1844" t="str">
            <v>Si Compra</v>
          </cell>
          <cell r="O1844">
            <v>6</v>
          </cell>
          <cell r="P1844">
            <v>5904.3820450316744</v>
          </cell>
          <cell r="Q1844">
            <v>843.48314929023923</v>
          </cell>
          <cell r="R1844">
            <v>0</v>
          </cell>
          <cell r="T1844"/>
          <cell r="U1844"/>
          <cell r="V1844">
            <v>1.1005913828652103</v>
          </cell>
          <cell r="W1844">
            <v>3.5447238232335519E-5</v>
          </cell>
          <cell r="X1844">
            <v>5</v>
          </cell>
          <cell r="Y1844" t="str">
            <v>Proteger</v>
          </cell>
        </row>
        <row r="1845">
          <cell r="A1845" t="str">
            <v>E452</v>
          </cell>
          <cell r="B1845" t="str">
            <v>E452 - FARMACIA MIRANDA 2025, C.A</v>
          </cell>
          <cell r="C1845" t="e">
            <v>#N/A</v>
          </cell>
          <cell r="D1845">
            <v>3</v>
          </cell>
          <cell r="F1845" t="str">
            <v>CENTRO ESTE</v>
          </cell>
          <cell r="G1845">
            <v>0</v>
          </cell>
          <cell r="H1845"/>
          <cell r="I1845" t="str">
            <v>H</v>
          </cell>
          <cell r="J1845" t="str">
            <v>Activo</v>
          </cell>
          <cell r="K1845">
            <v>6468.4358554435257</v>
          </cell>
          <cell r="L1845">
            <v>1293.6871710887051</v>
          </cell>
          <cell r="M1845">
            <v>1438.4832333333334</v>
          </cell>
          <cell r="N1845" t="str">
            <v>Si Compra</v>
          </cell>
          <cell r="O1845">
            <v>5</v>
          </cell>
          <cell r="P1845">
            <v>0</v>
          </cell>
          <cell r="Q1845">
            <v>0</v>
          </cell>
          <cell r="R1845">
            <v>0</v>
          </cell>
          <cell r="V1845">
            <v>0</v>
          </cell>
          <cell r="W1845">
            <v>4.939797619236036E-5</v>
          </cell>
          <cell r="X1845">
            <v>0</v>
          </cell>
          <cell r="Y1845" t="str">
            <v>Conquistar</v>
          </cell>
        </row>
        <row r="1846">
          <cell r="A1846" t="str">
            <v>-111</v>
          </cell>
          <cell r="B1846" t="str">
            <v>-111 - FARMACIA LOS NUEVOS TEQUES C.A.</v>
          </cell>
          <cell r="C1846" t="str">
            <v>INDEPENDIENTE</v>
          </cell>
          <cell r="D1846">
            <v>3</v>
          </cell>
          <cell r="E1846"/>
          <cell r="F1846" t="str">
            <v>CARACAS</v>
          </cell>
          <cell r="G1846" t="str">
            <v>RAMON SERRANO</v>
          </cell>
          <cell r="H1846"/>
          <cell r="I1846" t="str">
            <v>CB</v>
          </cell>
          <cell r="J1846" t="str">
            <v>Inactivo</v>
          </cell>
          <cell r="K1846">
            <v>6460.5064840314417</v>
          </cell>
          <cell r="L1846">
            <v>807.56331050393021</v>
          </cell>
          <cell r="M1846">
            <v>1046.8013000000001</v>
          </cell>
          <cell r="N1846" t="str">
            <v>Si Compra</v>
          </cell>
          <cell r="O1846">
            <v>8</v>
          </cell>
          <cell r="P1846">
            <v>7689.181500385178</v>
          </cell>
          <cell r="Q1846">
            <v>961.14768754814725</v>
          </cell>
          <cell r="R1846">
            <v>923.33483333333334</v>
          </cell>
          <cell r="T1846"/>
          <cell r="U1846"/>
          <cell r="V1846">
            <v>0.84020730733275217</v>
          </cell>
          <cell r="W1846">
            <v>3.0835888364360663E-5</v>
          </cell>
          <cell r="X1846">
            <v>8</v>
          </cell>
          <cell r="Y1846" t="str">
            <v>Proteger</v>
          </cell>
        </row>
        <row r="1847">
          <cell r="A1847" t="str">
            <v>B294</v>
          </cell>
          <cell r="B1847" t="str">
            <v>B294 - FARMACIA SM, C.A</v>
          </cell>
          <cell r="C1847" t="str">
            <v>INDEPENDIENTE</v>
          </cell>
          <cell r="D1847">
            <v>0</v>
          </cell>
          <cell r="E1847"/>
          <cell r="F1847" t="str">
            <v>CENTRO ESTE</v>
          </cell>
          <cell r="G1847" t="str">
            <v>KARLA SALAZAR</v>
          </cell>
          <cell r="H1847"/>
          <cell r="I1847" t="str">
            <v>O</v>
          </cell>
          <cell r="J1847" t="str">
            <v>Inactivo</v>
          </cell>
          <cell r="K1847">
            <v>6427.5833754976147</v>
          </cell>
          <cell r="L1847">
            <v>1285.5166750995229</v>
          </cell>
          <cell r="M1847">
            <v>0</v>
          </cell>
          <cell r="N1847" t="str">
            <v>No Compra</v>
          </cell>
          <cell r="O1847">
            <v>5</v>
          </cell>
          <cell r="P1847">
            <v>21003.780366145904</v>
          </cell>
          <cell r="Q1847">
            <v>4200.7560732291804</v>
          </cell>
          <cell r="R1847">
            <v>0</v>
          </cell>
          <cell r="T1847"/>
          <cell r="U1847"/>
          <cell r="V1847">
            <v>0.30602030984182527</v>
          </cell>
          <cell r="W1847">
            <v>4.9085995077162516E-5</v>
          </cell>
          <cell r="X1847">
            <v>5</v>
          </cell>
          <cell r="Y1847" t="str">
            <v>Potenciar</v>
          </cell>
        </row>
        <row r="1848">
          <cell r="A1848" t="str">
            <v>8651</v>
          </cell>
          <cell r="B1848" t="str">
            <v>8651 - FARMA NANA, C.A.</v>
          </cell>
          <cell r="C1848" t="str">
            <v>INDEPENDIENTE</v>
          </cell>
          <cell r="D1848">
            <v>3</v>
          </cell>
          <cell r="E1848"/>
          <cell r="F1848" t="str">
            <v>ESTE</v>
          </cell>
          <cell r="G1848" t="str">
            <v>ALEXMAR CASTILLO</v>
          </cell>
          <cell r="H1848"/>
          <cell r="I1848" t="str">
            <v>A1</v>
          </cell>
          <cell r="J1848" t="str">
            <v>Activo</v>
          </cell>
          <cell r="K1848">
            <v>6420.2488406540524</v>
          </cell>
          <cell r="L1848">
            <v>642.02488406540522</v>
          </cell>
          <cell r="M1848">
            <v>589.21693333333326</v>
          </cell>
          <cell r="N1848" t="str">
            <v>Si Compra</v>
          </cell>
          <cell r="O1848">
            <v>10</v>
          </cell>
          <cell r="P1848">
            <v>98192.916910683009</v>
          </cell>
          <cell r="Q1848">
            <v>9819.2916910683016</v>
          </cell>
          <cell r="R1848">
            <v>8557.9626000000007</v>
          </cell>
          <cell r="T1848"/>
          <cell r="U1848"/>
          <cell r="V1848">
            <v>6.5384032195458214E-2</v>
          </cell>
          <cell r="W1848">
            <v>2.4514991449807926E-5</v>
          </cell>
          <cell r="X1848">
            <v>10</v>
          </cell>
          <cell r="Y1848" t="str">
            <v>Conquistar</v>
          </cell>
        </row>
        <row r="1849">
          <cell r="A1849" t="str">
            <v>E463</v>
          </cell>
          <cell r="B1849" t="str">
            <v>E463 - FARMACIA MACARAO 2025, C.A</v>
          </cell>
          <cell r="C1849" t="e">
            <v>#N/A</v>
          </cell>
          <cell r="D1849">
            <v>3</v>
          </cell>
          <cell r="F1849" t="str">
            <v>CARACAS</v>
          </cell>
          <cell r="G1849">
            <v>0</v>
          </cell>
          <cell r="H1849"/>
          <cell r="I1849" t="str">
            <v>CF</v>
          </cell>
          <cell r="J1849" t="str">
            <v>Activo</v>
          </cell>
          <cell r="K1849">
            <v>6397.8895375876309</v>
          </cell>
          <cell r="L1849">
            <v>1279.5779075175262</v>
          </cell>
          <cell r="M1849">
            <v>1431.7563666666665</v>
          </cell>
          <cell r="N1849" t="str">
            <v>Si Compra</v>
          </cell>
          <cell r="O1849">
            <v>5</v>
          </cell>
          <cell r="P1849">
            <v>0</v>
          </cell>
          <cell r="Q1849">
            <v>0</v>
          </cell>
          <cell r="R1849">
            <v>0</v>
          </cell>
          <cell r="V1849">
            <v>0</v>
          </cell>
          <cell r="W1849">
            <v>4.8859229978007559E-5</v>
          </cell>
          <cell r="X1849">
            <v>0</v>
          </cell>
          <cell r="Y1849" t="str">
            <v>Conquistar</v>
          </cell>
        </row>
        <row r="1850">
          <cell r="A1850" t="str">
            <v>0253</v>
          </cell>
          <cell r="B1850" t="str">
            <v>0253 - FARMACIA CAPRENCO,C.A.</v>
          </cell>
          <cell r="C1850" t="str">
            <v>INDEPENDIENTE</v>
          </cell>
          <cell r="D1850">
            <v>3</v>
          </cell>
          <cell r="E1850"/>
          <cell r="F1850" t="str">
            <v>CENTRO ESTE</v>
          </cell>
          <cell r="G1850" t="str">
            <v>ELIANA PERAZA</v>
          </cell>
          <cell r="H1850"/>
          <cell r="I1850" t="str">
            <v>M</v>
          </cell>
          <cell r="J1850" t="str">
            <v>Activo</v>
          </cell>
          <cell r="K1850">
            <v>6385.389749458649</v>
          </cell>
          <cell r="L1850">
            <v>638.53897494586488</v>
          </cell>
          <cell r="M1850">
            <v>528.56027609365367</v>
          </cell>
          <cell r="N1850" t="str">
            <v>Si Compra</v>
          </cell>
          <cell r="O1850">
            <v>10</v>
          </cell>
          <cell r="P1850">
            <v>6872.1030330175809</v>
          </cell>
          <cell r="Q1850">
            <v>687.21030330175813</v>
          </cell>
          <cell r="R1850">
            <v>375.09029848246087</v>
          </cell>
          <cell r="T1850"/>
          <cell r="U1850"/>
          <cell r="V1850">
            <v>0.92917549675543587</v>
          </cell>
          <cell r="W1850">
            <v>2.4381885966856532E-5</v>
          </cell>
          <cell r="X1850">
            <v>9</v>
          </cell>
          <cell r="Y1850" t="str">
            <v>Proteger</v>
          </cell>
        </row>
        <row r="1851">
          <cell r="A1851" t="str">
            <v>C844</v>
          </cell>
          <cell r="B1851" t="str">
            <v>C844 - FARMACIA NUEVA COLICANTO, C.A.</v>
          </cell>
          <cell r="C1851" t="str">
            <v>INDEPENDIENTE</v>
          </cell>
          <cell r="D1851">
            <v>3</v>
          </cell>
          <cell r="E1851"/>
          <cell r="F1851" t="str">
            <v>CENTRO ESTE</v>
          </cell>
          <cell r="G1851" t="str">
            <v>KARLA SALAZAR</v>
          </cell>
          <cell r="H1851"/>
          <cell r="I1851" t="str">
            <v>O</v>
          </cell>
          <cell r="J1851" t="str">
            <v>Inactivo</v>
          </cell>
          <cell r="K1851">
            <v>6354.3308000000006</v>
          </cell>
          <cell r="L1851">
            <v>635.43308000000002</v>
          </cell>
          <cell r="M1851">
            <v>751.8116</v>
          </cell>
          <cell r="N1851" t="str">
            <v>Si Compra</v>
          </cell>
          <cell r="O1851">
            <v>10</v>
          </cell>
          <cell r="P1851">
            <v>8236.1535000000003</v>
          </cell>
          <cell r="Q1851">
            <v>823.61535000000003</v>
          </cell>
          <cell r="R1851">
            <v>879.06299999999999</v>
          </cell>
          <cell r="T1851"/>
          <cell r="U1851"/>
          <cell r="V1851">
            <v>0.77151680089498087</v>
          </cell>
          <cell r="W1851">
            <v>2.4263290893781263E-5</v>
          </cell>
          <cell r="X1851">
            <v>10</v>
          </cell>
          <cell r="Y1851" t="str">
            <v>Proteger</v>
          </cell>
        </row>
        <row r="1852">
          <cell r="A1852" t="str">
            <v>Y250</v>
          </cell>
          <cell r="B1852" t="str">
            <v>Y250 - FARMACIA LA JUVENTUD, S. R. L.</v>
          </cell>
          <cell r="C1852" t="str">
            <v>INDEPENDIENTE</v>
          </cell>
          <cell r="D1852">
            <v>3</v>
          </cell>
          <cell r="F1852" t="str">
            <v>CENTRO OESTE</v>
          </cell>
          <cell r="G1852" t="str">
            <v>JOSE LUIS GARCIA</v>
          </cell>
          <cell r="H1852"/>
          <cell r="I1852" t="str">
            <v>Y</v>
          </cell>
          <cell r="J1852" t="str">
            <v>Activo</v>
          </cell>
          <cell r="K1852">
            <v>6335.7325999999994</v>
          </cell>
          <cell r="L1852">
            <v>905.10465714285704</v>
          </cell>
          <cell r="M1852">
            <v>1438.1420000000001</v>
          </cell>
          <cell r="N1852" t="str">
            <v>Si Compra</v>
          </cell>
          <cell r="O1852">
            <v>7</v>
          </cell>
          <cell r="P1852">
            <v>7012.1458999999995</v>
          </cell>
          <cell r="Q1852">
            <v>1001.7351285714285</v>
          </cell>
          <cell r="R1852">
            <v>1464.2829333333332</v>
          </cell>
          <cell r="V1852">
            <v>0.9035369044446151</v>
          </cell>
          <cell r="W1852">
            <v>3.4560393968745371E-5</v>
          </cell>
          <cell r="X1852">
            <v>7</v>
          </cell>
          <cell r="Y1852" t="str">
            <v>Proteger</v>
          </cell>
        </row>
        <row r="1853">
          <cell r="A1853" t="str">
            <v>A930</v>
          </cell>
          <cell r="B1853" t="str">
            <v>A930 - NUEVO MUNDO 2012, C.A.</v>
          </cell>
          <cell r="C1853" t="str">
            <v>INDEPENDIENTE</v>
          </cell>
          <cell r="D1853">
            <v>3</v>
          </cell>
          <cell r="E1853"/>
          <cell r="F1853" t="str">
            <v>ESTE</v>
          </cell>
          <cell r="G1853" t="str">
            <v>ADOLFO GONZALEZ</v>
          </cell>
          <cell r="H1853"/>
          <cell r="I1853" t="str">
            <v>A8</v>
          </cell>
          <cell r="J1853" t="str">
            <v>Activo</v>
          </cell>
          <cell r="K1853">
            <v>6335.2226982289576</v>
          </cell>
          <cell r="L1853">
            <v>633.52226982289574</v>
          </cell>
          <cell r="M1853">
            <v>355.74153999411374</v>
          </cell>
          <cell r="N1853" t="str">
            <v>Si Compra</v>
          </cell>
          <cell r="O1853">
            <v>10</v>
          </cell>
          <cell r="P1853">
            <v>48028.346540887833</v>
          </cell>
          <cell r="Q1853">
            <v>4802.8346540887833</v>
          </cell>
          <cell r="R1853">
            <v>4033.9560861869631</v>
          </cell>
          <cell r="T1853"/>
          <cell r="U1853"/>
          <cell r="V1853">
            <v>0.1319059087915011</v>
          </cell>
          <cell r="W1853">
            <v>2.4190328776086854E-5</v>
          </cell>
          <cell r="X1853">
            <v>10</v>
          </cell>
          <cell r="Y1853" t="str">
            <v>Conquistar</v>
          </cell>
        </row>
        <row r="1854">
          <cell r="A1854" t="str">
            <v>E392</v>
          </cell>
          <cell r="B1854" t="str">
            <v>E392 - FARMACIA DR. MAURO TORRES, C.A</v>
          </cell>
          <cell r="C1854" t="e">
            <v>#N/A</v>
          </cell>
          <cell r="D1854">
            <v>3</v>
          </cell>
          <cell r="F1854" t="str">
            <v>ANDES</v>
          </cell>
          <cell r="G1854">
            <v>0</v>
          </cell>
          <cell r="H1854"/>
          <cell r="I1854" t="str">
            <v>G1</v>
          </cell>
          <cell r="J1854" t="str">
            <v>Activo</v>
          </cell>
          <cell r="K1854">
            <v>6332.5662574612179</v>
          </cell>
          <cell r="L1854">
            <v>1266.5132514922436</v>
          </cell>
          <cell r="M1854">
            <v>1429.9051191537394</v>
          </cell>
          <cell r="N1854" t="str">
            <v>Si Compra</v>
          </cell>
          <cell r="O1854">
            <v>5</v>
          </cell>
          <cell r="P1854">
            <v>0</v>
          </cell>
          <cell r="Q1854">
            <v>0</v>
          </cell>
          <cell r="R1854">
            <v>0</v>
          </cell>
          <cell r="V1854">
            <v>0</v>
          </cell>
          <cell r="W1854">
            <v>4.8360370917083903E-5</v>
          </cell>
          <cell r="X1854">
            <v>0</v>
          </cell>
          <cell r="Y1854" t="str">
            <v>Conquistar</v>
          </cell>
        </row>
        <row r="1855">
          <cell r="A1855" t="str">
            <v>D440</v>
          </cell>
          <cell r="B1855" t="str">
            <v>D440 - FARMACIA FARMAOFERTAS C.A.</v>
          </cell>
          <cell r="C1855" t="str">
            <v>INDEPENDIENTE</v>
          </cell>
          <cell r="D1855">
            <v>3</v>
          </cell>
          <cell r="E1855"/>
          <cell r="F1855" t="str">
            <v>ESTE</v>
          </cell>
          <cell r="G1855" t="str">
            <v>CARMEN ALCALA</v>
          </cell>
          <cell r="H1855"/>
          <cell r="I1855" t="str">
            <v>A6</v>
          </cell>
          <cell r="J1855" t="str">
            <v>Activo</v>
          </cell>
          <cell r="K1855">
            <v>6284.2805169946478</v>
          </cell>
          <cell r="L1855">
            <v>628.42805169946473</v>
          </cell>
          <cell r="M1855">
            <v>294.08722084985294</v>
          </cell>
          <cell r="N1855" t="str">
            <v>Si Compra</v>
          </cell>
          <cell r="O1855">
            <v>10</v>
          </cell>
          <cell r="P1855">
            <v>207563.70180748749</v>
          </cell>
          <cell r="Q1855">
            <v>20756.370180748749</v>
          </cell>
          <cell r="R1855">
            <v>16950.9736193592</v>
          </cell>
          <cell r="T1855"/>
          <cell r="U1855"/>
          <cell r="V1855">
            <v>3.027639448646581E-2</v>
          </cell>
          <cell r="W1855">
            <v>2.3995811839377834E-5</v>
          </cell>
          <cell r="X1855">
            <v>10</v>
          </cell>
          <cell r="Y1855" t="str">
            <v>Conquistar</v>
          </cell>
        </row>
        <row r="1856">
          <cell r="A1856" t="str">
            <v>E297</v>
          </cell>
          <cell r="B1856" t="str">
            <v>E297 - FARMA HOSPITAL PLUS CA</v>
          </cell>
          <cell r="C1856" t="e">
            <v>#N/A</v>
          </cell>
          <cell r="D1856">
            <v>0</v>
          </cell>
          <cell r="F1856" t="str">
            <v>CENTRO OESTE</v>
          </cell>
          <cell r="H1856"/>
          <cell r="I1856" t="str">
            <v>E</v>
          </cell>
          <cell r="J1856" t="str">
            <v>Suspendido</v>
          </cell>
          <cell r="K1856">
            <v>6244.5274555293909</v>
          </cell>
          <cell r="L1856">
            <v>2081.5091518431304</v>
          </cell>
          <cell r="M1856">
            <v>0</v>
          </cell>
          <cell r="N1856" t="str">
            <v>No Compra</v>
          </cell>
          <cell r="O1856">
            <v>3</v>
          </cell>
          <cell r="P1856">
            <v>0</v>
          </cell>
          <cell r="Q1856">
            <v>0</v>
          </cell>
          <cell r="R1856">
            <v>0</v>
          </cell>
          <cell r="V1856">
            <v>0</v>
          </cell>
          <cell r="W1856">
            <v>7.9480064288182448E-5</v>
          </cell>
          <cell r="X1856">
            <v>0</v>
          </cell>
          <cell r="Y1856" t="str">
            <v>Conquistar</v>
          </cell>
        </row>
        <row r="1857">
          <cell r="A1857" t="str">
            <v>3634</v>
          </cell>
          <cell r="B1857" t="str">
            <v>3634 - FARMACIA EL DIVINO NIÑO C.A.</v>
          </cell>
          <cell r="C1857" t="str">
            <v>INDEPENDIENTE</v>
          </cell>
          <cell r="D1857">
            <v>2</v>
          </cell>
          <cell r="E1857"/>
          <cell r="F1857" t="str">
            <v>CENTRO OESTE</v>
          </cell>
          <cell r="G1857" t="str">
            <v>YAMILEX LAMEDA</v>
          </cell>
          <cell r="H1857"/>
          <cell r="I1857" t="str">
            <v>Y1</v>
          </cell>
          <cell r="J1857" t="str">
            <v>Activo</v>
          </cell>
          <cell r="K1857">
            <v>6222.5185047643845</v>
          </cell>
          <cell r="L1857">
            <v>691.39094497382052</v>
          </cell>
          <cell r="M1857">
            <v>1003.1147958589054</v>
          </cell>
          <cell r="N1857" t="str">
            <v>Si Compra</v>
          </cell>
          <cell r="O1857">
            <v>9</v>
          </cell>
          <cell r="P1857">
            <v>14759.609253704055</v>
          </cell>
          <cell r="Q1857">
            <v>1639.9565837448949</v>
          </cell>
          <cell r="R1857">
            <v>2073.3238409986957</v>
          </cell>
          <cell r="T1857"/>
          <cell r="U1857"/>
          <cell r="V1857">
            <v>0.42159100541247652</v>
          </cell>
          <cell r="W1857">
            <v>2.6399978451273138E-5</v>
          </cell>
          <cell r="X1857">
            <v>9</v>
          </cell>
          <cell r="Y1857" t="str">
            <v>Potenciar</v>
          </cell>
        </row>
        <row r="1858">
          <cell r="A1858" t="str">
            <v>B819</v>
          </cell>
          <cell r="B1858" t="str">
            <v>B819 - FARMACIA FARMA DOURO, C.A.</v>
          </cell>
          <cell r="C1858" t="str">
            <v>INDEPENDIENTE</v>
          </cell>
          <cell r="D1858">
            <v>3</v>
          </cell>
          <cell r="E1858"/>
          <cell r="F1858" t="str">
            <v>MARACAIBO</v>
          </cell>
          <cell r="G1858" t="str">
            <v>MARIA FUSELLA</v>
          </cell>
          <cell r="H1858"/>
          <cell r="I1858" t="str">
            <v>Z</v>
          </cell>
          <cell r="J1858" t="str">
            <v>Activo</v>
          </cell>
          <cell r="K1858">
            <v>6207.5045725458331</v>
          </cell>
          <cell r="L1858">
            <v>620.75045725458335</v>
          </cell>
          <cell r="M1858">
            <v>547.48177541931136</v>
          </cell>
          <cell r="N1858" t="str">
            <v>Si Compra</v>
          </cell>
          <cell r="O1858">
            <v>10</v>
          </cell>
          <cell r="P1858">
            <v>12271.654536212074</v>
          </cell>
          <cell r="Q1858">
            <v>1227.1654536212075</v>
          </cell>
          <cell r="R1858">
            <v>929.87508583369925</v>
          </cell>
          <cell r="T1858"/>
          <cell r="U1858"/>
          <cell r="V1858">
            <v>0.50584088349523582</v>
          </cell>
          <cell r="W1858">
            <v>2.3702651610167487E-5</v>
          </cell>
          <cell r="X1858">
            <v>10</v>
          </cell>
          <cell r="Y1858" t="str">
            <v>Potenciar</v>
          </cell>
        </row>
        <row r="1859">
          <cell r="A1859" t="str">
            <v>9108</v>
          </cell>
          <cell r="B1859" t="str">
            <v>9108 - MULTIFARMACIA EXPRESS,C.A.</v>
          </cell>
          <cell r="C1859" t="str">
            <v>INDEPENDIENTE</v>
          </cell>
          <cell r="D1859">
            <v>3</v>
          </cell>
          <cell r="E1859"/>
          <cell r="F1859" t="str">
            <v>MARACAIBO</v>
          </cell>
          <cell r="G1859" t="str">
            <v>YENNIFER LUZARDO</v>
          </cell>
          <cell r="H1859"/>
          <cell r="I1859" t="str">
            <v>B</v>
          </cell>
          <cell r="J1859" t="str">
            <v>Suspendido</v>
          </cell>
          <cell r="K1859">
            <v>6197.4508937907503</v>
          </cell>
          <cell r="L1859">
            <v>688.60565486563894</v>
          </cell>
          <cell r="M1859">
            <v>1119.8647333333333</v>
          </cell>
          <cell r="N1859" t="str">
            <v>Si Compra</v>
          </cell>
          <cell r="O1859">
            <v>9</v>
          </cell>
          <cell r="P1859">
            <v>7835.3320317091075</v>
          </cell>
          <cell r="Q1859">
            <v>870.59244796767859</v>
          </cell>
          <cell r="R1859">
            <v>1171.0573999999999</v>
          </cell>
          <cell r="T1859"/>
          <cell r="U1859"/>
          <cell r="V1859">
            <v>0.79096212754099604</v>
          </cell>
          <cell r="W1859">
            <v>2.6293625310013351E-5</v>
          </cell>
          <cell r="X1859">
            <v>9</v>
          </cell>
          <cell r="Y1859" t="str">
            <v>Proteger</v>
          </cell>
        </row>
        <row r="1860">
          <cell r="A1860" t="str">
            <v>B937</v>
          </cell>
          <cell r="B1860" t="str">
            <v>MUNDO SALUD</v>
          </cell>
          <cell r="C1860" t="str">
            <v>GRUPO</v>
          </cell>
          <cell r="D1860">
            <v>6</v>
          </cell>
          <cell r="E1860"/>
          <cell r="F1860" t="str">
            <v>CENTRO ESTE</v>
          </cell>
          <cell r="H1860"/>
          <cell r="I1860"/>
          <cell r="J1860" t="str">
            <v>Activo</v>
          </cell>
          <cell r="K1860">
            <v>6193.1542828530892</v>
          </cell>
          <cell r="L1860">
            <v>619.31542828530894</v>
          </cell>
          <cell r="M1860">
            <v>759.65023333333329</v>
          </cell>
          <cell r="N1860" t="str">
            <v>Si Compra</v>
          </cell>
          <cell r="O1860">
            <v>10</v>
          </cell>
          <cell r="P1860">
            <v>271276.11619999999</v>
          </cell>
          <cell r="Q1860">
            <v>27127.61162</v>
          </cell>
          <cell r="R1860">
            <v>27021.879733333335</v>
          </cell>
          <cell r="S1860"/>
          <cell r="T1860"/>
          <cell r="U1860"/>
          <cell r="V1860">
            <v>2.2829707124998606E-2</v>
          </cell>
          <cell r="W1860">
            <v>2.3647856657845351E-5</v>
          </cell>
          <cell r="X1860">
            <v>10</v>
          </cell>
          <cell r="Y1860" t="str">
            <v>Conquistar</v>
          </cell>
        </row>
        <row r="1861">
          <cell r="A1861" t="str">
            <v>6473</v>
          </cell>
          <cell r="B1861" t="str">
            <v>6473 - FARMACIA QUIRON, C.A.</v>
          </cell>
          <cell r="C1861" t="str">
            <v>INDEPENDIENTE</v>
          </cell>
          <cell r="D1861">
            <v>2</v>
          </cell>
          <cell r="E1861"/>
          <cell r="F1861" t="str">
            <v>ANDES</v>
          </cell>
          <cell r="G1861" t="str">
            <v>ZULAY PARRA</v>
          </cell>
          <cell r="H1861"/>
          <cell r="I1861" t="str">
            <v>5</v>
          </cell>
          <cell r="J1861" t="str">
            <v>Activo</v>
          </cell>
          <cell r="K1861">
            <v>6183.8929956787524</v>
          </cell>
          <cell r="L1861">
            <v>772.98662445984405</v>
          </cell>
          <cell r="M1861">
            <v>620.7518</v>
          </cell>
          <cell r="N1861" t="str">
            <v>Si Compra</v>
          </cell>
          <cell r="O1861">
            <v>8</v>
          </cell>
          <cell r="P1861">
            <v>8666.5093195257596</v>
          </cell>
          <cell r="Q1861">
            <v>1083.3136649407199</v>
          </cell>
          <cell r="R1861">
            <v>697.54750000000001</v>
          </cell>
          <cell r="T1861"/>
          <cell r="U1861"/>
          <cell r="V1861">
            <v>0.71353906950129964</v>
          </cell>
          <cell r="W1861">
            <v>2.9515616854997933E-5</v>
          </cell>
          <cell r="X1861">
            <v>8</v>
          </cell>
          <cell r="Y1861" t="str">
            <v>Proteger</v>
          </cell>
        </row>
        <row r="1862">
          <cell r="A1862" t="str">
            <v>3040</v>
          </cell>
          <cell r="B1862" t="str">
            <v>3040 - FARMACIA 23 DE ENERO ARAGUA,C.A</v>
          </cell>
          <cell r="C1862" t="str">
            <v>INDEPENDIENTE</v>
          </cell>
          <cell r="D1862">
            <v>3</v>
          </cell>
          <cell r="E1862"/>
          <cell r="F1862" t="str">
            <v>CENTRO ESTE</v>
          </cell>
          <cell r="G1862" t="str">
            <v>LAURA FLORES</v>
          </cell>
          <cell r="H1862"/>
          <cell r="I1862" t="str">
            <v>+</v>
          </cell>
          <cell r="J1862" t="str">
            <v>Activo</v>
          </cell>
          <cell r="K1862">
            <v>6174.7053414516067</v>
          </cell>
          <cell r="L1862">
            <v>617.47053414516063</v>
          </cell>
          <cell r="M1862">
            <v>564.42809999999997</v>
          </cell>
          <cell r="N1862" t="str">
            <v>Si Compra</v>
          </cell>
          <cell r="O1862">
            <v>10</v>
          </cell>
          <cell r="P1862">
            <v>888954.1741551084</v>
          </cell>
          <cell r="Q1862">
            <v>88895.417415510834</v>
          </cell>
          <cell r="R1862">
            <v>93776.0772</v>
          </cell>
          <cell r="T1862"/>
          <cell r="U1862"/>
          <cell r="V1862">
            <v>6.946033351291985E-3</v>
          </cell>
          <cell r="W1862">
            <v>2.3577411469202275E-5</v>
          </cell>
          <cell r="X1862">
            <v>10</v>
          </cell>
          <cell r="Y1862" t="str">
            <v>Conquistar</v>
          </cell>
        </row>
        <row r="1863">
          <cell r="A1863" t="str">
            <v>0338</v>
          </cell>
          <cell r="B1863" t="str">
            <v>0338 - FARMACENTER, C.A</v>
          </cell>
          <cell r="C1863" t="str">
            <v>INDEPENDIENTE</v>
          </cell>
          <cell r="D1863">
            <v>3</v>
          </cell>
          <cell r="E1863"/>
          <cell r="F1863" t="str">
            <v>CENTRO ESTE</v>
          </cell>
          <cell r="G1863" t="str">
            <v>WILLIBETTI GONZALEZ</v>
          </cell>
          <cell r="H1863"/>
          <cell r="I1863" t="str">
            <v>AF</v>
          </cell>
          <cell r="J1863" t="str">
            <v>Inactivo</v>
          </cell>
          <cell r="K1863">
            <v>6172.3579</v>
          </cell>
          <cell r="L1863">
            <v>685.81754444444448</v>
          </cell>
          <cell r="M1863">
            <v>337.52056666666664</v>
          </cell>
          <cell r="N1863" t="str">
            <v>Si Compra</v>
          </cell>
          <cell r="O1863">
            <v>9</v>
          </cell>
          <cell r="P1863">
            <v>218591.15360000002</v>
          </cell>
          <cell r="Q1863">
            <v>24287.905955555558</v>
          </cell>
          <cell r="R1863">
            <v>16925.827433333332</v>
          </cell>
          <cell r="T1863"/>
          <cell r="U1863"/>
          <cell r="V1863">
            <v>2.8236997693396132E-2</v>
          </cell>
          <cell r="W1863">
            <v>2.6187164478302443E-5</v>
          </cell>
          <cell r="X1863">
            <v>9</v>
          </cell>
          <cell r="Y1863" t="str">
            <v>Conquistar</v>
          </cell>
        </row>
        <row r="1864">
          <cell r="A1864" t="str">
            <v>8810</v>
          </cell>
          <cell r="B1864" t="str">
            <v>8810 - FARMACIA M &amp; M MARQUEZ MARCANO, C.A</v>
          </cell>
          <cell r="C1864" t="str">
            <v>INDEPENDIENTE</v>
          </cell>
          <cell r="D1864">
            <v>3</v>
          </cell>
          <cell r="E1864"/>
          <cell r="F1864" t="str">
            <v>ESTE</v>
          </cell>
          <cell r="G1864" t="str">
            <v>CARMEN ALCALA</v>
          </cell>
          <cell r="H1864"/>
          <cell r="I1864" t="str">
            <v>A6</v>
          </cell>
          <cell r="J1864" t="str">
            <v>Activo</v>
          </cell>
          <cell r="K1864">
            <v>6166.1128865063474</v>
          </cell>
          <cell r="L1864">
            <v>616.61128865063472</v>
          </cell>
          <cell r="M1864">
            <v>502.72736666666668</v>
          </cell>
          <cell r="N1864" t="str">
            <v>Si Compra</v>
          </cell>
          <cell r="O1864">
            <v>10</v>
          </cell>
          <cell r="P1864">
            <v>15745.50090850726</v>
          </cell>
          <cell r="Q1864">
            <v>1574.5500908507261</v>
          </cell>
          <cell r="R1864">
            <v>976.75976666666668</v>
          </cell>
          <cell r="T1864"/>
          <cell r="U1864"/>
          <cell r="V1864">
            <v>0.39161109718489867</v>
          </cell>
          <cell r="W1864">
            <v>2.3544602155304338E-5</v>
          </cell>
          <cell r="X1864">
            <v>10</v>
          </cell>
          <cell r="Y1864" t="str">
            <v>Potenciar</v>
          </cell>
        </row>
        <row r="1865">
          <cell r="A1865" t="str">
            <v>9849</v>
          </cell>
          <cell r="B1865" t="str">
            <v>9849 - FARMACIA EL CRUCERO, C.A</v>
          </cell>
          <cell r="C1865" t="str">
            <v>INDEPENDIENTE</v>
          </cell>
          <cell r="D1865">
            <v>3</v>
          </cell>
          <cell r="E1865"/>
          <cell r="F1865" t="str">
            <v>ESTE</v>
          </cell>
          <cell r="G1865" t="str">
            <v>ADOLFO GONZALEZ</v>
          </cell>
          <cell r="H1865"/>
          <cell r="I1865" t="str">
            <v>A8</v>
          </cell>
          <cell r="J1865" t="str">
            <v>Activo</v>
          </cell>
          <cell r="K1865">
            <v>6162.5710249844751</v>
          </cell>
          <cell r="L1865">
            <v>616.25710249844747</v>
          </cell>
          <cell r="M1865">
            <v>788.67446666666672</v>
          </cell>
          <cell r="N1865" t="str">
            <v>Si Compra</v>
          </cell>
          <cell r="O1865">
            <v>10</v>
          </cell>
          <cell r="P1865">
            <v>45393.941109898798</v>
          </cell>
          <cell r="Q1865">
            <v>4539.3941109898797</v>
          </cell>
          <cell r="R1865">
            <v>3392.1634666666669</v>
          </cell>
          <cell r="T1865"/>
          <cell r="U1865"/>
          <cell r="V1865">
            <v>0.13575756751467957</v>
          </cell>
          <cell r="W1865">
            <v>2.3531077959111926E-5</v>
          </cell>
          <cell r="X1865">
            <v>10</v>
          </cell>
          <cell r="Y1865" t="str">
            <v>Conquistar</v>
          </cell>
        </row>
        <row r="1866">
          <cell r="A1866" t="str">
            <v>B522</v>
          </cell>
          <cell r="B1866" t="str">
            <v>B522 - FARMACIA FISIOSALUD, C.A.</v>
          </cell>
          <cell r="C1866" t="str">
            <v>INDEPENDIENTE</v>
          </cell>
          <cell r="D1866">
            <v>2</v>
          </cell>
          <cell r="E1866"/>
          <cell r="F1866" t="str">
            <v>ANDES</v>
          </cell>
          <cell r="G1866" t="str">
            <v>MARIA GABRIELA FORTUL</v>
          </cell>
          <cell r="H1866"/>
          <cell r="I1866" t="str">
            <v>3</v>
          </cell>
          <cell r="J1866" t="str">
            <v>Activo</v>
          </cell>
          <cell r="K1866">
            <v>6162.479498009372</v>
          </cell>
          <cell r="L1866">
            <v>880.35421400133885</v>
          </cell>
          <cell r="M1866">
            <v>184.34699900468573</v>
          </cell>
          <cell r="N1866" t="str">
            <v>Si Compra</v>
          </cell>
          <cell r="O1866">
            <v>7</v>
          </cell>
          <cell r="P1866">
            <v>8138.5407368975157</v>
          </cell>
          <cell r="Q1866">
            <v>1162.6486766996452</v>
          </cell>
          <cell r="R1866">
            <v>214.50181844875806</v>
          </cell>
          <cell r="T1866"/>
          <cell r="U1866"/>
          <cell r="V1866">
            <v>0.7571971066103631</v>
          </cell>
          <cell r="W1866">
            <v>3.3615326391066459E-5</v>
          </cell>
          <cell r="X1866">
            <v>6</v>
          </cell>
          <cell r="Y1866" t="str">
            <v>Proteger</v>
          </cell>
        </row>
        <row r="1867">
          <cell r="A1867" t="str">
            <v>E651</v>
          </cell>
          <cell r="B1867" t="str">
            <v>E651 - FARMACIA SAMAR 2024, C.A</v>
          </cell>
          <cell r="C1867" t="e">
            <v>#N/A</v>
          </cell>
          <cell r="D1867">
            <v>1</v>
          </cell>
          <cell r="F1867" t="str">
            <v>ESTE</v>
          </cell>
          <cell r="G1867">
            <v>0</v>
          </cell>
          <cell r="H1867"/>
          <cell r="I1867" t="str">
            <v>AB</v>
          </cell>
          <cell r="J1867" t="str">
            <v>Activo</v>
          </cell>
          <cell r="K1867">
            <v>6142.5568000000003</v>
          </cell>
          <cell r="L1867">
            <v>6142.5568000000003</v>
          </cell>
          <cell r="M1867">
            <v>6142.5568000000003</v>
          </cell>
          <cell r="N1867" t="str">
            <v>Si Compra</v>
          </cell>
          <cell r="O1867">
            <v>1</v>
          </cell>
          <cell r="P1867">
            <v>0</v>
          </cell>
          <cell r="Q1867">
            <v>0</v>
          </cell>
          <cell r="R1867">
            <v>0</v>
          </cell>
          <cell r="V1867">
            <v>0</v>
          </cell>
          <cell r="W1867">
            <v>2.3454655912779073E-4</v>
          </cell>
          <cell r="X1867">
            <v>0</v>
          </cell>
          <cell r="Y1867" t="str">
            <v>Conquistar</v>
          </cell>
        </row>
        <row r="1868">
          <cell r="A1868" t="str">
            <v>5007</v>
          </cell>
          <cell r="B1868" t="str">
            <v>GRUPO MANUEL GAMEZ</v>
          </cell>
          <cell r="C1868" t="str">
            <v>GRUPO</v>
          </cell>
          <cell r="D1868">
            <v>3</v>
          </cell>
          <cell r="E1868"/>
          <cell r="F1868" t="str">
            <v>CENTRO ESTE</v>
          </cell>
          <cell r="H1868"/>
          <cell r="I1868"/>
          <cell r="J1868" t="str">
            <v>Activo</v>
          </cell>
          <cell r="K1868">
            <v>6132.1291361319609</v>
          </cell>
          <cell r="L1868">
            <v>681.34768179244008</v>
          </cell>
          <cell r="M1868">
            <v>403.0437</v>
          </cell>
          <cell r="N1868" t="str">
            <v>Si Compra</v>
          </cell>
          <cell r="O1868">
            <v>9</v>
          </cell>
          <cell r="P1868">
            <v>415854.65372617706</v>
          </cell>
          <cell r="Q1868">
            <v>46206.072636241894</v>
          </cell>
          <cell r="R1868">
            <v>38407.605366666663</v>
          </cell>
          <cell r="S1868"/>
          <cell r="T1868"/>
          <cell r="U1868"/>
          <cell r="V1868">
            <v>1.4745847091492962E-2</v>
          </cell>
          <cell r="W1868">
            <v>2.6016487846577777E-5</v>
          </cell>
          <cell r="X1868">
            <v>9</v>
          </cell>
          <cell r="Y1868" t="str">
            <v>Conquistar</v>
          </cell>
        </row>
        <row r="1869">
          <cell r="A1869" t="str">
            <v>D310</v>
          </cell>
          <cell r="B1869" t="str">
            <v>D310 - FARMACIA CAPITAL CA</v>
          </cell>
          <cell r="C1869" t="str">
            <v>INDEPENDIENTE</v>
          </cell>
          <cell r="D1869">
            <v>3</v>
          </cell>
          <cell r="E1869"/>
          <cell r="F1869" t="str">
            <v>CENTRO ESTE</v>
          </cell>
          <cell r="G1869" t="str">
            <v>ELIANA PERAZA</v>
          </cell>
          <cell r="H1869"/>
          <cell r="I1869" t="str">
            <v>M</v>
          </cell>
          <cell r="J1869" t="str">
            <v>Activo</v>
          </cell>
          <cell r="K1869">
            <v>6123.4893945180884</v>
          </cell>
          <cell r="L1869">
            <v>680.38771050200978</v>
          </cell>
          <cell r="M1869">
            <v>802.48673150602951</v>
          </cell>
          <cell r="N1869" t="str">
            <v>Si Compra</v>
          </cell>
          <cell r="O1869">
            <v>9</v>
          </cell>
          <cell r="P1869">
            <v>8274.755561359214</v>
          </cell>
          <cell r="Q1869">
            <v>919.41728459546823</v>
          </cell>
          <cell r="R1869">
            <v>933.12372045307154</v>
          </cell>
          <cell r="T1869"/>
          <cell r="U1869"/>
          <cell r="V1869">
            <v>0.74002057814409228</v>
          </cell>
          <cell r="W1869">
            <v>2.5979832432494849E-5</v>
          </cell>
          <cell r="X1869">
            <v>9</v>
          </cell>
          <cell r="Y1869" t="str">
            <v>Proteger</v>
          </cell>
        </row>
        <row r="1870">
          <cell r="A1870" t="str">
            <v>5716</v>
          </cell>
          <cell r="B1870" t="str">
            <v>5716 - INSAFARMA, C.A.</v>
          </cell>
          <cell r="C1870" t="str">
            <v>INDEPENDIENTE</v>
          </cell>
          <cell r="D1870">
            <v>3</v>
          </cell>
          <cell r="E1870"/>
          <cell r="F1870" t="str">
            <v>ESTE</v>
          </cell>
          <cell r="G1870" t="str">
            <v>ADOLFO GONZALEZ</v>
          </cell>
          <cell r="H1870"/>
          <cell r="I1870" t="str">
            <v>A8</v>
          </cell>
          <cell r="J1870" t="str">
            <v>Activo</v>
          </cell>
          <cell r="K1870">
            <v>6122.5871066151685</v>
          </cell>
          <cell r="L1870">
            <v>765.32338832689607</v>
          </cell>
          <cell r="M1870">
            <v>726.82916010797987</v>
          </cell>
          <cell r="N1870" t="str">
            <v>Si Compra</v>
          </cell>
          <cell r="O1870">
            <v>8</v>
          </cell>
          <cell r="P1870">
            <v>169061.62801161816</v>
          </cell>
          <cell r="Q1870">
            <v>21132.70350145227</v>
          </cell>
          <cell r="R1870">
            <v>14575.066101327046</v>
          </cell>
          <cell r="T1870"/>
          <cell r="U1870"/>
          <cell r="V1870">
            <v>3.6215119768008001E-2</v>
          </cell>
          <cell r="W1870">
            <v>2.9223004881630962E-5</v>
          </cell>
          <cell r="X1870">
            <v>8</v>
          </cell>
          <cell r="Y1870" t="str">
            <v>Conquistar</v>
          </cell>
        </row>
        <row r="1871">
          <cell r="A1871" t="str">
            <v>0821</v>
          </cell>
          <cell r="B1871" t="str">
            <v>0821 - FARMACIA MULTIFARMA, C.A</v>
          </cell>
          <cell r="C1871" t="str">
            <v>INDEPENDIENTE</v>
          </cell>
          <cell r="D1871">
            <v>3</v>
          </cell>
          <cell r="E1871"/>
          <cell r="F1871" t="str">
            <v>ESTE</v>
          </cell>
          <cell r="G1871" t="str">
            <v>JOSE RAMIREZ</v>
          </cell>
          <cell r="H1871"/>
          <cell r="I1871" t="str">
            <v>A2</v>
          </cell>
          <cell r="J1871" t="str">
            <v>Activo</v>
          </cell>
          <cell r="K1871">
            <v>6120.6068975155067</v>
          </cell>
          <cell r="L1871">
            <v>612.06068975155063</v>
          </cell>
          <cell r="M1871">
            <v>610.18950936997692</v>
          </cell>
          <cell r="N1871" t="str">
            <v>Si Compra</v>
          </cell>
          <cell r="O1871">
            <v>10</v>
          </cell>
          <cell r="P1871">
            <v>11091.207720442206</v>
          </cell>
          <cell r="Q1871">
            <v>1109.1207720442205</v>
          </cell>
          <cell r="R1871">
            <v>822.92438047207327</v>
          </cell>
          <cell r="T1871"/>
          <cell r="U1871"/>
          <cell r="V1871">
            <v>0.55184314024113135</v>
          </cell>
          <cell r="W1871">
            <v>2.3370842701626858E-5</v>
          </cell>
          <cell r="X1871">
            <v>10</v>
          </cell>
          <cell r="Y1871" t="str">
            <v>Potenciar</v>
          </cell>
        </row>
        <row r="1872">
          <cell r="A1872" t="str">
            <v>1201</v>
          </cell>
          <cell r="B1872" t="str">
            <v>1201 - FARMACIA BALOA, S.R.L</v>
          </cell>
          <cell r="C1872" t="str">
            <v>INDEPENDIENTE</v>
          </cell>
          <cell r="D1872">
            <v>3</v>
          </cell>
          <cell r="E1872"/>
          <cell r="F1872" t="str">
            <v>CARACAS</v>
          </cell>
          <cell r="G1872" t="str">
            <v>MAIRUBI QUIJADA</v>
          </cell>
          <cell r="H1872"/>
          <cell r="I1872" t="str">
            <v>C1</v>
          </cell>
          <cell r="J1872" t="str">
            <v>Activo</v>
          </cell>
          <cell r="K1872">
            <v>6110.6756864764784</v>
          </cell>
          <cell r="L1872">
            <v>611.06756864764782</v>
          </cell>
          <cell r="M1872">
            <v>687.1300954921594</v>
          </cell>
          <cell r="N1872" t="str">
            <v>Si Compra</v>
          </cell>
          <cell r="O1872">
            <v>10</v>
          </cell>
          <cell r="P1872">
            <v>17190.803384335482</v>
          </cell>
          <cell r="Q1872">
            <v>1719.0803384335481</v>
          </cell>
          <cell r="R1872">
            <v>1652.9338947784938</v>
          </cell>
          <cell r="T1872"/>
          <cell r="U1872"/>
          <cell r="V1872">
            <v>0.35546190308037712</v>
          </cell>
          <cell r="W1872">
            <v>2.3332921499544103E-5</v>
          </cell>
          <cell r="X1872">
            <v>10</v>
          </cell>
          <cell r="Y1872" t="str">
            <v>Potenciar</v>
          </cell>
        </row>
        <row r="1873">
          <cell r="A1873" t="str">
            <v>N132</v>
          </cell>
          <cell r="B1873" t="str">
            <v>N132 - FARMACIA TRICENTENARIA,C.A.</v>
          </cell>
          <cell r="C1873" t="str">
            <v>INDEPENDIENTE</v>
          </cell>
          <cell r="D1873">
            <v>3</v>
          </cell>
          <cell r="F1873" t="str">
            <v>CENTRO OESTE</v>
          </cell>
          <cell r="G1873" t="str">
            <v>YAMILEX LAMEDA</v>
          </cell>
          <cell r="H1873"/>
          <cell r="I1873" t="str">
            <v>Y1</v>
          </cell>
          <cell r="J1873" t="str">
            <v>Activo</v>
          </cell>
          <cell r="K1873">
            <v>6081.7403230952732</v>
          </cell>
          <cell r="L1873">
            <v>608.17403230952732</v>
          </cell>
          <cell r="M1873">
            <v>352.27228778014688</v>
          </cell>
          <cell r="N1873" t="str">
            <v>Si Compra</v>
          </cell>
          <cell r="O1873">
            <v>10</v>
          </cell>
          <cell r="P1873">
            <v>6899.986774146495</v>
          </cell>
          <cell r="Q1873">
            <v>689.99867741464948</v>
          </cell>
          <cell r="R1873">
            <v>320.07545323348677</v>
          </cell>
          <cell r="V1873">
            <v>0.88141333051287829</v>
          </cell>
          <cell r="W1873">
            <v>2.3222435098861998E-5</v>
          </cell>
          <cell r="X1873">
            <v>10</v>
          </cell>
          <cell r="Y1873" t="str">
            <v>Proteger</v>
          </cell>
        </row>
        <row r="1874">
          <cell r="A1874" t="str">
            <v>E512</v>
          </cell>
          <cell r="B1874" t="str">
            <v>E512 - EXPENDIO DE MEDICINAS EL SHADDAI C.A</v>
          </cell>
          <cell r="C1874" t="e">
            <v>#N/A</v>
          </cell>
          <cell r="D1874">
            <v>3</v>
          </cell>
          <cell r="F1874" t="str">
            <v>MARACAIBO</v>
          </cell>
          <cell r="G1874">
            <v>0</v>
          </cell>
          <cell r="H1874"/>
          <cell r="I1874" t="str">
            <v>BZ</v>
          </cell>
          <cell r="J1874" t="str">
            <v>Activo</v>
          </cell>
          <cell r="K1874">
            <v>6062.8013000000001</v>
          </cell>
          <cell r="L1874">
            <v>1515.700325</v>
          </cell>
          <cell r="M1874">
            <v>1008.1881999999999</v>
          </cell>
          <cell r="N1874" t="str">
            <v>Si Compra</v>
          </cell>
          <cell r="O1874">
            <v>4</v>
          </cell>
          <cell r="P1874">
            <v>0</v>
          </cell>
          <cell r="Q1874">
            <v>0</v>
          </cell>
          <cell r="R1874">
            <v>0</v>
          </cell>
          <cell r="V1874">
            <v>0</v>
          </cell>
          <cell r="W1874">
            <v>5.7875296472248184E-5</v>
          </cell>
          <cell r="X1874">
            <v>0</v>
          </cell>
          <cell r="Y1874" t="str">
            <v>Conquistar</v>
          </cell>
        </row>
        <row r="1875">
          <cell r="A1875" t="str">
            <v>E418</v>
          </cell>
          <cell r="B1875" t="str">
            <v>E418 - FARMACIA NUEVO RENACER, C.A</v>
          </cell>
          <cell r="C1875" t="e">
            <v>#N/A</v>
          </cell>
          <cell r="D1875">
            <v>3</v>
          </cell>
          <cell r="F1875" t="str">
            <v>ANDES</v>
          </cell>
          <cell r="G1875">
            <v>0</v>
          </cell>
          <cell r="H1875"/>
          <cell r="I1875" t="str">
            <v>5</v>
          </cell>
          <cell r="J1875" t="str">
            <v>Activo</v>
          </cell>
          <cell r="K1875">
            <v>6061.3906999999999</v>
          </cell>
          <cell r="L1875">
            <v>1212.2781399999999</v>
          </cell>
          <cell r="M1875">
            <v>737.42796666666663</v>
          </cell>
          <cell r="N1875" t="str">
            <v>Si Compra</v>
          </cell>
          <cell r="O1875">
            <v>5</v>
          </cell>
          <cell r="P1875">
            <v>0</v>
          </cell>
          <cell r="Q1875">
            <v>0</v>
          </cell>
          <cell r="R1875">
            <v>0</v>
          </cell>
          <cell r="V1875">
            <v>0</v>
          </cell>
          <cell r="W1875">
            <v>4.6289464745826706E-5</v>
          </cell>
          <cell r="X1875">
            <v>0</v>
          </cell>
          <cell r="Y1875" t="str">
            <v>Conquistar</v>
          </cell>
        </row>
        <row r="1876">
          <cell r="A1876" t="str">
            <v>D764</v>
          </cell>
          <cell r="B1876" t="str">
            <v>D764 - FARMACIA FUSION MEDICAL, C.A.</v>
          </cell>
          <cell r="C1876" t="str">
            <v>INDEPENDIENTE</v>
          </cell>
          <cell r="D1876">
            <v>3</v>
          </cell>
          <cell r="E1876"/>
          <cell r="F1876" t="str">
            <v>CENTRO OESTE</v>
          </cell>
          <cell r="G1876">
            <v>0</v>
          </cell>
          <cell r="H1876"/>
          <cell r="I1876" t="str">
            <v>E</v>
          </cell>
          <cell r="J1876" t="str">
            <v>Activo</v>
          </cell>
          <cell r="K1876">
            <v>6048.0284000000001</v>
          </cell>
          <cell r="L1876">
            <v>604.80284000000006</v>
          </cell>
          <cell r="M1876">
            <v>173.26693333333333</v>
          </cell>
          <cell r="N1876" t="str">
            <v>Si Compra</v>
          </cell>
          <cell r="O1876">
            <v>10</v>
          </cell>
          <cell r="P1876">
            <v>0</v>
          </cell>
          <cell r="Q1876">
            <v>0</v>
          </cell>
          <cell r="R1876">
            <v>0</v>
          </cell>
          <cell r="T1876"/>
          <cell r="U1876"/>
          <cell r="V1876">
            <v>0</v>
          </cell>
          <cell r="W1876">
            <v>2.3093709947088443E-5</v>
          </cell>
          <cell r="X1876">
            <v>0</v>
          </cell>
          <cell r="Y1876" t="str">
            <v>Conquistar</v>
          </cell>
        </row>
        <row r="1877">
          <cell r="A1877" t="str">
            <v>7824</v>
          </cell>
          <cell r="B1877" t="str">
            <v>7824 - GRUPO FARMAYA C.A</v>
          </cell>
          <cell r="C1877" t="str">
            <v>INDEPENDIENTE</v>
          </cell>
          <cell r="D1877">
            <v>3</v>
          </cell>
          <cell r="E1877"/>
          <cell r="F1877" t="str">
            <v>CARACAS</v>
          </cell>
          <cell r="G1877" t="str">
            <v>MAIRUBI QUIJADA</v>
          </cell>
          <cell r="H1877"/>
          <cell r="I1877" t="str">
            <v>C2</v>
          </cell>
          <cell r="J1877" t="str">
            <v>Inactivo</v>
          </cell>
          <cell r="K1877">
            <v>6047.7867560762224</v>
          </cell>
          <cell r="L1877">
            <v>604.77867560762229</v>
          </cell>
          <cell r="M1877">
            <v>738.18738821533464</v>
          </cell>
          <cell r="N1877" t="str">
            <v>Si Compra</v>
          </cell>
          <cell r="O1877">
            <v>10</v>
          </cell>
          <cell r="P1877">
            <v>6010.1151848162071</v>
          </cell>
          <cell r="Q1877">
            <v>601.01151848162067</v>
          </cell>
          <cell r="R1877">
            <v>695.96474103626042</v>
          </cell>
          <cell r="T1877"/>
          <cell r="U1877"/>
          <cell r="V1877">
            <v>1.0062680281661138</v>
          </cell>
          <cell r="W1877">
            <v>2.3092787257193963E-5</v>
          </cell>
          <cell r="X1877">
            <v>9</v>
          </cell>
          <cell r="Y1877" t="str">
            <v>Proteger</v>
          </cell>
        </row>
        <row r="1878">
          <cell r="A1878" t="str">
            <v>E405</v>
          </cell>
          <cell r="B1878" t="str">
            <v>E405 - FARMACIA FARMA DANA C.A.</v>
          </cell>
          <cell r="C1878" t="e">
            <v>#N/A</v>
          </cell>
          <cell r="D1878">
            <v>3</v>
          </cell>
          <cell r="F1878" t="str">
            <v>ESTE</v>
          </cell>
          <cell r="G1878">
            <v>0</v>
          </cell>
          <cell r="H1878"/>
          <cell r="I1878" t="str">
            <v>AB</v>
          </cell>
          <cell r="J1878" t="str">
            <v>Activo</v>
          </cell>
          <cell r="K1878">
            <v>6044.0027</v>
          </cell>
          <cell r="L1878">
            <v>1208.80054</v>
          </cell>
          <cell r="M1878">
            <v>1560.3846000000001</v>
          </cell>
          <cell r="N1878" t="str">
            <v>Si Compra</v>
          </cell>
          <cell r="O1878">
            <v>5</v>
          </cell>
          <cell r="P1878">
            <v>0</v>
          </cell>
          <cell r="Q1878">
            <v>0</v>
          </cell>
          <cell r="R1878">
            <v>0</v>
          </cell>
          <cell r="V1878">
            <v>0</v>
          </cell>
          <cell r="W1878">
            <v>4.6156676537173468E-5</v>
          </cell>
          <cell r="X1878">
            <v>0</v>
          </cell>
          <cell r="Y1878" t="str">
            <v>Conquistar</v>
          </cell>
        </row>
        <row r="1879">
          <cell r="A1879" t="str">
            <v>D780</v>
          </cell>
          <cell r="B1879" t="str">
            <v>D780 - FARMACIA INVERSIONES MACUVET C.A.</v>
          </cell>
          <cell r="C1879" t="str">
            <v>INDEPENDIENTE</v>
          </cell>
          <cell r="D1879">
            <v>3</v>
          </cell>
          <cell r="E1879"/>
          <cell r="F1879" t="str">
            <v>CARACAS</v>
          </cell>
          <cell r="G1879" t="str">
            <v>MAIRE ACOSTA FERNANDEZ</v>
          </cell>
          <cell r="H1879"/>
          <cell r="I1879" t="str">
            <v>C9</v>
          </cell>
          <cell r="J1879" t="str">
            <v>Inactivo</v>
          </cell>
          <cell r="K1879">
            <v>6037.5712999999996</v>
          </cell>
          <cell r="L1879">
            <v>1207.5142599999999</v>
          </cell>
          <cell r="M1879">
            <v>1424.4266666666665</v>
          </cell>
          <cell r="N1879" t="str">
            <v>Si Compra</v>
          </cell>
          <cell r="O1879">
            <v>5</v>
          </cell>
          <cell r="P1879">
            <v>6251.2834999999995</v>
          </cell>
          <cell r="Q1879">
            <v>1250.2566999999999</v>
          </cell>
          <cell r="R1879">
            <v>1058.0519666666667</v>
          </cell>
          <cell r="T1879"/>
          <cell r="U1879"/>
          <cell r="V1879">
            <v>0.96581306862822647</v>
          </cell>
          <cell r="W1879">
            <v>4.6107561395401409E-5</v>
          </cell>
          <cell r="X1879">
            <v>5</v>
          </cell>
          <cell r="Y1879" t="str">
            <v>Proteger</v>
          </cell>
        </row>
        <row r="1880">
          <cell r="A1880" t="str">
            <v>8155</v>
          </cell>
          <cell r="B1880" t="str">
            <v>8155 - FARMACIA BELLADONA, C.A.</v>
          </cell>
          <cell r="C1880" t="str">
            <v>INDEPENDIENTE</v>
          </cell>
          <cell r="D1880">
            <v>3</v>
          </cell>
          <cell r="E1880"/>
          <cell r="F1880" t="str">
            <v>CARACAS</v>
          </cell>
          <cell r="G1880" t="str">
            <v>MAIRUBI QUIJADA</v>
          </cell>
          <cell r="H1880"/>
          <cell r="I1880" t="str">
            <v>C2</v>
          </cell>
          <cell r="J1880" t="str">
            <v>Activo</v>
          </cell>
          <cell r="K1880">
            <v>6029.4589171291009</v>
          </cell>
          <cell r="L1880">
            <v>602.94589171291011</v>
          </cell>
          <cell r="M1880">
            <v>940.53636666666671</v>
          </cell>
          <cell r="N1880" t="str">
            <v>Si Compra</v>
          </cell>
          <cell r="O1880">
            <v>10</v>
          </cell>
          <cell r="P1880">
            <v>4149.7403939563574</v>
          </cell>
          <cell r="Q1880">
            <v>414.97403939563571</v>
          </cell>
          <cell r="R1880">
            <v>622.56970000000001</v>
          </cell>
          <cell r="T1880"/>
          <cell r="U1880"/>
          <cell r="V1880">
            <v>1.4529725584545838</v>
          </cell>
          <cell r="W1880">
            <v>2.3022804484526797E-5</v>
          </cell>
          <cell r="X1880">
            <v>9</v>
          </cell>
          <cell r="Y1880" t="str">
            <v>Proteger</v>
          </cell>
        </row>
        <row r="1881">
          <cell r="A1881" t="str">
            <v>B510</v>
          </cell>
          <cell r="B1881" t="str">
            <v>B510 - FARMAMEDICA EL VIÑEDO, C.A</v>
          </cell>
          <cell r="C1881" t="str">
            <v>INDEPENDIENTE</v>
          </cell>
          <cell r="D1881">
            <v>3</v>
          </cell>
          <cell r="E1881"/>
          <cell r="F1881" t="str">
            <v>CENTRO ESTE</v>
          </cell>
          <cell r="G1881" t="str">
            <v>ELIANA PERAZA</v>
          </cell>
          <cell r="H1881"/>
          <cell r="I1881" t="str">
            <v>M</v>
          </cell>
          <cell r="J1881" t="str">
            <v>Inactivo</v>
          </cell>
          <cell r="K1881">
            <v>6021.9147489511433</v>
          </cell>
          <cell r="L1881">
            <v>669.10163877234925</v>
          </cell>
          <cell r="M1881">
            <v>750.51741631704772</v>
          </cell>
          <cell r="N1881" t="str">
            <v>Si Compra</v>
          </cell>
          <cell r="O1881">
            <v>9</v>
          </cell>
          <cell r="P1881">
            <v>3375.123598755089</v>
          </cell>
          <cell r="Q1881">
            <v>375.01373319500988</v>
          </cell>
          <cell r="R1881">
            <v>498.29739958502961</v>
          </cell>
          <cell r="T1881"/>
          <cell r="U1881"/>
          <cell r="V1881">
            <v>1.7842056958069092</v>
          </cell>
          <cell r="W1881">
            <v>2.5548886594067876E-5</v>
          </cell>
          <cell r="X1881">
            <v>6</v>
          </cell>
          <cell r="Y1881" t="str">
            <v>Proteger</v>
          </cell>
        </row>
        <row r="1882">
          <cell r="A1882" t="str">
            <v>D441</v>
          </cell>
          <cell r="B1882" t="str">
            <v>D441 - FARMACIA GARCIA C.A.</v>
          </cell>
          <cell r="C1882" t="str">
            <v>INDEPENDIENTE</v>
          </cell>
          <cell r="D1882">
            <v>3</v>
          </cell>
          <cell r="E1882"/>
          <cell r="F1882" t="str">
            <v>ESTE</v>
          </cell>
          <cell r="G1882" t="str">
            <v>CARLOS BLONDELL</v>
          </cell>
          <cell r="H1882"/>
          <cell r="I1882" t="str">
            <v>A5</v>
          </cell>
          <cell r="J1882" t="str">
            <v>Activo</v>
          </cell>
          <cell r="K1882">
            <v>6021.840368249158</v>
          </cell>
          <cell r="L1882">
            <v>602.18403682491578</v>
          </cell>
          <cell r="M1882">
            <v>707.33806666666669</v>
          </cell>
          <cell r="N1882" t="str">
            <v>Si Compra</v>
          </cell>
          <cell r="O1882">
            <v>10</v>
          </cell>
          <cell r="P1882">
            <v>45411.598376013244</v>
          </cell>
          <cell r="Q1882">
            <v>4541.1598376013244</v>
          </cell>
          <cell r="R1882">
            <v>6173.3610999999992</v>
          </cell>
          <cell r="T1882"/>
          <cell r="U1882"/>
          <cell r="V1882">
            <v>0.13260577877897248</v>
          </cell>
          <cell r="W1882">
            <v>2.2993713920393345E-5</v>
          </cell>
          <cell r="X1882">
            <v>10</v>
          </cell>
          <cell r="Y1882" t="str">
            <v>Conquistar</v>
          </cell>
        </row>
        <row r="1883">
          <cell r="A1883" t="str">
            <v>E193</v>
          </cell>
          <cell r="B1883" t="str">
            <v>E193 - UNIFARMA SILVA 01, F.P</v>
          </cell>
          <cell r="C1883" t="str">
            <v>INDEPENDIENTE</v>
          </cell>
          <cell r="D1883">
            <v>3</v>
          </cell>
          <cell r="F1883" t="str">
            <v>ANDES</v>
          </cell>
          <cell r="G1883">
            <v>0</v>
          </cell>
          <cell r="H1883"/>
          <cell r="I1883" t="str">
            <v>4</v>
          </cell>
          <cell r="J1883" t="str">
            <v>Activo</v>
          </cell>
          <cell r="K1883">
            <v>5994.8747656974192</v>
          </cell>
          <cell r="L1883">
            <v>749.3593457121774</v>
          </cell>
          <cell r="M1883">
            <v>133.15479838034142</v>
          </cell>
          <cell r="N1883" t="str">
            <v>Si Compra</v>
          </cell>
          <cell r="O1883">
            <v>8</v>
          </cell>
          <cell r="P1883">
            <v>0</v>
          </cell>
          <cell r="Q1883">
            <v>0</v>
          </cell>
          <cell r="R1883">
            <v>0</v>
          </cell>
          <cell r="V1883">
            <v>0</v>
          </cell>
          <cell r="W1883">
            <v>2.8613436034819208E-5</v>
          </cell>
          <cell r="X1883">
            <v>0</v>
          </cell>
          <cell r="Y1883" t="str">
            <v>Conquistar</v>
          </cell>
        </row>
        <row r="1884">
          <cell r="A1884" t="str">
            <v>2904</v>
          </cell>
          <cell r="B1884" t="str">
            <v>2904 - FARMA DUBAI, C.A.</v>
          </cell>
          <cell r="C1884" t="str">
            <v>INDEPENDIENTE</v>
          </cell>
          <cell r="D1884">
            <v>3</v>
          </cell>
          <cell r="E1884"/>
          <cell r="F1884" t="str">
            <v>CENTRO OESTE</v>
          </cell>
          <cell r="G1884" t="str">
            <v>JOSE LUIS GARCIA</v>
          </cell>
          <cell r="H1884"/>
          <cell r="I1884" t="str">
            <v>Y</v>
          </cell>
          <cell r="J1884" t="str">
            <v>Activo</v>
          </cell>
          <cell r="K1884">
            <v>5988.2208337127886</v>
          </cell>
          <cell r="L1884">
            <v>598.82208337127884</v>
          </cell>
          <cell r="M1884">
            <v>654.94596633459344</v>
          </cell>
          <cell r="N1884" t="str">
            <v>Si Compra</v>
          </cell>
          <cell r="O1884">
            <v>10</v>
          </cell>
          <cell r="P1884">
            <v>72363.686971963572</v>
          </cell>
          <cell r="Q1884">
            <v>7236.3686971963571</v>
          </cell>
          <cell r="R1884">
            <v>5303.6170540302583</v>
          </cell>
          <cell r="T1884"/>
          <cell r="U1884"/>
          <cell r="V1884">
            <v>8.275173756739139E-2</v>
          </cell>
          <cell r="W1884">
            <v>2.2865341543845139E-5</v>
          </cell>
          <cell r="X1884">
            <v>10</v>
          </cell>
          <cell r="Y1884" t="str">
            <v>Conquistar</v>
          </cell>
        </row>
        <row r="1885">
          <cell r="A1885" t="str">
            <v>E355</v>
          </cell>
          <cell r="B1885" t="str">
            <v>E355 - FARMACIA LA BOTICA + GM, C.A.</v>
          </cell>
          <cell r="C1885" t="e">
            <v>#N/A</v>
          </cell>
          <cell r="D1885">
            <v>3</v>
          </cell>
          <cell r="F1885" t="str">
            <v>ESTE</v>
          </cell>
          <cell r="G1885">
            <v>0</v>
          </cell>
          <cell r="H1885"/>
          <cell r="I1885" t="str">
            <v>A3</v>
          </cell>
          <cell r="J1885" t="str">
            <v>Activo</v>
          </cell>
          <cell r="K1885">
            <v>5958.7819000000009</v>
          </cell>
          <cell r="L1885">
            <v>993.13031666666677</v>
          </cell>
          <cell r="M1885">
            <v>1256.2988333333333</v>
          </cell>
          <cell r="N1885" t="str">
            <v>Si Compra</v>
          </cell>
          <cell r="O1885">
            <v>6</v>
          </cell>
          <cell r="P1885">
            <v>0</v>
          </cell>
          <cell r="Q1885">
            <v>0</v>
          </cell>
          <cell r="R1885">
            <v>0</v>
          </cell>
          <cell r="V1885">
            <v>0</v>
          </cell>
          <cell r="W1885">
            <v>3.7921553861685063E-5</v>
          </cell>
          <cell r="X1885">
            <v>0</v>
          </cell>
          <cell r="Y1885" t="str">
            <v>Conquistar</v>
          </cell>
        </row>
        <row r="1886">
          <cell r="A1886" t="str">
            <v>D501</v>
          </cell>
          <cell r="B1886" t="str">
            <v>D501 - FARMACIA VIDASANA C.A</v>
          </cell>
          <cell r="C1886" t="str">
            <v>INDEPENDIENTE</v>
          </cell>
          <cell r="D1886">
            <v>3</v>
          </cell>
          <cell r="E1886"/>
          <cell r="F1886" t="str">
            <v>ANDES</v>
          </cell>
          <cell r="G1886" t="str">
            <v>ZULAY PARRA</v>
          </cell>
          <cell r="H1886"/>
          <cell r="I1886" t="str">
            <v xml:space="preserve">5 </v>
          </cell>
          <cell r="J1886" t="str">
            <v>Activo</v>
          </cell>
          <cell r="K1886">
            <v>5948.9936507703706</v>
          </cell>
          <cell r="L1886">
            <v>594.89936507703703</v>
          </cell>
          <cell r="M1886">
            <v>514.4435666666667</v>
          </cell>
          <cell r="N1886" t="str">
            <v>Si Compra</v>
          </cell>
          <cell r="O1886">
            <v>10</v>
          </cell>
          <cell r="P1886">
            <v>6969.8084283519756</v>
          </cell>
          <cell r="Q1886">
            <v>696.98084283519756</v>
          </cell>
          <cell r="R1886">
            <v>561.06959999999992</v>
          </cell>
          <cell r="T1886"/>
          <cell r="U1886"/>
          <cell r="V1886">
            <v>0.8535376132536</v>
          </cell>
          <cell r="W1886">
            <v>2.2715556998370192E-5</v>
          </cell>
          <cell r="X1886">
            <v>10</v>
          </cell>
          <cell r="Y1886" t="str">
            <v>Proteger</v>
          </cell>
        </row>
        <row r="1887">
          <cell r="A1887" t="str">
            <v>B319</v>
          </cell>
          <cell r="B1887" t="str">
            <v>B319 - BOTICA SAN GABRIEL, C.A.</v>
          </cell>
          <cell r="C1887" t="str">
            <v>INDEPENDIENTE</v>
          </cell>
          <cell r="D1887">
            <v>2</v>
          </cell>
          <cell r="E1887"/>
          <cell r="F1887" t="str">
            <v>ESTE</v>
          </cell>
          <cell r="G1887" t="str">
            <v>IRAIDA RODRIGUEZ</v>
          </cell>
          <cell r="H1887"/>
          <cell r="I1887" t="str">
            <v>AB</v>
          </cell>
          <cell r="J1887" t="str">
            <v>Activo</v>
          </cell>
          <cell r="K1887">
            <v>5930.7301000000007</v>
          </cell>
          <cell r="L1887">
            <v>847.24715714285719</v>
          </cell>
          <cell r="M1887">
            <v>527.59830000000011</v>
          </cell>
          <cell r="N1887" t="str">
            <v>Si Compra</v>
          </cell>
          <cell r="O1887">
            <v>7</v>
          </cell>
          <cell r="P1887">
            <v>3835.7356999999997</v>
          </cell>
          <cell r="Q1887">
            <v>639.28928333333329</v>
          </cell>
          <cell r="R1887">
            <v>0</v>
          </cell>
          <cell r="T1887"/>
          <cell r="U1887"/>
          <cell r="V1887">
            <v>1.3252954166933721</v>
          </cell>
          <cell r="W1887">
            <v>3.2351171004012487E-5</v>
          </cell>
          <cell r="X1887">
            <v>3</v>
          </cell>
          <cell r="Y1887" t="str">
            <v>Proteger</v>
          </cell>
        </row>
        <row r="1888">
          <cell r="A1888" t="str">
            <v>E482</v>
          </cell>
          <cell r="B1888" t="str">
            <v>E482 - FARMACIA SAN AGATON C.A.</v>
          </cell>
          <cell r="C1888" t="e">
            <v>#N/A</v>
          </cell>
          <cell r="D1888">
            <v>3</v>
          </cell>
          <cell r="F1888" t="str">
            <v>ANDES</v>
          </cell>
          <cell r="G1888">
            <v>0</v>
          </cell>
          <cell r="H1888"/>
          <cell r="I1888" t="str">
            <v>G2</v>
          </cell>
          <cell r="J1888" t="str">
            <v>Activo</v>
          </cell>
          <cell r="K1888">
            <v>5925.6867717137775</v>
          </cell>
          <cell r="L1888">
            <v>1481.4216929284444</v>
          </cell>
          <cell r="M1888">
            <v>1540.4263572379259</v>
          </cell>
          <cell r="N1888" t="str">
            <v>Si Compra</v>
          </cell>
          <cell r="O1888">
            <v>4</v>
          </cell>
          <cell r="P1888">
            <v>0</v>
          </cell>
          <cell r="Q1888">
            <v>0</v>
          </cell>
          <cell r="R1888">
            <v>0</v>
          </cell>
          <cell r="V1888">
            <v>0</v>
          </cell>
          <cell r="W1888">
            <v>5.6566405815512068E-5</v>
          </cell>
          <cell r="X1888">
            <v>0</v>
          </cell>
          <cell r="Y1888" t="str">
            <v>Conquistar</v>
          </cell>
        </row>
        <row r="1889">
          <cell r="A1889" t="str">
            <v>A187</v>
          </cell>
          <cell r="B1889" t="str">
            <v>A187 - FARMACIA MILAGROSA FREITES, C.A.</v>
          </cell>
          <cell r="C1889" t="str">
            <v>INDEPENDIENTE</v>
          </cell>
          <cell r="D1889">
            <v>3</v>
          </cell>
          <cell r="E1889"/>
          <cell r="F1889" t="str">
            <v>ESTE</v>
          </cell>
          <cell r="G1889" t="str">
            <v>PEDRO VIRE</v>
          </cell>
          <cell r="H1889"/>
          <cell r="I1889" t="str">
            <v>A7</v>
          </cell>
          <cell r="J1889" t="str">
            <v>Activo</v>
          </cell>
          <cell r="K1889">
            <v>5876.3630079456707</v>
          </cell>
          <cell r="L1889">
            <v>652.92922310507447</v>
          </cell>
          <cell r="M1889">
            <v>810.26535604652327</v>
          </cell>
          <cell r="N1889" t="str">
            <v>Si Compra</v>
          </cell>
          <cell r="O1889">
            <v>9</v>
          </cell>
          <cell r="P1889">
            <v>13475.634752851895</v>
          </cell>
          <cell r="Q1889">
            <v>1497.2927503168771</v>
          </cell>
          <cell r="R1889">
            <v>1209.3443632984943</v>
          </cell>
          <cell r="T1889"/>
          <cell r="U1889"/>
          <cell r="V1889">
            <v>0.43607318807019724</v>
          </cell>
          <cell r="W1889">
            <v>2.4931361258763907E-5</v>
          </cell>
          <cell r="X1889">
            <v>9</v>
          </cell>
          <cell r="Y1889" t="str">
            <v>Potenciar</v>
          </cell>
        </row>
        <row r="1890">
          <cell r="A1890" t="str">
            <v>+163</v>
          </cell>
          <cell r="B1890" t="str">
            <v>+163 - FARMACIA EL LIMON,C.A.</v>
          </cell>
          <cell r="C1890" t="str">
            <v>INDEPENDIENTE</v>
          </cell>
          <cell r="D1890">
            <v>1</v>
          </cell>
          <cell r="E1890"/>
          <cell r="F1890" t="str">
            <v>CENTRO ESTE</v>
          </cell>
          <cell r="G1890" t="str">
            <v>LAURA FLORES</v>
          </cell>
          <cell r="H1890"/>
          <cell r="I1890" t="str">
            <v>+</v>
          </cell>
          <cell r="J1890" t="str">
            <v>Bloqueado</v>
          </cell>
          <cell r="K1890">
            <v>5869.2664999999997</v>
          </cell>
          <cell r="L1890">
            <v>978.21108333333325</v>
          </cell>
          <cell r="M1890">
            <v>16.232399999999998</v>
          </cell>
          <cell r="N1890" t="str">
            <v>Si Compra</v>
          </cell>
          <cell r="O1890">
            <v>6</v>
          </cell>
          <cell r="P1890">
            <v>17219.7883</v>
          </cell>
          <cell r="Q1890">
            <v>2869.9647166666668</v>
          </cell>
          <cell r="R1890">
            <v>3871.6904</v>
          </cell>
          <cell r="T1890"/>
          <cell r="U1890"/>
          <cell r="V1890">
            <v>0.34084428900905822</v>
          </cell>
          <cell r="W1890">
            <v>3.7351879871343125E-5</v>
          </cell>
          <cell r="X1890">
            <v>6</v>
          </cell>
          <cell r="Y1890" t="str">
            <v>Potenciar</v>
          </cell>
        </row>
        <row r="1891">
          <cell r="A1891" t="str">
            <v>A249</v>
          </cell>
          <cell r="B1891" t="str">
            <v>A249 - FARMACIA  LA  LOMA,C.A.</v>
          </cell>
          <cell r="C1891" t="str">
            <v>INDEPENDIENTE</v>
          </cell>
          <cell r="D1891">
            <v>3</v>
          </cell>
          <cell r="E1891"/>
          <cell r="F1891" t="str">
            <v>ESTE</v>
          </cell>
          <cell r="G1891" t="str">
            <v>ADOLFO GONZALEZ</v>
          </cell>
          <cell r="H1891"/>
          <cell r="I1891" t="str">
            <v>A8</v>
          </cell>
          <cell r="J1891" t="str">
            <v>Activo</v>
          </cell>
          <cell r="K1891">
            <v>5820.46</v>
          </cell>
          <cell r="L1891">
            <v>582.04600000000005</v>
          </cell>
          <cell r="M1891">
            <v>1159.9773666666667</v>
          </cell>
          <cell r="N1891" t="str">
            <v>Si Compra</v>
          </cell>
          <cell r="O1891">
            <v>10</v>
          </cell>
          <cell r="P1891">
            <v>4661.6194999999998</v>
          </cell>
          <cell r="Q1891">
            <v>466.16194999999999</v>
          </cell>
          <cell r="R1891">
            <v>1028.5922666666665</v>
          </cell>
          <cell r="T1891"/>
          <cell r="U1891"/>
          <cell r="V1891">
            <v>1.2485918252229726</v>
          </cell>
          <cell r="W1891">
            <v>2.2224765842473622E-5</v>
          </cell>
          <cell r="X1891">
            <v>7</v>
          </cell>
          <cell r="Y1891" t="str">
            <v>Proteger</v>
          </cell>
        </row>
        <row r="1892">
          <cell r="A1892" t="str">
            <v>B511</v>
          </cell>
          <cell r="B1892" t="str">
            <v>B511 - FARMA MEDICAL PLUS. C. A.</v>
          </cell>
          <cell r="C1892" t="str">
            <v>INDEPENDIENTE</v>
          </cell>
          <cell r="D1892">
            <v>3</v>
          </cell>
          <cell r="E1892"/>
          <cell r="F1892" t="str">
            <v>CENTRO OESTE</v>
          </cell>
          <cell r="G1892" t="str">
            <v>LUIS PLACERES</v>
          </cell>
          <cell r="H1892"/>
          <cell r="I1892" t="str">
            <v>E</v>
          </cell>
          <cell r="J1892" t="str">
            <v>Activo</v>
          </cell>
          <cell r="K1892">
            <v>5813.8854187534407</v>
          </cell>
          <cell r="L1892">
            <v>645.98726875038233</v>
          </cell>
          <cell r="M1892">
            <v>619.12725647526679</v>
          </cell>
          <cell r="N1892" t="str">
            <v>Si Compra</v>
          </cell>
          <cell r="O1892">
            <v>9</v>
          </cell>
          <cell r="P1892">
            <v>7349.8708233352763</v>
          </cell>
          <cell r="Q1892">
            <v>816.65231370391962</v>
          </cell>
          <cell r="R1892">
            <v>633.04820443454958</v>
          </cell>
          <cell r="T1892"/>
          <cell r="U1892"/>
          <cell r="V1892">
            <v>0.79101872107667526</v>
          </cell>
          <cell r="W1892">
            <v>2.466629061138866E-5</v>
          </cell>
          <cell r="X1892">
            <v>9</v>
          </cell>
          <cell r="Y1892" t="str">
            <v>Proteger</v>
          </cell>
        </row>
        <row r="1893">
          <cell r="A1893" t="str">
            <v>B247</v>
          </cell>
          <cell r="B1893" t="str">
            <v>B247 - FARMACIA MIA DEL VALLE, C.A.</v>
          </cell>
          <cell r="C1893" t="str">
            <v>INDEPENDIENTE</v>
          </cell>
          <cell r="D1893">
            <v>0</v>
          </cell>
          <cell r="E1893"/>
          <cell r="F1893" t="str">
            <v>CENTRO ESTE</v>
          </cell>
          <cell r="G1893" t="str">
            <v>ELIANA PERAZA</v>
          </cell>
          <cell r="H1893"/>
          <cell r="I1893" t="str">
            <v>I</v>
          </cell>
          <cell r="J1893" t="str">
            <v>Suspendido</v>
          </cell>
          <cell r="K1893">
            <v>5801.7520000000004</v>
          </cell>
          <cell r="L1893">
            <v>1933.9173333333335</v>
          </cell>
          <cell r="M1893">
            <v>0</v>
          </cell>
          <cell r="N1893" t="str">
            <v>No Compra</v>
          </cell>
          <cell r="O1893">
            <v>3</v>
          </cell>
          <cell r="P1893">
            <v>6798.6623999999993</v>
          </cell>
          <cell r="Q1893">
            <v>2266.2207999999996</v>
          </cell>
          <cell r="R1893">
            <v>0</v>
          </cell>
          <cell r="T1893"/>
          <cell r="U1893"/>
          <cell r="V1893">
            <v>0.85336668577630825</v>
          </cell>
          <cell r="W1893">
            <v>7.3844438226590927E-5</v>
          </cell>
          <cell r="X1893">
            <v>3</v>
          </cell>
          <cell r="Y1893" t="str">
            <v>Proteger</v>
          </cell>
        </row>
        <row r="1894">
          <cell r="A1894" t="str">
            <v>1825</v>
          </cell>
          <cell r="B1894" t="str">
            <v>1825 - FARMACIA JUNCAL, C.A.</v>
          </cell>
          <cell r="C1894" t="str">
            <v>INDEPENDIENTE</v>
          </cell>
          <cell r="D1894">
            <v>3</v>
          </cell>
          <cell r="E1894"/>
          <cell r="F1894" t="str">
            <v>ESTE</v>
          </cell>
          <cell r="G1894" t="str">
            <v>CARMEN ALCALA</v>
          </cell>
          <cell r="H1894"/>
          <cell r="I1894" t="str">
            <v>A0</v>
          </cell>
          <cell r="J1894" t="str">
            <v>Activo</v>
          </cell>
          <cell r="K1894">
            <v>5789.0207691969854</v>
          </cell>
          <cell r="L1894">
            <v>578.90207691969852</v>
          </cell>
          <cell r="M1894">
            <v>544.31610000000001</v>
          </cell>
          <cell r="N1894" t="str">
            <v>Si Compra</v>
          </cell>
          <cell r="O1894">
            <v>10</v>
          </cell>
          <cell r="P1894">
            <v>25693.879107365865</v>
          </cell>
          <cell r="Q1894">
            <v>2569.3879107365865</v>
          </cell>
          <cell r="R1894">
            <v>2502.3502000000003</v>
          </cell>
          <cell r="T1894"/>
          <cell r="U1894"/>
          <cell r="V1894">
            <v>0.22530738721882604</v>
          </cell>
          <cell r="W1894">
            <v>2.2104718708249782E-5</v>
          </cell>
          <cell r="X1894">
            <v>10</v>
          </cell>
          <cell r="Y1894" t="str">
            <v>Potenciar</v>
          </cell>
        </row>
        <row r="1895">
          <cell r="A1895" t="str">
            <v>E584</v>
          </cell>
          <cell r="B1895" t="str">
            <v>E584 - FAMILY FARMA SALUD, C.A.</v>
          </cell>
          <cell r="C1895" t="e">
            <v>#N/A</v>
          </cell>
          <cell r="D1895">
            <v>2</v>
          </cell>
          <cell r="F1895" t="str">
            <v>ANDES</v>
          </cell>
          <cell r="G1895">
            <v>0</v>
          </cell>
          <cell r="H1895"/>
          <cell r="I1895" t="str">
            <v>5</v>
          </cell>
          <cell r="J1895" t="str">
            <v>Activo</v>
          </cell>
          <cell r="K1895">
            <v>5766.9144999999999</v>
          </cell>
          <cell r="L1895">
            <v>2883.4572499999999</v>
          </cell>
          <cell r="M1895">
            <v>2883.4572499999999</v>
          </cell>
          <cell r="N1895" t="str">
            <v>Si Compra</v>
          </cell>
          <cell r="O1895">
            <v>2</v>
          </cell>
          <cell r="P1895">
            <v>0</v>
          </cell>
          <cell r="Q1895">
            <v>0</v>
          </cell>
          <cell r="R1895">
            <v>0</v>
          </cell>
          <cell r="V1895">
            <v>0</v>
          </cell>
          <cell r="W1895">
            <v>1.101015421427738E-4</v>
          </cell>
          <cell r="X1895">
            <v>0</v>
          </cell>
          <cell r="Y1895" t="str">
            <v>Conquistar</v>
          </cell>
        </row>
        <row r="1896">
          <cell r="A1896" t="str">
            <v>C986</v>
          </cell>
          <cell r="B1896" t="str">
            <v>C986 - ROSBELY CAROLINA LOPEZ CORREA (LOPEZ FARMACIA LA MILAGROSA, F.P.)</v>
          </cell>
          <cell r="C1896" t="str">
            <v>INDEPENDIENTE</v>
          </cell>
          <cell r="D1896">
            <v>1</v>
          </cell>
          <cell r="E1896"/>
          <cell r="F1896" t="str">
            <v>CENTRO OESTE</v>
          </cell>
          <cell r="G1896" t="str">
            <v>LUIS PLACERES</v>
          </cell>
          <cell r="H1896"/>
          <cell r="I1896" t="str">
            <v>E</v>
          </cell>
          <cell r="J1896" t="str">
            <v>Permiso</v>
          </cell>
          <cell r="K1896">
            <v>5724.3480522782438</v>
          </cell>
          <cell r="L1896">
            <v>817.76400746832053</v>
          </cell>
          <cell r="M1896">
            <v>466.24860000000001</v>
          </cell>
          <cell r="N1896" t="str">
            <v>Si Compra</v>
          </cell>
          <cell r="O1896">
            <v>7</v>
          </cell>
          <cell r="P1896">
            <v>7358.6265262816287</v>
          </cell>
          <cell r="Q1896">
            <v>1051.2323608973754</v>
          </cell>
          <cell r="R1896">
            <v>511.68880000000001</v>
          </cell>
          <cell r="T1896"/>
          <cell r="U1896"/>
          <cell r="V1896">
            <v>0.77790984932222151</v>
          </cell>
          <cell r="W1896">
            <v>3.122539039936066E-5</v>
          </cell>
          <cell r="X1896">
            <v>7</v>
          </cell>
          <cell r="Y1896" t="str">
            <v>Proteger</v>
          </cell>
        </row>
        <row r="1897">
          <cell r="A1897" t="str">
            <v>E634</v>
          </cell>
          <cell r="B1897" t="str">
            <v>E634 - FARMABEY, C.A.</v>
          </cell>
          <cell r="C1897" t="e">
            <v>#N/A</v>
          </cell>
          <cell r="D1897">
            <v>2</v>
          </cell>
          <cell r="F1897" t="str">
            <v>ANDES</v>
          </cell>
          <cell r="G1897">
            <v>0</v>
          </cell>
          <cell r="H1897"/>
          <cell r="I1897" t="str">
            <v>G2</v>
          </cell>
          <cell r="J1897" t="str">
            <v>Activo</v>
          </cell>
          <cell r="K1897">
            <v>5706.7084999999997</v>
          </cell>
          <cell r="L1897">
            <v>2853.3542499999999</v>
          </cell>
          <cell r="M1897">
            <v>2853.3542499999999</v>
          </cell>
          <cell r="N1897" t="str">
            <v>Si Compra</v>
          </cell>
          <cell r="O1897">
            <v>2</v>
          </cell>
          <cell r="P1897">
            <v>0</v>
          </cell>
          <cell r="Q1897">
            <v>0</v>
          </cell>
          <cell r="R1897">
            <v>0</v>
          </cell>
          <cell r="V1897">
            <v>0</v>
          </cell>
          <cell r="W1897">
            <v>1.0895209325702253E-4</v>
          </cell>
          <cell r="X1897">
            <v>0</v>
          </cell>
          <cell r="Y1897" t="str">
            <v>Conquistar</v>
          </cell>
        </row>
        <row r="1898">
          <cell r="A1898" t="str">
            <v>B419</v>
          </cell>
          <cell r="B1898" t="str">
            <v>B419 - FARMAROMAN,C.A</v>
          </cell>
          <cell r="C1898" t="str">
            <v>INDEPENDIENTE</v>
          </cell>
          <cell r="D1898">
            <v>0</v>
          </cell>
          <cell r="E1898"/>
          <cell r="F1898" t="str">
            <v>ESTE</v>
          </cell>
          <cell r="G1898" t="str">
            <v>ADOLFO GONZALEZ</v>
          </cell>
          <cell r="H1898"/>
          <cell r="I1898" t="str">
            <v>A8</v>
          </cell>
          <cell r="J1898" t="str">
            <v>Activo</v>
          </cell>
          <cell r="K1898">
            <v>5690.5009243543509</v>
          </cell>
          <cell r="L1898">
            <v>1138.1001848708702</v>
          </cell>
          <cell r="M1898">
            <v>0</v>
          </cell>
          <cell r="N1898" t="str">
            <v>No Compra</v>
          </cell>
          <cell r="O1898">
            <v>5</v>
          </cell>
          <cell r="P1898">
            <v>10064.562217694103</v>
          </cell>
          <cell r="Q1898">
            <v>2012.9124435388208</v>
          </cell>
          <cell r="R1898">
            <v>0</v>
          </cell>
          <cell r="T1898"/>
          <cell r="U1898"/>
          <cell r="V1898">
            <v>0.56539974628505041</v>
          </cell>
          <cell r="W1898">
            <v>4.3457063726975236E-5</v>
          </cell>
          <cell r="X1898">
            <v>5</v>
          </cell>
          <cell r="Y1898" t="str">
            <v>Potenciar</v>
          </cell>
        </row>
        <row r="1899">
          <cell r="A1899" t="str">
            <v>E409</v>
          </cell>
          <cell r="B1899" t="str">
            <v>E409 - FARMAHOGAR Y ALGO MAS 24/27 C.A.</v>
          </cell>
          <cell r="C1899" t="e">
            <v>#N/A</v>
          </cell>
          <cell r="D1899">
            <v>3</v>
          </cell>
          <cell r="F1899" t="str">
            <v>CENTRO ESTE</v>
          </cell>
          <cell r="G1899">
            <v>0</v>
          </cell>
          <cell r="H1899"/>
          <cell r="I1899" t="str">
            <v>AV</v>
          </cell>
          <cell r="J1899" t="str">
            <v>Activo</v>
          </cell>
          <cell r="K1899">
            <v>5682.8857999999991</v>
          </cell>
          <cell r="L1899">
            <v>1136.5771599999998</v>
          </cell>
          <cell r="M1899">
            <v>1196.6902333333335</v>
          </cell>
          <cell r="N1899" t="str">
            <v>Si Compra</v>
          </cell>
          <cell r="O1899">
            <v>5</v>
          </cell>
          <cell r="P1899">
            <v>0</v>
          </cell>
          <cell r="Q1899">
            <v>0</v>
          </cell>
          <cell r="R1899">
            <v>0</v>
          </cell>
          <cell r="V1899">
            <v>0</v>
          </cell>
          <cell r="W1899">
            <v>4.339890875103286E-5</v>
          </cell>
          <cell r="X1899">
            <v>0</v>
          </cell>
          <cell r="Y1899" t="str">
            <v>Conquistar</v>
          </cell>
        </row>
        <row r="1900">
          <cell r="A1900" t="str">
            <v>M120</v>
          </cell>
          <cell r="B1900" t="str">
            <v>M120 - FARMACIA BIEN STAR EL TRIGAL, C.A.</v>
          </cell>
          <cell r="C1900" t="str">
            <v>INDEPENDIENTE</v>
          </cell>
          <cell r="D1900">
            <v>1</v>
          </cell>
          <cell r="F1900" t="str">
            <v>CENTRO ESTE</v>
          </cell>
          <cell r="G1900" t="str">
            <v>ELIANA PERAZA</v>
          </cell>
          <cell r="H1900"/>
          <cell r="I1900" t="str">
            <v>M</v>
          </cell>
          <cell r="J1900" t="str">
            <v>Activo</v>
          </cell>
          <cell r="K1900">
            <v>5664.0859</v>
          </cell>
          <cell r="L1900">
            <v>944.01431666666667</v>
          </cell>
          <cell r="M1900">
            <v>59.375799999999998</v>
          </cell>
          <cell r="N1900" t="str">
            <v>Si Compra</v>
          </cell>
          <cell r="O1900">
            <v>6</v>
          </cell>
          <cell r="P1900">
            <v>7748.3751999999995</v>
          </cell>
          <cell r="Q1900">
            <v>1291.3958666666665</v>
          </cell>
          <cell r="R1900">
            <v>0</v>
          </cell>
          <cell r="V1900">
            <v>0.73100304951675554</v>
          </cell>
          <cell r="W1900">
            <v>3.6046115152169091E-5</v>
          </cell>
          <cell r="X1900">
            <v>5</v>
          </cell>
          <cell r="Y1900" t="str">
            <v>Proteger</v>
          </cell>
        </row>
        <row r="1901">
          <cell r="A1901">
            <v>0</v>
          </cell>
          <cell r="B1901" t="str">
            <v>S350 - FARMACIA YORMEDICAL, C.A.</v>
          </cell>
          <cell r="C1901" t="e">
            <v>#N/A</v>
          </cell>
          <cell r="D1901">
            <v>0</v>
          </cell>
          <cell r="E1901"/>
          <cell r="F1901" t="str">
            <v>ANDES</v>
          </cell>
          <cell r="G1901" t="str">
            <v>MARIA GABRIELA FORTUL</v>
          </cell>
          <cell r="H1901"/>
          <cell r="I1901" t="str">
            <v>3</v>
          </cell>
          <cell r="J1901" t="str">
            <v>Activo</v>
          </cell>
          <cell r="K1901">
            <v>5652.5484948556714</v>
          </cell>
          <cell r="L1901">
            <v>565.25484948556709</v>
          </cell>
          <cell r="M1901">
            <v>496.40236666666669</v>
          </cell>
          <cell r="N1901" t="str">
            <v>Si Compra</v>
          </cell>
          <cell r="O1901">
            <v>10</v>
          </cell>
          <cell r="P1901">
            <v>13682.589468973918</v>
          </cell>
          <cell r="Q1901">
            <v>1368.2589468973918</v>
          </cell>
          <cell r="R1901">
            <v>734.24443333333329</v>
          </cell>
          <cell r="T1901"/>
          <cell r="U1901"/>
          <cell r="V1901">
            <v>0.41311979049529768</v>
          </cell>
          <cell r="W1901">
            <v>2.1583614819343145E-5</v>
          </cell>
          <cell r="X1901">
            <v>10</v>
          </cell>
          <cell r="Y1901" t="str">
            <v>Potenciar</v>
          </cell>
        </row>
        <row r="1902">
          <cell r="A1902">
            <v>0</v>
          </cell>
          <cell r="B1902" t="str">
            <v>S308 - FARMAMEXICANO, C.A</v>
          </cell>
          <cell r="C1902" t="e">
            <v>#N/A</v>
          </cell>
          <cell r="D1902">
            <v>0</v>
          </cell>
          <cell r="E1902"/>
          <cell r="F1902" t="str">
            <v>CENTRO OESTE</v>
          </cell>
          <cell r="G1902" t="str">
            <v>LUIS PLACERES</v>
          </cell>
          <cell r="H1902"/>
          <cell r="I1902" t="str">
            <v>E</v>
          </cell>
          <cell r="J1902" t="str">
            <v>Activo</v>
          </cell>
          <cell r="K1902">
            <v>5613.1274117781077</v>
          </cell>
          <cell r="L1902">
            <v>561.31274117781072</v>
          </cell>
          <cell r="M1902">
            <v>383.15784720804203</v>
          </cell>
          <cell r="N1902" t="str">
            <v>Si Compra</v>
          </cell>
          <cell r="O1902">
            <v>10</v>
          </cell>
          <cell r="P1902">
            <v>12658.90992402572</v>
          </cell>
          <cell r="Q1902">
            <v>1265.890992402572</v>
          </cell>
          <cell r="R1902">
            <v>527.14400295413168</v>
          </cell>
          <cell r="T1902"/>
          <cell r="U1902"/>
          <cell r="V1902">
            <v>0.44341317265594776</v>
          </cell>
          <cell r="W1902">
            <v>2.1433089888211315E-5</v>
          </cell>
          <cell r="X1902">
            <v>10</v>
          </cell>
          <cell r="Y1902" t="str">
            <v>Potenciar</v>
          </cell>
        </row>
        <row r="1903">
          <cell r="A1903" t="str">
            <v>$317</v>
          </cell>
          <cell r="B1903" t="str">
            <v>$317 - FARMACIA LA GRAN VIA, C.A</v>
          </cell>
          <cell r="C1903" t="str">
            <v>INDEPENDIENTE</v>
          </cell>
          <cell r="D1903">
            <v>3</v>
          </cell>
          <cell r="E1903"/>
          <cell r="F1903" t="str">
            <v>CENTRO ESTE</v>
          </cell>
          <cell r="G1903" t="str">
            <v>LAURA FLORES</v>
          </cell>
          <cell r="H1903"/>
          <cell r="I1903" t="str">
            <v>+</v>
          </cell>
          <cell r="J1903" t="str">
            <v>Activo</v>
          </cell>
          <cell r="K1903">
            <v>5606.0787433777141</v>
          </cell>
          <cell r="L1903">
            <v>560.60787433777136</v>
          </cell>
          <cell r="M1903">
            <v>390.04124699400603</v>
          </cell>
          <cell r="N1903" t="str">
            <v>Si Compra</v>
          </cell>
          <cell r="O1903">
            <v>10</v>
          </cell>
          <cell r="P1903">
            <v>8867.2960078698143</v>
          </cell>
          <cell r="Q1903">
            <v>886.72960078698145</v>
          </cell>
          <cell r="R1903">
            <v>574.64742102331741</v>
          </cell>
          <cell r="T1903"/>
          <cell r="U1903"/>
          <cell r="V1903">
            <v>0.63221964603440128</v>
          </cell>
          <cell r="W1903">
            <v>2.1406175348003154E-5</v>
          </cell>
          <cell r="X1903">
            <v>10</v>
          </cell>
          <cell r="Y1903" t="str">
            <v>Proteger</v>
          </cell>
        </row>
        <row r="1904">
          <cell r="A1904" t="str">
            <v>C724</v>
          </cell>
          <cell r="B1904" t="str">
            <v>C724 - FARMACIA DRO-MEDICAL,C.A</v>
          </cell>
          <cell r="C1904" t="str">
            <v>INDEPENDIENTE</v>
          </cell>
          <cell r="D1904">
            <v>3</v>
          </cell>
          <cell r="E1904"/>
          <cell r="F1904" t="str">
            <v>ESTE</v>
          </cell>
          <cell r="G1904" t="str">
            <v>CARMEN ALCALA</v>
          </cell>
          <cell r="H1904"/>
          <cell r="I1904" t="str">
            <v>A6</v>
          </cell>
          <cell r="J1904" t="str">
            <v>Activo</v>
          </cell>
          <cell r="K1904">
            <v>5601.5784675031155</v>
          </cell>
          <cell r="L1904">
            <v>560.15784675031159</v>
          </cell>
          <cell r="M1904">
            <v>268.29583333333335</v>
          </cell>
          <cell r="N1904" t="str">
            <v>Si Compra</v>
          </cell>
          <cell r="O1904">
            <v>10</v>
          </cell>
          <cell r="P1904">
            <v>256116.33742641594</v>
          </cell>
          <cell r="Q1904">
            <v>25611.633742641592</v>
          </cell>
          <cell r="R1904">
            <v>6703.7919666666667</v>
          </cell>
          <cell r="T1904"/>
          <cell r="U1904"/>
          <cell r="V1904">
            <v>2.1871226661253074E-2</v>
          </cell>
          <cell r="W1904">
            <v>2.1388991555392355E-5</v>
          </cell>
          <cell r="X1904">
            <v>8</v>
          </cell>
          <cell r="Y1904" t="str">
            <v>Conquistar</v>
          </cell>
        </row>
        <row r="1905">
          <cell r="A1905" t="str">
            <v>4462</v>
          </cell>
          <cell r="B1905" t="str">
            <v>4462 - FARMACIA FUL C.A.</v>
          </cell>
          <cell r="C1905" t="e">
            <v>#N/A</v>
          </cell>
          <cell r="D1905">
            <v>3</v>
          </cell>
          <cell r="E1905"/>
          <cell r="F1905" t="str">
            <v>CENTRO OESTE</v>
          </cell>
          <cell r="G1905" t="str">
            <v>YAMILEX LAMEDA</v>
          </cell>
          <cell r="H1905"/>
          <cell r="I1905" t="str">
            <v>Y1</v>
          </cell>
          <cell r="J1905" t="str">
            <v>Activo</v>
          </cell>
          <cell r="K1905">
            <v>5591.0101000000004</v>
          </cell>
          <cell r="L1905">
            <v>1118.2020200000002</v>
          </cell>
          <cell r="M1905">
            <v>1272.4484333333332</v>
          </cell>
          <cell r="N1905" t="str">
            <v>Si Compra</v>
          </cell>
          <cell r="O1905">
            <v>5</v>
          </cell>
          <cell r="P1905">
            <v>0</v>
          </cell>
          <cell r="Q1905">
            <v>0</v>
          </cell>
          <cell r="R1905">
            <v>0</v>
          </cell>
          <cell r="T1905"/>
          <cell r="U1905"/>
          <cell r="V1905">
            <v>0</v>
          </cell>
          <cell r="W1905">
            <v>4.2697274887347403E-5</v>
          </cell>
          <cell r="X1905">
            <v>0</v>
          </cell>
          <cell r="Y1905" t="str">
            <v>Conquistar</v>
          </cell>
        </row>
        <row r="1906">
          <cell r="A1906" t="str">
            <v>E021</v>
          </cell>
          <cell r="B1906" t="str">
            <v>E021 - FARMACIA DESIFARMA C.A.</v>
          </cell>
          <cell r="C1906" t="str">
            <v>INDEPENDIENTE</v>
          </cell>
          <cell r="D1906">
            <v>1</v>
          </cell>
          <cell r="F1906" t="str">
            <v>ESTE</v>
          </cell>
          <cell r="G1906">
            <v>0</v>
          </cell>
          <cell r="H1906"/>
          <cell r="I1906" t="str">
            <v>A4</v>
          </cell>
          <cell r="J1906" t="str">
            <v>Activo</v>
          </cell>
          <cell r="K1906">
            <v>5580.0887999999995</v>
          </cell>
          <cell r="L1906">
            <v>1116.01776</v>
          </cell>
          <cell r="M1906">
            <v>3823.0888</v>
          </cell>
          <cell r="N1906" t="str">
            <v>Si Compra</v>
          </cell>
          <cell r="O1906">
            <v>5</v>
          </cell>
          <cell r="P1906">
            <v>0</v>
          </cell>
          <cell r="Q1906">
            <v>0</v>
          </cell>
          <cell r="R1906">
            <v>0</v>
          </cell>
          <cell r="V1906">
            <v>0</v>
          </cell>
          <cell r="W1906">
            <v>4.2613871398552559E-5</v>
          </cell>
          <cell r="X1906">
            <v>0</v>
          </cell>
          <cell r="Y1906" t="str">
            <v>Conquistar</v>
          </cell>
        </row>
        <row r="1907">
          <cell r="A1907" t="str">
            <v>D339</v>
          </cell>
          <cell r="B1907" t="str">
            <v>D339 - RIO SUMINISTROS MEDICOS A.M., C.A</v>
          </cell>
          <cell r="C1907" t="str">
            <v>INDEPENDIENTE</v>
          </cell>
          <cell r="D1907">
            <v>3</v>
          </cell>
          <cell r="E1907"/>
          <cell r="F1907" t="str">
            <v>CARACAS</v>
          </cell>
          <cell r="G1907">
            <v>0</v>
          </cell>
          <cell r="H1907"/>
          <cell r="I1907" t="str">
            <v>CF</v>
          </cell>
          <cell r="J1907" t="str">
            <v>Activo</v>
          </cell>
          <cell r="K1907">
            <v>5573.6250854821083</v>
          </cell>
          <cell r="L1907">
            <v>619.29167616467873</v>
          </cell>
          <cell r="M1907">
            <v>563.23167411022041</v>
          </cell>
          <cell r="N1907" t="str">
            <v>Si Compra</v>
          </cell>
          <cell r="O1907">
            <v>9</v>
          </cell>
          <cell r="P1907">
            <v>0</v>
          </cell>
          <cell r="Q1907">
            <v>0</v>
          </cell>
          <cell r="R1907">
            <v>0</v>
          </cell>
          <cell r="T1907"/>
          <cell r="U1907"/>
          <cell r="V1907">
            <v>0</v>
          </cell>
          <cell r="W1907">
            <v>2.3646949710079595E-5</v>
          </cell>
          <cell r="X1907">
            <v>0</v>
          </cell>
          <cell r="Y1907" t="str">
            <v>Conquistar</v>
          </cell>
        </row>
        <row r="1908">
          <cell r="A1908" t="str">
            <v>A641</v>
          </cell>
          <cell r="B1908" t="str">
            <v>A641 - FARMACIA SURTI FARMA, C.A.</v>
          </cell>
          <cell r="C1908" t="str">
            <v>INDEPENDIENTE</v>
          </cell>
          <cell r="D1908">
            <v>3</v>
          </cell>
          <cell r="E1908"/>
          <cell r="F1908" t="str">
            <v>ANDES</v>
          </cell>
          <cell r="G1908" t="str">
            <v>ZULAY PARRA</v>
          </cell>
          <cell r="H1908"/>
          <cell r="I1908" t="str">
            <v>5</v>
          </cell>
          <cell r="J1908" t="str">
            <v>Activo</v>
          </cell>
          <cell r="K1908">
            <v>5560.3485760160147</v>
          </cell>
          <cell r="L1908">
            <v>556.03485760160152</v>
          </cell>
          <cell r="M1908">
            <v>565.45543625968924</v>
          </cell>
          <cell r="N1908" t="str">
            <v>Si Compra</v>
          </cell>
          <cell r="O1908">
            <v>10</v>
          </cell>
          <cell r="P1908">
            <v>9048.230015692121</v>
          </cell>
          <cell r="Q1908">
            <v>904.82300156921212</v>
          </cell>
          <cell r="R1908">
            <v>852.10400807607039</v>
          </cell>
          <cell r="T1908"/>
          <cell r="U1908"/>
          <cell r="V1908">
            <v>0.61452334504901407</v>
          </cell>
          <cell r="W1908">
            <v>2.1231559894662548E-5</v>
          </cell>
          <cell r="X1908">
            <v>10</v>
          </cell>
          <cell r="Y1908" t="str">
            <v>Proteger</v>
          </cell>
        </row>
        <row r="1909">
          <cell r="A1909" t="str">
            <v>B212</v>
          </cell>
          <cell r="B1909" t="str">
            <v>B212 - FARMACIA DE LA LUZ, C.A.</v>
          </cell>
          <cell r="C1909" t="str">
            <v>INDEPENDIENTE</v>
          </cell>
          <cell r="D1909">
            <v>3</v>
          </cell>
          <cell r="E1909"/>
          <cell r="F1909" t="str">
            <v>ANDES</v>
          </cell>
          <cell r="G1909" t="str">
            <v>MARIA GABRIELA FORTUL</v>
          </cell>
          <cell r="H1909"/>
          <cell r="I1909" t="str">
            <v>3</v>
          </cell>
          <cell r="J1909" t="str">
            <v>Activo</v>
          </cell>
          <cell r="K1909">
            <v>5558.1129872797219</v>
          </cell>
          <cell r="L1909">
            <v>794.0161410399603</v>
          </cell>
          <cell r="M1909">
            <v>805.19449575990745</v>
          </cell>
          <cell r="N1909" t="str">
            <v>Si Compra</v>
          </cell>
          <cell r="O1909">
            <v>7</v>
          </cell>
          <cell r="P1909">
            <v>6682.9377631989091</v>
          </cell>
          <cell r="Q1909">
            <v>954.70539474270129</v>
          </cell>
          <cell r="R1909">
            <v>736.47328773296965</v>
          </cell>
          <cell r="T1909"/>
          <cell r="U1909"/>
          <cell r="V1909">
            <v>0.83168707897995309</v>
          </cell>
          <cell r="W1909">
            <v>3.0318605075471057E-5</v>
          </cell>
          <cell r="X1909">
            <v>7</v>
          </cell>
          <cell r="Y1909" t="str">
            <v>Proteger</v>
          </cell>
        </row>
        <row r="1910">
          <cell r="A1910" t="str">
            <v>9884</v>
          </cell>
          <cell r="B1910" t="str">
            <v>9884 - FARMADOSS, C.A.</v>
          </cell>
          <cell r="C1910" t="str">
            <v>INDEPENDIENTE</v>
          </cell>
          <cell r="D1910">
            <v>1</v>
          </cell>
          <cell r="E1910"/>
          <cell r="F1910" t="str">
            <v>ESTE</v>
          </cell>
          <cell r="G1910" t="str">
            <v>JOSE RAMIREZ</v>
          </cell>
          <cell r="H1910"/>
          <cell r="I1910" t="str">
            <v>A2</v>
          </cell>
          <cell r="J1910" t="str">
            <v>Activo</v>
          </cell>
          <cell r="K1910">
            <v>5540.7727000000014</v>
          </cell>
          <cell r="L1910">
            <v>1108.1545400000002</v>
          </cell>
          <cell r="M1910">
            <v>1024.5389</v>
          </cell>
          <cell r="N1910" t="str">
            <v>Si Compra</v>
          </cell>
          <cell r="O1910">
            <v>5</v>
          </cell>
          <cell r="P1910">
            <v>6992.8554999999997</v>
          </cell>
          <cell r="Q1910">
            <v>1398.5710999999999</v>
          </cell>
          <cell r="R1910">
            <v>956.0326</v>
          </cell>
          <cell r="T1910"/>
          <cell r="U1910"/>
          <cell r="V1910">
            <v>0.79234766112355692</v>
          </cell>
          <cell r="W1910">
            <v>4.2313623268219478E-5</v>
          </cell>
          <cell r="X1910">
            <v>5</v>
          </cell>
          <cell r="Y1910" t="str">
            <v>Proteger</v>
          </cell>
        </row>
        <row r="1911">
          <cell r="A1911" t="str">
            <v>E489</v>
          </cell>
          <cell r="B1911" t="str">
            <v>E489 - GARCIA FARMATIENDITA, F.P</v>
          </cell>
          <cell r="C1911" t="e">
            <v>#N/A</v>
          </cell>
          <cell r="D1911">
            <v>3</v>
          </cell>
          <cell r="F1911" t="str">
            <v>CENTRO OESTE</v>
          </cell>
          <cell r="G1911">
            <v>0</v>
          </cell>
          <cell r="H1911"/>
          <cell r="I1911" t="str">
            <v>E</v>
          </cell>
          <cell r="J1911" t="str">
            <v>Activo</v>
          </cell>
          <cell r="K1911">
            <v>5522.0829768780404</v>
          </cell>
          <cell r="L1911">
            <v>1380.5207442195101</v>
          </cell>
          <cell r="M1911">
            <v>1512.1184000000001</v>
          </cell>
          <cell r="N1911" t="str">
            <v>Si Compra</v>
          </cell>
          <cell r="O1911">
            <v>4</v>
          </cell>
          <cell r="P1911">
            <v>0</v>
          </cell>
          <cell r="Q1911">
            <v>0</v>
          </cell>
          <cell r="R1911">
            <v>0</v>
          </cell>
          <cell r="V1911">
            <v>0</v>
          </cell>
          <cell r="W1911">
            <v>5.2713617619494042E-5</v>
          </cell>
          <cell r="X1911">
            <v>0</v>
          </cell>
          <cell r="Y1911" t="str">
            <v>Conquistar</v>
          </cell>
        </row>
        <row r="1912">
          <cell r="A1912" t="str">
            <v>3141</v>
          </cell>
          <cell r="B1912" t="str">
            <v>3141 - FERRER MALATESTA YENNY BERNARDETT (FARMACIA LA BERMEJA)</v>
          </cell>
          <cell r="C1912" t="str">
            <v>INDEPENDIENTE</v>
          </cell>
          <cell r="D1912">
            <v>0</v>
          </cell>
          <cell r="E1912"/>
          <cell r="F1912" t="str">
            <v>ANDES</v>
          </cell>
          <cell r="G1912" t="str">
            <v>MARIA GABRIELA FORTUL</v>
          </cell>
          <cell r="H1912"/>
          <cell r="I1912" t="str">
            <v>3</v>
          </cell>
          <cell r="J1912" t="str">
            <v>Bloqueado</v>
          </cell>
          <cell r="K1912">
            <v>5516.1471000000001</v>
          </cell>
          <cell r="L1912">
            <v>2758.0735500000001</v>
          </cell>
          <cell r="M1912">
            <v>0</v>
          </cell>
          <cell r="N1912" t="str">
            <v>No Compra</v>
          </cell>
          <cell r="O1912">
            <v>2</v>
          </cell>
          <cell r="P1912">
            <v>17472.077099999999</v>
          </cell>
          <cell r="Q1912">
            <v>8736.0385499999993</v>
          </cell>
          <cell r="R1912">
            <v>0</v>
          </cell>
          <cell r="T1912"/>
          <cell r="U1912"/>
          <cell r="V1912">
            <v>0.3157121542234953</v>
          </cell>
          <cell r="W1912">
            <v>1.053139078785353E-4</v>
          </cell>
          <cell r="X1912">
            <v>2</v>
          </cell>
          <cell r="Y1912" t="str">
            <v>Potenciar</v>
          </cell>
        </row>
        <row r="1913">
          <cell r="A1913" t="str">
            <v>D931</v>
          </cell>
          <cell r="B1913" t="str">
            <v>D931 - FARMACIA MI SALVADOR C.A.</v>
          </cell>
          <cell r="C1913" t="str">
            <v>INDEPENDIENTE</v>
          </cell>
          <cell r="D1913">
            <v>1</v>
          </cell>
          <cell r="E1913"/>
          <cell r="F1913" t="str">
            <v>ESTE</v>
          </cell>
          <cell r="G1913" t="str">
            <v>CARMEN ALCALA</v>
          </cell>
          <cell r="H1913"/>
          <cell r="I1913" t="str">
            <v>A6</v>
          </cell>
          <cell r="J1913" t="str">
            <v>Activo</v>
          </cell>
          <cell r="K1913">
            <v>5495.3387000000002</v>
          </cell>
          <cell r="L1913">
            <v>686.91733750000003</v>
          </cell>
          <cell r="M1913">
            <v>556.88990000000001</v>
          </cell>
          <cell r="N1913" t="str">
            <v>Si Compra</v>
          </cell>
          <cell r="O1913">
            <v>8</v>
          </cell>
          <cell r="P1913">
            <v>576212.33660000004</v>
          </cell>
          <cell r="Q1913">
            <v>72026.542075000005</v>
          </cell>
          <cell r="R1913">
            <v>38883.662300000004</v>
          </cell>
          <cell r="T1913"/>
          <cell r="U1913"/>
          <cell r="V1913">
            <v>9.5370028563182274E-3</v>
          </cell>
          <cell r="W1913">
            <v>2.6229158827778087E-5</v>
          </cell>
          <cell r="X1913">
            <v>8</v>
          </cell>
          <cell r="Y1913" t="str">
            <v>Conquistar</v>
          </cell>
        </row>
        <row r="1914">
          <cell r="A1914" t="str">
            <v>B880</v>
          </cell>
          <cell r="B1914" t="str">
            <v>B880 - PVM FARMACIAS, C.A.</v>
          </cell>
          <cell r="C1914" t="str">
            <v>INDEPENDIENTE</v>
          </cell>
          <cell r="D1914">
            <v>3</v>
          </cell>
          <cell r="E1914"/>
          <cell r="F1914" t="str">
            <v>CENTRO ESTE</v>
          </cell>
          <cell r="G1914" t="str">
            <v>KARLA SALAZAR</v>
          </cell>
          <cell r="H1914"/>
          <cell r="I1914" t="str">
            <v>H</v>
          </cell>
          <cell r="J1914" t="str">
            <v>Activo</v>
          </cell>
          <cell r="K1914">
            <v>5486.7382279143731</v>
          </cell>
          <cell r="L1914">
            <v>548.67382279143726</v>
          </cell>
          <cell r="M1914">
            <v>367.58153333333331</v>
          </cell>
          <cell r="N1914" t="str">
            <v>Si Compra</v>
          </cell>
          <cell r="O1914">
            <v>10</v>
          </cell>
          <cell r="P1914">
            <v>9202.66404484144</v>
          </cell>
          <cell r="Q1914">
            <v>920.266404484144</v>
          </cell>
          <cell r="R1914">
            <v>494.80816666666669</v>
          </cell>
          <cell r="T1914"/>
          <cell r="U1914"/>
          <cell r="V1914">
            <v>0.59621194484329432</v>
          </cell>
          <cell r="W1914">
            <v>2.0950487135784043E-5</v>
          </cell>
          <cell r="X1914">
            <v>10</v>
          </cell>
          <cell r="Y1914" t="str">
            <v>Potenciar</v>
          </cell>
        </row>
        <row r="1915">
          <cell r="A1915" t="str">
            <v>6770</v>
          </cell>
          <cell r="B1915" t="str">
            <v>6770 - FARMACIA FARMASTOCK&amp;SERVISALUD, C.A.</v>
          </cell>
          <cell r="C1915" t="e">
            <v>#N/A</v>
          </cell>
          <cell r="D1915">
            <v>0</v>
          </cell>
          <cell r="E1915"/>
          <cell r="F1915" t="str">
            <v>ANDES</v>
          </cell>
          <cell r="G1915" t="str">
            <v>ZULAY PARRA</v>
          </cell>
          <cell r="H1915"/>
          <cell r="I1915" t="str">
            <v>5</v>
          </cell>
          <cell r="J1915" t="str">
            <v>Bloqueado</v>
          </cell>
          <cell r="K1915">
            <v>5471.2401</v>
          </cell>
          <cell r="L1915">
            <v>1823.7466999999999</v>
          </cell>
          <cell r="M1915">
            <v>0</v>
          </cell>
          <cell r="N1915" t="str">
            <v>No Compra</v>
          </cell>
          <cell r="O1915">
            <v>3</v>
          </cell>
          <cell r="P1915">
            <v>11364.4995</v>
          </cell>
          <cell r="Q1915">
            <v>3788.1664999999998</v>
          </cell>
          <cell r="R1915">
            <v>0</v>
          </cell>
          <cell r="T1915"/>
          <cell r="U1915"/>
          <cell r="V1915">
            <v>0.48143256110838845</v>
          </cell>
          <cell r="W1915">
            <v>6.9637697645003979E-5</v>
          </cell>
          <cell r="X1915">
            <v>3</v>
          </cell>
          <cell r="Y1915" t="str">
            <v>Potenciar</v>
          </cell>
        </row>
        <row r="1916">
          <cell r="A1916" t="str">
            <v>E033</v>
          </cell>
          <cell r="B1916" t="str">
            <v>E033 - FARMACIA INTER SALUD, C.A.</v>
          </cell>
          <cell r="C1916" t="str">
            <v>INDEPENDIENTE</v>
          </cell>
          <cell r="D1916">
            <v>1</v>
          </cell>
          <cell r="F1916" t="str">
            <v>CENTRO ESTE</v>
          </cell>
          <cell r="G1916">
            <v>0</v>
          </cell>
          <cell r="H1916"/>
          <cell r="I1916" t="str">
            <v>+</v>
          </cell>
          <cell r="J1916" t="str">
            <v>Activo</v>
          </cell>
          <cell r="K1916">
            <v>5469.0707000000002</v>
          </cell>
          <cell r="L1916">
            <v>911.51178333333337</v>
          </cell>
          <cell r="M1916">
            <v>992.77629999999999</v>
          </cell>
          <cell r="N1916" t="str">
            <v>Si Compra</v>
          </cell>
          <cell r="O1916">
            <v>6</v>
          </cell>
          <cell r="P1916">
            <v>0</v>
          </cell>
          <cell r="Q1916">
            <v>0</v>
          </cell>
          <cell r="R1916">
            <v>0</v>
          </cell>
          <cell r="V1916">
            <v>0</v>
          </cell>
          <cell r="W1916">
            <v>3.4805042809741642E-5</v>
          </cell>
          <cell r="X1916">
            <v>0</v>
          </cell>
          <cell r="Y1916" t="str">
            <v>Conquistar</v>
          </cell>
        </row>
        <row r="1917">
          <cell r="A1917" t="str">
            <v>C022</v>
          </cell>
          <cell r="B1917" t="str">
            <v>C022 - EXPENDIO DE MEDICINAS ZL&amp;L, C.A.</v>
          </cell>
          <cell r="C1917" t="str">
            <v>INDEPENDIENTE</v>
          </cell>
          <cell r="D1917">
            <v>2</v>
          </cell>
          <cell r="E1917"/>
          <cell r="F1917" t="str">
            <v>CENTRO OESTE</v>
          </cell>
          <cell r="G1917">
            <v>0</v>
          </cell>
          <cell r="H1917"/>
          <cell r="I1917" t="str">
            <v>A</v>
          </cell>
          <cell r="J1917" t="str">
            <v>Bloqueado</v>
          </cell>
          <cell r="K1917">
            <v>5456.988489241865</v>
          </cell>
          <cell r="L1917">
            <v>606.33205436020717</v>
          </cell>
          <cell r="M1917">
            <v>496.15240000000006</v>
          </cell>
          <cell r="N1917" t="str">
            <v>Si Compra</v>
          </cell>
          <cell r="O1917">
            <v>9</v>
          </cell>
          <cell r="P1917">
            <v>0</v>
          </cell>
          <cell r="Q1917">
            <v>0</v>
          </cell>
          <cell r="R1917">
            <v>0</v>
          </cell>
          <cell r="T1917"/>
          <cell r="U1917"/>
          <cell r="V1917">
            <v>0</v>
          </cell>
          <cell r="W1917">
            <v>2.3152101261655593E-5</v>
          </cell>
          <cell r="X1917">
            <v>0</v>
          </cell>
          <cell r="Y1917" t="str">
            <v>Conquistar</v>
          </cell>
        </row>
        <row r="1918">
          <cell r="A1918" t="str">
            <v>B651</v>
          </cell>
          <cell r="B1918" t="str">
            <v>B651 - FARMA NUEVO AMIGO, C.A.</v>
          </cell>
          <cell r="C1918" t="str">
            <v>INDEPENDIENTE</v>
          </cell>
          <cell r="D1918">
            <v>3</v>
          </cell>
          <cell r="E1918"/>
          <cell r="F1918" t="str">
            <v>CARACAS</v>
          </cell>
          <cell r="G1918" t="str">
            <v>MAIRUBI QUIJADA</v>
          </cell>
          <cell r="H1918"/>
          <cell r="I1918" t="str">
            <v>C2</v>
          </cell>
          <cell r="J1918" t="str">
            <v>Inactivo</v>
          </cell>
          <cell r="K1918">
            <v>5438.3250447851915</v>
          </cell>
          <cell r="L1918">
            <v>604.25833830946567</v>
          </cell>
          <cell r="M1918">
            <v>572.24908159506401</v>
          </cell>
          <cell r="N1918" t="str">
            <v>Si Compra</v>
          </cell>
          <cell r="O1918">
            <v>9</v>
          </cell>
          <cell r="P1918">
            <v>15189.007933252491</v>
          </cell>
          <cell r="Q1918">
            <v>1687.6675481391658</v>
          </cell>
          <cell r="R1918">
            <v>1486.7425777508299</v>
          </cell>
          <cell r="T1918"/>
          <cell r="U1918"/>
          <cell r="V1918">
            <v>0.3580434659514104</v>
          </cell>
          <cell r="W1918">
            <v>2.30729187680872E-5</v>
          </cell>
          <cell r="X1918">
            <v>9</v>
          </cell>
          <cell r="Y1918" t="str">
            <v>Potenciar</v>
          </cell>
        </row>
        <row r="1919">
          <cell r="A1919" t="str">
            <v>Z52</v>
          </cell>
          <cell r="B1919" t="str">
            <v>Z52 - FARMACIA SAN ROMAN C.A.</v>
          </cell>
          <cell r="C1919" t="str">
            <v>INDEPENDIENTE</v>
          </cell>
          <cell r="D1919">
            <v>3</v>
          </cell>
          <cell r="F1919" t="str">
            <v>MARACAIBO</v>
          </cell>
          <cell r="G1919" t="str">
            <v>MARIA FUSELLA</v>
          </cell>
          <cell r="H1919"/>
          <cell r="I1919" t="str">
            <v>Z</v>
          </cell>
          <cell r="J1919" t="str">
            <v>Activo</v>
          </cell>
          <cell r="K1919">
            <v>5409.5782999999992</v>
          </cell>
          <cell r="L1919">
            <v>540.95782999999994</v>
          </cell>
          <cell r="M1919">
            <v>464.45170000000007</v>
          </cell>
          <cell r="N1919" t="str">
            <v>Si Compra</v>
          </cell>
          <cell r="O1919">
            <v>10</v>
          </cell>
          <cell r="P1919">
            <v>29452.7788</v>
          </cell>
          <cell r="Q1919">
            <v>2945.2778800000001</v>
          </cell>
          <cell r="R1919">
            <v>3016.8710000000005</v>
          </cell>
          <cell r="V1919">
            <v>0.18366953884840229</v>
          </cell>
          <cell r="W1919">
            <v>2.0655860709295572E-5</v>
          </cell>
          <cell r="X1919">
            <v>10</v>
          </cell>
          <cell r="Y1919" t="str">
            <v>Conquistar</v>
          </cell>
        </row>
        <row r="1920">
          <cell r="A1920" t="str">
            <v>1767</v>
          </cell>
          <cell r="B1920" t="str">
            <v>1767 - FARMACIA NUEVA MORA C.A.</v>
          </cell>
          <cell r="C1920" t="str">
            <v>INDEPENDIENTE</v>
          </cell>
          <cell r="D1920">
            <v>2</v>
          </cell>
          <cell r="E1920"/>
          <cell r="F1920" t="str">
            <v>CENTRO ESTE</v>
          </cell>
          <cell r="G1920" t="str">
            <v>ELIANA PERAZA</v>
          </cell>
          <cell r="H1920"/>
          <cell r="I1920" t="str">
            <v>I</v>
          </cell>
          <cell r="J1920" t="str">
            <v>Inactivo</v>
          </cell>
          <cell r="K1920">
            <v>5404.8145979099072</v>
          </cell>
          <cell r="L1920">
            <v>900.80243298498453</v>
          </cell>
          <cell r="M1920">
            <v>94.531050000000008</v>
          </cell>
          <cell r="N1920" t="str">
            <v>Si Compra</v>
          </cell>
          <cell r="O1920">
            <v>6</v>
          </cell>
          <cell r="P1920">
            <v>15024.292522012505</v>
          </cell>
          <cell r="Q1920">
            <v>2504.048753668751</v>
          </cell>
          <cell r="R1920">
            <v>800.70519999999999</v>
          </cell>
          <cell r="T1920"/>
          <cell r="U1920"/>
          <cell r="V1920">
            <v>0.35973837636555356</v>
          </cell>
          <cell r="W1920">
            <v>3.4396118422636383E-5</v>
          </cell>
          <cell r="X1920">
            <v>6</v>
          </cell>
          <cell r="Y1920" t="str">
            <v>Potenciar</v>
          </cell>
        </row>
        <row r="1921">
          <cell r="A1921" t="str">
            <v>7715</v>
          </cell>
          <cell r="B1921" t="str">
            <v>7715 - GUERRERO,JAIRO(EXPENDIO DE MEDICINA LA VIGIA)</v>
          </cell>
          <cell r="C1921" t="str">
            <v>INDEPENDIENTE</v>
          </cell>
          <cell r="D1921">
            <v>3</v>
          </cell>
          <cell r="E1921"/>
          <cell r="F1921" t="str">
            <v>CENTRO OESTE</v>
          </cell>
          <cell r="G1921">
            <v>0</v>
          </cell>
          <cell r="H1921"/>
          <cell r="I1921" t="str">
            <v xml:space="preserve">A </v>
          </cell>
          <cell r="J1921" t="str">
            <v>Activo</v>
          </cell>
          <cell r="K1921">
            <v>5400.0812999999998</v>
          </cell>
          <cell r="L1921">
            <v>540.00812999999994</v>
          </cell>
          <cell r="M1921">
            <v>480.09530000000001</v>
          </cell>
          <cell r="N1921" t="str">
            <v>Si Compra</v>
          </cell>
          <cell r="O1921">
            <v>10</v>
          </cell>
          <cell r="P1921">
            <v>0</v>
          </cell>
          <cell r="Q1921">
            <v>0</v>
          </cell>
          <cell r="R1921">
            <v>0</v>
          </cell>
          <cell r="T1921"/>
          <cell r="U1921"/>
          <cell r="V1921">
            <v>0</v>
          </cell>
          <cell r="W1921">
            <v>2.0619597492779012E-5</v>
          </cell>
          <cell r="X1921">
            <v>0</v>
          </cell>
          <cell r="Y1921" t="str">
            <v>Conquistar</v>
          </cell>
        </row>
        <row r="1922">
          <cell r="A1922" t="str">
            <v>0618</v>
          </cell>
          <cell r="B1922" t="str">
            <v>0618 - INVERSIONES MI CHINITA C.A. (FARMACIA PALAIMA)</v>
          </cell>
          <cell r="C1922" t="str">
            <v>INDEPENDIENTE</v>
          </cell>
          <cell r="D1922">
            <v>2</v>
          </cell>
          <cell r="E1922"/>
          <cell r="F1922" t="str">
            <v>MARACAIBO</v>
          </cell>
          <cell r="G1922">
            <v>0</v>
          </cell>
          <cell r="H1922"/>
          <cell r="I1922" t="str">
            <v>Q</v>
          </cell>
          <cell r="J1922" t="str">
            <v>Inactivo</v>
          </cell>
          <cell r="K1922">
            <v>5354.5810000000001</v>
          </cell>
          <cell r="L1922">
            <v>1070.9162000000001</v>
          </cell>
          <cell r="M1922">
            <v>265.97570000000002</v>
          </cell>
          <cell r="N1922" t="str">
            <v>Si Compra</v>
          </cell>
          <cell r="O1922">
            <v>5</v>
          </cell>
          <cell r="P1922">
            <v>0</v>
          </cell>
          <cell r="Q1922">
            <v>0</v>
          </cell>
          <cell r="R1922">
            <v>0</v>
          </cell>
          <cell r="T1922"/>
          <cell r="U1922"/>
          <cell r="V1922">
            <v>0</v>
          </cell>
          <cell r="W1922">
            <v>4.0891719523734639E-5</v>
          </cell>
          <cell r="X1922">
            <v>0</v>
          </cell>
          <cell r="Y1922" t="str">
            <v>Conquistar</v>
          </cell>
        </row>
        <row r="1923">
          <cell r="A1923" t="str">
            <v>A751</v>
          </cell>
          <cell r="B1923" t="str">
            <v>A751 - FARMACIA MI PLENITUD RF, C.A.</v>
          </cell>
          <cell r="C1923" t="str">
            <v>INDEPENDIENTE</v>
          </cell>
          <cell r="D1923">
            <v>3</v>
          </cell>
          <cell r="E1923"/>
          <cell r="F1923" t="str">
            <v>CENTRO OESTE</v>
          </cell>
          <cell r="G1923" t="str">
            <v>SORALI SILVA</v>
          </cell>
          <cell r="H1923"/>
          <cell r="I1923" t="str">
            <v>L</v>
          </cell>
          <cell r="J1923" t="str">
            <v>Activo</v>
          </cell>
          <cell r="K1923">
            <v>5323.0050843279851</v>
          </cell>
          <cell r="L1923">
            <v>532.30050843279855</v>
          </cell>
          <cell r="M1923">
            <v>414.11113333333333</v>
          </cell>
          <cell r="N1923" t="str">
            <v>Si Compra</v>
          </cell>
          <cell r="O1923">
            <v>10</v>
          </cell>
          <cell r="P1923">
            <v>10706.250246762109</v>
          </cell>
          <cell r="Q1923">
            <v>1070.6250246762108</v>
          </cell>
          <cell r="R1923">
            <v>744.0555333333333</v>
          </cell>
          <cell r="T1923"/>
          <cell r="U1923"/>
          <cell r="V1923">
            <v>0.49718668643466674</v>
          </cell>
          <cell r="W1923">
            <v>2.0325290711985998E-5</v>
          </cell>
          <cell r="X1923">
            <v>10</v>
          </cell>
          <cell r="Y1923" t="str">
            <v>Potenciar</v>
          </cell>
        </row>
        <row r="1924">
          <cell r="A1924" t="str">
            <v>7332</v>
          </cell>
          <cell r="B1924" t="str">
            <v>7332 - FARMACIA TU COSMETICO VENEZUELA C.A</v>
          </cell>
          <cell r="C1924" t="str">
            <v>INDEPENDIENTE</v>
          </cell>
          <cell r="D1924">
            <v>3</v>
          </cell>
          <cell r="E1924"/>
          <cell r="F1924" t="str">
            <v>ESTE</v>
          </cell>
          <cell r="G1924" t="str">
            <v>JOSE RAMIREZ</v>
          </cell>
          <cell r="H1924"/>
          <cell r="I1924" t="str">
            <v>A2</v>
          </cell>
          <cell r="J1924" t="str">
            <v>Activo</v>
          </cell>
          <cell r="K1924">
            <v>5315.1465438919486</v>
          </cell>
          <cell r="L1924">
            <v>531.5146543891949</v>
          </cell>
          <cell r="M1924">
            <v>704.17169999999999</v>
          </cell>
          <cell r="N1924" t="str">
            <v>Si Compra</v>
          </cell>
          <cell r="O1924">
            <v>10</v>
          </cell>
          <cell r="P1924">
            <v>23606.556946308876</v>
          </cell>
          <cell r="Q1924">
            <v>2360.6556946308874</v>
          </cell>
          <cell r="R1924">
            <v>2450.9137999999998</v>
          </cell>
          <cell r="T1924"/>
          <cell r="U1924"/>
          <cell r="V1924">
            <v>0.22515551742597628</v>
          </cell>
          <cell r="W1924">
            <v>2.0295283767336517E-5</v>
          </cell>
          <cell r="X1924">
            <v>9</v>
          </cell>
          <cell r="Y1924" t="str">
            <v>Potenciar</v>
          </cell>
        </row>
        <row r="1925">
          <cell r="A1925" t="str">
            <v>E513</v>
          </cell>
          <cell r="B1925" t="str">
            <v>E513 - CENTRO POLIESPECIALISTICO DAY HOSPITAL, C.A.</v>
          </cell>
          <cell r="C1925" t="e">
            <v>#N/A</v>
          </cell>
          <cell r="D1925">
            <v>3</v>
          </cell>
          <cell r="F1925" t="str">
            <v>ESTE</v>
          </cell>
          <cell r="G1925">
            <v>0</v>
          </cell>
          <cell r="H1925"/>
          <cell r="I1925" t="str">
            <v>A1</v>
          </cell>
          <cell r="J1925" t="str">
            <v>Activo</v>
          </cell>
          <cell r="K1925">
            <v>5315.0767999999998</v>
          </cell>
          <cell r="L1925">
            <v>1328.7692</v>
          </cell>
          <cell r="M1925">
            <v>1160.2478000000001</v>
          </cell>
          <cell r="N1925" t="str">
            <v>Si Compra</v>
          </cell>
          <cell r="O1925">
            <v>4</v>
          </cell>
          <cell r="P1925">
            <v>0</v>
          </cell>
          <cell r="Q1925">
            <v>0</v>
          </cell>
          <cell r="R1925">
            <v>0</v>
          </cell>
          <cell r="V1925">
            <v>0</v>
          </cell>
          <cell r="W1925">
            <v>5.0737543645503959E-5</v>
          </cell>
          <cell r="X1925">
            <v>0</v>
          </cell>
          <cell r="Y1925" t="str">
            <v>Conquistar</v>
          </cell>
        </row>
        <row r="1926">
          <cell r="A1926" t="str">
            <v>-147</v>
          </cell>
          <cell r="B1926" t="str">
            <v>-147 - FARMACIA COMUNITARIA,C.A.</v>
          </cell>
          <cell r="C1926" t="str">
            <v>INDEPENDIENTE</v>
          </cell>
          <cell r="D1926">
            <v>0</v>
          </cell>
          <cell r="E1926"/>
          <cell r="F1926" t="str">
            <v>CENTRO ESTE</v>
          </cell>
          <cell r="G1926" t="str">
            <v>LAURA FLORES</v>
          </cell>
          <cell r="H1926"/>
          <cell r="I1926" t="str">
            <v>+</v>
          </cell>
          <cell r="J1926" t="str">
            <v>Bloqueado</v>
          </cell>
          <cell r="K1926">
            <v>5309.4151320154051</v>
          </cell>
          <cell r="L1926">
            <v>2654.7075660077026</v>
          </cell>
          <cell r="M1926">
            <v>0</v>
          </cell>
          <cell r="N1926" t="str">
            <v>No Compra</v>
          </cell>
          <cell r="O1926">
            <v>2</v>
          </cell>
          <cell r="P1926">
            <v>26116.808560925645</v>
          </cell>
          <cell r="Q1926">
            <v>13058.404280462822</v>
          </cell>
          <cell r="R1926">
            <v>0</v>
          </cell>
          <cell r="T1926"/>
          <cell r="U1926"/>
          <cell r="V1926">
            <v>0.20329494392967384</v>
          </cell>
          <cell r="W1926">
            <v>1.0136699510822903E-4</v>
          </cell>
          <cell r="X1926">
            <v>2</v>
          </cell>
          <cell r="Y1926" t="str">
            <v>Conquistar</v>
          </cell>
        </row>
        <row r="1927">
          <cell r="A1927" t="str">
            <v>E023</v>
          </cell>
          <cell r="B1927" t="str">
            <v>E023 - FARMACIA CAMPO NEBLINA C.A</v>
          </cell>
          <cell r="C1927" t="str">
            <v>INDEPENDIENTE</v>
          </cell>
          <cell r="D1927">
            <v>3</v>
          </cell>
          <cell r="F1927" t="str">
            <v>ANDES</v>
          </cell>
          <cell r="G1927">
            <v>0</v>
          </cell>
          <cell r="H1927"/>
          <cell r="I1927" t="str">
            <v>6</v>
          </cell>
          <cell r="J1927" t="str">
            <v>Activo</v>
          </cell>
          <cell r="K1927">
            <v>5302.6593986614444</v>
          </cell>
          <cell r="L1927">
            <v>530.26593986614444</v>
          </cell>
          <cell r="M1927">
            <v>553.29600150327644</v>
          </cell>
          <cell r="N1927" t="str">
            <v>Si Compra</v>
          </cell>
          <cell r="O1927">
            <v>10</v>
          </cell>
          <cell r="P1927">
            <v>0</v>
          </cell>
          <cell r="Q1927">
            <v>0</v>
          </cell>
          <cell r="R1927">
            <v>0</v>
          </cell>
          <cell r="V1927">
            <v>0</v>
          </cell>
          <cell r="W1927">
            <v>2.0247603020662041E-5</v>
          </cell>
          <cell r="X1927">
            <v>0</v>
          </cell>
          <cell r="Y1927" t="str">
            <v>Conquistar</v>
          </cell>
        </row>
        <row r="1928">
          <cell r="A1928" t="str">
            <v>E162</v>
          </cell>
          <cell r="B1928" t="str">
            <v>E162 - FARMACIA EL BUEN PASTOR, C.A</v>
          </cell>
          <cell r="C1928" t="str">
            <v>INDEPENDIENTE</v>
          </cell>
          <cell r="D1928">
            <v>2</v>
          </cell>
          <cell r="F1928" t="str">
            <v>ANDES</v>
          </cell>
          <cell r="G1928">
            <v>0</v>
          </cell>
          <cell r="H1928"/>
          <cell r="I1928" t="str">
            <v>5</v>
          </cell>
          <cell r="J1928" t="str">
            <v>Activo</v>
          </cell>
          <cell r="K1928">
            <v>5290.2231403848982</v>
          </cell>
          <cell r="L1928">
            <v>1058.0446280769797</v>
          </cell>
          <cell r="M1928">
            <v>1682.2164</v>
          </cell>
          <cell r="N1928" t="str">
            <v>Si Compra</v>
          </cell>
          <cell r="O1928">
            <v>5</v>
          </cell>
          <cell r="P1928">
            <v>0</v>
          </cell>
          <cell r="Q1928">
            <v>0</v>
          </cell>
          <cell r="R1928">
            <v>0</v>
          </cell>
          <cell r="V1928">
            <v>0</v>
          </cell>
          <cell r="W1928">
            <v>4.0400233160090383E-5</v>
          </cell>
          <cell r="X1928">
            <v>0</v>
          </cell>
          <cell r="Y1928" t="str">
            <v>Conquistar</v>
          </cell>
        </row>
        <row r="1929">
          <cell r="A1929">
            <v>0</v>
          </cell>
          <cell r="B1929" t="str">
            <v>E614 - FARMACIA LA CEIBA 2025, C.A.</v>
          </cell>
          <cell r="C1929" t="e">
            <v>#N/A</v>
          </cell>
          <cell r="D1929">
            <v>0</v>
          </cell>
          <cell r="F1929" t="str">
            <v>CENTRO OESTE</v>
          </cell>
          <cell r="G1929">
            <v>0</v>
          </cell>
          <cell r="H1929"/>
          <cell r="I1929" t="str">
            <v>Y1</v>
          </cell>
          <cell r="J1929" t="str">
            <v>Activo</v>
          </cell>
          <cell r="K1929">
            <v>5281.8467203807031</v>
          </cell>
          <cell r="L1929">
            <v>1760.6155734602344</v>
          </cell>
          <cell r="M1929">
            <v>1760.6155734602344</v>
          </cell>
          <cell r="N1929" t="str">
            <v>Si Compra</v>
          </cell>
          <cell r="O1929">
            <v>3</v>
          </cell>
          <cell r="P1929">
            <v>0</v>
          </cell>
          <cell r="Q1929">
            <v>0</v>
          </cell>
          <cell r="R1929">
            <v>0</v>
          </cell>
          <cell r="V1929">
            <v>0</v>
          </cell>
          <cell r="W1929">
            <v>6.7227107236826852E-5</v>
          </cell>
          <cell r="X1929">
            <v>0</v>
          </cell>
          <cell r="Y1929" t="str">
            <v>Conquistar</v>
          </cell>
        </row>
        <row r="1930">
          <cell r="A1930" t="str">
            <v>9757</v>
          </cell>
          <cell r="B1930" t="str">
            <v>9757 - FARMACIA FARMAGANGA JH C.A</v>
          </cell>
          <cell r="C1930" t="str">
            <v>INDEPENDIENTE</v>
          </cell>
          <cell r="D1930">
            <v>2</v>
          </cell>
          <cell r="E1930"/>
          <cell r="F1930" t="str">
            <v>MARACAIBO</v>
          </cell>
          <cell r="G1930" t="str">
            <v>JOEL JIMENEZ</v>
          </cell>
          <cell r="H1930"/>
          <cell r="I1930" t="str">
            <v>D</v>
          </cell>
          <cell r="J1930" t="str">
            <v>Activo</v>
          </cell>
          <cell r="K1930">
            <v>5270.2970863771843</v>
          </cell>
          <cell r="L1930">
            <v>585.58856515302045</v>
          </cell>
          <cell r="M1930">
            <v>629.91205000000002</v>
          </cell>
          <cell r="N1930" t="str">
            <v>Si Compra</v>
          </cell>
          <cell r="O1930">
            <v>9</v>
          </cell>
          <cell r="P1930">
            <v>2248.7151386297228</v>
          </cell>
          <cell r="Q1930">
            <v>281.08939232871535</v>
          </cell>
          <cell r="R1930">
            <v>962.0027</v>
          </cell>
          <cell r="T1930"/>
          <cell r="U1930"/>
          <cell r="V1930">
            <v>2.0832823334301196</v>
          </cell>
          <cell r="W1930">
            <v>2.2360034671754443E-5</v>
          </cell>
          <cell r="X1930">
            <v>3</v>
          </cell>
          <cell r="Y1930" t="str">
            <v>Proteger</v>
          </cell>
        </row>
        <row r="1931">
          <cell r="A1931" t="str">
            <v>H101</v>
          </cell>
          <cell r="B1931" t="str">
            <v>H101 - SERVICIOS MEDICOS HOS, C.A</v>
          </cell>
          <cell r="C1931" t="str">
            <v>INDEPENDIENTE</v>
          </cell>
          <cell r="D1931">
            <v>0</v>
          </cell>
          <cell r="F1931" t="str">
            <v>CENTRO ESTE</v>
          </cell>
          <cell r="G1931" t="str">
            <v>ELIANA PERAZA</v>
          </cell>
          <cell r="H1931"/>
          <cell r="I1931" t="str">
            <v>M</v>
          </cell>
          <cell r="J1931" t="str">
            <v>Activo</v>
          </cell>
          <cell r="K1931">
            <v>5254.9711846912869</v>
          </cell>
          <cell r="L1931">
            <v>750.71016924161245</v>
          </cell>
          <cell r="M1931">
            <v>0</v>
          </cell>
          <cell r="N1931" t="str">
            <v>No Compra</v>
          </cell>
          <cell r="O1931">
            <v>7</v>
          </cell>
          <cell r="P1931">
            <v>20384.274393653628</v>
          </cell>
          <cell r="Q1931">
            <v>2912.0391990933754</v>
          </cell>
          <cell r="R1931">
            <v>0</v>
          </cell>
          <cell r="V1931">
            <v>0.25779535161317063</v>
          </cell>
          <cell r="W1931">
            <v>2.8665015698000809E-5</v>
          </cell>
          <cell r="X1931">
            <v>7</v>
          </cell>
          <cell r="Y1931" t="str">
            <v>Potenciar</v>
          </cell>
        </row>
        <row r="1932">
          <cell r="A1932" t="str">
            <v>9606</v>
          </cell>
          <cell r="B1932" t="str">
            <v>9606 - FARMACIA ANDALUZ  C.A.</v>
          </cell>
          <cell r="C1932" t="str">
            <v>INDEPENDIENTE</v>
          </cell>
          <cell r="D1932">
            <v>3</v>
          </cell>
          <cell r="E1932"/>
          <cell r="F1932" t="str">
            <v>ESTE</v>
          </cell>
          <cell r="G1932" t="str">
            <v>ADOLFO GONZALEZ</v>
          </cell>
          <cell r="H1932"/>
          <cell r="I1932" t="str">
            <v>A8</v>
          </cell>
          <cell r="J1932" t="str">
            <v>Inactivo</v>
          </cell>
          <cell r="K1932">
            <v>5231.4474019529998</v>
          </cell>
          <cell r="L1932">
            <v>523.14474019529996</v>
          </cell>
          <cell r="M1932">
            <v>470.48060000000004</v>
          </cell>
          <cell r="N1932" t="str">
            <v>Si Compra</v>
          </cell>
          <cell r="O1932">
            <v>10</v>
          </cell>
          <cell r="P1932">
            <v>11989.774427190629</v>
          </cell>
          <cell r="Q1932">
            <v>1198.9774427190628</v>
          </cell>
          <cell r="R1932">
            <v>825.50626666666665</v>
          </cell>
          <cell r="T1932"/>
          <cell r="U1932"/>
          <cell r="V1932">
            <v>0.43632575689572844</v>
          </cell>
          <cell r="W1932">
            <v>1.9975688094346907E-5</v>
          </cell>
          <cell r="X1932">
            <v>10</v>
          </cell>
          <cell r="Y1932" t="str">
            <v>Potenciar</v>
          </cell>
        </row>
        <row r="1933">
          <cell r="A1933" t="str">
            <v>4500</v>
          </cell>
          <cell r="B1933" t="str">
            <v>4500 - FARMACIA BETANIA, C.A</v>
          </cell>
          <cell r="C1933" t="str">
            <v>INDEPENDIENTE</v>
          </cell>
          <cell r="D1933">
            <v>3</v>
          </cell>
          <cell r="E1933"/>
          <cell r="F1933" t="str">
            <v>CENTRO OESTE</v>
          </cell>
          <cell r="G1933" t="str">
            <v>LUIS PLACERES</v>
          </cell>
          <cell r="H1933"/>
          <cell r="I1933" t="str">
            <v>E</v>
          </cell>
          <cell r="J1933" t="str">
            <v>Inactivo</v>
          </cell>
          <cell r="K1933">
            <v>5225.0369415840596</v>
          </cell>
          <cell r="L1933">
            <v>580.55966017600667</v>
          </cell>
          <cell r="M1933">
            <v>416.39236666666665</v>
          </cell>
          <cell r="N1933" t="str">
            <v>Si Compra</v>
          </cell>
          <cell r="O1933">
            <v>9</v>
          </cell>
          <cell r="P1933">
            <v>5430.7588636391783</v>
          </cell>
          <cell r="Q1933">
            <v>603.41765151546429</v>
          </cell>
          <cell r="R1933">
            <v>394.29140000000007</v>
          </cell>
          <cell r="T1933"/>
          <cell r="U1933"/>
          <cell r="V1933">
            <v>0.96211912050956661</v>
          </cell>
          <cell r="W1933">
            <v>2.2168011643405859E-5</v>
          </cell>
          <cell r="X1933">
            <v>9</v>
          </cell>
          <cell r="Y1933" t="str">
            <v>Proteger</v>
          </cell>
        </row>
        <row r="1934">
          <cell r="A1934" t="str">
            <v>D084</v>
          </cell>
          <cell r="B1934" t="str">
            <v>D084 - FARMACIA OSHAMARKET, C.A</v>
          </cell>
          <cell r="C1934" t="str">
            <v>INDEPENDIENTE</v>
          </cell>
          <cell r="D1934">
            <v>2</v>
          </cell>
          <cell r="E1934"/>
          <cell r="F1934" t="str">
            <v>CENTRO ESTE</v>
          </cell>
          <cell r="G1934" t="str">
            <v>ELIANA PERAZA</v>
          </cell>
          <cell r="H1934"/>
          <cell r="I1934" t="str">
            <v>M</v>
          </cell>
          <cell r="J1934" t="str">
            <v>Activo</v>
          </cell>
          <cell r="K1934">
            <v>5220.8636921427624</v>
          </cell>
          <cell r="L1934">
            <v>870.14394869046043</v>
          </cell>
          <cell r="M1934">
            <v>130.74955</v>
          </cell>
          <cell r="N1934" t="str">
            <v>Si Compra</v>
          </cell>
          <cell r="O1934">
            <v>6</v>
          </cell>
          <cell r="P1934">
            <v>7306.6837078707467</v>
          </cell>
          <cell r="Q1934">
            <v>1217.7806179784577</v>
          </cell>
          <cell r="R1934">
            <v>331.09354999999999</v>
          </cell>
          <cell r="T1934"/>
          <cell r="U1934"/>
          <cell r="V1934">
            <v>0.7145325979443804</v>
          </cell>
          <cell r="W1934">
            <v>3.3225458999616636E-5</v>
          </cell>
          <cell r="X1934">
            <v>5</v>
          </cell>
          <cell r="Y1934" t="str">
            <v>Proteger</v>
          </cell>
        </row>
        <row r="1935">
          <cell r="A1935" t="str">
            <v>C023</v>
          </cell>
          <cell r="B1935" t="str">
            <v>C023 - FARMA EXPRESS SRK, C.A.</v>
          </cell>
          <cell r="C1935" t="str">
            <v>INDEPENDIENTE</v>
          </cell>
          <cell r="D1935">
            <v>3</v>
          </cell>
          <cell r="E1935"/>
          <cell r="F1935" t="str">
            <v>ESTE</v>
          </cell>
          <cell r="G1935" t="str">
            <v>IRAIDA RODRIGUEZ</v>
          </cell>
          <cell r="H1935"/>
          <cell r="I1935" t="str">
            <v>AB</v>
          </cell>
          <cell r="J1935" t="str">
            <v>Activo</v>
          </cell>
          <cell r="K1935">
            <v>5218.0453125039976</v>
          </cell>
          <cell r="L1935">
            <v>521.8045312503998</v>
          </cell>
          <cell r="M1935">
            <v>525.90087725084288</v>
          </cell>
          <cell r="N1935" t="str">
            <v>Si Compra</v>
          </cell>
          <cell r="O1935">
            <v>10</v>
          </cell>
          <cell r="P1935">
            <v>224685.62052212597</v>
          </cell>
          <cell r="Q1935">
            <v>22468.562052212597</v>
          </cell>
          <cell r="R1935">
            <v>24616.081823038374</v>
          </cell>
          <cell r="T1935"/>
          <cell r="U1935"/>
          <cell r="V1935">
            <v>2.3223761718165446E-2</v>
          </cell>
          <cell r="W1935">
            <v>1.992451373702739E-5</v>
          </cell>
          <cell r="X1935">
            <v>10</v>
          </cell>
          <cell r="Y1935" t="str">
            <v>Conquistar</v>
          </cell>
        </row>
        <row r="1936">
          <cell r="A1936" t="str">
            <v>7728</v>
          </cell>
          <cell r="B1936" t="str">
            <v>7728 - FARMACIA CUMANA, C.A</v>
          </cell>
          <cell r="C1936" t="str">
            <v>INDEPENDIENTE</v>
          </cell>
          <cell r="D1936">
            <v>3</v>
          </cell>
          <cell r="E1936"/>
          <cell r="F1936" t="str">
            <v>ESTE</v>
          </cell>
          <cell r="G1936" t="str">
            <v>CARMEN ALCALA</v>
          </cell>
          <cell r="H1936"/>
          <cell r="I1936" t="str">
            <v>A0</v>
          </cell>
          <cell r="J1936" t="str">
            <v>Activo</v>
          </cell>
          <cell r="K1936">
            <v>5186.5314450662427</v>
          </cell>
          <cell r="L1936">
            <v>518.65314450662424</v>
          </cell>
          <cell r="M1936">
            <v>384.94678168874765</v>
          </cell>
          <cell r="N1936" t="str">
            <v>Si Compra</v>
          </cell>
          <cell r="O1936">
            <v>10</v>
          </cell>
          <cell r="P1936">
            <v>9798.8849397212743</v>
          </cell>
          <cell r="Q1936">
            <v>979.88849397212743</v>
          </cell>
          <cell r="R1936">
            <v>860.41107990709168</v>
          </cell>
          <cell r="T1936"/>
          <cell r="U1936"/>
          <cell r="V1936">
            <v>0.52929812697788159</v>
          </cell>
          <cell r="W1936">
            <v>1.9804181611285633E-5</v>
          </cell>
          <cell r="X1936">
            <v>10</v>
          </cell>
          <cell r="Y1936" t="str">
            <v>Potenciar</v>
          </cell>
        </row>
        <row r="1937">
          <cell r="A1937" t="str">
            <v>A557</v>
          </cell>
          <cell r="B1937" t="str">
            <v>A557 - EPS COMERCIALIZADORA ESTRELLA DE ALANS, C.A.</v>
          </cell>
          <cell r="C1937" t="str">
            <v>INDEPENDIENTE</v>
          </cell>
          <cell r="D1937">
            <v>3</v>
          </cell>
          <cell r="E1937"/>
          <cell r="F1937" t="str">
            <v>ESTE</v>
          </cell>
          <cell r="G1937">
            <v>0</v>
          </cell>
          <cell r="H1937"/>
          <cell r="I1937" t="str">
            <v>A3</v>
          </cell>
          <cell r="J1937" t="str">
            <v>Inactivo</v>
          </cell>
          <cell r="K1937">
            <v>5184.5103397268167</v>
          </cell>
          <cell r="L1937">
            <v>740.64433424668812</v>
          </cell>
          <cell r="M1937">
            <v>288.5009</v>
          </cell>
          <cell r="N1937" t="str">
            <v>Si Compra</v>
          </cell>
          <cell r="O1937">
            <v>7</v>
          </cell>
          <cell r="P1937">
            <v>0</v>
          </cell>
          <cell r="Q1937">
            <v>0</v>
          </cell>
          <cell r="R1937">
            <v>0</v>
          </cell>
          <cell r="T1937"/>
          <cell r="U1937"/>
          <cell r="V1937">
            <v>0</v>
          </cell>
          <cell r="W1937">
            <v>2.8280663214226041E-5</v>
          </cell>
          <cell r="X1937">
            <v>0</v>
          </cell>
          <cell r="Y1937" t="str">
            <v>Conquistar</v>
          </cell>
        </row>
        <row r="1938">
          <cell r="A1938" t="str">
            <v>E441</v>
          </cell>
          <cell r="B1938" t="str">
            <v>E441 - JARIFARMA, C.A.</v>
          </cell>
          <cell r="C1938" t="e">
            <v>#N/A</v>
          </cell>
          <cell r="D1938">
            <v>3</v>
          </cell>
          <cell r="F1938" t="str">
            <v>CARACAS</v>
          </cell>
          <cell r="G1938">
            <v>0</v>
          </cell>
          <cell r="H1938"/>
          <cell r="I1938" t="str">
            <v>C9</v>
          </cell>
          <cell r="J1938" t="str">
            <v>Activo</v>
          </cell>
          <cell r="K1938">
            <v>5143.8375240234373</v>
          </cell>
          <cell r="L1938">
            <v>1028.7675048046874</v>
          </cell>
          <cell r="M1938">
            <v>975.22379316787919</v>
          </cell>
          <cell r="N1938" t="str">
            <v>Si Compra</v>
          </cell>
          <cell r="O1938">
            <v>5</v>
          </cell>
          <cell r="P1938">
            <v>0</v>
          </cell>
          <cell r="Q1938">
            <v>0</v>
          </cell>
          <cell r="R1938">
            <v>0</v>
          </cell>
          <cell r="V1938">
            <v>0</v>
          </cell>
          <cell r="W1938">
            <v>3.9282319439752239E-5</v>
          </cell>
          <cell r="X1938">
            <v>0</v>
          </cell>
          <cell r="Y1938" t="str">
            <v>Conquistar</v>
          </cell>
        </row>
        <row r="1939">
          <cell r="A1939" t="str">
            <v>A440</v>
          </cell>
          <cell r="B1939" t="str">
            <v>A440 - FARMACIA ADELA ROSA,C.A.</v>
          </cell>
          <cell r="C1939" t="str">
            <v>INDEPENDIENTE</v>
          </cell>
          <cell r="D1939">
            <v>1</v>
          </cell>
          <cell r="E1939"/>
          <cell r="F1939" t="str">
            <v>CENTRO OESTE</v>
          </cell>
          <cell r="G1939" t="str">
            <v>DIEGO TORI</v>
          </cell>
          <cell r="H1939"/>
          <cell r="I1939" t="str">
            <v>A</v>
          </cell>
          <cell r="J1939" t="str">
            <v>Suspendido</v>
          </cell>
          <cell r="K1939">
            <v>5138.4841047789077</v>
          </cell>
          <cell r="L1939">
            <v>642.31051309736347</v>
          </cell>
          <cell r="M1939">
            <v>353.14585238945386</v>
          </cell>
          <cell r="N1939" t="str">
            <v>Si Compra</v>
          </cell>
          <cell r="O1939">
            <v>7</v>
          </cell>
          <cell r="P1939">
            <v>5848.5300999999999</v>
          </cell>
          <cell r="Q1939">
            <v>731.06626249999999</v>
          </cell>
          <cell r="R1939">
            <v>260.17345</v>
          </cell>
          <cell r="T1939"/>
          <cell r="U1939"/>
          <cell r="V1939">
            <v>0.87859411115605057</v>
          </cell>
          <cell r="W1939">
            <v>2.4525897870182063E-5</v>
          </cell>
          <cell r="X1939">
            <v>7</v>
          </cell>
          <cell r="Y1939" t="str">
            <v>Proteger</v>
          </cell>
        </row>
        <row r="1940">
          <cell r="A1940" t="str">
            <v>E492</v>
          </cell>
          <cell r="B1940" t="str">
            <v>E492 - ASOC COOP FARMACIA SOCIO COMUNITARIA LA NUEVA EPOCA RL</v>
          </cell>
          <cell r="C1940" t="e">
            <v>#N/A</v>
          </cell>
          <cell r="D1940">
            <v>2</v>
          </cell>
          <cell r="F1940" t="str">
            <v>ANDES</v>
          </cell>
          <cell r="G1940">
            <v>0</v>
          </cell>
          <cell r="H1940"/>
          <cell r="I1940" t="str">
            <v>6</v>
          </cell>
          <cell r="J1940" t="str">
            <v>Activo</v>
          </cell>
          <cell r="K1940">
            <v>5136.3868000000002</v>
          </cell>
          <cell r="L1940">
            <v>1712.1289333333334</v>
          </cell>
          <cell r="M1940">
            <v>1967.2096999999999</v>
          </cell>
          <cell r="N1940" t="str">
            <v>Si Compra</v>
          </cell>
          <cell r="O1940">
            <v>3</v>
          </cell>
          <cell r="P1940">
            <v>0</v>
          </cell>
          <cell r="Q1940">
            <v>0</v>
          </cell>
          <cell r="R1940">
            <v>0</v>
          </cell>
          <cell r="V1940">
            <v>0</v>
          </cell>
          <cell r="W1940">
            <v>6.537569991969271E-5</v>
          </cell>
          <cell r="X1940">
            <v>0</v>
          </cell>
          <cell r="Y1940" t="str">
            <v>Conquistar</v>
          </cell>
        </row>
        <row r="1941">
          <cell r="A1941" t="str">
            <v>-41</v>
          </cell>
          <cell r="B1941" t="str">
            <v>-41 - FARMACIA CENTER, C.A.</v>
          </cell>
          <cell r="C1941" t="str">
            <v>INDEPENDIENTE</v>
          </cell>
          <cell r="D1941">
            <v>3</v>
          </cell>
          <cell r="E1941"/>
          <cell r="F1941" t="str">
            <v>CENTRO ESTE</v>
          </cell>
          <cell r="G1941" t="str">
            <v>MARCOS CRUCES</v>
          </cell>
          <cell r="H1941"/>
          <cell r="I1941" t="str">
            <v>AV</v>
          </cell>
          <cell r="J1941" t="str">
            <v>Activo</v>
          </cell>
          <cell r="K1941">
            <v>5131.3466172500357</v>
          </cell>
          <cell r="L1941">
            <v>513.13466172500353</v>
          </cell>
          <cell r="M1941">
            <v>473.7955774008804</v>
          </cell>
          <cell r="N1941" t="str">
            <v>Si Compra</v>
          </cell>
          <cell r="O1941">
            <v>10</v>
          </cell>
          <cell r="P1941">
            <v>4512.2296892582954</v>
          </cell>
          <cell r="Q1941">
            <v>451.22296892582955</v>
          </cell>
          <cell r="R1941">
            <v>410.54834543326041</v>
          </cell>
          <cell r="T1941"/>
          <cell r="U1941"/>
          <cell r="V1941">
            <v>1.1372086464183315</v>
          </cell>
          <cell r="W1941">
            <v>1.9593464610177056E-5</v>
          </cell>
          <cell r="X1941">
            <v>10</v>
          </cell>
          <cell r="Y1941" t="str">
            <v>Proteger</v>
          </cell>
        </row>
        <row r="1942">
          <cell r="A1942" t="str">
            <v>1907</v>
          </cell>
          <cell r="B1942" t="str">
            <v>1907 - FARMACIAS SYMSINC, C.A</v>
          </cell>
          <cell r="C1942" t="str">
            <v>INDEPENDIENTE</v>
          </cell>
          <cell r="D1942">
            <v>0</v>
          </cell>
          <cell r="E1942"/>
          <cell r="F1942" t="str">
            <v>CARACAS</v>
          </cell>
          <cell r="G1942" t="str">
            <v>JHON TORRES</v>
          </cell>
          <cell r="H1942"/>
          <cell r="I1942" t="str">
            <v>C4</v>
          </cell>
          <cell r="J1942" t="str">
            <v>Activo</v>
          </cell>
          <cell r="K1942">
            <v>5085.8101999999999</v>
          </cell>
          <cell r="L1942">
            <v>2542.9050999999999</v>
          </cell>
          <cell r="M1942">
            <v>0</v>
          </cell>
          <cell r="N1942" t="str">
            <v>No Compra</v>
          </cell>
          <cell r="O1942">
            <v>2</v>
          </cell>
          <cell r="P1942">
            <v>8007.5807000000004</v>
          </cell>
          <cell r="Q1942">
            <v>4003.7903500000002</v>
          </cell>
          <cell r="R1942">
            <v>0</v>
          </cell>
          <cell r="T1942"/>
          <cell r="U1942"/>
          <cell r="V1942">
            <v>0.63512443902063953</v>
          </cell>
          <cell r="W1942">
            <v>9.7097944848228434E-5</v>
          </cell>
          <cell r="X1942">
            <v>2</v>
          </cell>
          <cell r="Y1942" t="str">
            <v>Proteger</v>
          </cell>
        </row>
        <row r="1943">
          <cell r="A1943" t="str">
            <v>8280</v>
          </cell>
          <cell r="B1943" t="str">
            <v>GRUPO OSPINO</v>
          </cell>
          <cell r="C1943" t="str">
            <v>CADENA</v>
          </cell>
          <cell r="D1943">
            <v>34</v>
          </cell>
          <cell r="E1943"/>
          <cell r="F1943" t="str">
            <v>CENTRO OESTE</v>
          </cell>
          <cell r="G1943" t="str">
            <v>SORALI SILVA</v>
          </cell>
          <cell r="H1943"/>
          <cell r="I1943" t="str">
            <v>C</v>
          </cell>
          <cell r="J1943" t="str">
            <v>Bloqueado</v>
          </cell>
          <cell r="K1943">
            <v>5060.0724145561708</v>
          </cell>
          <cell r="L1943">
            <v>1686.690804852057</v>
          </cell>
          <cell r="M1943">
            <v>0</v>
          </cell>
          <cell r="N1943" t="str">
            <v>No Compra</v>
          </cell>
          <cell r="O1943">
            <v>3</v>
          </cell>
          <cell r="P1943">
            <v>72361.29612737766</v>
          </cell>
          <cell r="Q1943">
            <v>24120.432042459219</v>
          </cell>
          <cell r="R1943">
            <v>0</v>
          </cell>
          <cell r="T1943"/>
          <cell r="U1943"/>
          <cell r="V1943">
            <v>6.9927885283438268E-2</v>
          </cell>
          <cell r="W1943">
            <v>6.4404373857891533E-5</v>
          </cell>
          <cell r="X1943">
            <v>3</v>
          </cell>
          <cell r="Y1943" t="str">
            <v>Conquistar</v>
          </cell>
        </row>
        <row r="1944">
          <cell r="A1944" t="str">
            <v>D736</v>
          </cell>
          <cell r="B1944" t="str">
            <v>D736 - FARMACRUZ JM, C.A</v>
          </cell>
          <cell r="C1944" t="str">
            <v>INDEPENDIENTE</v>
          </cell>
          <cell r="D1944">
            <v>3</v>
          </cell>
          <cell r="E1944"/>
          <cell r="F1944" t="str">
            <v>CENTRO OESTE</v>
          </cell>
          <cell r="G1944" t="str">
            <v>LUIS PLACERES</v>
          </cell>
          <cell r="H1944"/>
          <cell r="I1944" t="str">
            <v>E</v>
          </cell>
          <cell r="J1944" t="str">
            <v>Activo</v>
          </cell>
          <cell r="K1944">
            <v>5051.4977149386705</v>
          </cell>
          <cell r="L1944">
            <v>505.14977149386704</v>
          </cell>
          <cell r="M1944">
            <v>916.11390497955688</v>
          </cell>
          <cell r="N1944" t="str">
            <v>Si Compra</v>
          </cell>
          <cell r="O1944">
            <v>10</v>
          </cell>
          <cell r="P1944">
            <v>369667.4291942431</v>
          </cell>
          <cell r="Q1944">
            <v>36966.742919424309</v>
          </cell>
          <cell r="R1944">
            <v>31203.993331414375</v>
          </cell>
          <cell r="T1944"/>
          <cell r="U1944"/>
          <cell r="V1944">
            <v>1.3664979156939311E-2</v>
          </cell>
          <cell r="W1944">
            <v>1.9288570640173202E-5</v>
          </cell>
          <cell r="X1944">
            <v>10</v>
          </cell>
          <cell r="Y1944" t="str">
            <v>Conquistar</v>
          </cell>
        </row>
        <row r="1945">
          <cell r="A1945" t="str">
            <v>D946</v>
          </cell>
          <cell r="B1945" t="str">
            <v>MULTIFARMACIA</v>
          </cell>
          <cell r="C1945" t="str">
            <v>GRUPO</v>
          </cell>
          <cell r="D1945">
            <v>4</v>
          </cell>
          <cell r="E1945"/>
          <cell r="F1945" t="str">
            <v>CENTRO ESTE</v>
          </cell>
          <cell r="H1945"/>
          <cell r="I1945"/>
          <cell r="J1945" t="str">
            <v>Activo</v>
          </cell>
          <cell r="K1945">
            <v>5036.149577160887</v>
          </cell>
          <cell r="L1945">
            <v>503.61495771608872</v>
          </cell>
          <cell r="M1945">
            <v>106.89125154409737</v>
          </cell>
          <cell r="N1945" t="str">
            <v>Si Compra</v>
          </cell>
          <cell r="O1945">
            <v>10</v>
          </cell>
          <cell r="P1945">
            <v>841946.41045425856</v>
          </cell>
          <cell r="Q1945">
            <v>84194.641045425858</v>
          </cell>
          <cell r="R1945">
            <v>66075.65949519632</v>
          </cell>
          <cell r="S1945"/>
          <cell r="T1945"/>
          <cell r="U1945"/>
          <cell r="V1945">
            <v>5.981555969154514E-3</v>
          </cell>
          <cell r="W1945">
            <v>1.922996551820187E-5</v>
          </cell>
          <cell r="X1945">
            <v>9</v>
          </cell>
          <cell r="Y1945" t="str">
            <v>Conquistar</v>
          </cell>
        </row>
        <row r="1946">
          <cell r="A1946" t="str">
            <v>+216</v>
          </cell>
          <cell r="B1946" t="str">
            <v>+216 - FARMACIA NATURA SLENDER, C.A.</v>
          </cell>
          <cell r="C1946" t="str">
            <v>INDEPENDIENTE</v>
          </cell>
          <cell r="D1946">
            <v>2</v>
          </cell>
          <cell r="E1946"/>
          <cell r="F1946" t="str">
            <v>CARACAS</v>
          </cell>
          <cell r="G1946" t="str">
            <v>RAMON SERRANO</v>
          </cell>
          <cell r="H1946"/>
          <cell r="I1946" t="str">
            <v>C6</v>
          </cell>
          <cell r="J1946" t="str">
            <v>Inactivo</v>
          </cell>
          <cell r="K1946">
            <v>5032.0619952611814</v>
          </cell>
          <cell r="L1946">
            <v>838.67699921019687</v>
          </cell>
          <cell r="M1946">
            <v>294.52325000000002</v>
          </cell>
          <cell r="N1946" t="str">
            <v>Si Compra</v>
          </cell>
          <cell r="O1946">
            <v>6</v>
          </cell>
          <cell r="P1946">
            <v>7241.1876738764367</v>
          </cell>
          <cell r="Q1946">
            <v>1206.8646123127394</v>
          </cell>
          <cell r="R1946">
            <v>209.86144999999999</v>
          </cell>
          <cell r="T1946"/>
          <cell r="U1946"/>
          <cell r="V1946">
            <v>0.69492218982460918</v>
          </cell>
          <cell r="W1946">
            <v>3.2023929251150354E-5</v>
          </cell>
          <cell r="X1946">
            <v>5</v>
          </cell>
          <cell r="Y1946" t="str">
            <v>Proteger</v>
          </cell>
        </row>
        <row r="1947">
          <cell r="A1947" t="str">
            <v>C523</v>
          </cell>
          <cell r="B1947" t="str">
            <v>C523 - FARMAVICTORIA'S, C.A</v>
          </cell>
          <cell r="C1947" t="str">
            <v>INDEPENDIENTE</v>
          </cell>
          <cell r="D1947">
            <v>2</v>
          </cell>
          <cell r="E1947"/>
          <cell r="F1947" t="str">
            <v>CENTRO OESTE</v>
          </cell>
          <cell r="G1947" t="str">
            <v>YAMILEX LAMEDA</v>
          </cell>
          <cell r="H1947"/>
          <cell r="I1947" t="str">
            <v>Y1</v>
          </cell>
          <cell r="J1947" t="str">
            <v>Activo</v>
          </cell>
          <cell r="K1947">
            <v>5028.2108900611756</v>
          </cell>
          <cell r="L1947">
            <v>558.69009889568622</v>
          </cell>
          <cell r="M1947">
            <v>328.63799999999998</v>
          </cell>
          <cell r="N1947" t="str">
            <v>Si Compra</v>
          </cell>
          <cell r="O1947">
            <v>9</v>
          </cell>
          <cell r="P1947">
            <v>9279.2923440334307</v>
          </cell>
          <cell r="Q1947">
            <v>1031.0324826703811</v>
          </cell>
          <cell r="R1947">
            <v>376.80515000000003</v>
          </cell>
          <cell r="T1947"/>
          <cell r="U1947"/>
          <cell r="V1947">
            <v>0.54187439124000736</v>
          </cell>
          <cell r="W1947">
            <v>2.1332947269571575E-5</v>
          </cell>
          <cell r="X1947">
            <v>9</v>
          </cell>
          <cell r="Y1947" t="str">
            <v>Potenciar</v>
          </cell>
        </row>
        <row r="1948">
          <cell r="A1948" t="str">
            <v>E583</v>
          </cell>
          <cell r="B1948" t="str">
            <v>E583 - FARMACIA MUNDO SALUD PLUS F.P</v>
          </cell>
          <cell r="C1948" t="e">
            <v>#N/A</v>
          </cell>
          <cell r="D1948">
            <v>3</v>
          </cell>
          <cell r="F1948" t="str">
            <v>ANDES</v>
          </cell>
          <cell r="G1948">
            <v>0</v>
          </cell>
          <cell r="H1948"/>
          <cell r="I1948" t="str">
            <v>G1</v>
          </cell>
          <cell r="J1948" t="str">
            <v>Activo</v>
          </cell>
          <cell r="K1948">
            <v>5010.2052999999996</v>
          </cell>
          <cell r="L1948">
            <v>1670.0684333333331</v>
          </cell>
          <cell r="M1948">
            <v>1670.0684333333331</v>
          </cell>
          <cell r="N1948" t="str">
            <v>Si Compra</v>
          </cell>
          <cell r="O1948">
            <v>3</v>
          </cell>
          <cell r="P1948">
            <v>0</v>
          </cell>
          <cell r="Q1948">
            <v>0</v>
          </cell>
          <cell r="R1948">
            <v>0</v>
          </cell>
          <cell r="V1948">
            <v>0</v>
          </cell>
          <cell r="W1948">
            <v>6.37696674691349E-5</v>
          </cell>
          <cell r="X1948">
            <v>0</v>
          </cell>
          <cell r="Y1948" t="str">
            <v>Conquistar</v>
          </cell>
        </row>
        <row r="1949">
          <cell r="A1949" t="str">
            <v>$139</v>
          </cell>
          <cell r="B1949" t="str">
            <v>$139 - FARMACIA CIUDAD JARDIN C.A.</v>
          </cell>
          <cell r="C1949" t="str">
            <v>INDEPENDIENTE</v>
          </cell>
          <cell r="D1949">
            <v>3</v>
          </cell>
          <cell r="E1949"/>
          <cell r="F1949" t="str">
            <v>CENTRO ESTE</v>
          </cell>
          <cell r="G1949" t="str">
            <v>LAURA FLORES</v>
          </cell>
          <cell r="H1949"/>
          <cell r="I1949" t="str">
            <v>-</v>
          </cell>
          <cell r="J1949" t="str">
            <v>Activo</v>
          </cell>
          <cell r="K1949">
            <v>4993.464215311511</v>
          </cell>
          <cell r="L1949">
            <v>499.34642153115112</v>
          </cell>
          <cell r="M1949">
            <v>487.40944217100196</v>
          </cell>
          <cell r="N1949" t="str">
            <v>Si Compra</v>
          </cell>
          <cell r="O1949">
            <v>10</v>
          </cell>
          <cell r="P1949">
            <v>7919.1058146416699</v>
          </cell>
          <cell r="Q1949">
            <v>791.91058146416697</v>
          </cell>
          <cell r="R1949">
            <v>636.35829067514442</v>
          </cell>
          <cell r="T1949"/>
          <cell r="U1949"/>
          <cell r="V1949">
            <v>0.6305590974777826</v>
          </cell>
          <cell r="W1949">
            <v>1.9066976309100933E-5</v>
          </cell>
          <cell r="X1949">
            <v>10</v>
          </cell>
          <cell r="Y1949" t="str">
            <v>Proteger</v>
          </cell>
        </row>
        <row r="1950">
          <cell r="A1950" t="str">
            <v>6310</v>
          </cell>
          <cell r="B1950" t="str">
            <v>FARMA MARIA</v>
          </cell>
          <cell r="C1950" t="str">
            <v>GRUPO</v>
          </cell>
          <cell r="D1950">
            <v>2</v>
          </cell>
          <cell r="E1950"/>
          <cell r="F1950" t="str">
            <v>CENTRO ESTE</v>
          </cell>
          <cell r="H1950"/>
          <cell r="I1950"/>
          <cell r="J1950" t="str">
            <v>Activo</v>
          </cell>
          <cell r="K1950">
            <v>4955.3724361572131</v>
          </cell>
          <cell r="L1950">
            <v>707.91034802245906</v>
          </cell>
          <cell r="M1950">
            <v>691.23869999999999</v>
          </cell>
          <cell r="N1950" t="str">
            <v>Si Compra</v>
          </cell>
          <cell r="O1950">
            <v>7</v>
          </cell>
          <cell r="P1950">
            <v>8637.3664629580671</v>
          </cell>
          <cell r="Q1950">
            <v>1233.9094947082954</v>
          </cell>
          <cell r="R1950">
            <v>1325.4752000000001</v>
          </cell>
          <cell r="S1950"/>
          <cell r="T1950"/>
          <cell r="U1950"/>
          <cell r="V1950">
            <v>0.57371334855463929</v>
          </cell>
          <cell r="W1950">
            <v>2.7030753105876788E-5</v>
          </cell>
          <cell r="X1950">
            <v>7</v>
          </cell>
          <cell r="Y1950" t="str">
            <v>Potenciar</v>
          </cell>
        </row>
        <row r="1951">
          <cell r="A1951" t="str">
            <v>9403</v>
          </cell>
          <cell r="B1951" t="str">
            <v>9403 - FARMACIA LA BOTICA DEL MORRO I, C.A.</v>
          </cell>
          <cell r="C1951" t="str">
            <v>INDEPENDIENTE</v>
          </cell>
          <cell r="D1951">
            <v>0</v>
          </cell>
          <cell r="E1951"/>
          <cell r="F1951" t="str">
            <v>ESTE</v>
          </cell>
          <cell r="G1951" t="str">
            <v>ALEXMAR CASTILLO</v>
          </cell>
          <cell r="H1951"/>
          <cell r="I1951" t="str">
            <v>A1</v>
          </cell>
          <cell r="J1951" t="str">
            <v>Bloqueado</v>
          </cell>
          <cell r="K1951">
            <v>4954.7408064579322</v>
          </cell>
          <cell r="L1951">
            <v>4954.7408064579322</v>
          </cell>
          <cell r="M1951">
            <v>0</v>
          </cell>
          <cell r="N1951" t="str">
            <v>No Compra</v>
          </cell>
          <cell r="O1951">
            <v>1</v>
          </cell>
          <cell r="P1951">
            <v>11326.409312518275</v>
          </cell>
          <cell r="Q1951">
            <v>11326.409312518275</v>
          </cell>
          <cell r="R1951">
            <v>0</v>
          </cell>
          <cell r="T1951"/>
          <cell r="U1951"/>
          <cell r="V1951">
            <v>0.43745026952026261</v>
          </cell>
          <cell r="W1951">
            <v>1.8919115367801935E-4</v>
          </cell>
          <cell r="X1951">
            <v>1</v>
          </cell>
          <cell r="Y1951" t="str">
            <v>Potenciar</v>
          </cell>
        </row>
        <row r="1952">
          <cell r="A1952" t="str">
            <v>8661</v>
          </cell>
          <cell r="B1952" t="str">
            <v>FARMAX</v>
          </cell>
          <cell r="C1952" t="str">
            <v>CADENA</v>
          </cell>
          <cell r="D1952">
            <v>9</v>
          </cell>
          <cell r="E1952">
            <v>0</v>
          </cell>
          <cell r="F1952" t="str">
            <v>CENTRO OESTE</v>
          </cell>
          <cell r="G1952" t="str">
            <v>DIEGO TORI</v>
          </cell>
          <cell r="H1952" t="str">
            <v>HECTOR</v>
          </cell>
          <cell r="I1952" t="str">
            <v>A</v>
          </cell>
          <cell r="J1952" t="str">
            <v>Inactivo</v>
          </cell>
          <cell r="K1952">
            <v>4954.6469999999999</v>
          </cell>
          <cell r="L1952">
            <v>990.92939999999999</v>
          </cell>
          <cell r="M1952">
            <v>0</v>
          </cell>
          <cell r="N1952" t="str">
            <v>No Compra</v>
          </cell>
          <cell r="O1952">
            <v>5</v>
          </cell>
          <cell r="P1952">
            <v>359703.8149</v>
          </cell>
          <cell r="Q1952">
            <v>71940.76298</v>
          </cell>
          <cell r="R1952">
            <v>0</v>
          </cell>
          <cell r="S1952">
            <v>5000</v>
          </cell>
          <cell r="T1952">
            <v>5</v>
          </cell>
          <cell r="U1952">
            <v>5</v>
          </cell>
          <cell r="V1952">
            <v>1.3774240902553185E-2</v>
          </cell>
          <cell r="W1952">
            <v>3.7837514356980169E-5</v>
          </cell>
          <cell r="X1952">
            <v>5</v>
          </cell>
          <cell r="Y1952" t="str">
            <v>Conquistar</v>
          </cell>
        </row>
        <row r="1953">
          <cell r="A1953" t="str">
            <v>5338</v>
          </cell>
          <cell r="B1953" t="str">
            <v>5338 - FARMACIA APURE GOLD,C.A</v>
          </cell>
          <cell r="C1953" t="str">
            <v>INDEPENDIENTE</v>
          </cell>
          <cell r="D1953">
            <v>0</v>
          </cell>
          <cell r="E1953"/>
          <cell r="F1953" t="str">
            <v>CENTRO ESTE</v>
          </cell>
          <cell r="G1953" t="str">
            <v>WILLIBETTI GONZALEZ</v>
          </cell>
          <cell r="H1953"/>
          <cell r="I1953" t="str">
            <v>AG</v>
          </cell>
          <cell r="J1953" t="str">
            <v>Bloqueado</v>
          </cell>
          <cell r="K1953">
            <v>4954.2882</v>
          </cell>
          <cell r="L1953">
            <v>4954.2882</v>
          </cell>
          <cell r="M1953">
            <v>0</v>
          </cell>
          <cell r="N1953" t="str">
            <v>No Compra</v>
          </cell>
          <cell r="O1953">
            <v>1</v>
          </cell>
          <cell r="P1953">
            <v>11315.1515</v>
          </cell>
          <cell r="Q1953">
            <v>11315.1515</v>
          </cell>
          <cell r="R1953">
            <v>0</v>
          </cell>
          <cell r="T1953"/>
          <cell r="U1953"/>
          <cell r="V1953">
            <v>0.43784550299657943</v>
          </cell>
          <cell r="W1953">
            <v>1.8917387141416679E-4</v>
          </cell>
          <cell r="X1953">
            <v>1</v>
          </cell>
          <cell r="Y1953" t="str">
            <v>Potenciar</v>
          </cell>
        </row>
        <row r="1954">
          <cell r="A1954" t="str">
            <v>D910</v>
          </cell>
          <cell r="B1954" t="str">
            <v>D910 - FARMA ADRIANKA L.P C.A</v>
          </cell>
          <cell r="C1954" t="str">
            <v>INDEPENDIENTE</v>
          </cell>
          <cell r="D1954">
            <v>3</v>
          </cell>
          <cell r="E1954"/>
          <cell r="F1954" t="str">
            <v>ESTE</v>
          </cell>
          <cell r="G1954" t="str">
            <v>CARMEN ALCALA</v>
          </cell>
          <cell r="H1954"/>
          <cell r="I1954" t="str">
            <v>A6</v>
          </cell>
          <cell r="J1954" t="str">
            <v>Suspendido</v>
          </cell>
          <cell r="K1954">
            <v>4951.4614000000001</v>
          </cell>
          <cell r="L1954">
            <v>707.35162857142859</v>
          </cell>
          <cell r="M1954">
            <v>443.90516666666667</v>
          </cell>
          <cell r="N1954" t="str">
            <v>Si Compra</v>
          </cell>
          <cell r="O1954">
            <v>7</v>
          </cell>
          <cell r="P1954">
            <v>87555.740700000009</v>
          </cell>
          <cell r="Q1954">
            <v>12507.962957142858</v>
          </cell>
          <cell r="R1954">
            <v>19537.271599999996</v>
          </cell>
          <cell r="T1954"/>
          <cell r="U1954"/>
          <cell r="V1954">
            <v>5.6552104526939373E-2</v>
          </cell>
          <cell r="W1954">
            <v>2.7009419037829269E-5</v>
          </cell>
          <cell r="X1954">
            <v>7</v>
          </cell>
          <cell r="Y1954" t="str">
            <v>Conquistar</v>
          </cell>
        </row>
        <row r="1955">
          <cell r="A1955" t="str">
            <v>E629</v>
          </cell>
          <cell r="B1955" t="str">
            <v>E629 - HIPERMERCADO HIPERNOVA, C.A</v>
          </cell>
          <cell r="C1955" t="e">
            <v>#N/A</v>
          </cell>
          <cell r="D1955">
            <v>2</v>
          </cell>
          <cell r="F1955" t="str">
            <v>ANDES</v>
          </cell>
          <cell r="G1955">
            <v>0</v>
          </cell>
          <cell r="H1955"/>
          <cell r="I1955" t="str">
            <v>5</v>
          </cell>
          <cell r="J1955" t="str">
            <v>Inactivo</v>
          </cell>
          <cell r="K1955">
            <v>4934.6756999999998</v>
          </cell>
          <cell r="L1955">
            <v>2467.3378499999999</v>
          </cell>
          <cell r="M1955">
            <v>2467.3378499999999</v>
          </cell>
          <cell r="N1955" t="str">
            <v>Si Compra</v>
          </cell>
          <cell r="O1955">
            <v>2</v>
          </cell>
          <cell r="P1955">
            <v>0</v>
          </cell>
          <cell r="Q1955">
            <v>0</v>
          </cell>
          <cell r="R1955">
            <v>0</v>
          </cell>
          <cell r="V1955">
            <v>0</v>
          </cell>
          <cell r="W1955">
            <v>9.4212495181690626E-5</v>
          </cell>
          <cell r="X1955">
            <v>0</v>
          </cell>
          <cell r="Y1955" t="str">
            <v>Conquistar</v>
          </cell>
        </row>
        <row r="1956">
          <cell r="A1956" t="str">
            <v>E359</v>
          </cell>
          <cell r="B1956" t="str">
            <v>E359 - FARMACIA LATIN CENTER, C.A</v>
          </cell>
          <cell r="C1956" t="e">
            <v>#N/A</v>
          </cell>
          <cell r="D1956">
            <v>3</v>
          </cell>
          <cell r="F1956" t="str">
            <v>MARACAIBO</v>
          </cell>
          <cell r="G1956">
            <v>0</v>
          </cell>
          <cell r="H1956"/>
          <cell r="I1956" t="str">
            <v>B</v>
          </cell>
          <cell r="J1956" t="str">
            <v>Inactivo</v>
          </cell>
          <cell r="K1956">
            <v>4923.0922494255083</v>
          </cell>
          <cell r="L1956">
            <v>820.51537490425142</v>
          </cell>
          <cell r="M1956">
            <v>588.76624980850272</v>
          </cell>
          <cell r="N1956" t="str">
            <v>Si Compra</v>
          </cell>
          <cell r="O1956">
            <v>6</v>
          </cell>
          <cell r="P1956">
            <v>0</v>
          </cell>
          <cell r="Q1956">
            <v>0</v>
          </cell>
          <cell r="R1956">
            <v>0</v>
          </cell>
          <cell r="V1956">
            <v>0</v>
          </cell>
          <cell r="W1956">
            <v>3.1330448241885422E-5</v>
          </cell>
          <cell r="X1956">
            <v>0</v>
          </cell>
          <cell r="Y1956" t="str">
            <v>Conquistar</v>
          </cell>
        </row>
        <row r="1957">
          <cell r="A1957" t="str">
            <v>D005</v>
          </cell>
          <cell r="B1957" t="str">
            <v>D005 - MI FARMACIA, C.A.</v>
          </cell>
          <cell r="C1957" t="str">
            <v>INDEPENDIENTE</v>
          </cell>
          <cell r="D1957">
            <v>3</v>
          </cell>
          <cell r="E1957"/>
          <cell r="F1957" t="str">
            <v>CENTRO OESTE</v>
          </cell>
          <cell r="G1957" t="str">
            <v>LUIS PLACERES</v>
          </cell>
          <cell r="H1957"/>
          <cell r="I1957" t="str">
            <v>E</v>
          </cell>
          <cell r="J1957" t="str">
            <v>Activo</v>
          </cell>
          <cell r="K1957">
            <v>4922.9677000000011</v>
          </cell>
          <cell r="L1957">
            <v>492.29677000000009</v>
          </cell>
          <cell r="M1957">
            <v>464.10166666666663</v>
          </cell>
          <cell r="N1957" t="str">
            <v>Si Compra</v>
          </cell>
          <cell r="O1957">
            <v>10</v>
          </cell>
          <cell r="P1957">
            <v>32312.858299999996</v>
          </cell>
          <cell r="Q1957">
            <v>3231.2858299999998</v>
          </cell>
          <cell r="R1957">
            <v>4872.1979999999994</v>
          </cell>
          <cell r="T1957"/>
          <cell r="U1957"/>
          <cell r="V1957">
            <v>0.15235321042459438</v>
          </cell>
          <cell r="W1957">
            <v>1.8797793367287285E-5</v>
          </cell>
          <cell r="X1957">
            <v>10</v>
          </cell>
          <cell r="Y1957" t="str">
            <v>Conquistar</v>
          </cell>
        </row>
        <row r="1958">
          <cell r="A1958" t="str">
            <v>8562</v>
          </cell>
          <cell r="B1958" t="str">
            <v>8562 - FARMACIA J. J FLORES,C.A</v>
          </cell>
          <cell r="C1958" t="str">
            <v>INDEPENDIENTE</v>
          </cell>
          <cell r="D1958">
            <v>3</v>
          </cell>
          <cell r="E1958"/>
          <cell r="F1958" t="str">
            <v>CENTRO ESTE</v>
          </cell>
          <cell r="G1958" t="str">
            <v>ELIANA PERAZA</v>
          </cell>
          <cell r="H1958"/>
          <cell r="I1958" t="str">
            <v>I</v>
          </cell>
          <cell r="J1958" t="str">
            <v>Activo</v>
          </cell>
          <cell r="K1958">
            <v>4921.4030964382109</v>
          </cell>
          <cell r="L1958">
            <v>820.23384940636845</v>
          </cell>
          <cell r="M1958">
            <v>412.89909456758477</v>
          </cell>
          <cell r="N1958" t="str">
            <v>Si Compra</v>
          </cell>
          <cell r="O1958">
            <v>6</v>
          </cell>
          <cell r="P1958">
            <v>4876.9133510786833</v>
          </cell>
          <cell r="Q1958">
            <v>812.81889184644717</v>
          </cell>
          <cell r="R1958">
            <v>397.7741221312674</v>
          </cell>
          <cell r="T1958"/>
          <cell r="U1958"/>
          <cell r="V1958">
            <v>1.0091225211843651</v>
          </cell>
          <cell r="W1958">
            <v>3.131969851030212E-5</v>
          </cell>
          <cell r="X1958">
            <v>6</v>
          </cell>
          <cell r="Y1958" t="str">
            <v>Proteger</v>
          </cell>
        </row>
        <row r="1959">
          <cell r="A1959" t="str">
            <v>M20</v>
          </cell>
          <cell r="B1959" t="str">
            <v>CARONI</v>
          </cell>
          <cell r="C1959" t="str">
            <v>GRUPO</v>
          </cell>
          <cell r="D1959">
            <v>2</v>
          </cell>
          <cell r="E1959"/>
          <cell r="F1959" t="str">
            <v>CENTRO ESTE</v>
          </cell>
          <cell r="H1959"/>
          <cell r="I1959"/>
          <cell r="J1959" t="str">
            <v>Suspendido</v>
          </cell>
          <cell r="K1959">
            <v>4921.3851999999997</v>
          </cell>
          <cell r="L1959">
            <v>984.27703999999994</v>
          </cell>
          <cell r="M1959">
            <v>483.53430000000003</v>
          </cell>
          <cell r="N1959" t="str">
            <v>Si Compra</v>
          </cell>
          <cell r="O1959">
            <v>5</v>
          </cell>
          <cell r="P1959">
            <v>20021.957900000001</v>
          </cell>
          <cell r="Q1959">
            <v>4004.3915800000004</v>
          </cell>
          <cell r="R1959">
            <v>2012.76865</v>
          </cell>
          <cell r="S1959"/>
          <cell r="T1959"/>
          <cell r="U1959"/>
          <cell r="V1959">
            <v>0.24579939806985607</v>
          </cell>
          <cell r="W1959">
            <v>3.7583501541326701E-5</v>
          </cell>
          <cell r="X1959">
            <v>5</v>
          </cell>
          <cell r="Y1959" t="str">
            <v>Potenciar</v>
          </cell>
        </row>
        <row r="1960">
          <cell r="A1960" t="str">
            <v>D761</v>
          </cell>
          <cell r="B1960" t="str">
            <v>D761 - FARMAVIDA´S, C.A</v>
          </cell>
          <cell r="C1960" t="str">
            <v>INDEPENDIENTE</v>
          </cell>
          <cell r="D1960">
            <v>0</v>
          </cell>
          <cell r="E1960"/>
          <cell r="F1960" t="str">
            <v>CENTRO OESTE</v>
          </cell>
          <cell r="G1960" t="str">
            <v>JOSE LUIS GARCIA</v>
          </cell>
          <cell r="H1960"/>
          <cell r="I1960" t="str">
            <v>Y</v>
          </cell>
          <cell r="J1960" t="str">
            <v>Activo</v>
          </cell>
          <cell r="K1960">
            <v>4881.0893000000005</v>
          </cell>
          <cell r="L1960">
            <v>976.21786000000009</v>
          </cell>
          <cell r="M1960">
            <v>0</v>
          </cell>
          <cell r="N1960" t="str">
            <v>No Compra</v>
          </cell>
          <cell r="O1960">
            <v>5</v>
          </cell>
          <cell r="P1960">
            <v>10615.8647</v>
          </cell>
          <cell r="Q1960">
            <v>2123.1729399999999</v>
          </cell>
          <cell r="R1960">
            <v>0</v>
          </cell>
          <cell r="T1960"/>
          <cell r="U1960"/>
          <cell r="V1960">
            <v>0.45979196588667909</v>
          </cell>
          <cell r="W1960">
            <v>3.7275770900823467E-5</v>
          </cell>
          <cell r="X1960">
            <v>5</v>
          </cell>
          <cell r="Y1960" t="str">
            <v>Potenciar</v>
          </cell>
        </row>
        <row r="1961">
          <cell r="A1961" t="str">
            <v>C945</v>
          </cell>
          <cell r="B1961" t="str">
            <v>C945 - FARMAPAZ HOSPITAL C.A.</v>
          </cell>
          <cell r="C1961" t="str">
            <v>INDEPENDIENTE</v>
          </cell>
          <cell r="D1961">
            <v>0</v>
          </cell>
          <cell r="E1961"/>
          <cell r="F1961" t="str">
            <v>ESTE</v>
          </cell>
          <cell r="G1961" t="str">
            <v>CARMEN ALCALA</v>
          </cell>
          <cell r="H1961"/>
          <cell r="I1961" t="str">
            <v>A0</v>
          </cell>
          <cell r="J1961" t="str">
            <v>Bloqueado</v>
          </cell>
          <cell r="K1961">
            <v>4822.5761502143796</v>
          </cell>
          <cell r="L1961">
            <v>1205.6440375535949</v>
          </cell>
          <cell r="M1961">
            <v>0</v>
          </cell>
          <cell r="N1961" t="str">
            <v>No Compra</v>
          </cell>
          <cell r="O1961">
            <v>3</v>
          </cell>
          <cell r="P1961">
            <v>577560.20737250615</v>
          </cell>
          <cell r="Q1961">
            <v>144390.05184312654</v>
          </cell>
          <cell r="R1961">
            <v>0</v>
          </cell>
          <cell r="T1961"/>
          <cell r="U1961"/>
          <cell r="V1961">
            <v>8.3499106909627977E-3</v>
          </cell>
          <cell r="W1961">
            <v>4.6036149074133522E-5</v>
          </cell>
          <cell r="X1961">
            <v>4</v>
          </cell>
          <cell r="Y1961" t="str">
            <v>Conquistar</v>
          </cell>
        </row>
        <row r="1962">
          <cell r="A1962" t="str">
            <v>8956</v>
          </cell>
          <cell r="B1962" t="str">
            <v>8956 - FARMACIA BRUSELAS C.A</v>
          </cell>
          <cell r="C1962" t="str">
            <v>INDEPENDIENTE</v>
          </cell>
          <cell r="D1962">
            <v>2</v>
          </cell>
          <cell r="E1962"/>
          <cell r="F1962" t="str">
            <v>ANDES</v>
          </cell>
          <cell r="G1962" t="str">
            <v>LUCIA DUGARTE</v>
          </cell>
          <cell r="H1962"/>
          <cell r="I1962" t="str">
            <v>6</v>
          </cell>
          <cell r="J1962" t="str">
            <v>Activo</v>
          </cell>
          <cell r="K1962">
            <v>4821.7776999999996</v>
          </cell>
          <cell r="L1962">
            <v>964.35553999999991</v>
          </cell>
          <cell r="M1962">
            <v>475.97164999999995</v>
          </cell>
          <cell r="N1962" t="str">
            <v>Si Compra</v>
          </cell>
          <cell r="O1962">
            <v>5</v>
          </cell>
          <cell r="P1962">
            <v>11736.287999999999</v>
          </cell>
          <cell r="Q1962">
            <v>2347.2575999999999</v>
          </cell>
          <cell r="R1962">
            <v>561.23775000000001</v>
          </cell>
          <cell r="T1962"/>
          <cell r="U1962"/>
          <cell r="V1962">
            <v>0.41084350520368962</v>
          </cell>
          <cell r="W1962">
            <v>3.6822821676280226E-5</v>
          </cell>
          <cell r="X1962">
            <v>5</v>
          </cell>
          <cell r="Y1962" t="str">
            <v>Potenciar</v>
          </cell>
        </row>
        <row r="1963">
          <cell r="A1963" t="str">
            <v>D531</v>
          </cell>
          <cell r="B1963" t="str">
            <v>D531 - FARMACIA INSUMEDFAR VICTORIA C.A.</v>
          </cell>
          <cell r="C1963" t="str">
            <v>INDEPENDIENTE</v>
          </cell>
          <cell r="D1963">
            <v>2</v>
          </cell>
          <cell r="E1963"/>
          <cell r="F1963" t="str">
            <v>ESTE</v>
          </cell>
          <cell r="G1963">
            <v>0</v>
          </cell>
          <cell r="H1963"/>
          <cell r="I1963" t="str">
            <v>A6</v>
          </cell>
          <cell r="J1963" t="str">
            <v>Inactivo</v>
          </cell>
          <cell r="K1963">
            <v>4784.1629999999996</v>
          </cell>
          <cell r="L1963">
            <v>683.45185714285708</v>
          </cell>
          <cell r="M1963">
            <v>385.66034999999999</v>
          </cell>
          <cell r="N1963" t="str">
            <v>Si Compra</v>
          </cell>
          <cell r="O1963">
            <v>7</v>
          </cell>
          <cell r="P1963">
            <v>0</v>
          </cell>
          <cell r="Q1963">
            <v>0</v>
          </cell>
          <cell r="R1963">
            <v>0</v>
          </cell>
          <cell r="T1963"/>
          <cell r="U1963"/>
          <cell r="V1963">
            <v>0</v>
          </cell>
          <cell r="W1963">
            <v>2.60968333939306E-5</v>
          </cell>
          <cell r="X1963">
            <v>0</v>
          </cell>
          <cell r="Y1963" t="str">
            <v>Conquistar</v>
          </cell>
        </row>
        <row r="1964">
          <cell r="A1964" t="str">
            <v>D839</v>
          </cell>
          <cell r="B1964" t="str">
            <v>D839 - FARMACIAS ACOSTA, C.A</v>
          </cell>
          <cell r="C1964" t="str">
            <v>INDEPENDIENTE</v>
          </cell>
          <cell r="D1964">
            <v>2</v>
          </cell>
          <cell r="E1964"/>
          <cell r="F1964" t="str">
            <v>CENTRO OESTE</v>
          </cell>
          <cell r="G1964" t="str">
            <v>JOSE LUIS GARCIA</v>
          </cell>
          <cell r="H1964"/>
          <cell r="I1964" t="str">
            <v>Y</v>
          </cell>
          <cell r="J1964" t="str">
            <v>Activo</v>
          </cell>
          <cell r="K1964">
            <v>4779.5250385306263</v>
          </cell>
          <cell r="L1964">
            <v>796.58750642177108</v>
          </cell>
          <cell r="M1964">
            <v>131.78845000000001</v>
          </cell>
          <cell r="N1964" t="str">
            <v>Si Compra</v>
          </cell>
          <cell r="O1964">
            <v>6</v>
          </cell>
          <cell r="P1964">
            <v>8764.8162931370207</v>
          </cell>
          <cell r="Q1964">
            <v>1460.8027155228367</v>
          </cell>
          <cell r="R1964">
            <v>152.57410000000002</v>
          </cell>
          <cell r="T1964"/>
          <cell r="U1964"/>
          <cell r="V1964">
            <v>0.54530806792528719</v>
          </cell>
          <cell r="W1964">
            <v>3.0416789743875593E-5</v>
          </cell>
          <cell r="X1964">
            <v>6</v>
          </cell>
          <cell r="Y1964" t="str">
            <v>Potenciar</v>
          </cell>
        </row>
        <row r="1965">
          <cell r="A1965" t="str">
            <v>8476</v>
          </cell>
          <cell r="B1965" t="str">
            <v>NIQUITAO (FAVIOLA COLMENAREZ)</v>
          </cell>
          <cell r="C1965" t="e">
            <v>#N/A</v>
          </cell>
          <cell r="D1965">
            <v>3</v>
          </cell>
          <cell r="E1965"/>
          <cell r="F1965" t="str">
            <v>ANDES</v>
          </cell>
          <cell r="H1965"/>
          <cell r="I1965"/>
          <cell r="J1965" t="str">
            <v>Inactivo</v>
          </cell>
          <cell r="K1965">
            <v>4767.6228650397907</v>
          </cell>
          <cell r="L1965">
            <v>953.52457300795811</v>
          </cell>
          <cell r="M1965">
            <v>1139.8515333333335</v>
          </cell>
          <cell r="N1965" t="str">
            <v>Si Compra</v>
          </cell>
          <cell r="O1965">
            <v>5</v>
          </cell>
          <cell r="P1965">
            <v>0</v>
          </cell>
          <cell r="Q1965">
            <v>0</v>
          </cell>
          <cell r="R1965">
            <v>0</v>
          </cell>
          <cell r="S1965"/>
          <cell r="T1965"/>
          <cell r="U1965"/>
          <cell r="V1965">
            <v>0</v>
          </cell>
          <cell r="W1965">
            <v>3.6409253495679915E-5</v>
          </cell>
          <cell r="X1965">
            <v>0</v>
          </cell>
          <cell r="Y1965" t="str">
            <v>Conquistar</v>
          </cell>
        </row>
        <row r="1966">
          <cell r="A1966" t="str">
            <v>E601</v>
          </cell>
          <cell r="B1966" t="str">
            <v>E601 - FARMACIA DEL ZULIA, C.A</v>
          </cell>
          <cell r="C1966" t="e">
            <v>#N/A</v>
          </cell>
          <cell r="D1966">
            <v>2</v>
          </cell>
          <cell r="F1966" t="str">
            <v>MARACAIBO</v>
          </cell>
          <cell r="G1966">
            <v>0</v>
          </cell>
          <cell r="H1966"/>
          <cell r="I1966" t="str">
            <v>B</v>
          </cell>
          <cell r="J1966" t="str">
            <v>Suspendido</v>
          </cell>
          <cell r="K1966">
            <v>4761.4216999999999</v>
          </cell>
          <cell r="L1966">
            <v>2380.7108499999999</v>
          </cell>
          <cell r="M1966">
            <v>2380.7108499999999</v>
          </cell>
          <cell r="N1966" t="str">
            <v>Si Compra</v>
          </cell>
          <cell r="O1966">
            <v>2</v>
          </cell>
          <cell r="P1966">
            <v>0</v>
          </cell>
          <cell r="Q1966">
            <v>0</v>
          </cell>
          <cell r="R1966">
            <v>0</v>
          </cell>
          <cell r="V1966">
            <v>0</v>
          </cell>
          <cell r="W1966">
            <v>9.0904741515080142E-5</v>
          </cell>
          <cell r="X1966">
            <v>0</v>
          </cell>
          <cell r="Y1966" t="str">
            <v>Conquistar</v>
          </cell>
        </row>
        <row r="1967">
          <cell r="A1967" t="str">
            <v>E565</v>
          </cell>
          <cell r="B1967" t="str">
            <v>E565 - FARMASUR, C.A</v>
          </cell>
          <cell r="C1967" t="e">
            <v>#N/A</v>
          </cell>
          <cell r="D1967">
            <v>3</v>
          </cell>
          <cell r="F1967" t="str">
            <v>ESTE</v>
          </cell>
          <cell r="G1967">
            <v>0</v>
          </cell>
          <cell r="H1967"/>
          <cell r="I1967" t="str">
            <v>A4</v>
          </cell>
          <cell r="J1967" t="str">
            <v>Activo</v>
          </cell>
          <cell r="K1967">
            <v>4759.4924000000001</v>
          </cell>
          <cell r="L1967">
            <v>1586.4974666666667</v>
          </cell>
          <cell r="M1967">
            <v>1586.4974666666667</v>
          </cell>
          <cell r="N1967" t="str">
            <v>Si Compra</v>
          </cell>
          <cell r="O1967">
            <v>3</v>
          </cell>
          <cell r="P1967">
            <v>0</v>
          </cell>
          <cell r="Q1967">
            <v>0</v>
          </cell>
          <cell r="R1967">
            <v>0</v>
          </cell>
          <cell r="V1967">
            <v>0</v>
          </cell>
          <cell r="W1967">
            <v>6.0578604966522002E-5</v>
          </cell>
          <cell r="X1967">
            <v>0</v>
          </cell>
          <cell r="Y1967" t="str">
            <v>Conquistar</v>
          </cell>
        </row>
        <row r="1968">
          <cell r="A1968" t="str">
            <v>N144</v>
          </cell>
          <cell r="B1968" t="str">
            <v>N144 - FARMACIA GARAFIA,C.A.</v>
          </cell>
          <cell r="C1968" t="str">
            <v>INDEPENDIENTE</v>
          </cell>
          <cell r="D1968">
            <v>0</v>
          </cell>
          <cell r="F1968" t="str">
            <v>CENTRO OESTE</v>
          </cell>
          <cell r="G1968" t="str">
            <v>DIEGO TORI</v>
          </cell>
          <cell r="H1968"/>
          <cell r="I1968" t="str">
            <v>N</v>
          </cell>
          <cell r="J1968" t="str">
            <v>Activo</v>
          </cell>
          <cell r="K1968">
            <v>4746.9498999999996</v>
          </cell>
          <cell r="L1968">
            <v>1582.3166333333331</v>
          </cell>
          <cell r="M1968">
            <v>0</v>
          </cell>
          <cell r="N1968" t="str">
            <v>No Compra</v>
          </cell>
          <cell r="O1968">
            <v>3</v>
          </cell>
          <cell r="P1968">
            <v>6387.5401999999995</v>
          </cell>
          <cell r="Q1968">
            <v>2129.1800666666663</v>
          </cell>
          <cell r="R1968">
            <v>0</v>
          </cell>
          <cell r="V1968">
            <v>0.74315773386443817</v>
          </cell>
          <cell r="W1968">
            <v>6.0418964591259999E-5</v>
          </cell>
          <cell r="X1968">
            <v>3</v>
          </cell>
          <cell r="Y1968" t="str">
            <v>Proteger</v>
          </cell>
        </row>
        <row r="1969">
          <cell r="A1969" t="str">
            <v>7533</v>
          </cell>
          <cell r="B1969" t="str">
            <v>7533 - FARMACIA SHARK DENT, C.A.</v>
          </cell>
          <cell r="C1969" t="str">
            <v>INDEPENDIENTE</v>
          </cell>
          <cell r="D1969">
            <v>3</v>
          </cell>
          <cell r="E1969"/>
          <cell r="F1969" t="str">
            <v>ESTE</v>
          </cell>
          <cell r="G1969" t="str">
            <v>PEDRO VIRE</v>
          </cell>
          <cell r="H1969"/>
          <cell r="I1969" t="str">
            <v>A7</v>
          </cell>
          <cell r="J1969" t="str">
            <v>Activo</v>
          </cell>
          <cell r="K1969">
            <v>4744.9849282500863</v>
          </cell>
          <cell r="L1969">
            <v>527.22054758334298</v>
          </cell>
          <cell r="M1969">
            <v>339.01073333333335</v>
          </cell>
          <cell r="N1969" t="str">
            <v>Si Compra</v>
          </cell>
          <cell r="O1969">
            <v>9</v>
          </cell>
          <cell r="P1969">
            <v>2106.2486585340885</v>
          </cell>
          <cell r="Q1969">
            <v>234.02762872600982</v>
          </cell>
          <cell r="R1969">
            <v>192.13053333333335</v>
          </cell>
          <cell r="T1969"/>
          <cell r="U1969"/>
          <cell r="V1969">
            <v>2.2528132701826915</v>
          </cell>
          <cell r="W1969">
            <v>2.0131318173100613E-5</v>
          </cell>
          <cell r="X1969">
            <v>7</v>
          </cell>
          <cell r="Y1969" t="str">
            <v>Proteger</v>
          </cell>
        </row>
        <row r="1970">
          <cell r="A1970" t="str">
            <v>M211</v>
          </cell>
          <cell r="B1970" t="str">
            <v>M211 - FARMACIA LA POPULARISIMA, C.A</v>
          </cell>
          <cell r="C1970" t="str">
            <v>INDEPENDIENTE</v>
          </cell>
          <cell r="D1970">
            <v>3</v>
          </cell>
          <cell r="F1970" t="str">
            <v>CENTRO ESTE</v>
          </cell>
          <cell r="G1970" t="str">
            <v>KARLA SALAZAR</v>
          </cell>
          <cell r="H1970"/>
          <cell r="I1970" t="str">
            <v>O</v>
          </cell>
          <cell r="J1970" t="str">
            <v>Inactivo</v>
          </cell>
          <cell r="K1970">
            <v>4722.9418999999998</v>
          </cell>
          <cell r="L1970">
            <v>472.29418999999996</v>
          </cell>
          <cell r="M1970">
            <v>346.81983333333329</v>
          </cell>
          <cell r="N1970" t="str">
            <v>Si Compra</v>
          </cell>
          <cell r="O1970">
            <v>10</v>
          </cell>
          <cell r="P1970">
            <v>5426.1633999999995</v>
          </cell>
          <cell r="Q1970">
            <v>542.61633999999992</v>
          </cell>
          <cell r="R1970">
            <v>290.12670000000003</v>
          </cell>
          <cell r="V1970">
            <v>0.87040170961309427</v>
          </cell>
          <cell r="W1970">
            <v>1.8034017554472921E-5</v>
          </cell>
          <cell r="X1970">
            <v>10</v>
          </cell>
          <cell r="Y1970" t="str">
            <v>Proteger</v>
          </cell>
        </row>
        <row r="1971">
          <cell r="A1971" t="str">
            <v>D584</v>
          </cell>
          <cell r="B1971" t="str">
            <v>D584 - FARMACIA VIDASALUD I C.A.</v>
          </cell>
          <cell r="C1971" t="str">
            <v>INDEPENDIENTE</v>
          </cell>
          <cell r="D1971">
            <v>3</v>
          </cell>
          <cell r="E1971"/>
          <cell r="F1971" t="str">
            <v>ESTE</v>
          </cell>
          <cell r="G1971" t="str">
            <v>CARLOS BLONDELL</v>
          </cell>
          <cell r="H1971"/>
          <cell r="I1971" t="str">
            <v>A5</v>
          </cell>
          <cell r="J1971" t="str">
            <v>Inactivo</v>
          </cell>
          <cell r="K1971">
            <v>4722.7365</v>
          </cell>
          <cell r="L1971">
            <v>590.3420625</v>
          </cell>
          <cell r="M1971">
            <v>367.3442</v>
          </cell>
          <cell r="N1971" t="str">
            <v>Si Compra</v>
          </cell>
          <cell r="O1971">
            <v>8</v>
          </cell>
          <cell r="P1971">
            <v>38541.534200000002</v>
          </cell>
          <cell r="Q1971">
            <v>4817.6917750000002</v>
          </cell>
          <cell r="R1971">
            <v>3794.2716666666661</v>
          </cell>
          <cell r="T1971"/>
          <cell r="U1971"/>
          <cell r="V1971">
            <v>0.12253628709985291</v>
          </cell>
          <cell r="W1971">
            <v>2.2541541572359275E-5</v>
          </cell>
          <cell r="X1971">
            <v>8</v>
          </cell>
          <cell r="Y1971" t="str">
            <v>Conquistar</v>
          </cell>
        </row>
        <row r="1972">
          <cell r="A1972" t="str">
            <v>C664</v>
          </cell>
          <cell r="B1972" t="str">
            <v>C664 - FARMACIA CENTRO 21,C.A.</v>
          </cell>
          <cell r="C1972" t="str">
            <v>INDEPENDIENTE</v>
          </cell>
          <cell r="D1972">
            <v>3</v>
          </cell>
          <cell r="E1972"/>
          <cell r="F1972" t="str">
            <v>CENTRO OESTE</v>
          </cell>
          <cell r="G1972" t="str">
            <v>LUIS PLACERES</v>
          </cell>
          <cell r="H1972"/>
          <cell r="I1972" t="str">
            <v>E</v>
          </cell>
          <cell r="J1972" t="str">
            <v>Inactivo</v>
          </cell>
          <cell r="K1972">
            <v>4719.8013999999994</v>
          </cell>
          <cell r="L1972">
            <v>471.98013999999995</v>
          </cell>
          <cell r="M1972">
            <v>460.22059999999993</v>
          </cell>
          <cell r="N1972" t="str">
            <v>Si Compra</v>
          </cell>
          <cell r="O1972">
            <v>10</v>
          </cell>
          <cell r="P1972">
            <v>12913.792899999999</v>
          </cell>
          <cell r="Q1972">
            <v>1291.3792899999999</v>
          </cell>
          <cell r="R1972">
            <v>1226.8374666666666</v>
          </cell>
          <cell r="T1972"/>
          <cell r="U1972"/>
          <cell r="V1972">
            <v>0.36548529440951466</v>
          </cell>
          <cell r="W1972">
            <v>1.8022025911694121E-5</v>
          </cell>
          <cell r="X1972">
            <v>10</v>
          </cell>
          <cell r="Y1972" t="str">
            <v>Potenciar</v>
          </cell>
        </row>
        <row r="1973">
          <cell r="A1973" t="str">
            <v>E141</v>
          </cell>
          <cell r="B1973" t="str">
            <v>E141 - EXPENDIO DE MEDICINAS Y VARIEDADES EL PODER DE DIOS, C.A.</v>
          </cell>
          <cell r="C1973" t="str">
            <v>INDEPENDIENTE</v>
          </cell>
          <cell r="D1973">
            <v>1</v>
          </cell>
          <cell r="F1973" t="str">
            <v>CENTRO OESTE</v>
          </cell>
          <cell r="G1973">
            <v>0</v>
          </cell>
          <cell r="H1973"/>
          <cell r="I1973" t="str">
            <v>E</v>
          </cell>
          <cell r="J1973" t="str">
            <v>Bloqueado</v>
          </cell>
          <cell r="K1973">
            <v>4719.3449000000001</v>
          </cell>
          <cell r="L1973">
            <v>589.91811250000001</v>
          </cell>
          <cell r="M1973">
            <v>521.32399999999996</v>
          </cell>
          <cell r="N1973" t="str">
            <v>Si Compra</v>
          </cell>
          <cell r="O1973">
            <v>8</v>
          </cell>
          <cell r="P1973">
            <v>0</v>
          </cell>
          <cell r="Q1973">
            <v>0</v>
          </cell>
          <cell r="R1973">
            <v>0</v>
          </cell>
          <cell r="V1973">
            <v>0</v>
          </cell>
          <cell r="W1973">
            <v>2.2525353522825535E-5</v>
          </cell>
          <cell r="X1973">
            <v>0</v>
          </cell>
          <cell r="Y1973" t="str">
            <v>Conquistar</v>
          </cell>
        </row>
        <row r="1974">
          <cell r="A1974" t="str">
            <v>A775</v>
          </cell>
          <cell r="B1974" t="str">
            <v>A775 - FARMAPAZ CITY,C.A</v>
          </cell>
          <cell r="C1974" t="str">
            <v>INDEPENDIENTE</v>
          </cell>
          <cell r="D1974">
            <v>0</v>
          </cell>
          <cell r="E1974"/>
          <cell r="F1974" t="str">
            <v>ESTE</v>
          </cell>
          <cell r="G1974" t="str">
            <v>CARMEN ALCALA</v>
          </cell>
          <cell r="H1974"/>
          <cell r="I1974" t="str">
            <v>A6</v>
          </cell>
          <cell r="J1974" t="str">
            <v>Bloqueado</v>
          </cell>
          <cell r="K1974">
            <v>4691.5182315872134</v>
          </cell>
          <cell r="L1974">
            <v>938.30364631744271</v>
          </cell>
          <cell r="M1974">
            <v>0</v>
          </cell>
          <cell r="N1974" t="str">
            <v>No Compra</v>
          </cell>
          <cell r="O1974">
            <v>3</v>
          </cell>
          <cell r="P1974">
            <v>452982.92252737272</v>
          </cell>
          <cell r="Q1974">
            <v>90596.584505474544</v>
          </cell>
          <cell r="R1974">
            <v>0</v>
          </cell>
          <cell r="T1974"/>
          <cell r="U1974"/>
          <cell r="V1974">
            <v>1.0356942830010806E-2</v>
          </cell>
          <cell r="W1974">
            <v>3.5828059686939436E-5</v>
          </cell>
          <cell r="X1974">
            <v>5</v>
          </cell>
          <cell r="Y1974" t="str">
            <v>Conquistar</v>
          </cell>
        </row>
        <row r="1975">
          <cell r="A1975" t="str">
            <v>322</v>
          </cell>
          <cell r="B1975" t="str">
            <v>322 - MARIA DEL CARMEN ZAMBRANO SANCHEZ (FARMACIA JUAN PABLO II)</v>
          </cell>
          <cell r="C1975" t="str">
            <v>INDEPENDIENTE</v>
          </cell>
          <cell r="D1975">
            <v>3</v>
          </cell>
          <cell r="E1975"/>
          <cell r="F1975" t="str">
            <v>ANDES</v>
          </cell>
          <cell r="G1975" t="str">
            <v>JESUS CONTRERAS</v>
          </cell>
          <cell r="H1975"/>
          <cell r="I1975" t="str">
            <v>G2</v>
          </cell>
          <cell r="J1975" t="str">
            <v>Activo</v>
          </cell>
          <cell r="K1975">
            <v>4682.3927543217142</v>
          </cell>
          <cell r="L1975">
            <v>468.23927543217144</v>
          </cell>
          <cell r="M1975">
            <v>404.27326666666664</v>
          </cell>
          <cell r="N1975" t="str">
            <v>Si Compra</v>
          </cell>
          <cell r="O1975">
            <v>10</v>
          </cell>
          <cell r="P1975">
            <v>4850.624062983381</v>
          </cell>
          <cell r="Q1975">
            <v>485.06240629833809</v>
          </cell>
          <cell r="R1975">
            <v>274.26213333333334</v>
          </cell>
          <cell r="T1975"/>
          <cell r="U1975"/>
          <cell r="V1975">
            <v>0.96531759491618985</v>
          </cell>
          <cell r="W1975">
            <v>1.7879185244344125E-5</v>
          </cell>
          <cell r="X1975">
            <v>9</v>
          </cell>
          <cell r="Y1975" t="str">
            <v>Proteger</v>
          </cell>
        </row>
        <row r="1976">
          <cell r="A1976" t="str">
            <v>E349</v>
          </cell>
          <cell r="B1976" t="str">
            <v>E349 - PHARMASUR C.A</v>
          </cell>
          <cell r="C1976" t="e">
            <v>#N/A</v>
          </cell>
          <cell r="D1976">
            <v>3</v>
          </cell>
          <cell r="F1976" t="str">
            <v>ANDES</v>
          </cell>
          <cell r="G1976">
            <v>0</v>
          </cell>
          <cell r="H1976"/>
          <cell r="I1976" t="str">
            <v>4</v>
          </cell>
          <cell r="J1976" t="str">
            <v>Activo</v>
          </cell>
          <cell r="K1976">
            <v>4677.5777253188262</v>
          </cell>
          <cell r="L1976">
            <v>779.5962875531377</v>
          </cell>
          <cell r="M1976">
            <v>772.38400843960892</v>
          </cell>
          <cell r="N1976" t="str">
            <v>Si Compra</v>
          </cell>
          <cell r="O1976">
            <v>6</v>
          </cell>
          <cell r="P1976">
            <v>0</v>
          </cell>
          <cell r="Q1976">
            <v>0</v>
          </cell>
          <cell r="R1976">
            <v>0</v>
          </cell>
          <cell r="V1976">
            <v>0</v>
          </cell>
          <cell r="W1976">
            <v>2.9767999337733131E-5</v>
          </cell>
          <cell r="X1976">
            <v>0</v>
          </cell>
          <cell r="Y1976" t="str">
            <v>Conquistar</v>
          </cell>
        </row>
        <row r="1977">
          <cell r="A1977" t="str">
            <v>E148</v>
          </cell>
          <cell r="B1977" t="str">
            <v>E148 - EXPENDIO DE MEDICINAS SANTO NIÑO UNO, CA</v>
          </cell>
          <cell r="C1977" t="str">
            <v>INDEPENDIENTE</v>
          </cell>
          <cell r="D1977">
            <v>3</v>
          </cell>
          <cell r="F1977" t="str">
            <v>ANDES</v>
          </cell>
          <cell r="G1977">
            <v>0</v>
          </cell>
          <cell r="H1977"/>
          <cell r="I1977" t="str">
            <v>G2</v>
          </cell>
          <cell r="J1977" t="str">
            <v>Activo</v>
          </cell>
          <cell r="K1977">
            <v>4653.1091616943868</v>
          </cell>
          <cell r="L1977">
            <v>581.63864521179835</v>
          </cell>
          <cell r="M1977">
            <v>429.88592056479575</v>
          </cell>
          <cell r="N1977" t="str">
            <v>Si Compra</v>
          </cell>
          <cell r="O1977">
            <v>8</v>
          </cell>
          <cell r="P1977">
            <v>0</v>
          </cell>
          <cell r="Q1977">
            <v>0</v>
          </cell>
          <cell r="R1977">
            <v>0</v>
          </cell>
          <cell r="V1977">
            <v>0</v>
          </cell>
          <cell r="W1977">
            <v>2.2209211462265542E-5</v>
          </cell>
          <cell r="X1977">
            <v>0</v>
          </cell>
          <cell r="Y1977" t="str">
            <v>Conquistar</v>
          </cell>
        </row>
        <row r="1978">
          <cell r="A1978" t="str">
            <v>E683</v>
          </cell>
          <cell r="B1978" t="str">
            <v>E683 - EXPENDIO DE MEDICINA DELGADO PEREIRA, F.P</v>
          </cell>
          <cell r="C1978" t="e">
            <v>#N/A</v>
          </cell>
          <cell r="D1978">
            <v>2</v>
          </cell>
          <cell r="F1978" t="str">
            <v>CENTRO ESTE</v>
          </cell>
          <cell r="G1978">
            <v>0</v>
          </cell>
          <cell r="H1978"/>
          <cell r="I1978" t="str">
            <v>H</v>
          </cell>
          <cell r="J1978" t="str">
            <v>Activo</v>
          </cell>
          <cell r="K1978">
            <v>4627.7692727291105</v>
          </cell>
          <cell r="L1978">
            <v>2313.8846363645553</v>
          </cell>
          <cell r="M1978">
            <v>2313.8846363645553</v>
          </cell>
          <cell r="N1978" t="str">
            <v>Si Compra</v>
          </cell>
          <cell r="O1978">
            <v>2</v>
          </cell>
          <cell r="P1978">
            <v>0</v>
          </cell>
          <cell r="Q1978">
            <v>0</v>
          </cell>
          <cell r="R1978">
            <v>0</v>
          </cell>
          <cell r="V1978">
            <v>0</v>
          </cell>
          <cell r="W1978">
            <v>8.8353058400366058E-5</v>
          </cell>
          <cell r="X1978">
            <v>0</v>
          </cell>
          <cell r="Y1978" t="str">
            <v>Conquistar</v>
          </cell>
        </row>
        <row r="1979">
          <cell r="A1979" t="str">
            <v>B501</v>
          </cell>
          <cell r="B1979" t="str">
            <v>B501 - FARMAIMPORTACIONES DAVILA, C.A.</v>
          </cell>
          <cell r="C1979" t="str">
            <v>INDEPENDIENTE</v>
          </cell>
          <cell r="D1979">
            <v>1</v>
          </cell>
          <cell r="E1979"/>
          <cell r="F1979" t="str">
            <v>CENTRO OESTE</v>
          </cell>
          <cell r="G1979" t="str">
            <v>LUIS PLACERES</v>
          </cell>
          <cell r="H1979"/>
          <cell r="I1979" t="str">
            <v>E</v>
          </cell>
          <cell r="J1979" t="str">
            <v>Activo</v>
          </cell>
          <cell r="K1979">
            <v>4626.2574000000004</v>
          </cell>
          <cell r="L1979">
            <v>771.04290000000003</v>
          </cell>
          <cell r="M1979">
            <v>249.1508</v>
          </cell>
          <cell r="N1979" t="str">
            <v>Si Compra</v>
          </cell>
          <cell r="O1979">
            <v>6</v>
          </cell>
          <cell r="P1979">
            <v>32723.2811</v>
          </cell>
          <cell r="Q1979">
            <v>5453.8801833333337</v>
          </cell>
          <cell r="R1979">
            <v>11280.0214</v>
          </cell>
          <cell r="T1979"/>
          <cell r="U1979"/>
          <cell r="V1979">
            <v>0.14137510801140293</v>
          </cell>
          <cell r="W1979">
            <v>2.9441397942777382E-5</v>
          </cell>
          <cell r="X1979">
            <v>6</v>
          </cell>
          <cell r="Y1979" t="str">
            <v>Conquistar</v>
          </cell>
        </row>
        <row r="1980">
          <cell r="A1980" t="str">
            <v>8697</v>
          </cell>
          <cell r="B1980" t="str">
            <v>8697 - FARMACIA LIBERTADOR, C.A</v>
          </cell>
          <cell r="C1980" t="str">
            <v>INDEPENDIENTE</v>
          </cell>
          <cell r="D1980">
            <v>3</v>
          </cell>
          <cell r="E1980"/>
          <cell r="F1980" t="str">
            <v>ESTE</v>
          </cell>
          <cell r="G1980" t="str">
            <v>IRAIDA RODRIGUEZ</v>
          </cell>
          <cell r="H1980"/>
          <cell r="I1980" t="str">
            <v>AB</v>
          </cell>
          <cell r="J1980" t="str">
            <v>Inactivo</v>
          </cell>
          <cell r="K1980">
            <v>4622.773269262043</v>
          </cell>
          <cell r="L1980">
            <v>462.2773269262043</v>
          </cell>
          <cell r="M1980">
            <v>379.28360151963233</v>
          </cell>
          <cell r="N1980" t="str">
            <v>Si Compra</v>
          </cell>
          <cell r="O1980">
            <v>10</v>
          </cell>
          <cell r="P1980">
            <v>73706.159065673448</v>
          </cell>
          <cell r="Q1980">
            <v>7370.6159065673446</v>
          </cell>
          <cell r="R1980">
            <v>9351.0846207797422</v>
          </cell>
          <cell r="T1980"/>
          <cell r="U1980"/>
          <cell r="V1980">
            <v>6.2718954940293017E-2</v>
          </cell>
          <cell r="W1980">
            <v>1.7651535007919505E-5</v>
          </cell>
          <cell r="X1980">
            <v>10</v>
          </cell>
          <cell r="Y1980" t="str">
            <v>Conquistar</v>
          </cell>
        </row>
        <row r="1981">
          <cell r="A1981" t="str">
            <v>B602</v>
          </cell>
          <cell r="B1981" t="str">
            <v>B602 - MULTIFARMA PLUS, C.A.</v>
          </cell>
          <cell r="C1981" t="str">
            <v>INDEPENDIENTE</v>
          </cell>
          <cell r="D1981">
            <v>2</v>
          </cell>
          <cell r="E1981"/>
          <cell r="F1981" t="str">
            <v>ESTE</v>
          </cell>
          <cell r="G1981" t="str">
            <v>PEDRO VIRE</v>
          </cell>
          <cell r="H1981"/>
          <cell r="I1981" t="str">
            <v>A7</v>
          </cell>
          <cell r="J1981" t="str">
            <v>Inactivo</v>
          </cell>
          <cell r="K1981">
            <v>4620.837884004708</v>
          </cell>
          <cell r="L1981">
            <v>513.42643155607868</v>
          </cell>
          <cell r="M1981">
            <v>496.79970198909609</v>
          </cell>
          <cell r="N1981" t="str">
            <v>Si Compra</v>
          </cell>
          <cell r="O1981">
            <v>9</v>
          </cell>
          <cell r="P1981">
            <v>12792.260334313507</v>
          </cell>
          <cell r="Q1981">
            <v>1421.3622593681675</v>
          </cell>
          <cell r="R1981">
            <v>791.62741404339488</v>
          </cell>
          <cell r="T1981"/>
          <cell r="U1981"/>
          <cell r="V1981">
            <v>0.36122137630438428</v>
          </cell>
          <cell r="W1981">
            <v>1.9604605509995186E-5</v>
          </cell>
          <cell r="X1981">
            <v>9</v>
          </cell>
          <cell r="Y1981" t="str">
            <v>Potenciar</v>
          </cell>
        </row>
        <row r="1982">
          <cell r="A1982" t="str">
            <v>3087</v>
          </cell>
          <cell r="B1982" t="str">
            <v>3087 - FARMAPUEBLO,C.A</v>
          </cell>
          <cell r="C1982" t="str">
            <v>INDEPENDIENTE</v>
          </cell>
          <cell r="D1982">
            <v>3</v>
          </cell>
          <cell r="E1982"/>
          <cell r="F1982" t="str">
            <v>ANDES</v>
          </cell>
          <cell r="G1982" t="str">
            <v>JESUS CONTRERAS</v>
          </cell>
          <cell r="H1982"/>
          <cell r="I1982" t="str">
            <v>G2</v>
          </cell>
          <cell r="J1982" t="str">
            <v>Activo</v>
          </cell>
          <cell r="K1982">
            <v>4567.354900670447</v>
          </cell>
          <cell r="L1982">
            <v>456.73549006704468</v>
          </cell>
          <cell r="M1982">
            <v>585.16790550526969</v>
          </cell>
          <cell r="N1982" t="str">
            <v>Si Compra</v>
          </cell>
          <cell r="O1982">
            <v>10</v>
          </cell>
          <cell r="P1982">
            <v>9566.91785326436</v>
          </cell>
          <cell r="Q1982">
            <v>956.69178532643605</v>
          </cell>
          <cell r="R1982">
            <v>555.25462904783888</v>
          </cell>
          <cell r="T1982"/>
          <cell r="U1982"/>
          <cell r="V1982">
            <v>0.47741132209178572</v>
          </cell>
          <cell r="W1982">
            <v>1.74399262578688E-5</v>
          </cell>
          <cell r="X1982">
            <v>10</v>
          </cell>
          <cell r="Y1982" t="str">
            <v>Potenciar</v>
          </cell>
        </row>
        <row r="1983">
          <cell r="A1983" t="str">
            <v>K49</v>
          </cell>
          <cell r="B1983" t="str">
            <v>K49 - FARMACIA SANTA INES</v>
          </cell>
          <cell r="C1983" t="str">
            <v>INDEPENDIENTE</v>
          </cell>
          <cell r="D1983">
            <v>3</v>
          </cell>
          <cell r="F1983" t="str">
            <v>CENTRO OESTE</v>
          </cell>
          <cell r="G1983" t="str">
            <v>JOSE LUIS GARCIA</v>
          </cell>
          <cell r="H1983"/>
          <cell r="I1983" t="str">
            <v>Y</v>
          </cell>
          <cell r="J1983" t="str">
            <v>Activo</v>
          </cell>
          <cell r="K1983">
            <v>4554.3843325460821</v>
          </cell>
          <cell r="L1983">
            <v>506.04270361623134</v>
          </cell>
          <cell r="M1983">
            <v>895.86867751536067</v>
          </cell>
          <cell r="N1983" t="str">
            <v>Si Compra</v>
          </cell>
          <cell r="O1983">
            <v>9</v>
          </cell>
          <cell r="P1983">
            <v>4703.9212894054654</v>
          </cell>
          <cell r="Q1983">
            <v>522.65792104505169</v>
          </cell>
          <cell r="R1983">
            <v>897.48776313515543</v>
          </cell>
          <cell r="V1983">
            <v>0.96821014900989477</v>
          </cell>
          <cell r="W1983">
            <v>1.9322666239718202E-5</v>
          </cell>
          <cell r="X1983">
            <v>6</v>
          </cell>
          <cell r="Y1983" t="str">
            <v>Proteger</v>
          </cell>
        </row>
        <row r="1984">
          <cell r="A1984" t="str">
            <v>B193</v>
          </cell>
          <cell r="B1984" t="str">
            <v>B193 - FARMACIA INSUMARKET FALCON, C.A.</v>
          </cell>
          <cell r="C1984" t="str">
            <v>INDEPENDIENTE</v>
          </cell>
          <cell r="D1984">
            <v>3</v>
          </cell>
          <cell r="E1984"/>
          <cell r="F1984" t="str">
            <v>MARACAIBO</v>
          </cell>
          <cell r="G1984" t="str">
            <v>MARIA FUSELLA</v>
          </cell>
          <cell r="H1984"/>
          <cell r="I1984" t="str">
            <v>BZ</v>
          </cell>
          <cell r="J1984" t="str">
            <v>Activo</v>
          </cell>
          <cell r="K1984">
            <v>4529.0066999999999</v>
          </cell>
          <cell r="L1984">
            <v>452.90066999999999</v>
          </cell>
          <cell r="M1984">
            <v>479.40929999999997</v>
          </cell>
          <cell r="N1984" t="str">
            <v>Si Compra</v>
          </cell>
          <cell r="O1984">
            <v>10</v>
          </cell>
          <cell r="P1984">
            <v>8967.9600000000009</v>
          </cell>
          <cell r="Q1984">
            <v>896.79600000000005</v>
          </cell>
          <cell r="R1984">
            <v>730.2720333333333</v>
          </cell>
          <cell r="T1984"/>
          <cell r="U1984"/>
          <cell r="V1984">
            <v>0.50502084086012866</v>
          </cell>
          <cell r="W1984">
            <v>1.7293498006428042E-5</v>
          </cell>
          <cell r="X1984">
            <v>10</v>
          </cell>
          <cell r="Y1984" t="str">
            <v>Potenciar</v>
          </cell>
        </row>
        <row r="1985">
          <cell r="A1985" t="str">
            <v>A619</v>
          </cell>
          <cell r="B1985" t="str">
            <v>A619 - FARMAVIC, C.A.</v>
          </cell>
          <cell r="C1985" t="str">
            <v>INDEPENDIENTE</v>
          </cell>
          <cell r="D1985">
            <v>1</v>
          </cell>
          <cell r="E1985"/>
          <cell r="F1985" t="str">
            <v>CENTRO ESTE</v>
          </cell>
          <cell r="G1985" t="str">
            <v>ELIANA PERAZA</v>
          </cell>
          <cell r="H1985"/>
          <cell r="I1985" t="str">
            <v>M</v>
          </cell>
          <cell r="J1985" t="str">
            <v>Activo</v>
          </cell>
          <cell r="K1985">
            <v>4528.2753448595477</v>
          </cell>
          <cell r="L1985">
            <v>646.89647783707824</v>
          </cell>
          <cell r="M1985">
            <v>953.47699999999998</v>
          </cell>
          <cell r="N1985" t="str">
            <v>Si Compra</v>
          </cell>
          <cell r="O1985">
            <v>7</v>
          </cell>
          <cell r="P1985">
            <v>7443.3323482348442</v>
          </cell>
          <cell r="Q1985">
            <v>1063.3331926049777</v>
          </cell>
          <cell r="R1985">
            <v>1014.7214</v>
          </cell>
          <cell r="S1985"/>
          <cell r="T1985"/>
          <cell r="U1985"/>
          <cell r="V1985">
            <v>0.60836667409233847</v>
          </cell>
          <cell r="W1985">
            <v>2.4701007728341041E-5</v>
          </cell>
          <cell r="X1985">
            <v>6</v>
          </cell>
          <cell r="Y1985" t="str">
            <v>Potenciar</v>
          </cell>
        </row>
        <row r="1986">
          <cell r="A1986" t="str">
            <v>8478</v>
          </cell>
          <cell r="B1986" t="str">
            <v>8478 - FARMACIA KAIROS, C.A</v>
          </cell>
          <cell r="C1986" t="str">
            <v>INDEPENDIENTE</v>
          </cell>
          <cell r="D1986">
            <v>2</v>
          </cell>
          <cell r="E1986"/>
          <cell r="F1986" t="str">
            <v>CENTRO ESTE</v>
          </cell>
          <cell r="G1986" t="str">
            <v>WILLIBETTI GONZALEZ</v>
          </cell>
          <cell r="H1986"/>
          <cell r="I1986" t="str">
            <v>AF</v>
          </cell>
          <cell r="J1986" t="str">
            <v>Inactivo</v>
          </cell>
          <cell r="K1986">
            <v>4511.0155999999997</v>
          </cell>
          <cell r="L1986">
            <v>563.87694999999997</v>
          </cell>
          <cell r="M1986">
            <v>395.34575000000001</v>
          </cell>
          <cell r="N1986" t="str">
            <v>Si Compra</v>
          </cell>
          <cell r="O1986">
            <v>8</v>
          </cell>
          <cell r="P1986">
            <v>18114.839200000002</v>
          </cell>
          <cell r="Q1986">
            <v>2264.3549000000003</v>
          </cell>
          <cell r="R1986">
            <v>1599.8378499999999</v>
          </cell>
          <cell r="T1986"/>
          <cell r="U1986"/>
          <cell r="V1986">
            <v>0.24902322069742686</v>
          </cell>
          <cell r="W1986">
            <v>2.1531001291509957E-5</v>
          </cell>
          <cell r="X1986">
            <v>8</v>
          </cell>
          <cell r="Y1986" t="str">
            <v>Potenciar</v>
          </cell>
        </row>
        <row r="1987">
          <cell r="A1987" t="str">
            <v>A870</v>
          </cell>
          <cell r="B1987" t="str">
            <v>A870 - FARMACIA FARMAGUADALUPE 1, C.A.</v>
          </cell>
          <cell r="C1987" t="e">
            <v>#N/A</v>
          </cell>
          <cell r="D1987">
            <v>2</v>
          </cell>
          <cell r="E1987"/>
          <cell r="F1987" t="str">
            <v>ANDES</v>
          </cell>
          <cell r="G1987" t="str">
            <v>ZULAY PARRA</v>
          </cell>
          <cell r="H1987"/>
          <cell r="I1987" t="str">
            <v>5</v>
          </cell>
          <cell r="J1987" t="str">
            <v>Inactivo</v>
          </cell>
          <cell r="K1987">
            <v>4503.4013000000004</v>
          </cell>
          <cell r="L1987">
            <v>750.56688333333341</v>
          </cell>
          <cell r="M1987">
            <v>419.66624999999999</v>
          </cell>
          <cell r="N1987" t="str">
            <v>Si Compra</v>
          </cell>
          <cell r="O1987">
            <v>6</v>
          </cell>
          <cell r="P1987">
            <v>4994.8620000000001</v>
          </cell>
          <cell r="Q1987">
            <v>832.47699999999998</v>
          </cell>
          <cell r="R1987">
            <v>542.65425000000005</v>
          </cell>
          <cell r="T1987"/>
          <cell r="U1987"/>
          <cell r="V1987">
            <v>0.90160675109742783</v>
          </cell>
          <cell r="W1987">
            <v>2.8659544488233836E-5</v>
          </cell>
          <cell r="X1987">
            <v>6</v>
          </cell>
          <cell r="Y1987" t="str">
            <v>Proteger</v>
          </cell>
        </row>
        <row r="1988">
          <cell r="A1988" t="str">
            <v>2909</v>
          </cell>
          <cell r="B1988" t="str">
            <v>2909 - FARMACIA EL MORTERO, C.A</v>
          </cell>
          <cell r="C1988" t="str">
            <v>INDEPENDIENTE</v>
          </cell>
          <cell r="D1988">
            <v>3</v>
          </cell>
          <cell r="E1988"/>
          <cell r="F1988" t="str">
            <v>CENTRO OESTE</v>
          </cell>
          <cell r="G1988" t="str">
            <v>SORALI SILVA</v>
          </cell>
          <cell r="H1988"/>
          <cell r="I1988" t="str">
            <v>L</v>
          </cell>
          <cell r="J1988" t="str">
            <v>Activo</v>
          </cell>
          <cell r="K1988">
            <v>4502.1857</v>
          </cell>
          <cell r="L1988">
            <v>450.21857</v>
          </cell>
          <cell r="M1988">
            <v>416.54719999999998</v>
          </cell>
          <cell r="N1988" t="str">
            <v>Si Compra</v>
          </cell>
          <cell r="O1988">
            <v>10</v>
          </cell>
          <cell r="P1988">
            <v>3501.6212999999998</v>
          </cell>
          <cell r="Q1988">
            <v>350.16212999999999</v>
          </cell>
          <cell r="R1988">
            <v>341.721</v>
          </cell>
          <cell r="T1988"/>
          <cell r="U1988"/>
          <cell r="V1988">
            <v>1.2857431784527928</v>
          </cell>
          <cell r="W1988">
            <v>1.7191085062320365E-5</v>
          </cell>
          <cell r="X1988">
            <v>9</v>
          </cell>
          <cell r="Y1988" t="str">
            <v>Proteger</v>
          </cell>
        </row>
        <row r="1989">
          <cell r="A1989" t="str">
            <v>2134</v>
          </cell>
          <cell r="B1989" t="str">
            <v>2134 - FARMACIA SAN JOSE C.A</v>
          </cell>
          <cell r="C1989" t="e">
            <v>#N/A</v>
          </cell>
          <cell r="D1989">
            <v>3</v>
          </cell>
          <cell r="E1989"/>
          <cell r="F1989" t="str">
            <v>CENTRO ESTE</v>
          </cell>
          <cell r="G1989" t="str">
            <v>KARLA SALAZAR</v>
          </cell>
          <cell r="H1989"/>
          <cell r="I1989" t="str">
            <v>H</v>
          </cell>
          <cell r="J1989" t="str">
            <v>Activo</v>
          </cell>
          <cell r="K1989">
            <v>4499.8153000000002</v>
          </cell>
          <cell r="L1989">
            <v>749.96921666666674</v>
          </cell>
          <cell r="M1989">
            <v>490.1119333333333</v>
          </cell>
          <cell r="N1989" t="str">
            <v>Si Compra</v>
          </cell>
          <cell r="O1989">
            <v>6</v>
          </cell>
          <cell r="P1989">
            <v>14602.7387</v>
          </cell>
          <cell r="Q1989">
            <v>2433.7897833333332</v>
          </cell>
          <cell r="R1989">
            <v>2620.426633333333</v>
          </cell>
          <cell r="T1989"/>
          <cell r="U1989"/>
          <cell r="V1989">
            <v>0.30814872418418338</v>
          </cell>
          <cell r="W1989">
            <v>2.863672326496537E-5</v>
          </cell>
          <cell r="X1989">
            <v>6</v>
          </cell>
          <cell r="Y1989" t="str">
            <v>Potenciar</v>
          </cell>
        </row>
        <row r="1990">
          <cell r="A1990" t="str">
            <v>2451</v>
          </cell>
          <cell r="B1990" t="str">
            <v>2451 - FARMACIA LA ALIANZA, C.A.</v>
          </cell>
          <cell r="C1990" t="str">
            <v>INDEPENDIENTE</v>
          </cell>
          <cell r="D1990">
            <v>3</v>
          </cell>
          <cell r="E1990"/>
          <cell r="F1990" t="str">
            <v>MARACAIBO</v>
          </cell>
          <cell r="G1990" t="str">
            <v>ADRIANA ALBORNOZ</v>
          </cell>
          <cell r="H1990"/>
          <cell r="I1990" t="str">
            <v>BD</v>
          </cell>
          <cell r="J1990" t="str">
            <v>Activo</v>
          </cell>
          <cell r="K1990">
            <v>4480.8970999999992</v>
          </cell>
          <cell r="L1990">
            <v>448.08970999999991</v>
          </cell>
          <cell r="M1990">
            <v>634.31880000000001</v>
          </cell>
          <cell r="N1990" t="str">
            <v>Si Compra</v>
          </cell>
          <cell r="O1990">
            <v>10</v>
          </cell>
          <cell r="P1990">
            <v>15643.438400000001</v>
          </cell>
          <cell r="Q1990">
            <v>1564.34384</v>
          </cell>
          <cell r="R1990">
            <v>1295.2056666666665</v>
          </cell>
          <cell r="T1990"/>
          <cell r="U1990"/>
          <cell r="V1990">
            <v>0.28643939940978697</v>
          </cell>
          <cell r="W1990">
            <v>1.7109796959642209E-5</v>
          </cell>
          <cell r="X1990">
            <v>10</v>
          </cell>
          <cell r="Y1990" t="str">
            <v>Potenciar</v>
          </cell>
        </row>
        <row r="1991">
          <cell r="A1991">
            <v>0</v>
          </cell>
          <cell r="B1991" t="str">
            <v>S375 - EXPENDIO DE  MEDICINAS FRANMAEZE, C.A.</v>
          </cell>
          <cell r="C1991" t="e">
            <v>#N/A</v>
          </cell>
          <cell r="D1991">
            <v>0</v>
          </cell>
          <cell r="E1991"/>
          <cell r="F1991" t="str">
            <v>ANDES</v>
          </cell>
          <cell r="G1991">
            <v>0</v>
          </cell>
          <cell r="H1991"/>
          <cell r="I1991" t="str">
            <v>G</v>
          </cell>
          <cell r="J1991" t="str">
            <v>Inactivo</v>
          </cell>
          <cell r="K1991">
            <v>4471.1315999999997</v>
          </cell>
          <cell r="L1991">
            <v>496.79239999999999</v>
          </cell>
          <cell r="M1991">
            <v>527.22376666666662</v>
          </cell>
          <cell r="N1991" t="str">
            <v>Si Compra</v>
          </cell>
          <cell r="O1991">
            <v>9</v>
          </cell>
          <cell r="P1991">
            <v>0</v>
          </cell>
          <cell r="Q1991">
            <v>0</v>
          </cell>
          <cell r="R1991">
            <v>0</v>
          </cell>
          <cell r="T1991"/>
          <cell r="U1991"/>
          <cell r="V1991">
            <v>0</v>
          </cell>
          <cell r="W1991">
            <v>1.8969453895947213E-5</v>
          </cell>
          <cell r="X1991">
            <v>0</v>
          </cell>
          <cell r="Y1991" t="str">
            <v>Conquistar</v>
          </cell>
        </row>
        <row r="1992">
          <cell r="A1992" t="str">
            <v>9899</v>
          </cell>
          <cell r="B1992" t="str">
            <v>9899 - JUAN CARLOS CADENAS NIETO (FARMACIA LA REBAJA,F.P)</v>
          </cell>
          <cell r="C1992" t="str">
            <v>INDEPENDIENTE</v>
          </cell>
          <cell r="D1992">
            <v>0</v>
          </cell>
          <cell r="E1992"/>
          <cell r="F1992" t="str">
            <v>CENTRO OESTE</v>
          </cell>
          <cell r="G1992" t="str">
            <v>LUIS PLACERES</v>
          </cell>
          <cell r="H1992"/>
          <cell r="I1992" t="str">
            <v>E</v>
          </cell>
          <cell r="J1992" t="str">
            <v>Bloqueado</v>
          </cell>
          <cell r="K1992">
            <v>4456.2740043291542</v>
          </cell>
          <cell r="L1992">
            <v>1485.4246681097181</v>
          </cell>
          <cell r="M1992">
            <v>0</v>
          </cell>
          <cell r="N1992" t="str">
            <v>No Compra</v>
          </cell>
          <cell r="O1992">
            <v>3</v>
          </cell>
          <cell r="P1992">
            <v>620669.52593472647</v>
          </cell>
          <cell r="Q1992">
            <v>206889.84197824216</v>
          </cell>
          <cell r="R1992">
            <v>0</v>
          </cell>
          <cell r="T1992"/>
          <cell r="U1992"/>
          <cell r="V1992">
            <v>7.1797854061193336E-3</v>
          </cell>
          <cell r="W1992">
            <v>5.6719254879120512E-5</v>
          </cell>
          <cell r="X1992">
            <v>3</v>
          </cell>
          <cell r="Y1992" t="str">
            <v>Conquistar</v>
          </cell>
        </row>
        <row r="1993">
          <cell r="A1993" t="str">
            <v>E571</v>
          </cell>
          <cell r="B1993" t="str">
            <v>E571 - EXPENDIO DE MEDICINAS DAIMAR 2023, C.A</v>
          </cell>
          <cell r="C1993" t="e">
            <v>#N/A</v>
          </cell>
          <cell r="D1993">
            <v>2</v>
          </cell>
          <cell r="F1993" t="str">
            <v>ESTE</v>
          </cell>
          <cell r="G1993">
            <v>0</v>
          </cell>
          <cell r="H1993"/>
          <cell r="I1993" t="str">
            <v>AB</v>
          </cell>
          <cell r="J1993" t="str">
            <v>Inactivo</v>
          </cell>
          <cell r="K1993">
            <v>4431.9386000000004</v>
          </cell>
          <cell r="L1993">
            <v>2215.9693000000002</v>
          </cell>
          <cell r="M1993">
            <v>2215.9693000000002</v>
          </cell>
          <cell r="N1993" t="str">
            <v>Si Compra</v>
          </cell>
          <cell r="O1993">
            <v>2</v>
          </cell>
          <cell r="P1993">
            <v>0</v>
          </cell>
          <cell r="Q1993">
            <v>0</v>
          </cell>
          <cell r="R1993">
            <v>0</v>
          </cell>
          <cell r="V1993">
            <v>0</v>
          </cell>
          <cell r="W1993">
            <v>8.4614272422815697E-5</v>
          </cell>
          <cell r="X1993">
            <v>0</v>
          </cell>
          <cell r="Y1993" t="str">
            <v>Conquistar</v>
          </cell>
        </row>
        <row r="1994">
          <cell r="A1994" t="str">
            <v>C449</v>
          </cell>
          <cell r="B1994" t="str">
            <v>C449 - FARMACIA ALBECAR II, CA</v>
          </cell>
          <cell r="C1994" t="str">
            <v>INDEPENDIENTE</v>
          </cell>
          <cell r="D1994">
            <v>0</v>
          </cell>
          <cell r="E1994"/>
          <cell r="F1994" t="str">
            <v>CARACAS</v>
          </cell>
          <cell r="G1994" t="str">
            <v>MAIRUBI QUIJADA</v>
          </cell>
          <cell r="H1994"/>
          <cell r="I1994" t="str">
            <v>C1</v>
          </cell>
          <cell r="J1994" t="str">
            <v>Suspendido</v>
          </cell>
          <cell r="K1994">
            <v>4429.4549999999999</v>
          </cell>
          <cell r="L1994">
            <v>1107.36375</v>
          </cell>
          <cell r="M1994">
            <v>0</v>
          </cell>
          <cell r="N1994" t="str">
            <v>No Compra</v>
          </cell>
          <cell r="O1994">
            <v>4</v>
          </cell>
          <cell r="P1994">
            <v>9198.9395000000004</v>
          </cell>
          <cell r="Q1994">
            <v>2299.7348750000001</v>
          </cell>
          <cell r="R1994">
            <v>0</v>
          </cell>
          <cell r="T1994"/>
          <cell r="U1994"/>
          <cell r="V1994">
            <v>0.48151800541790712</v>
          </cell>
          <cell r="W1994">
            <v>4.2283427849677685E-5</v>
          </cell>
          <cell r="X1994">
            <v>4</v>
          </cell>
          <cell r="Y1994" t="str">
            <v>Potenciar</v>
          </cell>
        </row>
        <row r="1995">
          <cell r="A1995" t="str">
            <v>D353</v>
          </cell>
          <cell r="B1995" t="str">
            <v>D353 - EXPENDIO DE MEDICINAS EL BIENESTAR DE TU SALUD, C.A.</v>
          </cell>
          <cell r="C1995" t="str">
            <v>INDEPENDIENTE</v>
          </cell>
          <cell r="D1995">
            <v>1</v>
          </cell>
          <cell r="E1995"/>
          <cell r="F1995" t="str">
            <v>ANDES</v>
          </cell>
          <cell r="G1995">
            <v>0</v>
          </cell>
          <cell r="H1995"/>
          <cell r="I1995" t="str">
            <v>G2</v>
          </cell>
          <cell r="J1995" t="str">
            <v>Bloqueado</v>
          </cell>
          <cell r="K1995">
            <v>4410.7596341208464</v>
          </cell>
          <cell r="L1995">
            <v>551.3449542651058</v>
          </cell>
          <cell r="M1995">
            <v>77.269099999999995</v>
          </cell>
          <cell r="N1995" t="str">
            <v>Si Compra</v>
          </cell>
          <cell r="O1995">
            <v>8</v>
          </cell>
          <cell r="P1995">
            <v>0</v>
          </cell>
          <cell r="Q1995">
            <v>0</v>
          </cell>
          <cell r="R1995">
            <v>0</v>
          </cell>
          <cell r="T1995"/>
          <cell r="U1995"/>
          <cell r="V1995">
            <v>0</v>
          </cell>
          <cell r="W1995">
            <v>2.1052481259163886E-5</v>
          </cell>
          <cell r="X1995">
            <v>0</v>
          </cell>
          <cell r="Y1995" t="str">
            <v>Conquistar</v>
          </cell>
        </row>
        <row r="1996">
          <cell r="A1996" t="str">
            <v>B339</v>
          </cell>
          <cell r="B1996" t="str">
            <v>B339 - VITAFARMACIA, C.A.</v>
          </cell>
          <cell r="C1996" t="str">
            <v>INDEPENDIENTE</v>
          </cell>
          <cell r="D1996">
            <v>0</v>
          </cell>
          <cell r="E1996"/>
          <cell r="F1996" t="str">
            <v>CENTRO ESTE</v>
          </cell>
          <cell r="G1996" t="str">
            <v>KARLA SALAZAR</v>
          </cell>
          <cell r="H1996"/>
          <cell r="I1996" t="str">
            <v>O</v>
          </cell>
          <cell r="J1996" t="str">
            <v>Bloqueado</v>
          </cell>
          <cell r="K1996">
            <v>4409.3814999999995</v>
          </cell>
          <cell r="L1996">
            <v>1102.3453749999999</v>
          </cell>
          <cell r="M1996">
            <v>0</v>
          </cell>
          <cell r="N1996" t="str">
            <v>No Compra</v>
          </cell>
          <cell r="O1996">
            <v>4</v>
          </cell>
          <cell r="P1996">
            <v>7652.4337999999998</v>
          </cell>
          <cell r="Q1996">
            <v>1913.1084499999999</v>
          </cell>
          <cell r="R1996">
            <v>0</v>
          </cell>
          <cell r="T1996"/>
          <cell r="U1996"/>
          <cell r="V1996">
            <v>0.57620642206666328</v>
          </cell>
          <cell r="W1996">
            <v>4.2091806896549022E-5</v>
          </cell>
          <cell r="X1996">
            <v>4</v>
          </cell>
          <cell r="Y1996" t="str">
            <v>Potenciar</v>
          </cell>
        </row>
        <row r="1997">
          <cell r="A1997" t="str">
            <v>Y135</v>
          </cell>
          <cell r="B1997" t="str">
            <v>Y135 - C.A. POLICLINICA BARQUISIMETO</v>
          </cell>
          <cell r="C1997" t="e">
            <v>#N/A</v>
          </cell>
          <cell r="D1997">
            <v>3</v>
          </cell>
          <cell r="F1997" t="str">
            <v>CENTRO OESTE</v>
          </cell>
          <cell r="G1997">
            <v>0</v>
          </cell>
          <cell r="H1997"/>
          <cell r="I1997" t="str">
            <v>Y1</v>
          </cell>
          <cell r="J1997" t="str">
            <v>Inactivo</v>
          </cell>
          <cell r="K1997">
            <v>4388.8954999999996</v>
          </cell>
          <cell r="L1997">
            <v>877.77909999999997</v>
          </cell>
          <cell r="M1997">
            <v>1130.7454666666665</v>
          </cell>
          <cell r="N1997" t="str">
            <v>Si Compra</v>
          </cell>
          <cell r="O1997">
            <v>5</v>
          </cell>
          <cell r="P1997">
            <v>0</v>
          </cell>
          <cell r="Q1997">
            <v>0</v>
          </cell>
          <cell r="R1997">
            <v>0</v>
          </cell>
          <cell r="V1997">
            <v>0</v>
          </cell>
          <cell r="W1997">
            <v>3.3516998585880213E-5</v>
          </cell>
          <cell r="X1997">
            <v>0</v>
          </cell>
          <cell r="Y1997" t="str">
            <v>Conquistar</v>
          </cell>
        </row>
        <row r="1998">
          <cell r="A1998" t="str">
            <v>C845</v>
          </cell>
          <cell r="B1998" t="str">
            <v>C845 - FARMACIA STA ISABEL, C.A.</v>
          </cell>
          <cell r="C1998" t="str">
            <v>INDEPENDIENTE</v>
          </cell>
          <cell r="D1998">
            <v>3</v>
          </cell>
          <cell r="E1998"/>
          <cell r="F1998" t="str">
            <v>CENTRO ESTE</v>
          </cell>
          <cell r="G1998" t="str">
            <v>KARLA SALAZAR</v>
          </cell>
          <cell r="H1998"/>
          <cell r="I1998" t="str">
            <v>H</v>
          </cell>
          <cell r="J1998" t="str">
            <v>Activo</v>
          </cell>
          <cell r="K1998">
            <v>4380.3715932612158</v>
          </cell>
          <cell r="L1998">
            <v>438.03715932612158</v>
          </cell>
          <cell r="M1998">
            <v>355.27257361439666</v>
          </cell>
          <cell r="N1998" t="str">
            <v>Si Compra</v>
          </cell>
          <cell r="O1998">
            <v>10</v>
          </cell>
          <cell r="P1998">
            <v>15515.760104759034</v>
          </cell>
          <cell r="Q1998">
            <v>1551.5760104759033</v>
          </cell>
          <cell r="R1998">
            <v>1194.9149366719041</v>
          </cell>
          <cell r="T1998"/>
          <cell r="U1998"/>
          <cell r="V1998">
            <v>0.28231756379873757</v>
          </cell>
          <cell r="W1998">
            <v>1.672595172258784E-5</v>
          </cell>
          <cell r="X1998">
            <v>10</v>
          </cell>
          <cell r="Y1998" t="str">
            <v>Potenciar</v>
          </cell>
        </row>
        <row r="1999">
          <cell r="A1999" t="str">
            <v>E057</v>
          </cell>
          <cell r="B1999" t="str">
            <v>E057 - FARMA FLORIDA C.A.</v>
          </cell>
          <cell r="C1999" t="str">
            <v>INDEPENDIENTE</v>
          </cell>
          <cell r="D1999">
            <v>3</v>
          </cell>
          <cell r="F1999" t="str">
            <v>ESTE</v>
          </cell>
          <cell r="G1999">
            <v>0</v>
          </cell>
          <cell r="H1999"/>
          <cell r="I1999" t="str">
            <v>A2</v>
          </cell>
          <cell r="J1999" t="str">
            <v>Inactivo</v>
          </cell>
          <cell r="K1999">
            <v>4376.7425999999996</v>
          </cell>
          <cell r="L1999">
            <v>875.34851999999989</v>
          </cell>
          <cell r="M1999">
            <v>477.73646666666656</v>
          </cell>
          <cell r="N1999" t="str">
            <v>Si Compra</v>
          </cell>
          <cell r="O1999">
            <v>5</v>
          </cell>
          <cell r="P1999">
            <v>0</v>
          </cell>
          <cell r="Q1999">
            <v>0</v>
          </cell>
          <cell r="R1999">
            <v>0</v>
          </cell>
          <cell r="V1999">
            <v>0</v>
          </cell>
          <cell r="W1999">
            <v>3.3424189647477752E-5</v>
          </cell>
          <cell r="X1999">
            <v>0</v>
          </cell>
          <cell r="Y1999" t="str">
            <v>Conquistar</v>
          </cell>
        </row>
        <row r="2000">
          <cell r="A2000" t="str">
            <v>E581</v>
          </cell>
          <cell r="B2000" t="str">
            <v>E581 - FARMACIA ANDRESFARM, C.A</v>
          </cell>
          <cell r="C2000" t="e">
            <v>#N/A</v>
          </cell>
          <cell r="D2000">
            <v>3</v>
          </cell>
          <cell r="F2000" t="str">
            <v>ANDES</v>
          </cell>
          <cell r="G2000">
            <v>0</v>
          </cell>
          <cell r="H2000"/>
          <cell r="I2000" t="str">
            <v>4</v>
          </cell>
          <cell r="J2000" t="str">
            <v>Activo</v>
          </cell>
          <cell r="K2000">
            <v>4364.5105000000003</v>
          </cell>
          <cell r="L2000">
            <v>1454.8368333333335</v>
          </cell>
          <cell r="M2000">
            <v>1454.8368333333335</v>
          </cell>
          <cell r="N2000" t="str">
            <v>Si Compra</v>
          </cell>
          <cell r="O2000">
            <v>3</v>
          </cell>
          <cell r="P2000">
            <v>0</v>
          </cell>
          <cell r="Q2000">
            <v>0</v>
          </cell>
          <cell r="R2000">
            <v>0</v>
          </cell>
          <cell r="V2000">
            <v>0</v>
          </cell>
          <cell r="W2000">
            <v>5.5551293127758215E-5</v>
          </cell>
          <cell r="X2000">
            <v>0</v>
          </cell>
          <cell r="Y2000" t="str">
            <v>Conquistar</v>
          </cell>
        </row>
        <row r="2001">
          <cell r="A2001" t="str">
            <v>B942</v>
          </cell>
          <cell r="B2001" t="str">
            <v>B942 - FARMACIA FARMACLUB EJIDO C.A.</v>
          </cell>
          <cell r="C2001" t="str">
            <v>INDEPENDIENTE</v>
          </cell>
          <cell r="D2001">
            <v>3</v>
          </cell>
          <cell r="E2001"/>
          <cell r="F2001" t="str">
            <v>ANDES</v>
          </cell>
          <cell r="G2001" t="str">
            <v>ZULAY PARRA</v>
          </cell>
          <cell r="H2001"/>
          <cell r="I2001" t="str">
            <v>5</v>
          </cell>
          <cell r="J2001" t="str">
            <v>Activo</v>
          </cell>
          <cell r="K2001">
            <v>4334.0585963868143</v>
          </cell>
          <cell r="L2001">
            <v>433.40585963868142</v>
          </cell>
          <cell r="M2001">
            <v>307.61862880628911</v>
          </cell>
          <cell r="N2001" t="str">
            <v>Si Compra</v>
          </cell>
          <cell r="O2001">
            <v>9</v>
          </cell>
          <cell r="P2001">
            <v>16585.374894319259</v>
          </cell>
          <cell r="Q2001">
            <v>1658.5374894319259</v>
          </cell>
          <cell r="R2001">
            <v>908.25989922570898</v>
          </cell>
          <cell r="T2001"/>
          <cell r="U2001"/>
          <cell r="V2001">
            <v>0.26131809645564869</v>
          </cell>
          <cell r="W2001">
            <v>1.6549110800908664E-5</v>
          </cell>
          <cell r="X2001">
            <v>10</v>
          </cell>
          <cell r="Y2001" t="str">
            <v>Potenciar</v>
          </cell>
        </row>
        <row r="2002">
          <cell r="A2002">
            <v>0</v>
          </cell>
          <cell r="B2002" t="str">
            <v>S362 - FARMACIA LA AUYAMA C.A.</v>
          </cell>
          <cell r="C2002" t="e">
            <v>#N/A</v>
          </cell>
          <cell r="D2002">
            <v>0</v>
          </cell>
          <cell r="E2002"/>
          <cell r="F2002" t="str">
            <v>ESTE</v>
          </cell>
          <cell r="G2002" t="str">
            <v>ADOLFO GONZALEZ</v>
          </cell>
          <cell r="H2002"/>
          <cell r="I2002" t="str">
            <v>A8</v>
          </cell>
          <cell r="J2002" t="str">
            <v>Activo</v>
          </cell>
          <cell r="K2002">
            <v>4333.3410610390456</v>
          </cell>
          <cell r="L2002">
            <v>619.04872300557793</v>
          </cell>
          <cell r="M2002">
            <v>563.70933113521608</v>
          </cell>
          <cell r="N2002" t="str">
            <v>Si Compra</v>
          </cell>
          <cell r="O2002">
            <v>7</v>
          </cell>
          <cell r="P2002">
            <v>429769.22413411306</v>
          </cell>
          <cell r="Q2002">
            <v>61395.603447730435</v>
          </cell>
          <cell r="R2002">
            <v>98726.724196588548</v>
          </cell>
          <cell r="T2002"/>
          <cell r="U2002"/>
          <cell r="V2002">
            <v>1.008294874945906E-2</v>
          </cell>
          <cell r="W2002">
            <v>2.3637672819470081E-5</v>
          </cell>
          <cell r="X2002">
            <v>7</v>
          </cell>
          <cell r="Y2002" t="str">
            <v>Conquistar</v>
          </cell>
        </row>
        <row r="2003">
          <cell r="A2003" t="str">
            <v>B622</v>
          </cell>
          <cell r="B2003" t="str">
            <v>B622 - FARMAVALOR, C.A.</v>
          </cell>
          <cell r="C2003" t="e">
            <v>#N/A</v>
          </cell>
          <cell r="D2003">
            <v>0</v>
          </cell>
          <cell r="E2003"/>
          <cell r="F2003" t="str">
            <v>CARACAS</v>
          </cell>
          <cell r="G2003" t="str">
            <v>JHON TORRES</v>
          </cell>
          <cell r="H2003"/>
          <cell r="I2003" t="str">
            <v>C4</v>
          </cell>
          <cell r="J2003" t="str">
            <v>Bloqueado</v>
          </cell>
          <cell r="K2003">
            <v>4318.5007000056967</v>
          </cell>
          <cell r="L2003">
            <v>1439.5002333352322</v>
          </cell>
          <cell r="M2003">
            <v>712.65235488850908</v>
          </cell>
          <cell r="N2003" t="str">
            <v>Si Compra</v>
          </cell>
          <cell r="O2003">
            <v>2</v>
          </cell>
          <cell r="P2003">
            <v>36117.199948626738</v>
          </cell>
          <cell r="Q2003">
            <v>12039.066649542247</v>
          </cell>
          <cell r="R2003">
            <v>9273.5193622299794</v>
          </cell>
          <cell r="T2003"/>
          <cell r="U2003"/>
          <cell r="V2003">
            <v>0.11956908913615537</v>
          </cell>
          <cell r="W2003">
            <v>5.4965682465065776E-5</v>
          </cell>
          <cell r="X2003">
            <v>3</v>
          </cell>
          <cell r="Y2003" t="str">
            <v>Conquistar</v>
          </cell>
        </row>
        <row r="2004">
          <cell r="A2004" t="str">
            <v>8721</v>
          </cell>
          <cell r="B2004" t="str">
            <v>8721 - FARMACIA LA OVALLERA C.A.</v>
          </cell>
          <cell r="C2004" t="str">
            <v>INDEPENDIENTE</v>
          </cell>
          <cell r="D2004">
            <v>3</v>
          </cell>
          <cell r="E2004"/>
          <cell r="F2004" t="str">
            <v>CENTRO ESTE</v>
          </cell>
          <cell r="G2004" t="str">
            <v>MARCOS CRUCES</v>
          </cell>
          <cell r="H2004"/>
          <cell r="I2004" t="str">
            <v xml:space="preserve">$ </v>
          </cell>
          <cell r="J2004" t="str">
            <v>Activo</v>
          </cell>
          <cell r="K2004">
            <v>4313.2260091795688</v>
          </cell>
          <cell r="L2004">
            <v>431.32260091795689</v>
          </cell>
          <cell r="M2004">
            <v>533.69334453961312</v>
          </cell>
          <cell r="N2004" t="str">
            <v>Si Compra</v>
          </cell>
          <cell r="O2004">
            <v>10</v>
          </cell>
          <cell r="P2004">
            <v>6345.2943868799175</v>
          </cell>
          <cell r="Q2004">
            <v>634.52943868799173</v>
          </cell>
          <cell r="R2004">
            <v>720.13195806422664</v>
          </cell>
          <cell r="T2004"/>
          <cell r="U2004"/>
          <cell r="V2004">
            <v>0.67975191475717345</v>
          </cell>
          <cell r="W2004">
            <v>1.6469563931318639E-5</v>
          </cell>
          <cell r="X2004">
            <v>10</v>
          </cell>
          <cell r="Y2004" t="str">
            <v>Proteger</v>
          </cell>
        </row>
        <row r="2005">
          <cell r="A2005" t="str">
            <v>6065</v>
          </cell>
          <cell r="B2005" t="str">
            <v>6065 - FARMA VICTORIA 2000,C.A</v>
          </cell>
          <cell r="C2005" t="str">
            <v>INDEPENDIENTE</v>
          </cell>
          <cell r="D2005">
            <v>1</v>
          </cell>
          <cell r="E2005"/>
          <cell r="F2005" t="str">
            <v>CENTRO ESTE</v>
          </cell>
          <cell r="G2005" t="str">
            <v>MARCOS CRUCES</v>
          </cell>
          <cell r="H2005"/>
          <cell r="I2005" t="str">
            <v>AV</v>
          </cell>
          <cell r="J2005" t="str">
            <v>Activo</v>
          </cell>
          <cell r="K2005">
            <v>4297.4468999999999</v>
          </cell>
          <cell r="L2005">
            <v>2148.72345</v>
          </cell>
          <cell r="M2005">
            <v>112.788</v>
          </cell>
          <cell r="N2005" t="str">
            <v>Si Compra</v>
          </cell>
          <cell r="O2005">
            <v>2</v>
          </cell>
          <cell r="P2005">
            <v>269.01650000000001</v>
          </cell>
          <cell r="Q2005">
            <v>269.01650000000001</v>
          </cell>
          <cell r="R2005">
            <v>269.01650000000001</v>
          </cell>
          <cell r="T2005"/>
          <cell r="U2005"/>
          <cell r="V2005">
            <v>7.9873295875903523</v>
          </cell>
          <cell r="W2005">
            <v>8.2046565969841001E-5</v>
          </cell>
          <cell r="X2005">
            <v>1</v>
          </cell>
          <cell r="Y2005" t="str">
            <v>Proteger</v>
          </cell>
        </row>
        <row r="2006">
          <cell r="A2006" t="str">
            <v>E561</v>
          </cell>
          <cell r="B2006" t="str">
            <v>E561 - GLOBAL VITALITY, C.A.</v>
          </cell>
          <cell r="C2006" t="e">
            <v>#N/A</v>
          </cell>
          <cell r="D2006">
            <v>3</v>
          </cell>
          <cell r="F2006" t="str">
            <v>CARACAS</v>
          </cell>
          <cell r="G2006">
            <v>0</v>
          </cell>
          <cell r="H2006"/>
          <cell r="I2006" t="str">
            <v>C2</v>
          </cell>
          <cell r="J2006" t="str">
            <v>Inactivo</v>
          </cell>
          <cell r="K2006">
            <v>4287.3307999999997</v>
          </cell>
          <cell r="L2006">
            <v>1429.1102666666666</v>
          </cell>
          <cell r="M2006">
            <v>1429.1102666666666</v>
          </cell>
          <cell r="N2006" t="str">
            <v>Si Compra</v>
          </cell>
          <cell r="O2006">
            <v>3</v>
          </cell>
          <cell r="P2006">
            <v>0</v>
          </cell>
          <cell r="Q2006">
            <v>0</v>
          </cell>
          <cell r="R2006">
            <v>0</v>
          </cell>
          <cell r="V2006">
            <v>0</v>
          </cell>
          <cell r="W2006">
            <v>5.4568953381247697E-5</v>
          </cell>
          <cell r="X2006">
            <v>0</v>
          </cell>
          <cell r="Y2006" t="str">
            <v>Conquistar</v>
          </cell>
        </row>
        <row r="2007">
          <cell r="A2007" t="str">
            <v>D272</v>
          </cell>
          <cell r="B2007" t="str">
            <v>D272 - NOVAFARMA GROUP, S.A</v>
          </cell>
          <cell r="C2007" t="e">
            <v>#N/A</v>
          </cell>
          <cell r="D2007">
            <v>2</v>
          </cell>
          <cell r="E2007"/>
          <cell r="F2007" t="str">
            <v>ESTE</v>
          </cell>
          <cell r="G2007">
            <v>0</v>
          </cell>
          <cell r="H2007"/>
          <cell r="I2007" t="str">
            <v>A1</v>
          </cell>
          <cell r="J2007" t="str">
            <v>Suspendido</v>
          </cell>
          <cell r="K2007">
            <v>4267.6777886855925</v>
          </cell>
          <cell r="L2007">
            <v>711.27963144759872</v>
          </cell>
          <cell r="M2007">
            <v>945.65975000000003</v>
          </cell>
          <cell r="N2007" t="str">
            <v>Si Compra</v>
          </cell>
          <cell r="O2007">
            <v>6</v>
          </cell>
          <cell r="P2007">
            <v>0</v>
          </cell>
          <cell r="Q2007">
            <v>0</v>
          </cell>
          <cell r="R2007">
            <v>0</v>
          </cell>
          <cell r="T2007"/>
          <cell r="U2007"/>
          <cell r="V2007">
            <v>0</v>
          </cell>
          <cell r="W2007">
            <v>2.7159405369066736E-5</v>
          </cell>
          <cell r="X2007">
            <v>0</v>
          </cell>
          <cell r="Y2007" t="str">
            <v>Conquistar</v>
          </cell>
        </row>
        <row r="2008">
          <cell r="A2008" t="str">
            <v>E637</v>
          </cell>
          <cell r="B2008" t="str">
            <v>E637 - SANFARMA1, C.A</v>
          </cell>
          <cell r="C2008" t="e">
            <v>#N/A</v>
          </cell>
          <cell r="D2008">
            <v>2</v>
          </cell>
          <cell r="F2008" t="str">
            <v>ESTE</v>
          </cell>
          <cell r="G2008">
            <v>0</v>
          </cell>
          <cell r="H2008"/>
          <cell r="I2008" t="str">
            <v>A7</v>
          </cell>
          <cell r="J2008" t="str">
            <v>Inactivo</v>
          </cell>
          <cell r="K2008">
            <v>4227.7719999999999</v>
          </cell>
          <cell r="L2008">
            <v>2113.886</v>
          </cell>
          <cell r="M2008">
            <v>2113.886</v>
          </cell>
          <cell r="N2008" t="str">
            <v>Si Compra</v>
          </cell>
          <cell r="O2008">
            <v>2</v>
          </cell>
          <cell r="P2008">
            <v>0</v>
          </cell>
          <cell r="Q2008">
            <v>0</v>
          </cell>
          <cell r="R2008">
            <v>0</v>
          </cell>
          <cell r="V2008">
            <v>0</v>
          </cell>
          <cell r="W2008">
            <v>8.0716337484809092E-5</v>
          </cell>
          <cell r="X2008">
            <v>0</v>
          </cell>
          <cell r="Y2008" t="str">
            <v>Conquistar</v>
          </cell>
        </row>
        <row r="2009">
          <cell r="A2009" t="str">
            <v>599</v>
          </cell>
          <cell r="B2009" t="str">
            <v>599 - FARMACIA VIRGEN DE COROMOTO DE ELAYSA JOSEFINA SALAS OSORIO F.P</v>
          </cell>
          <cell r="C2009" t="e">
            <v>#N/A</v>
          </cell>
          <cell r="D2009">
            <v>1</v>
          </cell>
          <cell r="E2009"/>
          <cell r="F2009" t="str">
            <v>ANDES</v>
          </cell>
          <cell r="G2009">
            <v>0</v>
          </cell>
          <cell r="H2009"/>
          <cell r="I2009" t="str">
            <v>6</v>
          </cell>
          <cell r="J2009" t="str">
            <v>Activo</v>
          </cell>
          <cell r="K2009">
            <v>4214.7403012178702</v>
          </cell>
          <cell r="L2009">
            <v>1053.6850753044675</v>
          </cell>
          <cell r="M2009">
            <v>926.28209929985326</v>
          </cell>
          <cell r="N2009" t="str">
            <v>Si Compra</v>
          </cell>
          <cell r="O2009">
            <v>3</v>
          </cell>
          <cell r="P2009">
            <v>0</v>
          </cell>
          <cell r="Q2009">
            <v>0</v>
          </cell>
          <cell r="R2009">
            <v>0</v>
          </cell>
          <cell r="T2009"/>
          <cell r="U2009"/>
          <cell r="V2009">
            <v>0</v>
          </cell>
          <cell r="W2009">
            <v>4.0233768585903823E-5</v>
          </cell>
          <cell r="X2009">
            <v>0</v>
          </cell>
          <cell r="Y2009" t="str">
            <v>Conquistar</v>
          </cell>
        </row>
        <row r="2010">
          <cell r="A2010" t="str">
            <v>D848</v>
          </cell>
          <cell r="B2010" t="str">
            <v>D848 - EXPENDIO DE MEDICINAS ADONAY, C.A</v>
          </cell>
          <cell r="C2010" t="str">
            <v>INDEPENDIENTE</v>
          </cell>
          <cell r="D2010">
            <v>3</v>
          </cell>
          <cell r="E2010"/>
          <cell r="F2010" t="str">
            <v>MARACAIBO</v>
          </cell>
          <cell r="G2010">
            <v>0</v>
          </cell>
          <cell r="H2010"/>
          <cell r="I2010" t="str">
            <v>BZ</v>
          </cell>
          <cell r="J2010" t="str">
            <v>Activo</v>
          </cell>
          <cell r="K2010">
            <v>4208.4603999999999</v>
          </cell>
          <cell r="L2010">
            <v>526.05754999999999</v>
          </cell>
          <cell r="M2010">
            <v>599.73370000000011</v>
          </cell>
          <cell r="N2010" t="str">
            <v>Si Compra</v>
          </cell>
          <cell r="O2010">
            <v>8</v>
          </cell>
          <cell r="P2010">
            <v>0</v>
          </cell>
          <cell r="Q2010">
            <v>0</v>
          </cell>
          <cell r="R2010">
            <v>0</v>
          </cell>
          <cell r="T2010"/>
          <cell r="U2010"/>
          <cell r="V2010">
            <v>0</v>
          </cell>
          <cell r="W2010">
            <v>2.0086910430473467E-5</v>
          </cell>
          <cell r="X2010">
            <v>0</v>
          </cell>
          <cell r="Y2010" t="str">
            <v>Conquistar</v>
          </cell>
        </row>
        <row r="2011">
          <cell r="A2011" t="str">
            <v>Q305</v>
          </cell>
          <cell r="B2011" t="str">
            <v>Q305 - FARMACIA SAN MIGUEL,C.A</v>
          </cell>
          <cell r="C2011" t="str">
            <v>INDEPENDIENTE</v>
          </cell>
          <cell r="D2011">
            <v>3</v>
          </cell>
          <cell r="F2011" t="str">
            <v>MARACAIBO</v>
          </cell>
          <cell r="G2011" t="str">
            <v>ADRIANA ALBORNOZ</v>
          </cell>
          <cell r="H2011"/>
          <cell r="I2011" t="str">
            <v xml:space="preserve">Q </v>
          </cell>
          <cell r="J2011" t="str">
            <v>Activo</v>
          </cell>
          <cell r="K2011">
            <v>4200.7865000000002</v>
          </cell>
          <cell r="L2011">
            <v>420.07865000000004</v>
          </cell>
          <cell r="M2011">
            <v>499.6619</v>
          </cell>
          <cell r="N2011" t="str">
            <v>Si Compra</v>
          </cell>
          <cell r="O2011">
            <v>10</v>
          </cell>
          <cell r="P2011">
            <v>4136.1023999999998</v>
          </cell>
          <cell r="Q2011">
            <v>413.61023999999998</v>
          </cell>
          <cell r="R2011">
            <v>429.57043333333331</v>
          </cell>
          <cell r="V2011">
            <v>1.0156389019768952</v>
          </cell>
          <cell r="W2011">
            <v>1.6040226428276172E-5</v>
          </cell>
          <cell r="X2011">
            <v>10</v>
          </cell>
          <cell r="Y2011" t="str">
            <v>Proteger</v>
          </cell>
        </row>
        <row r="2012">
          <cell r="A2012" t="str">
            <v>D467</v>
          </cell>
          <cell r="B2012" t="str">
            <v>D467 - CENTRO MEDICO SAN MIGUEL ARCANGEL, C.A</v>
          </cell>
          <cell r="C2012" t="str">
            <v>INDEPENDIENTE</v>
          </cell>
          <cell r="D2012">
            <v>3</v>
          </cell>
          <cell r="E2012"/>
          <cell r="F2012" t="str">
            <v>CENTRO OESTE</v>
          </cell>
          <cell r="G2012">
            <v>0</v>
          </cell>
          <cell r="H2012"/>
          <cell r="I2012" t="str">
            <v>L</v>
          </cell>
          <cell r="J2012" t="str">
            <v>Activo</v>
          </cell>
          <cell r="K2012">
            <v>4200.7523999999994</v>
          </cell>
          <cell r="L2012">
            <v>466.75026666666662</v>
          </cell>
          <cell r="M2012">
            <v>482.23673333333335</v>
          </cell>
          <cell r="N2012" t="str">
            <v>Si Compra</v>
          </cell>
          <cell r="O2012">
            <v>9</v>
          </cell>
          <cell r="P2012">
            <v>0</v>
          </cell>
          <cell r="Q2012">
            <v>0</v>
          </cell>
          <cell r="R2012">
            <v>0</v>
          </cell>
          <cell r="T2012"/>
          <cell r="U2012"/>
          <cell r="V2012">
            <v>0</v>
          </cell>
          <cell r="W2012">
            <v>1.7822329134774204E-5</v>
          </cell>
          <cell r="X2012">
            <v>0</v>
          </cell>
          <cell r="Y2012" t="str">
            <v>Conquistar</v>
          </cell>
        </row>
        <row r="2013">
          <cell r="A2013" t="str">
            <v>Z111</v>
          </cell>
          <cell r="B2013" t="str">
            <v>Z111 - HIPERFARMACIA LA PUERTA, S,.A</v>
          </cell>
          <cell r="C2013" t="str">
            <v>INDEPENDIENTE</v>
          </cell>
          <cell r="D2013">
            <v>1</v>
          </cell>
          <cell r="F2013" t="str">
            <v>MARACAIBO</v>
          </cell>
          <cell r="G2013" t="str">
            <v>MARIA FUSELLA</v>
          </cell>
          <cell r="H2013"/>
          <cell r="I2013" t="str">
            <v>Z</v>
          </cell>
          <cell r="J2013" t="str">
            <v>Inactivo</v>
          </cell>
          <cell r="K2013">
            <v>4196.5364999999993</v>
          </cell>
          <cell r="L2013">
            <v>699.42274999999984</v>
          </cell>
          <cell r="M2013">
            <v>494.49720000000002</v>
          </cell>
          <cell r="N2013" t="str">
            <v>Si Compra</v>
          </cell>
          <cell r="O2013">
            <v>6</v>
          </cell>
          <cell r="P2013">
            <v>11895.451999999999</v>
          </cell>
          <cell r="Q2013">
            <v>1982.5753333333332</v>
          </cell>
          <cell r="R2013">
            <v>816.08010000000002</v>
          </cell>
          <cell r="V2013">
            <v>0.35278495512402547</v>
          </cell>
          <cell r="W2013">
            <v>2.6706663809473756E-5</v>
          </cell>
          <cell r="X2013">
            <v>6</v>
          </cell>
          <cell r="Y2013" t="str">
            <v>Potenciar</v>
          </cell>
        </row>
        <row r="2014">
          <cell r="A2014" t="str">
            <v>E521</v>
          </cell>
          <cell r="B2014" t="str">
            <v>E521 - FARMACIA SANA SANA POZUELO C.A</v>
          </cell>
          <cell r="C2014" t="e">
            <v>#N/A</v>
          </cell>
          <cell r="D2014">
            <v>3</v>
          </cell>
          <cell r="F2014" t="str">
            <v>ESTE</v>
          </cell>
          <cell r="G2014">
            <v>0</v>
          </cell>
          <cell r="H2014"/>
          <cell r="I2014" t="str">
            <v>A1</v>
          </cell>
          <cell r="J2014" t="str">
            <v>Activo</v>
          </cell>
          <cell r="K2014">
            <v>4191.9166000000005</v>
          </cell>
          <cell r="L2014">
            <v>1047.9791500000001</v>
          </cell>
          <cell r="M2014">
            <v>1158.8395333333335</v>
          </cell>
          <cell r="N2014" t="str">
            <v>Si Compra</v>
          </cell>
          <cell r="O2014">
            <v>4</v>
          </cell>
          <cell r="P2014">
            <v>0</v>
          </cell>
          <cell r="Q2014">
            <v>0</v>
          </cell>
          <cell r="R2014">
            <v>0</v>
          </cell>
          <cell r="V2014">
            <v>0</v>
          </cell>
          <cell r="W2014">
            <v>4.0015894304822202E-5</v>
          </cell>
          <cell r="X2014">
            <v>0</v>
          </cell>
          <cell r="Y2014" t="str">
            <v>Conquistar</v>
          </cell>
        </row>
        <row r="2015">
          <cell r="A2015">
            <v>0</v>
          </cell>
          <cell r="B2015" t="str">
            <v>C839 - EXPENDIO DE MEDICINAS BEATO DR JOSE GREGORIO HERNANDEZ</v>
          </cell>
          <cell r="C2015" t="str">
            <v>INDEPENDIENTE</v>
          </cell>
          <cell r="D2015">
            <v>0</v>
          </cell>
          <cell r="E2015"/>
          <cell r="F2015" t="str">
            <v>CENTRO OESTE</v>
          </cell>
          <cell r="G2015">
            <v>0</v>
          </cell>
          <cell r="H2015"/>
          <cell r="I2015" t="str">
            <v>Y</v>
          </cell>
          <cell r="J2015" t="str">
            <v>Inactivo</v>
          </cell>
          <cell r="K2015">
            <v>4185.2943000000005</v>
          </cell>
          <cell r="L2015">
            <v>837.0588600000001</v>
          </cell>
          <cell r="M2015">
            <v>1025.1179999999999</v>
          </cell>
          <cell r="N2015" t="str">
            <v>Si Compra</v>
          </cell>
          <cell r="O2015">
            <v>5</v>
          </cell>
          <cell r="P2015">
            <v>0</v>
          </cell>
          <cell r="Q2015">
            <v>0</v>
          </cell>
          <cell r="R2015">
            <v>0</v>
          </cell>
          <cell r="T2015"/>
          <cell r="U2015"/>
          <cell r="V2015">
            <v>0</v>
          </cell>
          <cell r="W2015">
            <v>3.196214244212298E-5</v>
          </cell>
          <cell r="X2015">
            <v>0</v>
          </cell>
          <cell r="Y2015" t="str">
            <v>Conquistar</v>
          </cell>
        </row>
        <row r="2016">
          <cell r="A2016" t="str">
            <v>E084</v>
          </cell>
          <cell r="B2016" t="str">
            <v>E084 - FARMACIA LA ESTACION 888, C.A.</v>
          </cell>
          <cell r="C2016" t="str">
            <v>INDEPENDIENTE</v>
          </cell>
          <cell r="D2016">
            <v>3</v>
          </cell>
          <cell r="F2016" t="str">
            <v>CENTRO ESTE</v>
          </cell>
          <cell r="G2016">
            <v>0</v>
          </cell>
          <cell r="H2016"/>
          <cell r="I2016" t="str">
            <v>-</v>
          </cell>
          <cell r="J2016" t="str">
            <v>Activo</v>
          </cell>
          <cell r="K2016">
            <v>4147.6100776367875</v>
          </cell>
          <cell r="L2016">
            <v>518.45125970459844</v>
          </cell>
          <cell r="M2016">
            <v>543.68795921226251</v>
          </cell>
          <cell r="N2016" t="str">
            <v>Si Compra</v>
          </cell>
          <cell r="O2016">
            <v>8</v>
          </cell>
          <cell r="P2016">
            <v>0</v>
          </cell>
          <cell r="Q2016">
            <v>0</v>
          </cell>
          <cell r="R2016">
            <v>0</v>
          </cell>
          <cell r="V2016">
            <v>0</v>
          </cell>
          <cell r="W2016">
            <v>1.9796472869275246E-5</v>
          </cell>
          <cell r="X2016">
            <v>0</v>
          </cell>
          <cell r="Y2016" t="str">
            <v>Conquistar</v>
          </cell>
        </row>
        <row r="2017">
          <cell r="A2017" t="str">
            <v>B913</v>
          </cell>
          <cell r="B2017" t="str">
            <v>B913 - SUPER 900, C.A.</v>
          </cell>
          <cell r="C2017" t="str">
            <v>INDEPENDIENTE</v>
          </cell>
          <cell r="D2017">
            <v>0</v>
          </cell>
          <cell r="E2017"/>
          <cell r="F2017" t="str">
            <v>MARACAIBO</v>
          </cell>
          <cell r="G2017" t="str">
            <v>MARIA FUSELLA</v>
          </cell>
          <cell r="H2017"/>
          <cell r="I2017" t="str">
            <v>Z</v>
          </cell>
          <cell r="J2017" t="str">
            <v>Bloqueado</v>
          </cell>
          <cell r="K2017">
            <v>4147.5940255464129</v>
          </cell>
          <cell r="L2017">
            <v>1382.5313418488042</v>
          </cell>
          <cell r="M2017">
            <v>0</v>
          </cell>
          <cell r="N2017" t="str">
            <v>No Compra</v>
          </cell>
          <cell r="O2017">
            <v>2</v>
          </cell>
          <cell r="P2017">
            <v>10283.349102544484</v>
          </cell>
          <cell r="Q2017">
            <v>3427.7830341814947</v>
          </cell>
          <cell r="R2017">
            <v>0</v>
          </cell>
          <cell r="T2017"/>
          <cell r="U2017"/>
          <cell r="V2017">
            <v>0.40333105335499531</v>
          </cell>
          <cell r="W2017">
            <v>5.2790390007783794E-5</v>
          </cell>
          <cell r="X2017">
            <v>2</v>
          </cell>
          <cell r="Y2017" t="str">
            <v>Potenciar</v>
          </cell>
        </row>
        <row r="2018">
          <cell r="A2018" t="str">
            <v>6100</v>
          </cell>
          <cell r="B2018" t="str">
            <v>6100 - FARMACIA PUERTO RICO C.A</v>
          </cell>
          <cell r="C2018" t="e">
            <v>#N/A</v>
          </cell>
          <cell r="D2018">
            <v>2</v>
          </cell>
          <cell r="E2018"/>
          <cell r="F2018" t="str">
            <v>ANDES</v>
          </cell>
          <cell r="G2018" t="str">
            <v>ZULAY PARRA</v>
          </cell>
          <cell r="H2018"/>
          <cell r="I2018" t="str">
            <v>5</v>
          </cell>
          <cell r="J2018" t="str">
            <v>Activo</v>
          </cell>
          <cell r="K2018">
            <v>4141.2390999999998</v>
          </cell>
          <cell r="L2018">
            <v>2070.6195499999999</v>
          </cell>
          <cell r="M2018">
            <v>2070.6195499999999</v>
          </cell>
          <cell r="N2018" t="str">
            <v>Si Compra</v>
          </cell>
          <cell r="O2018">
            <v>2</v>
          </cell>
          <cell r="P2018">
            <v>4654.2721999999994</v>
          </cell>
          <cell r="Q2018">
            <v>2327.1360999999997</v>
          </cell>
          <cell r="R2018">
            <v>2327.1360999999997</v>
          </cell>
          <cell r="T2018"/>
          <cell r="U2018"/>
          <cell r="V2018">
            <v>0.88977157373820992</v>
          </cell>
          <cell r="W2018">
            <v>7.9064257202348436E-5</v>
          </cell>
          <cell r="X2018">
            <v>2</v>
          </cell>
          <cell r="Y2018" t="str">
            <v>Proteger</v>
          </cell>
        </row>
        <row r="2019">
          <cell r="A2019" t="str">
            <v>D490</v>
          </cell>
          <cell r="B2019" t="str">
            <v>D490 - MULTIFARMACIA COLINA SANTIAGO C.A.</v>
          </cell>
          <cell r="C2019" t="str">
            <v>INDEPENDIENTE</v>
          </cell>
          <cell r="D2019">
            <v>3</v>
          </cell>
          <cell r="E2019"/>
          <cell r="F2019" t="str">
            <v>MARACAIBO</v>
          </cell>
          <cell r="G2019" t="str">
            <v>MARIA FUSELLA</v>
          </cell>
          <cell r="H2019"/>
          <cell r="I2019" t="str">
            <v>Z</v>
          </cell>
          <cell r="J2019" t="str">
            <v>Activo</v>
          </cell>
          <cell r="K2019">
            <v>4129.7131829976543</v>
          </cell>
          <cell r="L2019">
            <v>589.95902614252202</v>
          </cell>
          <cell r="M2019">
            <v>476.4400333333333</v>
          </cell>
          <cell r="N2019" t="str">
            <v>Si Compra</v>
          </cell>
          <cell r="O2019">
            <v>7</v>
          </cell>
          <cell r="P2019">
            <v>6143.863619215058</v>
          </cell>
          <cell r="Q2019">
            <v>877.69480274500825</v>
          </cell>
          <cell r="R2019">
            <v>871.53229999999996</v>
          </cell>
          <cell r="T2019"/>
          <cell r="U2019"/>
          <cell r="V2019">
            <v>0.6721687587728824</v>
          </cell>
          <cell r="W2019">
            <v>2.2526915763825066E-5</v>
          </cell>
          <cell r="X2019">
            <v>7</v>
          </cell>
          <cell r="Y2019" t="str">
            <v>Proteger</v>
          </cell>
        </row>
        <row r="2020">
          <cell r="A2020" t="str">
            <v>5204</v>
          </cell>
          <cell r="B2020" t="str">
            <v>5204 - FARMACIA LA AVENIDA, C.A.</v>
          </cell>
          <cell r="C2020" t="str">
            <v>INDEPENDIENTE</v>
          </cell>
          <cell r="D2020">
            <v>3</v>
          </cell>
          <cell r="E2020"/>
          <cell r="F2020" t="str">
            <v>CARACAS</v>
          </cell>
          <cell r="G2020" t="str">
            <v>RAMON SERRANO</v>
          </cell>
          <cell r="H2020"/>
          <cell r="I2020" t="str">
            <v>CB</v>
          </cell>
          <cell r="J2020" t="str">
            <v>Inactivo</v>
          </cell>
          <cell r="K2020">
            <v>4118.5565000000006</v>
          </cell>
          <cell r="L2020">
            <v>1372.8521666666668</v>
          </cell>
          <cell r="M2020">
            <v>0</v>
          </cell>
          <cell r="N2020" t="str">
            <v>No Compra</v>
          </cell>
          <cell r="O2020">
            <v>3</v>
          </cell>
          <cell r="P2020">
            <v>9137.0132999999987</v>
          </cell>
          <cell r="Q2020">
            <v>3045.6710999999996</v>
          </cell>
          <cell r="R2020">
            <v>0</v>
          </cell>
          <cell r="T2020"/>
          <cell r="U2020"/>
          <cell r="V2020">
            <v>0.45075522654651284</v>
          </cell>
          <cell r="W2020">
            <v>5.2420801690071299E-5</v>
          </cell>
          <cell r="X2020">
            <v>3</v>
          </cell>
          <cell r="Y2020" t="str">
            <v>Potenciar</v>
          </cell>
        </row>
        <row r="2021">
          <cell r="A2021" t="str">
            <v>D914</v>
          </cell>
          <cell r="B2021" t="str">
            <v>D914 - FARMACIA EL EDEN FC C.A.</v>
          </cell>
          <cell r="C2021" t="str">
            <v>INDEPENDIENTE</v>
          </cell>
          <cell r="D2021">
            <v>2</v>
          </cell>
          <cell r="E2021"/>
          <cell r="F2021" t="str">
            <v>ANDES</v>
          </cell>
          <cell r="G2021" t="str">
            <v>MARIA GABRIELA FORTUL</v>
          </cell>
          <cell r="H2021"/>
          <cell r="I2021" t="str">
            <v>3</v>
          </cell>
          <cell r="J2021" t="str">
            <v>Inactivo</v>
          </cell>
          <cell r="K2021">
            <v>4101.8</v>
          </cell>
          <cell r="L2021">
            <v>512.72500000000002</v>
          </cell>
          <cell r="M2021">
            <v>505.48470000000003</v>
          </cell>
          <cell r="N2021" t="str">
            <v>Si Compra</v>
          </cell>
          <cell r="O2021">
            <v>8</v>
          </cell>
          <cell r="P2021">
            <v>8866.2433999999994</v>
          </cell>
          <cell r="Q2021">
            <v>1108.2804249999999</v>
          </cell>
          <cell r="R2021">
            <v>1874.4582500000001</v>
          </cell>
          <cell r="T2021"/>
          <cell r="U2021"/>
          <cell r="V2021">
            <v>0.46263110710450384</v>
          </cell>
          <cell r="W2021">
            <v>1.957782214220575E-5</v>
          </cell>
          <cell r="X2021">
            <v>8</v>
          </cell>
          <cell r="Y2021" t="str">
            <v>Potenciar</v>
          </cell>
        </row>
        <row r="2022">
          <cell r="A2022" t="str">
            <v>C71</v>
          </cell>
          <cell r="B2022" t="str">
            <v>C71 - CLINICA D ESPEC MED LOS LLANOS CA (CEMELL CA)</v>
          </cell>
          <cell r="C2022" t="e">
            <v>#N/A</v>
          </cell>
          <cell r="D2022">
            <v>3</v>
          </cell>
          <cell r="E2022"/>
          <cell r="F2022" t="str">
            <v>CENTRO OESTE</v>
          </cell>
          <cell r="G2022">
            <v>0</v>
          </cell>
          <cell r="H2022"/>
          <cell r="I2022" t="str">
            <v xml:space="preserve">C </v>
          </cell>
          <cell r="J2022" t="str">
            <v>Inactivo</v>
          </cell>
          <cell r="K2022">
            <v>4064.7514000000001</v>
          </cell>
          <cell r="L2022">
            <v>812.95028000000002</v>
          </cell>
          <cell r="M2022">
            <v>970.17123333333336</v>
          </cell>
          <cell r="N2022" t="str">
            <v>Si Compra</v>
          </cell>
          <cell r="O2022">
            <v>5</v>
          </cell>
          <cell r="P2022">
            <v>0</v>
          </cell>
          <cell r="Q2022">
            <v>0</v>
          </cell>
          <cell r="R2022">
            <v>0</v>
          </cell>
          <cell r="T2022"/>
          <cell r="U2022"/>
          <cell r="V2022">
            <v>0</v>
          </cell>
          <cell r="W2022">
            <v>3.1041583679938295E-5</v>
          </cell>
          <cell r="X2022">
            <v>0</v>
          </cell>
          <cell r="Y2022" t="str">
            <v>Conquistar</v>
          </cell>
        </row>
        <row r="2023">
          <cell r="A2023" t="str">
            <v>E568</v>
          </cell>
          <cell r="B2023" t="str">
            <v>E568 - FARMACIA VIRGEN DEL CARMEN 24, C.A</v>
          </cell>
          <cell r="C2023" t="e">
            <v>#N/A</v>
          </cell>
          <cell r="D2023">
            <v>3</v>
          </cell>
          <cell r="F2023" t="str">
            <v>ANDES</v>
          </cell>
          <cell r="G2023">
            <v>0</v>
          </cell>
          <cell r="H2023"/>
          <cell r="I2023" t="str">
            <v>G2</v>
          </cell>
          <cell r="J2023" t="str">
            <v>Activo</v>
          </cell>
          <cell r="K2023">
            <v>4052.9407000000001</v>
          </cell>
          <cell r="L2023">
            <v>1350.9802333333334</v>
          </cell>
          <cell r="M2023">
            <v>1350.9802333333334</v>
          </cell>
          <cell r="N2023" t="str">
            <v>Si Compra</v>
          </cell>
          <cell r="O2023">
            <v>3</v>
          </cell>
          <cell r="P2023">
            <v>0</v>
          </cell>
          <cell r="Q2023">
            <v>0</v>
          </cell>
          <cell r="R2023">
            <v>0</v>
          </cell>
          <cell r="V2023">
            <v>0</v>
          </cell>
          <cell r="W2023">
            <v>5.1585646742085181E-5</v>
          </cell>
          <cell r="X2023">
            <v>0</v>
          </cell>
          <cell r="Y2023" t="str">
            <v>Conquistar</v>
          </cell>
        </row>
        <row r="2024">
          <cell r="A2024">
            <v>0</v>
          </cell>
          <cell r="B2024" t="str">
            <v>S325 - FARMACIA COMERCIO CENTRO, C.A</v>
          </cell>
          <cell r="C2024" t="e">
            <v>#N/A</v>
          </cell>
          <cell r="D2024">
            <v>0</v>
          </cell>
          <cell r="E2024"/>
          <cell r="F2024" t="str">
            <v>CENTRO ESTE</v>
          </cell>
          <cell r="G2024" t="str">
            <v>ELIANA PERAZA</v>
          </cell>
          <cell r="H2024"/>
          <cell r="I2024" t="str">
            <v>M</v>
          </cell>
          <cell r="J2024" t="str">
            <v>Activo</v>
          </cell>
          <cell r="K2024">
            <v>4050.3544999999995</v>
          </cell>
          <cell r="L2024">
            <v>506.29431249999993</v>
          </cell>
          <cell r="M2024">
            <v>487.47810000000004</v>
          </cell>
          <cell r="N2024" t="str">
            <v>Si Compra</v>
          </cell>
          <cell r="O2024">
            <v>8</v>
          </cell>
          <cell r="P2024">
            <v>1447386.0234999999</v>
          </cell>
          <cell r="Q2024">
            <v>180923.25293749999</v>
          </cell>
          <cell r="R2024">
            <v>215633.73155</v>
          </cell>
          <cell r="T2024"/>
          <cell r="U2024"/>
          <cell r="V2024">
            <v>2.7983927122673365E-3</v>
          </cell>
          <cell r="W2024">
            <v>1.9332273639349234E-5</v>
          </cell>
          <cell r="X2024">
            <v>8</v>
          </cell>
          <cell r="Y2024" t="str">
            <v>Conquistar</v>
          </cell>
        </row>
        <row r="2025">
          <cell r="A2025" t="str">
            <v>E440</v>
          </cell>
          <cell r="B2025" t="str">
            <v>E440 - FARMACIA NIÑA GENESIS 1992, C.A</v>
          </cell>
          <cell r="C2025" t="e">
            <v>#N/A</v>
          </cell>
          <cell r="D2025">
            <v>3</v>
          </cell>
          <cell r="F2025" t="str">
            <v>CARACAS</v>
          </cell>
          <cell r="G2025">
            <v>0</v>
          </cell>
          <cell r="H2025"/>
          <cell r="I2025" t="str">
            <v>C3</v>
          </cell>
          <cell r="J2025" t="str">
            <v>Activo</v>
          </cell>
          <cell r="K2025">
            <v>4037.107</v>
          </cell>
          <cell r="L2025">
            <v>807.42139999999995</v>
          </cell>
          <cell r="M2025">
            <v>684.54956666666658</v>
          </cell>
          <cell r="N2025" t="str">
            <v>Si Compra</v>
          </cell>
          <cell r="O2025">
            <v>5</v>
          </cell>
          <cell r="P2025">
            <v>0</v>
          </cell>
          <cell r="Q2025">
            <v>0</v>
          </cell>
          <cell r="R2025">
            <v>0</v>
          </cell>
          <cell r="V2025">
            <v>0</v>
          </cell>
          <cell r="W2025">
            <v>3.0830469672847558E-5</v>
          </cell>
          <cell r="X2025">
            <v>0</v>
          </cell>
          <cell r="Y2025" t="str">
            <v>Conquistar</v>
          </cell>
        </row>
        <row r="2026">
          <cell r="A2026" t="str">
            <v>E609</v>
          </cell>
          <cell r="B2026" t="str">
            <v>E609 - MULTIFARMACIAS COAHERI, C.A</v>
          </cell>
          <cell r="C2026" t="e">
            <v>#N/A</v>
          </cell>
          <cell r="D2026">
            <v>3</v>
          </cell>
          <cell r="F2026" t="str">
            <v>CENTRO ESTE</v>
          </cell>
          <cell r="G2026">
            <v>0</v>
          </cell>
          <cell r="H2026"/>
          <cell r="I2026" t="str">
            <v>H</v>
          </cell>
          <cell r="J2026" t="str">
            <v>Inactivo</v>
          </cell>
          <cell r="K2026">
            <v>4016.7532000000001</v>
          </cell>
          <cell r="L2026">
            <v>1338.9177333333334</v>
          </cell>
          <cell r="M2026">
            <v>1338.9177333333334</v>
          </cell>
          <cell r="N2026" t="str">
            <v>Si Compra</v>
          </cell>
          <cell r="O2026">
            <v>3</v>
          </cell>
          <cell r="P2026">
            <v>0</v>
          </cell>
          <cell r="Q2026">
            <v>0</v>
          </cell>
          <cell r="R2026">
            <v>0</v>
          </cell>
          <cell r="V2026">
            <v>0</v>
          </cell>
          <cell r="W2026">
            <v>5.1125053871461832E-5</v>
          </cell>
          <cell r="X2026">
            <v>0</v>
          </cell>
          <cell r="Y2026" t="str">
            <v>Conquistar</v>
          </cell>
        </row>
        <row r="2027">
          <cell r="A2027" t="str">
            <v>6629</v>
          </cell>
          <cell r="B2027" t="str">
            <v>6629 - FARMACIA ISLA SALUD, C.A</v>
          </cell>
          <cell r="C2027" t="str">
            <v>INDEPENDIENTE</v>
          </cell>
          <cell r="D2027">
            <v>3</v>
          </cell>
          <cell r="E2027"/>
          <cell r="F2027" t="str">
            <v>ESTE</v>
          </cell>
          <cell r="G2027" t="str">
            <v>ADOLFO GONZALEZ</v>
          </cell>
          <cell r="H2027"/>
          <cell r="I2027" t="str">
            <v>A8</v>
          </cell>
          <cell r="J2027" t="str">
            <v>Activo</v>
          </cell>
          <cell r="K2027">
            <v>4009.4070810239919</v>
          </cell>
          <cell r="L2027">
            <v>445.48967566933243</v>
          </cell>
          <cell r="M2027">
            <v>533.20648898648301</v>
          </cell>
          <cell r="N2027" t="str">
            <v>Si Compra</v>
          </cell>
          <cell r="O2027">
            <v>9</v>
          </cell>
          <cell r="P2027">
            <v>87454.475502725647</v>
          </cell>
          <cell r="Q2027">
            <v>9717.1639447472935</v>
          </cell>
          <cell r="R2027">
            <v>8204.7362839104408</v>
          </cell>
          <cell r="T2027"/>
          <cell r="U2027"/>
          <cell r="V2027">
            <v>4.5845647783903674E-2</v>
          </cell>
          <cell r="W2027">
            <v>1.7010517599967066E-5</v>
          </cell>
          <cell r="X2027">
            <v>9</v>
          </cell>
          <cell r="Y2027" t="str">
            <v>Conquistar</v>
          </cell>
        </row>
        <row r="2028">
          <cell r="A2028" t="str">
            <v>9763</v>
          </cell>
          <cell r="B2028" t="str">
            <v>9763 - FARMACIA LA BIENAVENTURANZA, C.A.</v>
          </cell>
          <cell r="C2028" t="e">
            <v>#N/A</v>
          </cell>
          <cell r="D2028">
            <v>3</v>
          </cell>
          <cell r="E2028"/>
          <cell r="F2028" t="str">
            <v>ANDES</v>
          </cell>
          <cell r="G2028" t="str">
            <v>ZULAY PARRA</v>
          </cell>
          <cell r="H2028"/>
          <cell r="I2028" t="str">
            <v>5</v>
          </cell>
          <cell r="J2028" t="str">
            <v>Activo</v>
          </cell>
          <cell r="K2028">
            <v>3983.1231833155653</v>
          </cell>
          <cell r="L2028">
            <v>663.85386388592758</v>
          </cell>
          <cell r="M2028">
            <v>727.15686110518834</v>
          </cell>
          <cell r="N2028" t="str">
            <v>Si Compra</v>
          </cell>
          <cell r="O2028">
            <v>6</v>
          </cell>
          <cell r="P2028">
            <v>5348.2648213523898</v>
          </cell>
          <cell r="Q2028">
            <v>891.37747022539827</v>
          </cell>
          <cell r="R2028">
            <v>694.86760711746319</v>
          </cell>
          <cell r="T2028"/>
          <cell r="U2028"/>
          <cell r="V2028">
            <v>0.74475055300428683</v>
          </cell>
          <cell r="W2028">
            <v>2.5348506266662936E-5</v>
          </cell>
          <cell r="X2028">
            <v>6</v>
          </cell>
          <cell r="Y2028" t="str">
            <v>Proteger</v>
          </cell>
        </row>
        <row r="2029">
          <cell r="A2029" t="str">
            <v>E049</v>
          </cell>
          <cell r="B2029" t="str">
            <v>FARMACIAS AGUERO</v>
          </cell>
          <cell r="C2029" t="str">
            <v>INDEPENDIENTE</v>
          </cell>
          <cell r="D2029">
            <v>2</v>
          </cell>
          <cell r="F2029" t="str">
            <v>CENTRO OESTE</v>
          </cell>
          <cell r="G2029">
            <v>0</v>
          </cell>
          <cell r="H2029"/>
          <cell r="I2029" t="str">
            <v>C</v>
          </cell>
          <cell r="J2029" t="str">
            <v>Activo</v>
          </cell>
          <cell r="K2029">
            <v>3975.9538000000002</v>
          </cell>
          <cell r="L2029">
            <v>567.99340000000007</v>
          </cell>
          <cell r="M2029">
            <v>518.27549999999997</v>
          </cell>
          <cell r="N2029" t="str">
            <v>Si Compra</v>
          </cell>
          <cell r="O2029">
            <v>7</v>
          </cell>
          <cell r="P2029">
            <v>0</v>
          </cell>
          <cell r="Q2029">
            <v>0</v>
          </cell>
          <cell r="R2029">
            <v>0</v>
          </cell>
          <cell r="V2029">
            <v>0</v>
          </cell>
          <cell r="W2029">
            <v>2.1688183262268716E-5</v>
          </cell>
          <cell r="X2029">
            <v>0</v>
          </cell>
          <cell r="Y2029" t="str">
            <v>Conquistar</v>
          </cell>
        </row>
        <row r="2030">
          <cell r="A2030" t="str">
            <v>D29</v>
          </cell>
          <cell r="B2030" t="str">
            <v>D29 - FARMACIA MACHIQUES,C.A.</v>
          </cell>
          <cell r="C2030" t="str">
            <v>INDEPENDIENTE</v>
          </cell>
          <cell r="D2030">
            <v>3</v>
          </cell>
          <cell r="E2030"/>
          <cell r="F2030" t="str">
            <v>MARACAIBO</v>
          </cell>
          <cell r="G2030" t="str">
            <v>YENNIFER LUZARDO</v>
          </cell>
          <cell r="H2030"/>
          <cell r="I2030" t="str">
            <v>BE</v>
          </cell>
          <cell r="J2030" t="str">
            <v>Activo</v>
          </cell>
          <cell r="K2030">
            <v>3967.0494768002191</v>
          </cell>
          <cell r="L2030">
            <v>396.70494768002192</v>
          </cell>
          <cell r="M2030">
            <v>576.85113275273773</v>
          </cell>
          <cell r="N2030" t="str">
            <v>Si Compra</v>
          </cell>
          <cell r="O2030">
            <v>10</v>
          </cell>
          <cell r="P2030">
            <v>25543.214704073613</v>
          </cell>
          <cell r="Q2030">
            <v>2554.3214704073612</v>
          </cell>
          <cell r="R2030">
            <v>2571.5067900883878</v>
          </cell>
          <cell r="T2030"/>
          <cell r="U2030"/>
          <cell r="V2030">
            <v>0.15530736920782165</v>
          </cell>
          <cell r="W2030">
            <v>1.5147728136159747E-5</v>
          </cell>
          <cell r="X2030">
            <v>10</v>
          </cell>
          <cell r="Y2030" t="str">
            <v>Conquistar</v>
          </cell>
        </row>
        <row r="2031">
          <cell r="A2031" t="str">
            <v>C092</v>
          </cell>
          <cell r="B2031" t="str">
            <v>C092 - FARMACIA MEDIQUIR, C. A.</v>
          </cell>
          <cell r="C2031" t="str">
            <v>INDEPENDIENTE</v>
          </cell>
          <cell r="D2031">
            <v>3</v>
          </cell>
          <cell r="E2031"/>
          <cell r="F2031" t="str">
            <v>ESTE</v>
          </cell>
          <cell r="G2031" t="str">
            <v>PEDRO VIRE</v>
          </cell>
          <cell r="H2031"/>
          <cell r="I2031" t="str">
            <v>A7</v>
          </cell>
          <cell r="J2031" t="str">
            <v>Inactivo</v>
          </cell>
          <cell r="K2031">
            <v>3958.6597309964077</v>
          </cell>
          <cell r="L2031">
            <v>439.85108122182305</v>
          </cell>
          <cell r="M2031">
            <v>450.24119999999999</v>
          </cell>
          <cell r="N2031" t="str">
            <v>Si Compra</v>
          </cell>
          <cell r="O2031">
            <v>9</v>
          </cell>
          <cell r="P2031">
            <v>26284.335008044371</v>
          </cell>
          <cell r="Q2031">
            <v>2920.4816675604857</v>
          </cell>
          <cell r="R2031">
            <v>4240.5390666666672</v>
          </cell>
          <cell r="T2031"/>
          <cell r="U2031"/>
          <cell r="V2031">
            <v>0.15060908825674502</v>
          </cell>
          <cell r="W2031">
            <v>1.6795214271232624E-5</v>
          </cell>
          <cell r="X2031">
            <v>9</v>
          </cell>
          <cell r="Y2031" t="str">
            <v>Conquistar</v>
          </cell>
        </row>
        <row r="2032">
          <cell r="A2032" t="str">
            <v>C010</v>
          </cell>
          <cell r="B2032" t="str">
            <v>C010 - FARMACIA FARMACHABAS, C.A.</v>
          </cell>
          <cell r="C2032" t="str">
            <v>INDEPENDIENTE</v>
          </cell>
          <cell r="D2032">
            <v>3</v>
          </cell>
          <cell r="E2032"/>
          <cell r="F2032" t="str">
            <v>CENTRO OESTE</v>
          </cell>
          <cell r="G2032" t="str">
            <v>SORALI SILVA</v>
          </cell>
          <cell r="H2032"/>
          <cell r="I2032" t="str">
            <v>L</v>
          </cell>
          <cell r="J2032" t="str">
            <v>Activo</v>
          </cell>
          <cell r="K2032">
            <v>3955.8732600136309</v>
          </cell>
          <cell r="L2032">
            <v>395.58732600136307</v>
          </cell>
          <cell r="M2032">
            <v>175.92526666666672</v>
          </cell>
          <cell r="N2032" t="str">
            <v>Si Compra</v>
          </cell>
          <cell r="O2032">
            <v>10</v>
          </cell>
          <cell r="P2032">
            <v>8172.0730898655893</v>
          </cell>
          <cell r="Q2032">
            <v>817.20730898655893</v>
          </cell>
          <cell r="R2032">
            <v>886.11339999999984</v>
          </cell>
          <cell r="T2032"/>
          <cell r="U2032"/>
          <cell r="V2032">
            <v>0.48407218297146865</v>
          </cell>
          <cell r="W2032">
            <v>1.5105053020947779E-5</v>
          </cell>
          <cell r="X2032">
            <v>10</v>
          </cell>
          <cell r="Y2032" t="str">
            <v>Potenciar</v>
          </cell>
        </row>
        <row r="2033">
          <cell r="A2033" t="str">
            <v>B622</v>
          </cell>
          <cell r="B2033" t="str">
            <v>B622 - FARMAVALOR, C.A.</v>
          </cell>
          <cell r="C2033" t="e">
            <v>#N/A</v>
          </cell>
          <cell r="D2033">
            <v>0</v>
          </cell>
          <cell r="E2033"/>
          <cell r="F2033" t="str">
            <v>CARACAS</v>
          </cell>
          <cell r="G2033" t="str">
            <v>WILLIAM ARAQUE</v>
          </cell>
          <cell r="H2033"/>
          <cell r="I2033" t="str">
            <v>C8</v>
          </cell>
          <cell r="J2033" t="str">
            <v>Bloqueado</v>
          </cell>
          <cell r="K2033">
            <v>3935.9491804095869</v>
          </cell>
          <cell r="L2033">
            <v>3935.9491804095869</v>
          </cell>
          <cell r="M2033">
            <v>0</v>
          </cell>
          <cell r="N2033" t="str">
            <v>No Compra</v>
          </cell>
          <cell r="O2033">
            <v>1</v>
          </cell>
          <cell r="P2033">
            <v>91408.174696120725</v>
          </cell>
          <cell r="Q2033">
            <v>91408.174696120725</v>
          </cell>
          <cell r="R2033">
            <v>0</v>
          </cell>
          <cell r="T2033"/>
          <cell r="U2033"/>
          <cell r="V2033">
            <v>4.3059050172419913E-2</v>
          </cell>
          <cell r="W2033">
            <v>1.5028975184517895E-4</v>
          </cell>
          <cell r="X2033">
            <v>1</v>
          </cell>
          <cell r="Y2033" t="str">
            <v>Conquistar</v>
          </cell>
        </row>
        <row r="2034">
          <cell r="A2034" t="str">
            <v>C497</v>
          </cell>
          <cell r="B2034" t="str">
            <v>C497 - HOUSE PHARMACY C.A.</v>
          </cell>
          <cell r="C2034" t="str">
            <v>INDEPENDIENTE</v>
          </cell>
          <cell r="D2034">
            <v>2</v>
          </cell>
          <cell r="E2034"/>
          <cell r="F2034" t="str">
            <v>ESTE</v>
          </cell>
          <cell r="G2034" t="str">
            <v>IRAIDA RODRIGUEZ</v>
          </cell>
          <cell r="H2034"/>
          <cell r="I2034" t="str">
            <v>AB</v>
          </cell>
          <cell r="J2034" t="str">
            <v>Activo</v>
          </cell>
          <cell r="K2034">
            <v>3923.0866045327425</v>
          </cell>
          <cell r="L2034">
            <v>435.89851161474917</v>
          </cell>
          <cell r="M2034">
            <v>502.95395226637123</v>
          </cell>
          <cell r="N2034" t="str">
            <v>Si Compra</v>
          </cell>
          <cell r="O2034">
            <v>9</v>
          </cell>
          <cell r="P2034">
            <v>5338.2767461584981</v>
          </cell>
          <cell r="Q2034">
            <v>593.14186068427762</v>
          </cell>
          <cell r="R2034">
            <v>1326.2966730792491</v>
          </cell>
          <cell r="T2034"/>
          <cell r="U2034"/>
          <cell r="V2034">
            <v>0.73489756921198446</v>
          </cell>
          <cell r="W2034">
            <v>1.6644289887260747E-5</v>
          </cell>
          <cell r="X2034">
            <v>8</v>
          </cell>
          <cell r="Y2034" t="str">
            <v>Proteger</v>
          </cell>
        </row>
        <row r="2035">
          <cell r="A2035" t="str">
            <v>E644</v>
          </cell>
          <cell r="B2035" t="str">
            <v>E644 - CENTRO DE ESPECIALIDADES MEDICAS DIDIER ROJAS, C.A</v>
          </cell>
          <cell r="C2035" t="e">
            <v>#N/A</v>
          </cell>
          <cell r="D2035">
            <v>2</v>
          </cell>
          <cell r="F2035" t="str">
            <v>CARACAS</v>
          </cell>
          <cell r="G2035">
            <v>0</v>
          </cell>
          <cell r="H2035"/>
          <cell r="I2035" t="str">
            <v>CB</v>
          </cell>
          <cell r="J2035" t="str">
            <v>Inactivo</v>
          </cell>
          <cell r="K2035">
            <v>3913.9259000000002</v>
          </cell>
          <cell r="L2035">
            <v>1956.9629500000001</v>
          </cell>
          <cell r="M2035">
            <v>1956.9629500000001</v>
          </cell>
          <cell r="N2035" t="str">
            <v>Si Compra</v>
          </cell>
          <cell r="O2035">
            <v>2</v>
          </cell>
          <cell r="P2035">
            <v>0</v>
          </cell>
          <cell r="Q2035">
            <v>0</v>
          </cell>
          <cell r="R2035">
            <v>0</v>
          </cell>
          <cell r="V2035">
            <v>0</v>
          </cell>
          <cell r="W2035">
            <v>7.4724408940438409E-5</v>
          </cell>
          <cell r="X2035">
            <v>0</v>
          </cell>
          <cell r="Y2035" t="str">
            <v>Conquistar</v>
          </cell>
        </row>
        <row r="2036">
          <cell r="A2036" t="str">
            <v>D949</v>
          </cell>
          <cell r="B2036" t="str">
            <v>D949 - FARMACIA CAICARA C.A.</v>
          </cell>
          <cell r="C2036" t="str">
            <v>INDEPENDIENTE</v>
          </cell>
          <cell r="D2036">
            <v>2</v>
          </cell>
          <cell r="E2036"/>
          <cell r="F2036" t="str">
            <v>ESTE</v>
          </cell>
          <cell r="G2036" t="str">
            <v>CARMEN ALCALA</v>
          </cell>
          <cell r="H2036"/>
          <cell r="I2036" t="str">
            <v>A6</v>
          </cell>
          <cell r="J2036" t="str">
            <v>Inactivo</v>
          </cell>
          <cell r="K2036">
            <v>3896.8170999999998</v>
          </cell>
          <cell r="L2036">
            <v>649.46951666666666</v>
          </cell>
          <cell r="M2036">
            <v>491.63765000000001</v>
          </cell>
          <cell r="N2036" t="str">
            <v>Si Compra</v>
          </cell>
          <cell r="O2036">
            <v>6</v>
          </cell>
          <cell r="P2036">
            <v>54767.358000000007</v>
          </cell>
          <cell r="Q2036">
            <v>9127.8930000000018</v>
          </cell>
          <cell r="R2036">
            <v>7672.5858000000007</v>
          </cell>
          <cell r="T2036"/>
          <cell r="U2036"/>
          <cell r="V2036">
            <v>7.1152183386315612E-2</v>
          </cell>
          <cell r="W2036">
            <v>2.4799256295449474E-5</v>
          </cell>
          <cell r="X2036">
            <v>6</v>
          </cell>
          <cell r="Y2036" t="str">
            <v>Conquistar</v>
          </cell>
        </row>
        <row r="2037">
          <cell r="A2037" t="str">
            <v>E159</v>
          </cell>
          <cell r="B2037" t="str">
            <v>E159 - BIO PHARMA SALUD CARIPE C.A.</v>
          </cell>
          <cell r="C2037" t="e">
            <v>#N/A</v>
          </cell>
          <cell r="D2037">
            <v>3</v>
          </cell>
          <cell r="F2037" t="str">
            <v>ESTE</v>
          </cell>
          <cell r="G2037">
            <v>0</v>
          </cell>
          <cell r="H2037"/>
          <cell r="I2037" t="str">
            <v>A6</v>
          </cell>
          <cell r="J2037" t="str">
            <v>Suspendido</v>
          </cell>
          <cell r="K2037">
            <v>3891.259</v>
          </cell>
          <cell r="L2037">
            <v>778.2518</v>
          </cell>
          <cell r="M2037">
            <v>711.10136666666676</v>
          </cell>
          <cell r="N2037" t="str">
            <v>Si Compra</v>
          </cell>
          <cell r="O2037">
            <v>5</v>
          </cell>
          <cell r="P2037">
            <v>0</v>
          </cell>
          <cell r="Q2037">
            <v>0</v>
          </cell>
          <cell r="R2037">
            <v>0</v>
          </cell>
          <cell r="V2037">
            <v>0</v>
          </cell>
          <cell r="W2037">
            <v>2.9716661606614618E-5</v>
          </cell>
          <cell r="X2037">
            <v>0</v>
          </cell>
          <cell r="Y2037" t="str">
            <v>Conquistar</v>
          </cell>
        </row>
        <row r="2038">
          <cell r="A2038" t="str">
            <v>H71</v>
          </cell>
          <cell r="B2038" t="str">
            <v>H71 - FARMACIA SEÑORIAL,C.A</v>
          </cell>
          <cell r="C2038" t="str">
            <v>INDEPENDIENTE</v>
          </cell>
          <cell r="D2038">
            <v>3</v>
          </cell>
          <cell r="F2038" t="str">
            <v>CENTRO ESTE</v>
          </cell>
          <cell r="G2038" t="str">
            <v>ELIANA PERAZA</v>
          </cell>
          <cell r="H2038"/>
          <cell r="I2038" t="str">
            <v>M</v>
          </cell>
          <cell r="J2038" t="str">
            <v>Activo</v>
          </cell>
          <cell r="K2038">
            <v>3890.8174970145374</v>
          </cell>
          <cell r="L2038">
            <v>389.08174970145376</v>
          </cell>
          <cell r="M2038">
            <v>518.1900333333333</v>
          </cell>
          <cell r="N2038" t="str">
            <v>Si Compra</v>
          </cell>
          <cell r="O2038">
            <v>10</v>
          </cell>
          <cell r="P2038">
            <v>166992.21188144834</v>
          </cell>
          <cell r="Q2038">
            <v>16699.221188144835</v>
          </cell>
          <cell r="R2038">
            <v>14682.601799999999</v>
          </cell>
          <cell r="V2038">
            <v>2.3299394942901404E-2</v>
          </cell>
          <cell r="W2038">
            <v>1.4856644974271346E-5</v>
          </cell>
          <cell r="X2038">
            <v>10</v>
          </cell>
          <cell r="Y2038" t="str">
            <v>Conquistar</v>
          </cell>
        </row>
        <row r="2039">
          <cell r="A2039" t="str">
            <v>$260</v>
          </cell>
          <cell r="B2039" t="str">
            <v>$260 - FARMACIA TAPA TAPA S.R.L.</v>
          </cell>
          <cell r="C2039" t="str">
            <v>INDEPENDIENTE</v>
          </cell>
          <cell r="D2039">
            <v>3</v>
          </cell>
          <cell r="E2039"/>
          <cell r="F2039" t="str">
            <v>CENTRO ESTE</v>
          </cell>
          <cell r="G2039" t="str">
            <v>LAURA FLORES</v>
          </cell>
          <cell r="H2039"/>
          <cell r="I2039" t="str">
            <v>+</v>
          </cell>
          <cell r="J2039" t="str">
            <v>Activo</v>
          </cell>
          <cell r="K2039">
            <v>3880.9380183842886</v>
          </cell>
          <cell r="L2039">
            <v>388.09380183842887</v>
          </cell>
          <cell r="M2039">
            <v>267.82247279476297</v>
          </cell>
          <cell r="N2039" t="str">
            <v>Si Compra</v>
          </cell>
          <cell r="O2039">
            <v>10</v>
          </cell>
          <cell r="P2039">
            <v>3921.7064290544163</v>
          </cell>
          <cell r="Q2039">
            <v>392.17064290544164</v>
          </cell>
          <cell r="R2039">
            <v>188.44590968480532</v>
          </cell>
          <cell r="T2039"/>
          <cell r="U2039"/>
          <cell r="V2039">
            <v>0.9896044205736334</v>
          </cell>
          <cell r="W2039">
            <v>1.4818921306519484E-5</v>
          </cell>
          <cell r="X2039">
            <v>9</v>
          </cell>
          <cell r="Y2039" t="str">
            <v>Proteger</v>
          </cell>
        </row>
        <row r="2040">
          <cell r="A2040" t="str">
            <v>4239</v>
          </cell>
          <cell r="B2040" t="str">
            <v>4239 - FARMACIA COMUNITARIA DE LA ROSALEDA SUR, C.A.</v>
          </cell>
          <cell r="C2040" t="str">
            <v>INDEPENDIENTE</v>
          </cell>
          <cell r="D2040">
            <v>0</v>
          </cell>
          <cell r="E2040"/>
          <cell r="F2040" t="str">
            <v>CARACAS</v>
          </cell>
          <cell r="G2040" t="str">
            <v>RAMON SERRANO</v>
          </cell>
          <cell r="H2040"/>
          <cell r="I2040" t="str">
            <v>CB</v>
          </cell>
          <cell r="J2040" t="str">
            <v>Inactivo</v>
          </cell>
          <cell r="K2040">
            <v>3866.5722000000001</v>
          </cell>
          <cell r="L2040">
            <v>966.64305000000002</v>
          </cell>
          <cell r="M2040">
            <v>0</v>
          </cell>
          <cell r="N2040" t="str">
            <v>No Compra</v>
          </cell>
          <cell r="O2040">
            <v>4</v>
          </cell>
          <cell r="P2040">
            <v>4242.2538000000004</v>
          </cell>
          <cell r="Q2040">
            <v>1060.5634500000001</v>
          </cell>
          <cell r="R2040">
            <v>0</v>
          </cell>
          <cell r="T2040"/>
          <cell r="U2040"/>
          <cell r="V2040">
            <v>0.91144292215614253</v>
          </cell>
          <cell r="W2040">
            <v>3.6910167649128281E-5</v>
          </cell>
          <cell r="X2040">
            <v>4</v>
          </cell>
          <cell r="Y2040" t="str">
            <v>Proteger</v>
          </cell>
        </row>
        <row r="2041">
          <cell r="A2041" t="str">
            <v>8767</v>
          </cell>
          <cell r="B2041" t="str">
            <v>8767 - FARMACIA MAISAY C A</v>
          </cell>
          <cell r="C2041" t="str">
            <v>INDEPENDIENTE</v>
          </cell>
          <cell r="D2041">
            <v>3</v>
          </cell>
          <cell r="E2041"/>
          <cell r="F2041" t="str">
            <v>ESTE</v>
          </cell>
          <cell r="G2041" t="str">
            <v>ADOLFO GONZALEZ</v>
          </cell>
          <cell r="H2041"/>
          <cell r="I2041" t="str">
            <v>A8</v>
          </cell>
          <cell r="J2041" t="str">
            <v>Activo</v>
          </cell>
          <cell r="K2041">
            <v>3850.828375478799</v>
          </cell>
          <cell r="L2041">
            <v>427.86981949764436</v>
          </cell>
          <cell r="M2041">
            <v>277.17663333333331</v>
          </cell>
          <cell r="N2041" t="str">
            <v>Si Compra</v>
          </cell>
          <cell r="O2041">
            <v>9</v>
          </cell>
          <cell r="P2041">
            <v>7416.9135604523199</v>
          </cell>
          <cell r="Q2041">
            <v>824.1015067169244</v>
          </cell>
          <cell r="R2041">
            <v>404.83303333333333</v>
          </cell>
          <cell r="T2041"/>
          <cell r="U2041"/>
          <cell r="V2041">
            <v>0.51919553114543204</v>
          </cell>
          <cell r="W2041">
            <v>1.6337723391959744E-5</v>
          </cell>
          <cell r="X2041">
            <v>9</v>
          </cell>
          <cell r="Y2041" t="str">
            <v>Potenciar</v>
          </cell>
        </row>
        <row r="2042">
          <cell r="A2042" t="str">
            <v>9876</v>
          </cell>
          <cell r="B2042" t="str">
            <v>9876 - FARMAEXPERTS, C.A.</v>
          </cell>
          <cell r="C2042" t="str">
            <v>INDEPENDIENTE</v>
          </cell>
          <cell r="D2042">
            <v>1</v>
          </cell>
          <cell r="E2042"/>
          <cell r="F2042" t="str">
            <v>CARACAS</v>
          </cell>
          <cell r="G2042" t="str">
            <v>MAIRUBI QUIJADA</v>
          </cell>
          <cell r="H2042"/>
          <cell r="I2042" t="str">
            <v>C2</v>
          </cell>
          <cell r="J2042" t="str">
            <v>Bloqueado</v>
          </cell>
          <cell r="K2042">
            <v>3845.0373712971809</v>
          </cell>
          <cell r="L2042">
            <v>961.25934282429523</v>
          </cell>
          <cell r="M2042">
            <v>1.1167775088780729</v>
          </cell>
          <cell r="N2042" t="str">
            <v>Si Compra</v>
          </cell>
          <cell r="O2042">
            <v>3</v>
          </cell>
          <cell r="P2042">
            <v>5008.330000093154</v>
          </cell>
          <cell r="Q2042">
            <v>1252.0825000232885</v>
          </cell>
          <cell r="R2042">
            <v>47.831899999999997</v>
          </cell>
          <cell r="T2042"/>
          <cell r="U2042"/>
          <cell r="V2042">
            <v>0.76772843866631468</v>
          </cell>
          <cell r="W2042">
            <v>3.6704596901550796E-5</v>
          </cell>
          <cell r="X2042">
            <v>3</v>
          </cell>
          <cell r="Y2042" t="str">
            <v>Proteger</v>
          </cell>
        </row>
        <row r="2043">
          <cell r="A2043" t="str">
            <v>C112</v>
          </cell>
          <cell r="B2043" t="str">
            <v>C112 - MASCOLO GUIDA, VIRGINIA (FARMACIA LA CORTEZA)</v>
          </cell>
          <cell r="C2043" t="str">
            <v>INDEPENDIENTE</v>
          </cell>
          <cell r="D2043">
            <v>3</v>
          </cell>
          <cell r="E2043"/>
          <cell r="F2043" t="str">
            <v>CENTRO OESTE</v>
          </cell>
          <cell r="G2043" t="str">
            <v>SORALI SILVA</v>
          </cell>
          <cell r="H2043"/>
          <cell r="I2043" t="str">
            <v>C</v>
          </cell>
          <cell r="J2043" t="str">
            <v>Permiso</v>
          </cell>
          <cell r="K2043">
            <v>3842.2131105741723</v>
          </cell>
          <cell r="L2043">
            <v>426.91256784157468</v>
          </cell>
          <cell r="M2043">
            <v>353.23776666666663</v>
          </cell>
          <cell r="N2043" t="str">
            <v>Si Compra</v>
          </cell>
          <cell r="O2043">
            <v>9</v>
          </cell>
          <cell r="P2043">
            <v>4678.1432499911516</v>
          </cell>
          <cell r="Q2043">
            <v>519.79369444346128</v>
          </cell>
          <cell r="R2043">
            <v>252.24789999999999</v>
          </cell>
          <cell r="T2043"/>
          <cell r="U2043"/>
          <cell r="V2043">
            <v>0.82131155572917514</v>
          </cell>
          <cell r="W2043">
            <v>1.6301171824027881E-5</v>
          </cell>
          <cell r="X2043">
            <v>8</v>
          </cell>
          <cell r="Y2043" t="str">
            <v>Proteger</v>
          </cell>
        </row>
        <row r="2044">
          <cell r="A2044" t="str">
            <v>8395</v>
          </cell>
          <cell r="B2044" t="str">
            <v>8395 - FARMACIA MARIGUITAR, C.A.</v>
          </cell>
          <cell r="C2044" t="e">
            <v>#N/A</v>
          </cell>
          <cell r="D2044">
            <v>0</v>
          </cell>
          <cell r="E2044"/>
          <cell r="F2044" t="str">
            <v>ESTE</v>
          </cell>
          <cell r="H2044"/>
          <cell r="I2044" t="str">
            <v>A3</v>
          </cell>
          <cell r="J2044" t="str">
            <v>Suspendido</v>
          </cell>
          <cell r="K2044">
            <v>3838.7669999999998</v>
          </cell>
          <cell r="L2044">
            <v>1919.3834999999999</v>
          </cell>
          <cell r="M2044">
            <v>0</v>
          </cell>
          <cell r="N2044" t="str">
            <v>No Compra</v>
          </cell>
          <cell r="O2044">
            <v>2</v>
          </cell>
          <cell r="P2044">
            <v>0</v>
          </cell>
          <cell r="Q2044">
            <v>0</v>
          </cell>
          <cell r="R2044">
            <v>0</v>
          </cell>
          <cell r="T2044"/>
          <cell r="U2044"/>
          <cell r="V2044">
            <v>0</v>
          </cell>
          <cell r="W2044">
            <v>7.328948029778998E-5</v>
          </cell>
          <cell r="X2044">
            <v>0</v>
          </cell>
          <cell r="Y2044" t="str">
            <v>Conquistar</v>
          </cell>
        </row>
        <row r="2045">
          <cell r="A2045" t="str">
            <v>C064</v>
          </cell>
          <cell r="B2045" t="str">
            <v>HIPERMARKET</v>
          </cell>
          <cell r="C2045" t="str">
            <v>GRUPO</v>
          </cell>
          <cell r="D2045">
            <v>0</v>
          </cell>
          <cell r="E2045"/>
          <cell r="F2045" t="str">
            <v>ESTE</v>
          </cell>
          <cell r="H2045"/>
          <cell r="I2045"/>
          <cell r="J2045" t="str">
            <v>Activo</v>
          </cell>
          <cell r="K2045">
            <v>3826.7454165095055</v>
          </cell>
          <cell r="L2045">
            <v>765.34908330190115</v>
          </cell>
          <cell r="M2045">
            <v>0</v>
          </cell>
          <cell r="N2045" t="str">
            <v>No Compra</v>
          </cell>
          <cell r="O2045">
            <v>4</v>
          </cell>
          <cell r="P2045">
            <v>209971.21543252014</v>
          </cell>
          <cell r="Q2045">
            <v>41994.24308650403</v>
          </cell>
          <cell r="R2045">
            <v>0</v>
          </cell>
          <cell r="S2045"/>
          <cell r="T2045"/>
          <cell r="U2045"/>
          <cell r="V2045">
            <v>1.8225095323788954E-2</v>
          </cell>
          <cell r="W2045">
            <v>2.9223986015085733E-5</v>
          </cell>
          <cell r="X2045">
            <v>5</v>
          </cell>
          <cell r="Y2045" t="str">
            <v>Conquistar</v>
          </cell>
        </row>
        <row r="2046">
          <cell r="A2046" t="str">
            <v>8503</v>
          </cell>
          <cell r="B2046" t="str">
            <v>8503 - FARMALIGHT MERIDA, C.A</v>
          </cell>
          <cell r="C2046" t="str">
            <v>INDEPENDIENTE</v>
          </cell>
          <cell r="D2046">
            <v>3</v>
          </cell>
          <cell r="E2046"/>
          <cell r="F2046" t="str">
            <v>ANDES</v>
          </cell>
          <cell r="G2046" t="str">
            <v>LUCIA DUGARTE</v>
          </cell>
          <cell r="H2046"/>
          <cell r="I2046" t="str">
            <v>6</v>
          </cell>
          <cell r="J2046" t="str">
            <v>Activo</v>
          </cell>
          <cell r="K2046">
            <v>3826.5404528121785</v>
          </cell>
          <cell r="L2046">
            <v>382.65404528121786</v>
          </cell>
          <cell r="M2046">
            <v>337.49546666666669</v>
          </cell>
          <cell r="N2046" t="str">
            <v>Si Compra</v>
          </cell>
          <cell r="O2046">
            <v>10</v>
          </cell>
          <cell r="P2046">
            <v>115697.12975375143</v>
          </cell>
          <cell r="Q2046">
            <v>11569.712975375143</v>
          </cell>
          <cell r="R2046">
            <v>8651.4912333333323</v>
          </cell>
          <cell r="T2046"/>
          <cell r="U2046"/>
          <cell r="V2046">
            <v>3.3073771673995264E-2</v>
          </cell>
          <cell r="W2046">
            <v>1.4611210376929598E-5</v>
          </cell>
          <cell r="X2046">
            <v>10</v>
          </cell>
          <cell r="Y2046" t="str">
            <v>Conquistar</v>
          </cell>
        </row>
        <row r="2047">
          <cell r="A2047" t="str">
            <v>D290</v>
          </cell>
          <cell r="B2047" t="str">
            <v>D290 - EXPENDIO DE MEDICAMENTOS JESUS DE NAZARET 2023, C.A.</v>
          </cell>
          <cell r="C2047" t="str">
            <v>INDEPENDIENTE</v>
          </cell>
          <cell r="D2047">
            <v>2</v>
          </cell>
          <cell r="E2047"/>
          <cell r="F2047" t="str">
            <v>ANDES</v>
          </cell>
          <cell r="G2047">
            <v>0</v>
          </cell>
          <cell r="H2047"/>
          <cell r="I2047" t="str">
            <v>G1</v>
          </cell>
          <cell r="J2047" t="str">
            <v>Inactivo</v>
          </cell>
          <cell r="K2047">
            <v>3823.2698450316475</v>
          </cell>
          <cell r="L2047">
            <v>637.21164083860788</v>
          </cell>
          <cell r="M2047">
            <v>1228.7652499999999</v>
          </cell>
          <cell r="N2047" t="str">
            <v>Si Compra</v>
          </cell>
          <cell r="O2047">
            <v>6</v>
          </cell>
          <cell r="P2047">
            <v>0</v>
          </cell>
          <cell r="Q2047">
            <v>0</v>
          </cell>
          <cell r="R2047">
            <v>0</v>
          </cell>
          <cell r="T2047"/>
          <cell r="U2047"/>
          <cell r="V2047">
            <v>0</v>
          </cell>
          <cell r="W2047">
            <v>2.4331203220598476E-5</v>
          </cell>
          <cell r="X2047">
            <v>0</v>
          </cell>
          <cell r="Y2047" t="str">
            <v>Conquistar</v>
          </cell>
        </row>
        <row r="2048">
          <cell r="A2048" t="str">
            <v>D083</v>
          </cell>
          <cell r="B2048" t="str">
            <v>D083 - FARMALIDER 03, C.A.</v>
          </cell>
          <cell r="C2048" t="str">
            <v>INDEPENDIENTE</v>
          </cell>
          <cell r="D2048">
            <v>0</v>
          </cell>
          <cell r="E2048"/>
          <cell r="F2048" t="str">
            <v>ANDES</v>
          </cell>
          <cell r="G2048" t="str">
            <v>MARIA GABRIELA FORTUL</v>
          </cell>
          <cell r="H2048"/>
          <cell r="I2048" t="str">
            <v>3</v>
          </cell>
          <cell r="J2048" t="str">
            <v>Activo</v>
          </cell>
          <cell r="K2048">
            <v>3820.48</v>
          </cell>
          <cell r="L2048">
            <v>1910.24</v>
          </cell>
          <cell r="M2048">
            <v>0</v>
          </cell>
          <cell r="N2048" t="str">
            <v>No Compra</v>
          </cell>
          <cell r="O2048">
            <v>2</v>
          </cell>
          <cell r="P2048">
            <v>3981.9984000000004</v>
          </cell>
          <cell r="Q2048">
            <v>1990.9992000000002</v>
          </cell>
          <cell r="R2048">
            <v>0</v>
          </cell>
          <cell r="T2048"/>
          <cell r="U2048"/>
          <cell r="V2048">
            <v>0.95943785411867555</v>
          </cell>
          <cell r="W2048">
            <v>7.2940346128874372E-5</v>
          </cell>
          <cell r="X2048">
            <v>2</v>
          </cell>
          <cell r="Y2048" t="str">
            <v>Proteger</v>
          </cell>
        </row>
        <row r="2049">
          <cell r="A2049" t="str">
            <v>C151</v>
          </cell>
          <cell r="B2049" t="str">
            <v>C151 - FARMACIA SPORT CENTER VILM, C.A.</v>
          </cell>
          <cell r="C2049" t="str">
            <v>INDEPENDIENTE</v>
          </cell>
          <cell r="D2049">
            <v>3</v>
          </cell>
          <cell r="E2049"/>
          <cell r="F2049" t="str">
            <v>CARACAS</v>
          </cell>
          <cell r="G2049" t="str">
            <v>WILLIAM ARAQUE</v>
          </cell>
          <cell r="H2049"/>
          <cell r="I2049" t="str">
            <v>C8</v>
          </cell>
          <cell r="J2049" t="str">
            <v>Activo</v>
          </cell>
          <cell r="K2049">
            <v>3815.3561</v>
          </cell>
          <cell r="L2049">
            <v>381.53561000000002</v>
          </cell>
          <cell r="M2049">
            <v>552.46516666666673</v>
          </cell>
          <cell r="N2049" t="str">
            <v>Si Compra</v>
          </cell>
          <cell r="O2049">
            <v>10</v>
          </cell>
          <cell r="P2049">
            <v>4697.1854000000003</v>
          </cell>
          <cell r="Q2049">
            <v>469.71854000000002</v>
          </cell>
          <cell r="R2049">
            <v>606.79536666666672</v>
          </cell>
          <cell r="T2049"/>
          <cell r="U2049"/>
          <cell r="V2049">
            <v>0.81226431896854656</v>
          </cell>
          <cell r="W2049">
            <v>1.4568504195227417E-5</v>
          </cell>
          <cell r="X2049">
            <v>7</v>
          </cell>
          <cell r="Y2049" t="str">
            <v>Proteger</v>
          </cell>
        </row>
        <row r="2050">
          <cell r="A2050" t="str">
            <v>D398</v>
          </cell>
          <cell r="B2050" t="str">
            <v>D398 - FARMACIA SERVI MEDIC,C.A.</v>
          </cell>
          <cell r="C2050" t="str">
            <v>INDEPENDIENTE</v>
          </cell>
          <cell r="D2050">
            <v>3</v>
          </cell>
          <cell r="E2050"/>
          <cell r="F2050" t="str">
            <v>ANDES</v>
          </cell>
          <cell r="G2050" t="str">
            <v>MARIA GABRIELA FORTUL</v>
          </cell>
          <cell r="H2050"/>
          <cell r="I2050" t="str">
            <v>3</v>
          </cell>
          <cell r="J2050" t="str">
            <v>Activo</v>
          </cell>
          <cell r="K2050">
            <v>3811.2636812704977</v>
          </cell>
          <cell r="L2050">
            <v>381.12636812704977</v>
          </cell>
          <cell r="M2050">
            <v>454.42029536108538</v>
          </cell>
          <cell r="N2050" t="str">
            <v>Si Compra</v>
          </cell>
          <cell r="O2050">
            <v>10</v>
          </cell>
          <cell r="P2050">
            <v>3281.7504132392196</v>
          </cell>
          <cell r="Q2050">
            <v>328.17504132392196</v>
          </cell>
          <cell r="R2050">
            <v>289.91689865233155</v>
          </cell>
          <cell r="T2050"/>
          <cell r="U2050"/>
          <cell r="V2050">
            <v>1.1613508650429718</v>
          </cell>
          <cell r="W2050">
            <v>1.45528777588302E-5</v>
          </cell>
          <cell r="X2050">
            <v>7</v>
          </cell>
          <cell r="Y2050" t="str">
            <v>Proteger</v>
          </cell>
        </row>
        <row r="2051">
          <cell r="A2051" t="str">
            <v>E621</v>
          </cell>
          <cell r="B2051" t="str">
            <v>E621 - FARMACIA SANTA FE 2022, C.A</v>
          </cell>
          <cell r="C2051" t="e">
            <v>#N/A</v>
          </cell>
          <cell r="D2051">
            <v>2</v>
          </cell>
          <cell r="F2051" t="str">
            <v>MARACAIBO</v>
          </cell>
          <cell r="G2051">
            <v>0</v>
          </cell>
          <cell r="H2051"/>
          <cell r="I2051" t="str">
            <v>S</v>
          </cell>
          <cell r="J2051" t="str">
            <v>Inactivo</v>
          </cell>
          <cell r="K2051">
            <v>3805.808</v>
          </cell>
          <cell r="L2051">
            <v>1902.904</v>
          </cell>
          <cell r="M2051">
            <v>1902.904</v>
          </cell>
          <cell r="N2051" t="str">
            <v>Si Compra</v>
          </cell>
          <cell r="O2051">
            <v>2</v>
          </cell>
          <cell r="P2051">
            <v>0</v>
          </cell>
          <cell r="Q2051">
            <v>0</v>
          </cell>
          <cell r="R2051">
            <v>0</v>
          </cell>
          <cell r="V2051">
            <v>0</v>
          </cell>
          <cell r="W2051">
            <v>7.2660229295805527E-5</v>
          </cell>
          <cell r="X2051">
            <v>0</v>
          </cell>
          <cell r="Y2051" t="str">
            <v>Conquistar</v>
          </cell>
        </row>
        <row r="2052">
          <cell r="A2052" t="str">
            <v>1912</v>
          </cell>
          <cell r="B2052" t="str">
            <v>1912 - FARMACIA LUTAPA C.A</v>
          </cell>
          <cell r="C2052" t="e">
            <v>#N/A</v>
          </cell>
          <cell r="D2052">
            <v>3</v>
          </cell>
          <cell r="E2052"/>
          <cell r="F2052" t="str">
            <v>CARACAS</v>
          </cell>
          <cell r="G2052" t="str">
            <v>WILLIAM ARAQUE</v>
          </cell>
          <cell r="H2052"/>
          <cell r="I2052" t="str">
            <v>C3</v>
          </cell>
          <cell r="J2052" t="str">
            <v>Activo</v>
          </cell>
          <cell r="K2052">
            <v>3803.6345011533494</v>
          </cell>
          <cell r="L2052">
            <v>950.90862528833736</v>
          </cell>
          <cell r="M2052">
            <v>1253.0369337177831</v>
          </cell>
          <cell r="N2052" t="str">
            <v>Si Compra</v>
          </cell>
          <cell r="O2052">
            <v>4</v>
          </cell>
          <cell r="P2052">
            <v>22711.745485881402</v>
          </cell>
          <cell r="Q2052">
            <v>5677.9363714703504</v>
          </cell>
          <cell r="R2052">
            <v>6558.8491619604656</v>
          </cell>
          <cell r="T2052"/>
          <cell r="U2052"/>
          <cell r="V2052">
            <v>0.16747433628638769</v>
          </cell>
          <cell r="W2052">
            <v>3.6309366501310529E-5</v>
          </cell>
          <cell r="X2052">
            <v>4</v>
          </cell>
          <cell r="Y2052" t="str">
            <v>Conquistar</v>
          </cell>
        </row>
        <row r="2053">
          <cell r="A2053" t="str">
            <v>C899</v>
          </cell>
          <cell r="B2053" t="str">
            <v>C899 - FARMACIA EL RENACER LG, C.A</v>
          </cell>
          <cell r="C2053" t="str">
            <v>INDEPENDIENTE</v>
          </cell>
          <cell r="D2053">
            <v>3</v>
          </cell>
          <cell r="E2053"/>
          <cell r="F2053" t="str">
            <v>CARACAS</v>
          </cell>
          <cell r="G2053" t="str">
            <v>RAMON SERRANO</v>
          </cell>
          <cell r="H2053"/>
          <cell r="I2053" t="str">
            <v>CB</v>
          </cell>
          <cell r="J2053" t="str">
            <v>Activo</v>
          </cell>
          <cell r="K2053">
            <v>3803.2237442416153</v>
          </cell>
          <cell r="L2053">
            <v>633.87062404026926</v>
          </cell>
          <cell r="M2053">
            <v>706.0544147472051</v>
          </cell>
          <cell r="N2053" t="str">
            <v>Si Compra</v>
          </cell>
          <cell r="O2053">
            <v>6</v>
          </cell>
          <cell r="P2053">
            <v>10293.664132767815</v>
          </cell>
          <cell r="Q2053">
            <v>1715.610688794636</v>
          </cell>
          <cell r="R2053">
            <v>1437.3118775892719</v>
          </cell>
          <cell r="T2053"/>
          <cell r="U2053"/>
          <cell r="V2053">
            <v>0.36947229822030186</v>
          </cell>
          <cell r="W2053">
            <v>2.4203630286468103E-5</v>
          </cell>
          <cell r="X2053">
            <v>6</v>
          </cell>
          <cell r="Y2053" t="str">
            <v>Potenciar</v>
          </cell>
        </row>
        <row r="2054">
          <cell r="A2054" t="str">
            <v>A653</v>
          </cell>
          <cell r="B2054" t="str">
            <v>A653 - FARMA RECETA EXPRESS, C.A.</v>
          </cell>
          <cell r="C2054" t="str">
            <v>INDEPENDIENTE</v>
          </cell>
          <cell r="D2054">
            <v>2</v>
          </cell>
          <cell r="E2054"/>
          <cell r="F2054" t="str">
            <v>ESTE</v>
          </cell>
          <cell r="G2054" t="str">
            <v>CARMEN ALCALA</v>
          </cell>
          <cell r="H2054"/>
          <cell r="I2054" t="str">
            <v>A0</v>
          </cell>
          <cell r="J2054" t="str">
            <v>Bloqueado</v>
          </cell>
          <cell r="K2054">
            <v>3790.4708899193829</v>
          </cell>
          <cell r="L2054">
            <v>421.16343221326474</v>
          </cell>
          <cell r="M2054">
            <v>153.62384999999998</v>
          </cell>
          <cell r="N2054" t="str">
            <v>Si Compra</v>
          </cell>
          <cell r="O2054">
            <v>9</v>
          </cell>
          <cell r="P2054">
            <v>6968.4277957707782</v>
          </cell>
          <cell r="Q2054">
            <v>774.26975508564203</v>
          </cell>
          <cell r="R2054">
            <v>203.7167</v>
          </cell>
          <cell r="T2054"/>
          <cell r="U2054"/>
          <cell r="V2054">
            <v>0.5439492237000525</v>
          </cell>
          <cell r="W2054">
            <v>1.6081647605777412E-5</v>
          </cell>
          <cell r="X2054">
            <v>8</v>
          </cell>
          <cell r="Y2054" t="str">
            <v>Potenciar</v>
          </cell>
        </row>
        <row r="2055">
          <cell r="A2055" t="str">
            <v>A072</v>
          </cell>
          <cell r="B2055" t="str">
            <v>A072 - LA FARMACIA PLC, C.A.</v>
          </cell>
          <cell r="C2055" t="e">
            <v>#N/A</v>
          </cell>
          <cell r="D2055">
            <v>3</v>
          </cell>
          <cell r="E2055"/>
          <cell r="F2055" t="str">
            <v>ESTE</v>
          </cell>
          <cell r="G2055" t="str">
            <v>ALEXMAR CASTILLO</v>
          </cell>
          <cell r="H2055"/>
          <cell r="I2055" t="str">
            <v>A1</v>
          </cell>
          <cell r="J2055" t="str">
            <v>Activo</v>
          </cell>
          <cell r="K2055">
            <v>3788.8014364638225</v>
          </cell>
          <cell r="L2055">
            <v>757.76028729276447</v>
          </cell>
          <cell r="M2055">
            <v>763.24074548794067</v>
          </cell>
          <cell r="N2055" t="str">
            <v>Si Compra</v>
          </cell>
          <cell r="O2055">
            <v>5</v>
          </cell>
          <cell r="P2055">
            <v>5486.4244575838366</v>
          </cell>
          <cell r="Q2055">
            <v>1097.2848915167674</v>
          </cell>
          <cell r="R2055">
            <v>1280.9623191946121</v>
          </cell>
          <cell r="T2055"/>
          <cell r="U2055"/>
          <cell r="V2055">
            <v>0.69057752745079626</v>
          </cell>
          <cell r="W2055">
            <v>2.8934216453351161E-5</v>
          </cell>
          <cell r="X2055">
            <v>5</v>
          </cell>
          <cell r="Y2055" t="str">
            <v>Proteger</v>
          </cell>
        </row>
        <row r="2056">
          <cell r="A2056" t="str">
            <v>E570</v>
          </cell>
          <cell r="B2056" t="str">
            <v>E570 - FARMACIA MARA EXPRESS, C.A.</v>
          </cell>
          <cell r="C2056" t="e">
            <v>#N/A</v>
          </cell>
          <cell r="D2056">
            <v>3</v>
          </cell>
          <cell r="F2056" t="str">
            <v>MARACAIBO</v>
          </cell>
          <cell r="G2056">
            <v>0</v>
          </cell>
          <cell r="H2056"/>
          <cell r="I2056" t="str">
            <v>D</v>
          </cell>
          <cell r="J2056" t="str">
            <v>Activo</v>
          </cell>
          <cell r="K2056">
            <v>3767.2638839712154</v>
          </cell>
          <cell r="L2056">
            <v>1255.7546279904052</v>
          </cell>
          <cell r="M2056">
            <v>1255.7546279904052</v>
          </cell>
          <cell r="N2056" t="str">
            <v>Si Compra</v>
          </cell>
          <cell r="O2056">
            <v>3</v>
          </cell>
          <cell r="P2056">
            <v>0</v>
          </cell>
          <cell r="Q2056">
            <v>0</v>
          </cell>
          <cell r="R2056">
            <v>0</v>
          </cell>
          <cell r="V2056">
            <v>0</v>
          </cell>
          <cell r="W2056">
            <v>4.7949565090541517E-5</v>
          </cell>
          <cell r="X2056">
            <v>0</v>
          </cell>
          <cell r="Y2056" t="str">
            <v>Conquistar</v>
          </cell>
        </row>
        <row r="2057">
          <cell r="A2057" t="str">
            <v>E681</v>
          </cell>
          <cell r="B2057" t="str">
            <v>E681 - SERRANO FARMACIA LA GRAN REBAJA F.P</v>
          </cell>
          <cell r="C2057" t="e">
            <v>#N/A</v>
          </cell>
          <cell r="D2057">
            <v>2</v>
          </cell>
          <cell r="F2057" t="str">
            <v>CENTRO OESTE</v>
          </cell>
          <cell r="G2057">
            <v>0</v>
          </cell>
          <cell r="H2057"/>
          <cell r="I2057" t="str">
            <v>E</v>
          </cell>
          <cell r="J2057" t="str">
            <v>Suspendido</v>
          </cell>
          <cell r="K2057">
            <v>3764.1320999999998</v>
          </cell>
          <cell r="L2057">
            <v>1882.0660499999999</v>
          </cell>
          <cell r="M2057">
            <v>1882.0660499999999</v>
          </cell>
          <cell r="N2057" t="str">
            <v>Si Compra</v>
          </cell>
          <cell r="O2057">
            <v>2</v>
          </cell>
          <cell r="P2057">
            <v>0</v>
          </cell>
          <cell r="Q2057">
            <v>0</v>
          </cell>
          <cell r="R2057">
            <v>0</v>
          </cell>
          <cell r="V2057">
            <v>0</v>
          </cell>
          <cell r="W2057">
            <v>7.186455582775115E-5</v>
          </cell>
          <cell r="X2057">
            <v>0</v>
          </cell>
          <cell r="Y2057" t="str">
            <v>Conquistar</v>
          </cell>
        </row>
        <row r="2058">
          <cell r="A2058" t="str">
            <v>0148</v>
          </cell>
          <cell r="B2058" t="str">
            <v>LA FAVORITA</v>
          </cell>
          <cell r="C2058" t="str">
            <v>GRUPO</v>
          </cell>
          <cell r="D2058">
            <v>5</v>
          </cell>
          <cell r="E2058"/>
          <cell r="F2058" t="str">
            <v>CENTRO OESTE</v>
          </cell>
          <cell r="H2058"/>
          <cell r="I2058"/>
          <cell r="J2058" t="str">
            <v>Activo</v>
          </cell>
          <cell r="K2058">
            <v>3764.0671777955599</v>
          </cell>
          <cell r="L2058">
            <v>376.406717779556</v>
          </cell>
          <cell r="M2058">
            <v>407.19276666666661</v>
          </cell>
          <cell r="N2058" t="str">
            <v>Si Compra</v>
          </cell>
          <cell r="O2058">
            <v>10</v>
          </cell>
          <cell r="P2058">
            <v>0</v>
          </cell>
          <cell r="Q2058">
            <v>0</v>
          </cell>
          <cell r="R2058">
            <v>0</v>
          </cell>
          <cell r="S2058"/>
          <cell r="T2058"/>
          <cell r="U2058"/>
          <cell r="V2058">
            <v>0</v>
          </cell>
          <cell r="W2058">
            <v>1.4372663267481754E-5</v>
          </cell>
          <cell r="X2058">
            <v>0</v>
          </cell>
          <cell r="Y2058" t="str">
            <v>Conquistar</v>
          </cell>
        </row>
        <row r="2059">
          <cell r="A2059" t="str">
            <v>C012</v>
          </cell>
          <cell r="B2059" t="str">
            <v>TU FARMA</v>
          </cell>
          <cell r="C2059" t="str">
            <v>GRUPO</v>
          </cell>
          <cell r="D2059">
            <v>25</v>
          </cell>
          <cell r="E2059"/>
          <cell r="F2059" t="str">
            <v>ESTE</v>
          </cell>
          <cell r="G2059" t="str">
            <v>ALEXMAR CASTILLO</v>
          </cell>
          <cell r="H2059"/>
          <cell r="I2059" t="str">
            <v>A1</v>
          </cell>
          <cell r="J2059" t="str">
            <v>Bloqueado</v>
          </cell>
          <cell r="K2059">
            <v>3748.8522000000003</v>
          </cell>
          <cell r="L2059">
            <v>374.88522</v>
          </cell>
          <cell r="M2059">
            <v>341.6104666666667</v>
          </cell>
          <cell r="N2059" t="str">
            <v>Si Compra</v>
          </cell>
          <cell r="O2059">
            <v>10</v>
          </cell>
          <cell r="P2059">
            <v>44723.351300000009</v>
          </cell>
          <cell r="Q2059">
            <v>4472.3351300000013</v>
          </cell>
          <cell r="R2059">
            <v>4481.991133333333</v>
          </cell>
          <cell r="T2059"/>
          <cell r="U2059"/>
          <cell r="V2059">
            <v>8.3823150346069866E-2</v>
          </cell>
          <cell r="W2059">
            <v>1.4314566601787846E-5</v>
          </cell>
          <cell r="X2059">
            <v>10</v>
          </cell>
          <cell r="Y2059" t="str">
            <v>Conquistar</v>
          </cell>
        </row>
        <row r="2060">
          <cell r="A2060" t="str">
            <v>L17</v>
          </cell>
          <cell r="B2060" t="str">
            <v>L17 - FARMACIA FARMAPACA</v>
          </cell>
          <cell r="C2060" t="str">
            <v>INDEPENDIENTE</v>
          </cell>
          <cell r="D2060">
            <v>2</v>
          </cell>
          <cell r="F2060" t="str">
            <v>CENTRO OESTE</v>
          </cell>
          <cell r="G2060" t="str">
            <v>SORALI SILVA</v>
          </cell>
          <cell r="H2060"/>
          <cell r="I2060" t="str">
            <v>L</v>
          </cell>
          <cell r="J2060" t="str">
            <v>Inactivo</v>
          </cell>
          <cell r="K2060">
            <v>3727.9241000000002</v>
          </cell>
          <cell r="L2060">
            <v>414.21378888888893</v>
          </cell>
          <cell r="M2060">
            <v>312.86155000000002</v>
          </cell>
          <cell r="N2060" t="str">
            <v>Si Compra</v>
          </cell>
          <cell r="O2060">
            <v>9</v>
          </cell>
          <cell r="P2060">
            <v>3581.0994000000001</v>
          </cell>
          <cell r="Q2060">
            <v>397.89993333333337</v>
          </cell>
          <cell r="R2060">
            <v>272.83760000000001</v>
          </cell>
          <cell r="V2060">
            <v>1.0409998951718571</v>
          </cell>
          <cell r="W2060">
            <v>1.5816283363822375E-5</v>
          </cell>
          <cell r="X2060">
            <v>8</v>
          </cell>
          <cell r="Y2060" t="str">
            <v>Proteger</v>
          </cell>
        </row>
        <row r="2061">
          <cell r="A2061" t="str">
            <v>3284</v>
          </cell>
          <cell r="B2061" t="str">
            <v>3284 - FARMACIA SAN PEDRO,C.A</v>
          </cell>
          <cell r="C2061" t="str">
            <v>INDEPENDIENTE</v>
          </cell>
          <cell r="D2061">
            <v>3</v>
          </cell>
          <cell r="E2061"/>
          <cell r="F2061" t="str">
            <v>MARACAIBO</v>
          </cell>
          <cell r="G2061" t="str">
            <v>MARIA FUSELLA</v>
          </cell>
          <cell r="H2061"/>
          <cell r="I2061" t="str">
            <v>Z</v>
          </cell>
          <cell r="J2061" t="str">
            <v>Activo</v>
          </cell>
          <cell r="K2061">
            <v>3705.806536424268</v>
          </cell>
          <cell r="L2061">
            <v>529.40093377489541</v>
          </cell>
          <cell r="M2061">
            <v>306.9796</v>
          </cell>
          <cell r="N2061" t="str">
            <v>Si Compra</v>
          </cell>
          <cell r="O2061">
            <v>7</v>
          </cell>
          <cell r="P2061">
            <v>220617.63731275086</v>
          </cell>
          <cell r="Q2061">
            <v>31516.805330392981</v>
          </cell>
          <cell r="R2061">
            <v>23405.9728</v>
          </cell>
          <cell r="T2061"/>
          <cell r="U2061"/>
          <cell r="V2061">
            <v>1.6797417384952142E-2</v>
          </cell>
          <cell r="W2061">
            <v>2.0214573744916956E-5</v>
          </cell>
          <cell r="X2061">
            <v>7</v>
          </cell>
          <cell r="Y2061" t="str">
            <v>Conquistar</v>
          </cell>
        </row>
        <row r="2062">
          <cell r="A2062" t="str">
            <v>E034</v>
          </cell>
          <cell r="B2062" t="str">
            <v>E034 - GRUPO MILENIUM FARMA GM, C.A</v>
          </cell>
          <cell r="C2062" t="str">
            <v>INDEPENDIENTE</v>
          </cell>
          <cell r="D2062">
            <v>0</v>
          </cell>
          <cell r="F2062" t="str">
            <v>CENTRO ESTE</v>
          </cell>
          <cell r="H2062"/>
          <cell r="I2062" t="str">
            <v>+</v>
          </cell>
          <cell r="J2062" t="str">
            <v>Bloqueado</v>
          </cell>
          <cell r="K2062">
            <v>3689.8561000000004</v>
          </cell>
          <cell r="L2062">
            <v>922.46402500000011</v>
          </cell>
          <cell r="M2062">
            <v>0</v>
          </cell>
          <cell r="N2062" t="str">
            <v>No Compra</v>
          </cell>
          <cell r="O2062">
            <v>4</v>
          </cell>
          <cell r="P2062">
            <v>0</v>
          </cell>
          <cell r="Q2062">
            <v>0</v>
          </cell>
          <cell r="R2062">
            <v>0</v>
          </cell>
          <cell r="V2062">
            <v>0</v>
          </cell>
          <cell r="W2062">
            <v>3.5223241726136311E-5</v>
          </cell>
          <cell r="X2062">
            <v>0</v>
          </cell>
          <cell r="Y2062" t="str">
            <v>Conquistar</v>
          </cell>
        </row>
        <row r="2063">
          <cell r="A2063" t="str">
            <v>2899</v>
          </cell>
          <cell r="B2063" t="str">
            <v>2899 - FARMACIA CASAFARMA, C.A.</v>
          </cell>
          <cell r="C2063" t="str">
            <v>INDEPENDIENTE</v>
          </cell>
          <cell r="D2063">
            <v>0</v>
          </cell>
          <cell r="E2063"/>
          <cell r="F2063" t="str">
            <v>MARACAIBO</v>
          </cell>
          <cell r="G2063" t="str">
            <v>MARIA FUSELLA</v>
          </cell>
          <cell r="H2063"/>
          <cell r="I2063" t="str">
            <v>Z</v>
          </cell>
          <cell r="J2063" t="str">
            <v>Bloqueado</v>
          </cell>
          <cell r="K2063">
            <v>3689.4492</v>
          </cell>
          <cell r="L2063">
            <v>1844.7246</v>
          </cell>
          <cell r="M2063">
            <v>0</v>
          </cell>
          <cell r="N2063" t="str">
            <v>No Compra</v>
          </cell>
          <cell r="O2063">
            <v>2</v>
          </cell>
          <cell r="P2063">
            <v>8620.5676000000003</v>
          </cell>
          <cell r="Q2063">
            <v>4310.2838000000002</v>
          </cell>
          <cell r="R2063">
            <v>0</v>
          </cell>
          <cell r="T2063"/>
          <cell r="U2063"/>
          <cell r="V2063">
            <v>0.42798216674270961</v>
          </cell>
          <cell r="W2063">
            <v>7.0438714944954197E-5</v>
          </cell>
          <cell r="X2063">
            <v>2</v>
          </cell>
          <cell r="Y2063" t="str">
            <v>Potenciar</v>
          </cell>
        </row>
        <row r="2064">
          <cell r="A2064" t="str">
            <v>9457</v>
          </cell>
          <cell r="B2064" t="str">
            <v>9457 - POLICLINICA PUERTO LA CRUZ, C.A.</v>
          </cell>
          <cell r="C2064" t="str">
            <v>INDEPENDIENTE</v>
          </cell>
          <cell r="D2064">
            <v>3</v>
          </cell>
          <cell r="E2064"/>
          <cell r="F2064" t="str">
            <v>ESTE</v>
          </cell>
          <cell r="G2064">
            <v>0</v>
          </cell>
          <cell r="H2064"/>
          <cell r="I2064" t="str">
            <v>A1</v>
          </cell>
          <cell r="J2064" t="str">
            <v>Activo</v>
          </cell>
          <cell r="K2064">
            <v>3660.9889739832597</v>
          </cell>
          <cell r="L2064">
            <v>366.09889739832596</v>
          </cell>
          <cell r="M2064">
            <v>579.91303333333337</v>
          </cell>
          <cell r="N2064" t="str">
            <v>Si Compra</v>
          </cell>
          <cell r="O2064">
            <v>10</v>
          </cell>
          <cell r="P2064">
            <v>0</v>
          </cell>
          <cell r="Q2064">
            <v>0</v>
          </cell>
          <cell r="R2064">
            <v>0</v>
          </cell>
          <cell r="T2064"/>
          <cell r="U2064"/>
          <cell r="V2064">
            <v>0</v>
          </cell>
          <cell r="W2064">
            <v>1.3979070846403152E-5</v>
          </cell>
          <cell r="X2064">
            <v>0</v>
          </cell>
          <cell r="Y2064" t="str">
            <v>Conquistar</v>
          </cell>
        </row>
        <row r="2065">
          <cell r="A2065" t="str">
            <v>A746</v>
          </cell>
          <cell r="B2065" t="str">
            <v>A746 - FARMAWAY MEDIC, C.A.</v>
          </cell>
          <cell r="C2065" t="str">
            <v>INDEPENDIENTE</v>
          </cell>
          <cell r="D2065">
            <v>0</v>
          </cell>
          <cell r="E2065"/>
          <cell r="F2065" t="str">
            <v>CENTRO ESTE</v>
          </cell>
          <cell r="G2065" t="str">
            <v>KARLA SALAZAR</v>
          </cell>
          <cell r="H2065"/>
          <cell r="I2065" t="str">
            <v>O</v>
          </cell>
          <cell r="J2065" t="str">
            <v>Bloqueado</v>
          </cell>
          <cell r="K2065">
            <v>3657.3422365210445</v>
          </cell>
          <cell r="L2065">
            <v>1828.6711182605222</v>
          </cell>
          <cell r="M2065">
            <v>0</v>
          </cell>
          <cell r="N2065" t="str">
            <v>No Compra</v>
          </cell>
          <cell r="O2065">
            <v>1</v>
          </cell>
          <cell r="P2065">
            <v>341863.1683687403</v>
          </cell>
          <cell r="Q2065">
            <v>170931.58418437015</v>
          </cell>
          <cell r="R2065">
            <v>0</v>
          </cell>
          <cell r="T2065"/>
          <cell r="U2065"/>
          <cell r="V2065">
            <v>1.0698263442571748E-2</v>
          </cell>
          <cell r="W2065">
            <v>6.98257309666839E-5</v>
          </cell>
          <cell r="X2065">
            <v>2</v>
          </cell>
          <cell r="Y2065" t="str">
            <v>Conquistar</v>
          </cell>
        </row>
        <row r="2066">
          <cell r="A2066" t="str">
            <v>C629</v>
          </cell>
          <cell r="B2066" t="str">
            <v>C629 - FARMACIA VIVE MAS, C.A.</v>
          </cell>
          <cell r="C2066" t="str">
            <v>INDEPENDIENTE</v>
          </cell>
          <cell r="D2066">
            <v>0</v>
          </cell>
          <cell r="E2066"/>
          <cell r="F2066" t="str">
            <v>CENTRO ESTE</v>
          </cell>
          <cell r="G2066" t="str">
            <v>ELIANA PERAZA</v>
          </cell>
          <cell r="H2066"/>
          <cell r="I2066" t="str">
            <v>M</v>
          </cell>
          <cell r="J2066" t="str">
            <v>Bloqueado</v>
          </cell>
          <cell r="K2066">
            <v>3655.0095970045468</v>
          </cell>
          <cell r="L2066">
            <v>1218.3365323348489</v>
          </cell>
          <cell r="M2066">
            <v>0</v>
          </cell>
          <cell r="N2066" t="str">
            <v>No Compra</v>
          </cell>
          <cell r="O2066">
            <v>2</v>
          </cell>
          <cell r="P2066">
            <v>11264.789268005907</v>
          </cell>
          <cell r="Q2066">
            <v>3754.9297560019691</v>
          </cell>
          <cell r="R2066">
            <v>0</v>
          </cell>
          <cell r="T2066"/>
          <cell r="U2066"/>
          <cell r="V2066">
            <v>0.32446320211115293</v>
          </cell>
          <cell r="W2066">
            <v>4.6520797580385927E-5</v>
          </cell>
          <cell r="X2066">
            <v>3</v>
          </cell>
          <cell r="Y2066" t="str">
            <v>Potenciar</v>
          </cell>
        </row>
        <row r="2067">
          <cell r="A2067" t="str">
            <v>A993</v>
          </cell>
          <cell r="B2067" t="str">
            <v>A993 - TELEFARMA 27, C.A</v>
          </cell>
          <cell r="C2067" t="str">
            <v>INDEPENDIENTE</v>
          </cell>
          <cell r="D2067">
            <v>3</v>
          </cell>
          <cell r="E2067"/>
          <cell r="F2067" t="str">
            <v>CARACAS</v>
          </cell>
          <cell r="G2067" t="str">
            <v>MAIRE ACOSTA FERNANDEZ</v>
          </cell>
          <cell r="H2067"/>
          <cell r="I2067" t="str">
            <v>C9</v>
          </cell>
          <cell r="J2067" t="str">
            <v>Activo</v>
          </cell>
          <cell r="K2067">
            <v>3650.7633160524497</v>
          </cell>
          <cell r="L2067">
            <v>521.53761657892142</v>
          </cell>
          <cell r="M2067">
            <v>585.21196666666674</v>
          </cell>
          <cell r="N2067" t="str">
            <v>Si Compra</v>
          </cell>
          <cell r="O2067">
            <v>7</v>
          </cell>
          <cell r="P2067">
            <v>3420.111305839916</v>
          </cell>
          <cell r="Q2067">
            <v>488.58732940570229</v>
          </cell>
          <cell r="R2067">
            <v>546.4140000000001</v>
          </cell>
          <cell r="T2067"/>
          <cell r="U2067"/>
          <cell r="V2067">
            <v>1.0674399133790442</v>
          </cell>
          <cell r="W2067">
            <v>1.991432190326592E-5</v>
          </cell>
          <cell r="X2067">
            <v>7</v>
          </cell>
          <cell r="Y2067" t="str">
            <v>Proteger</v>
          </cell>
        </row>
        <row r="2068">
          <cell r="A2068" t="str">
            <v>8312</v>
          </cell>
          <cell r="B2068" t="str">
            <v>8312 - FARMACAGUA 2011,C.A</v>
          </cell>
          <cell r="C2068" t="e">
            <v>#N/A</v>
          </cell>
          <cell r="D2068">
            <v>2</v>
          </cell>
          <cell r="E2068"/>
          <cell r="F2068" t="str">
            <v>CENTRO ESTE</v>
          </cell>
          <cell r="G2068" t="str">
            <v>MARCOS CRUCES</v>
          </cell>
          <cell r="H2068"/>
          <cell r="I2068" t="str">
            <v>$</v>
          </cell>
          <cell r="J2068" t="str">
            <v>Activo</v>
          </cell>
          <cell r="K2068">
            <v>3617.3886725120647</v>
          </cell>
          <cell r="L2068">
            <v>904.34716812801616</v>
          </cell>
          <cell r="M2068">
            <v>595.29655000000002</v>
          </cell>
          <cell r="N2068" t="str">
            <v>Si Compra</v>
          </cell>
          <cell r="O2068">
            <v>4</v>
          </cell>
          <cell r="P2068">
            <v>3160.8328440467103</v>
          </cell>
          <cell r="Q2068">
            <v>790.20821101167758</v>
          </cell>
          <cell r="R2068">
            <v>504.36805000000004</v>
          </cell>
          <cell r="T2068"/>
          <cell r="U2068"/>
          <cell r="V2068">
            <v>1.1444416237718034</v>
          </cell>
          <cell r="W2068">
            <v>3.4531470110522679E-5</v>
          </cell>
          <cell r="X2068">
            <v>4</v>
          </cell>
          <cell r="Y2068" t="str">
            <v>Proteger</v>
          </cell>
        </row>
        <row r="2069">
          <cell r="A2069" t="str">
            <v>8594</v>
          </cell>
          <cell r="B2069" t="str">
            <v>FARMACIAS COLINA</v>
          </cell>
          <cell r="C2069" t="str">
            <v>GRUPO</v>
          </cell>
          <cell r="D2069">
            <v>3</v>
          </cell>
          <cell r="E2069"/>
          <cell r="F2069" t="str">
            <v>ESTE</v>
          </cell>
          <cell r="H2069"/>
          <cell r="I2069"/>
          <cell r="J2069" t="str">
            <v>Inactivo</v>
          </cell>
          <cell r="K2069">
            <v>3598.5471527766076</v>
          </cell>
          <cell r="L2069">
            <v>719.70943055532155</v>
          </cell>
          <cell r="M2069">
            <v>379.82051759220252</v>
          </cell>
          <cell r="N2069" t="str">
            <v>Si Compra</v>
          </cell>
          <cell r="O2069">
            <v>5</v>
          </cell>
          <cell r="P2069">
            <v>186270.26518330086</v>
          </cell>
          <cell r="Q2069">
            <v>37254.053036660174</v>
          </cell>
          <cell r="R2069">
            <v>17321.841227766949</v>
          </cell>
          <cell r="S2069"/>
          <cell r="T2069"/>
          <cell r="U2069"/>
          <cell r="V2069">
            <v>1.9318956513190263E-2</v>
          </cell>
          <cell r="W2069">
            <v>2.7481287679516825E-5</v>
          </cell>
          <cell r="X2069">
            <v>5</v>
          </cell>
          <cell r="Y2069" t="str">
            <v>Conquistar</v>
          </cell>
        </row>
        <row r="2070">
          <cell r="A2070" t="str">
            <v>0517</v>
          </cell>
          <cell r="B2070" t="str">
            <v>0517 - FARMACIA SUPLOS,C.A.</v>
          </cell>
          <cell r="C2070" t="str">
            <v>INDEPENDIENTE</v>
          </cell>
          <cell r="D2070">
            <v>3</v>
          </cell>
          <cell r="E2070"/>
          <cell r="F2070" t="str">
            <v>MARACAIBO</v>
          </cell>
          <cell r="G2070" t="str">
            <v>JOEL JIMENEZ</v>
          </cell>
          <cell r="H2070"/>
          <cell r="I2070" t="str">
            <v>D</v>
          </cell>
          <cell r="J2070" t="str">
            <v>Activo</v>
          </cell>
          <cell r="K2070">
            <v>3584.7744922098814</v>
          </cell>
          <cell r="L2070">
            <v>358.47744922098815</v>
          </cell>
          <cell r="M2070">
            <v>345.51369999999997</v>
          </cell>
          <cell r="N2070" t="str">
            <v>Si Compra</v>
          </cell>
          <cell r="O2070">
            <v>10</v>
          </cell>
          <cell r="P2070">
            <v>7286.8660631753428</v>
          </cell>
          <cell r="Q2070">
            <v>728.68660631753426</v>
          </cell>
          <cell r="R2070">
            <v>558.67610000000002</v>
          </cell>
          <cell r="T2070"/>
          <cell r="U2070"/>
          <cell r="V2070">
            <v>0.49195010051382382</v>
          </cell>
          <cell r="W2070">
            <v>1.3688054498688574E-5</v>
          </cell>
          <cell r="X2070">
            <v>10</v>
          </cell>
          <cell r="Y2070" t="str">
            <v>Potenciar</v>
          </cell>
        </row>
        <row r="2071">
          <cell r="A2071" t="str">
            <v>5599</v>
          </cell>
          <cell r="B2071" t="str">
            <v>5599 - FARMACIA LA ARBOLEDA, C.A</v>
          </cell>
          <cell r="C2071" t="str">
            <v>INDEPENDIENTE</v>
          </cell>
          <cell r="D2071">
            <v>1</v>
          </cell>
          <cell r="E2071"/>
          <cell r="F2071" t="str">
            <v>ESTE</v>
          </cell>
          <cell r="G2071" t="str">
            <v>JOSE RAMIREZ</v>
          </cell>
          <cell r="H2071"/>
          <cell r="I2071" t="str">
            <v>A2</v>
          </cell>
          <cell r="J2071" t="str">
            <v>Bloqueado</v>
          </cell>
          <cell r="K2071">
            <v>3584.1405999999997</v>
          </cell>
          <cell r="L2071">
            <v>448.01757499999997</v>
          </cell>
          <cell r="M2071">
            <v>21.181100000000001</v>
          </cell>
          <cell r="N2071" t="str">
            <v>Si Compra</v>
          </cell>
          <cell r="O2071">
            <v>8</v>
          </cell>
          <cell r="P2071">
            <v>15746.643600000001</v>
          </cell>
          <cell r="Q2071">
            <v>1968.3304500000002</v>
          </cell>
          <cell r="R2071">
            <v>0</v>
          </cell>
          <cell r="T2071"/>
          <cell r="U2071"/>
          <cell r="V2071">
            <v>0.22761298795128629</v>
          </cell>
          <cell r="W2071">
            <v>1.7107042566546049E-5</v>
          </cell>
          <cell r="X2071">
            <v>7</v>
          </cell>
          <cell r="Y2071" t="str">
            <v>Potenciar</v>
          </cell>
        </row>
        <row r="2072">
          <cell r="A2072" t="str">
            <v>C858</v>
          </cell>
          <cell r="B2072" t="str">
            <v>C858 - INVERSIONES MAYSALU 75, C.A</v>
          </cell>
          <cell r="C2072" t="str">
            <v>INDEPENDIENTE</v>
          </cell>
          <cell r="D2072">
            <v>0</v>
          </cell>
          <cell r="E2072"/>
          <cell r="F2072" t="str">
            <v>CARACAS</v>
          </cell>
          <cell r="H2072"/>
          <cell r="I2072" t="str">
            <v>C4</v>
          </cell>
          <cell r="J2072" t="str">
            <v>Bloqueado</v>
          </cell>
          <cell r="K2072">
            <v>3568.6896000000002</v>
          </cell>
          <cell r="L2072">
            <v>3568.6896000000002</v>
          </cell>
          <cell r="M2072">
            <v>0</v>
          </cell>
          <cell r="N2072" t="str">
            <v>No Compra</v>
          </cell>
          <cell r="O2072">
            <v>1</v>
          </cell>
          <cell r="P2072">
            <v>0</v>
          </cell>
          <cell r="Q2072">
            <v>0</v>
          </cell>
          <cell r="R2072">
            <v>0</v>
          </cell>
          <cell r="T2072"/>
          <cell r="U2072"/>
          <cell r="V2072">
            <v>0</v>
          </cell>
          <cell r="W2072">
            <v>1.362663616354564E-4</v>
          </cell>
          <cell r="X2072">
            <v>0</v>
          </cell>
          <cell r="Y2072" t="str">
            <v>Conquistar</v>
          </cell>
        </row>
        <row r="2073">
          <cell r="A2073" t="str">
            <v>2950</v>
          </cell>
          <cell r="B2073" t="str">
            <v>2950 - MORA  MENDEZ  COROMOTO EDEN(FCIA LOS NARANJOS)</v>
          </cell>
          <cell r="C2073" t="str">
            <v>INDEPENDIENTE</v>
          </cell>
          <cell r="D2073">
            <v>3</v>
          </cell>
          <cell r="E2073"/>
          <cell r="F2073" t="str">
            <v>CENTRO OESTE</v>
          </cell>
          <cell r="G2073" t="str">
            <v>LUIS PLACERES</v>
          </cell>
          <cell r="H2073"/>
          <cell r="I2073" t="str">
            <v>E</v>
          </cell>
          <cell r="J2073" t="str">
            <v>Activo</v>
          </cell>
          <cell r="K2073">
            <v>3558.1410583067636</v>
          </cell>
          <cell r="L2073">
            <v>355.81410583067634</v>
          </cell>
          <cell r="M2073">
            <v>384.53798610225459</v>
          </cell>
          <cell r="N2073" t="str">
            <v>Si Compra</v>
          </cell>
          <cell r="O2073">
            <v>10</v>
          </cell>
          <cell r="P2073">
            <v>14587.900857378279</v>
          </cell>
          <cell r="Q2073">
            <v>1458.7900857378279</v>
          </cell>
          <cell r="R2073">
            <v>318.60295245942604</v>
          </cell>
          <cell r="T2073"/>
          <cell r="U2073"/>
          <cell r="V2073">
            <v>0.24391042228033269</v>
          </cell>
          <cell r="W2073">
            <v>1.3586357754431624E-5</v>
          </cell>
          <cell r="X2073">
            <v>10</v>
          </cell>
          <cell r="Y2073" t="str">
            <v>Potenciar</v>
          </cell>
        </row>
        <row r="2074">
          <cell r="A2074" t="str">
            <v>E636</v>
          </cell>
          <cell r="B2074" t="str">
            <v>E636 - FARMAPREMIUN, C.A</v>
          </cell>
          <cell r="C2074" t="e">
            <v>#N/A</v>
          </cell>
          <cell r="D2074">
            <v>2</v>
          </cell>
          <cell r="F2074" t="str">
            <v>ANDES</v>
          </cell>
          <cell r="G2074">
            <v>0</v>
          </cell>
          <cell r="H2074"/>
          <cell r="I2074" t="str">
            <v>5</v>
          </cell>
          <cell r="J2074" t="str">
            <v>Activo</v>
          </cell>
          <cell r="K2074">
            <v>3542.2030999999997</v>
          </cell>
          <cell r="L2074">
            <v>1771.1015499999999</v>
          </cell>
          <cell r="M2074">
            <v>1771.1015499999999</v>
          </cell>
          <cell r="N2074" t="str">
            <v>Si Compra</v>
          </cell>
          <cell r="O2074">
            <v>2</v>
          </cell>
          <cell r="P2074">
            <v>0</v>
          </cell>
          <cell r="Q2074">
            <v>0</v>
          </cell>
          <cell r="R2074">
            <v>0</v>
          </cell>
          <cell r="V2074">
            <v>0</v>
          </cell>
          <cell r="W2074">
            <v>6.7627502348598017E-5</v>
          </cell>
          <cell r="X2074">
            <v>0</v>
          </cell>
          <cell r="Y2074" t="str">
            <v>Conquistar</v>
          </cell>
        </row>
        <row r="2075">
          <cell r="A2075" t="str">
            <v>D945</v>
          </cell>
          <cell r="B2075" t="str">
            <v>D945 - FARMACIA DOÑA EMMA, C.A.</v>
          </cell>
          <cell r="C2075" t="str">
            <v>INDEPENDIENTE</v>
          </cell>
          <cell r="D2075">
            <v>2</v>
          </cell>
          <cell r="E2075"/>
          <cell r="F2075" t="str">
            <v>CENTRO OESTE</v>
          </cell>
          <cell r="G2075" t="str">
            <v>LUIS PLACERES</v>
          </cell>
          <cell r="H2075"/>
          <cell r="I2075" t="str">
            <v>E</v>
          </cell>
          <cell r="J2075" t="str">
            <v>Activo</v>
          </cell>
          <cell r="K2075">
            <v>3502.8027999999999</v>
          </cell>
          <cell r="L2075">
            <v>583.80046666666669</v>
          </cell>
          <cell r="M2075">
            <v>586.7627</v>
          </cell>
          <cell r="N2075" t="str">
            <v>Si Compra</v>
          </cell>
          <cell r="O2075">
            <v>6</v>
          </cell>
          <cell r="P2075">
            <v>7343.3238000000001</v>
          </cell>
          <cell r="Q2075">
            <v>1223.8873000000001</v>
          </cell>
          <cell r="R2075">
            <v>542.0326</v>
          </cell>
          <cell r="T2075"/>
          <cell r="U2075"/>
          <cell r="V2075">
            <v>0.47700508589856816</v>
          </cell>
          <cell r="W2075">
            <v>2.2291758160684024E-5</v>
          </cell>
          <cell r="X2075">
            <v>5</v>
          </cell>
          <cell r="Y2075" t="str">
            <v>Potenciar</v>
          </cell>
        </row>
        <row r="2076">
          <cell r="A2076" t="str">
            <v>3597</v>
          </cell>
          <cell r="B2076" t="str">
            <v>3597 - FARMACIA EL CARMEN C.A.</v>
          </cell>
          <cell r="C2076" t="str">
            <v>INDEPENDIENTE</v>
          </cell>
          <cell r="D2076">
            <v>3</v>
          </cell>
          <cell r="E2076"/>
          <cell r="F2076" t="str">
            <v>CENTRO ESTE</v>
          </cell>
          <cell r="G2076">
            <v>0</v>
          </cell>
          <cell r="H2076"/>
          <cell r="I2076" t="str">
            <v>H</v>
          </cell>
          <cell r="J2076" t="str">
            <v>Suspendido</v>
          </cell>
          <cell r="K2076">
            <v>3500.6943000000001</v>
          </cell>
          <cell r="L2076">
            <v>437.58678750000001</v>
          </cell>
          <cell r="M2076">
            <v>844.94926666666663</v>
          </cell>
          <cell r="N2076" t="str">
            <v>Si Compra</v>
          </cell>
          <cell r="O2076">
            <v>8</v>
          </cell>
          <cell r="P2076">
            <v>0</v>
          </cell>
          <cell r="Q2076">
            <v>0</v>
          </cell>
          <cell r="R2076">
            <v>0</v>
          </cell>
          <cell r="T2076"/>
          <cell r="U2076"/>
          <cell r="V2076">
            <v>0</v>
          </cell>
          <cell r="W2076">
            <v>1.6708754785614476E-5</v>
          </cell>
          <cell r="X2076">
            <v>0</v>
          </cell>
          <cell r="Y2076" t="str">
            <v>Conquistar</v>
          </cell>
        </row>
        <row r="2077">
          <cell r="A2077" t="str">
            <v>4999</v>
          </cell>
          <cell r="B2077" t="str">
            <v>4999 - FARMACIA AUXILIADORA C A</v>
          </cell>
          <cell r="C2077" t="e">
            <v>#N/A</v>
          </cell>
          <cell r="D2077">
            <v>2</v>
          </cell>
          <cell r="E2077"/>
          <cell r="F2077" t="str">
            <v>ANDES</v>
          </cell>
          <cell r="G2077" t="str">
            <v>ANYERSSON TORRES</v>
          </cell>
          <cell r="H2077"/>
          <cell r="I2077" t="str">
            <v>4</v>
          </cell>
          <cell r="J2077" t="str">
            <v>Inactivo</v>
          </cell>
          <cell r="K2077">
            <v>3496.4003379112951</v>
          </cell>
          <cell r="L2077">
            <v>1748.2001689556475</v>
          </cell>
          <cell r="M2077">
            <v>1748.2001689556475</v>
          </cell>
          <cell r="N2077" t="str">
            <v>Si Compra</v>
          </cell>
          <cell r="O2077">
            <v>2</v>
          </cell>
          <cell r="P2077">
            <v>3810.4879648165124</v>
          </cell>
          <cell r="Q2077">
            <v>1905.2439824082562</v>
          </cell>
          <cell r="R2077">
            <v>1905.2439824082562</v>
          </cell>
          <cell r="T2077"/>
          <cell r="U2077"/>
          <cell r="V2077">
            <v>0.91757285948537515</v>
          </cell>
          <cell r="W2077">
            <v>6.6753039108269943E-5</v>
          </cell>
          <cell r="X2077">
            <v>2</v>
          </cell>
          <cell r="Y2077" t="str">
            <v>Proteger</v>
          </cell>
        </row>
        <row r="2078">
          <cell r="A2078" t="str">
            <v>B287</v>
          </cell>
          <cell r="B2078" t="str">
            <v>B287 - FARMAVIDA &amp; SALUD, C.A</v>
          </cell>
          <cell r="C2078" t="str">
            <v>INDEPENDIENTE</v>
          </cell>
          <cell r="D2078">
            <v>3</v>
          </cell>
          <cell r="E2078"/>
          <cell r="F2078" t="str">
            <v>CENTRO OESTE</v>
          </cell>
          <cell r="G2078" t="str">
            <v>SORALI SILVA</v>
          </cell>
          <cell r="H2078" t="str">
            <v>HECTOR</v>
          </cell>
          <cell r="I2078" t="str">
            <v>C</v>
          </cell>
          <cell r="J2078" t="str">
            <v>Inactivo</v>
          </cell>
          <cell r="K2078">
            <v>3494.3087320797363</v>
          </cell>
          <cell r="L2078">
            <v>499.18696172567661</v>
          </cell>
          <cell r="M2078">
            <v>400.04930605283397</v>
          </cell>
          <cell r="N2078" t="str">
            <v>Si Compra</v>
          </cell>
          <cell r="O2078">
            <v>7</v>
          </cell>
          <cell r="P2078">
            <v>1009.3564</v>
          </cell>
          <cell r="Q2078">
            <v>144.19377142857144</v>
          </cell>
          <cell r="R2078">
            <v>0</v>
          </cell>
          <cell r="T2078"/>
          <cell r="U2078"/>
          <cell r="V2078">
            <v>3.4619176458184007</v>
          </cell>
          <cell r="W2078">
            <v>1.9060887517428182E-5</v>
          </cell>
          <cell r="X2078">
            <v>1</v>
          </cell>
          <cell r="Y2078" t="str">
            <v>Proteger</v>
          </cell>
        </row>
        <row r="2079">
          <cell r="A2079" t="str">
            <v>4420</v>
          </cell>
          <cell r="B2079" t="str">
            <v>4420 - FARMACIA SAN MATEO C A</v>
          </cell>
          <cell r="C2079" t="str">
            <v>INDEPENDIENTE</v>
          </cell>
          <cell r="D2079">
            <v>3</v>
          </cell>
          <cell r="E2079"/>
          <cell r="F2079" t="str">
            <v>ESTE</v>
          </cell>
          <cell r="G2079" t="str">
            <v>PEDRO VIRE</v>
          </cell>
          <cell r="H2079"/>
          <cell r="I2079" t="str">
            <v>A7</v>
          </cell>
          <cell r="J2079" t="str">
            <v>Activo</v>
          </cell>
          <cell r="K2079">
            <v>3491.2375038927757</v>
          </cell>
          <cell r="L2079">
            <v>349.12375038927757</v>
          </cell>
          <cell r="M2079">
            <v>322.20989038403053</v>
          </cell>
          <cell r="N2079" t="str">
            <v>Si Compra</v>
          </cell>
          <cell r="O2079">
            <v>10</v>
          </cell>
          <cell r="P2079">
            <v>-18230.351317260538</v>
          </cell>
          <cell r="Q2079">
            <v>-1823.0351317260538</v>
          </cell>
          <cell r="R2079">
            <v>1222.9839239354062</v>
          </cell>
          <cell r="T2079"/>
          <cell r="U2079"/>
          <cell r="V2079">
            <v>-0.19150686912913545</v>
          </cell>
          <cell r="W2079">
            <v>1.333089412597613E-5</v>
          </cell>
          <cell r="X2079">
            <v>9</v>
          </cell>
          <cell r="Y2079" t="str">
            <v>Fuera de rango</v>
          </cell>
        </row>
        <row r="2080">
          <cell r="A2080" t="str">
            <v>3103</v>
          </cell>
          <cell r="B2080" t="str">
            <v>3103 - FARMACIA PRINCIPAL C.A.</v>
          </cell>
          <cell r="C2080" t="e">
            <v>#N/A</v>
          </cell>
          <cell r="D2080">
            <v>3</v>
          </cell>
          <cell r="E2080"/>
          <cell r="F2080" t="str">
            <v>ANDES</v>
          </cell>
          <cell r="G2080" t="str">
            <v>JESUS CONTRERAS</v>
          </cell>
          <cell r="H2080"/>
          <cell r="I2080" t="str">
            <v>G2</v>
          </cell>
          <cell r="J2080" t="str">
            <v>Activo</v>
          </cell>
          <cell r="K2080">
            <v>3480.1396247811376</v>
          </cell>
          <cell r="L2080">
            <v>580.02327079685631</v>
          </cell>
          <cell r="M2080">
            <v>744.79774159371254</v>
          </cell>
          <cell r="N2080" t="str">
            <v>Si Compra</v>
          </cell>
          <cell r="O2080">
            <v>6</v>
          </cell>
          <cell r="P2080">
            <v>3014.8562753352007</v>
          </cell>
          <cell r="Q2080">
            <v>502.47604588920012</v>
          </cell>
          <cell r="R2080">
            <v>641.08482511173361</v>
          </cell>
          <cell r="T2080"/>
          <cell r="U2080"/>
          <cell r="V2080">
            <v>1.1543301925376876</v>
          </cell>
          <cell r="W2080">
            <v>2.2147530223806708E-5</v>
          </cell>
          <cell r="X2080">
            <v>6</v>
          </cell>
          <cell r="Y2080" t="str">
            <v>Proteger</v>
          </cell>
        </row>
        <row r="2081">
          <cell r="A2081" t="str">
            <v>E486</v>
          </cell>
          <cell r="B2081" t="str">
            <v>E486 - INVERSIONES Y MEDICAMENTOS EL CHADDAI DE ANA ELISA SANCHEZ BENJUMEA F.P</v>
          </cell>
          <cell r="C2081" t="e">
            <v>#N/A</v>
          </cell>
          <cell r="D2081">
            <v>3</v>
          </cell>
          <cell r="F2081" t="str">
            <v>ANDES</v>
          </cell>
          <cell r="G2081">
            <v>0</v>
          </cell>
          <cell r="H2081"/>
          <cell r="I2081" t="str">
            <v>G1</v>
          </cell>
          <cell r="J2081" t="str">
            <v>Activo</v>
          </cell>
          <cell r="K2081">
            <v>3473.3301095124471</v>
          </cell>
          <cell r="L2081">
            <v>868.33252737811176</v>
          </cell>
          <cell r="M2081">
            <v>978.63426983748252</v>
          </cell>
          <cell r="N2081" t="str">
            <v>Si Compra</v>
          </cell>
          <cell r="O2081">
            <v>4</v>
          </cell>
          <cell r="P2081">
            <v>0</v>
          </cell>
          <cell r="Q2081">
            <v>0</v>
          </cell>
          <cell r="R2081">
            <v>0</v>
          </cell>
          <cell r="V2081">
            <v>0</v>
          </cell>
          <cell r="W2081">
            <v>3.3156291932908822E-5</v>
          </cell>
          <cell r="X2081">
            <v>0</v>
          </cell>
          <cell r="Y2081" t="str">
            <v>Conquistar</v>
          </cell>
        </row>
        <row r="2082">
          <cell r="A2082" t="str">
            <v>A296</v>
          </cell>
          <cell r="B2082" t="str">
            <v>A296 - FARMACIA LA RECONCILIADORA, C.A.</v>
          </cell>
          <cell r="C2082" t="str">
            <v>INDEPENDIENTE</v>
          </cell>
          <cell r="D2082">
            <v>3</v>
          </cell>
          <cell r="E2082"/>
          <cell r="F2082" t="str">
            <v>CENTRO ESTE</v>
          </cell>
          <cell r="G2082" t="str">
            <v>WILLIBETTI GONZALEZ</v>
          </cell>
          <cell r="H2082"/>
          <cell r="I2082" t="str">
            <v>AF</v>
          </cell>
          <cell r="J2082" t="str">
            <v>Inactivo</v>
          </cell>
          <cell r="K2082">
            <v>3467.6309215555266</v>
          </cell>
          <cell r="L2082">
            <v>577.9384869259211</v>
          </cell>
          <cell r="M2082">
            <v>588.1046071851755</v>
          </cell>
          <cell r="N2082" t="str">
            <v>Si Compra</v>
          </cell>
          <cell r="O2082">
            <v>6</v>
          </cell>
          <cell r="P2082">
            <v>32852.761071580688</v>
          </cell>
          <cell r="Q2082">
            <v>5475.4601785967816</v>
          </cell>
          <cell r="R2082">
            <v>5646.5338905268973</v>
          </cell>
          <cell r="T2082"/>
          <cell r="U2082"/>
          <cell r="V2082">
            <v>0.10555066936383632</v>
          </cell>
          <cell r="W2082">
            <v>2.2067925118087056E-5</v>
          </cell>
          <cell r="X2082">
            <v>6</v>
          </cell>
          <cell r="Y2082" t="str">
            <v>Conquistar</v>
          </cell>
        </row>
        <row r="2083">
          <cell r="A2083" t="str">
            <v>E602</v>
          </cell>
          <cell r="B2083" t="str">
            <v>E602 - FARMACIA DON NICA C.A</v>
          </cell>
          <cell r="C2083" t="e">
            <v>#N/A</v>
          </cell>
          <cell r="D2083">
            <v>2</v>
          </cell>
          <cell r="F2083" t="str">
            <v>CENTRO ESTE</v>
          </cell>
          <cell r="G2083">
            <v>0</v>
          </cell>
          <cell r="H2083"/>
          <cell r="I2083" t="str">
            <v>H</v>
          </cell>
          <cell r="J2083" t="str">
            <v>Suspendido</v>
          </cell>
          <cell r="K2083">
            <v>3466.4359000000004</v>
          </cell>
          <cell r="L2083">
            <v>1733.2179500000002</v>
          </cell>
          <cell r="M2083">
            <v>1733.2179500000002</v>
          </cell>
          <cell r="N2083" t="str">
            <v>Si Compra</v>
          </cell>
          <cell r="O2083">
            <v>2</v>
          </cell>
          <cell r="P2083">
            <v>0</v>
          </cell>
          <cell r="Q2083">
            <v>0</v>
          </cell>
          <cell r="R2083">
            <v>0</v>
          </cell>
          <cell r="V2083">
            <v>0</v>
          </cell>
          <cell r="W2083">
            <v>6.6180960083433537E-5</v>
          </cell>
          <cell r="X2083">
            <v>0</v>
          </cell>
          <cell r="Y2083" t="str">
            <v>Conquistar</v>
          </cell>
        </row>
        <row r="2084">
          <cell r="A2084" t="str">
            <v>E536</v>
          </cell>
          <cell r="B2084" t="str">
            <v>E536 - FARMACIA ACTIVA 24H/7D, C.A.</v>
          </cell>
          <cell r="C2084" t="e">
            <v>#N/A</v>
          </cell>
          <cell r="D2084">
            <v>3</v>
          </cell>
          <cell r="F2084" t="str">
            <v>ANDES</v>
          </cell>
          <cell r="G2084">
            <v>0</v>
          </cell>
          <cell r="H2084"/>
          <cell r="I2084" t="str">
            <v>4</v>
          </cell>
          <cell r="J2084" t="str">
            <v>Activo</v>
          </cell>
          <cell r="K2084">
            <v>3455.7698437378867</v>
          </cell>
          <cell r="L2084">
            <v>863.94246093447168</v>
          </cell>
          <cell r="M2084">
            <v>993.15471457929527</v>
          </cell>
          <cell r="N2084" t="str">
            <v>Si Compra</v>
          </cell>
          <cell r="O2084">
            <v>4</v>
          </cell>
          <cell r="P2084">
            <v>0</v>
          </cell>
          <cell r="Q2084">
            <v>0</v>
          </cell>
          <cell r="R2084">
            <v>0</v>
          </cell>
          <cell r="V2084">
            <v>0</v>
          </cell>
          <cell r="W2084">
            <v>3.298866222882564E-5</v>
          </cell>
          <cell r="X2084">
            <v>0</v>
          </cell>
          <cell r="Y2084" t="str">
            <v>Conquistar</v>
          </cell>
        </row>
        <row r="2085">
          <cell r="A2085" t="str">
            <v>A387</v>
          </cell>
          <cell r="B2085" t="str">
            <v>A387 - FARMACIA PUNTO CENTER,C.A.</v>
          </cell>
          <cell r="C2085" t="e">
            <v>#N/A</v>
          </cell>
          <cell r="D2085">
            <v>3</v>
          </cell>
          <cell r="E2085"/>
          <cell r="F2085" t="str">
            <v>ESTE</v>
          </cell>
          <cell r="G2085" t="str">
            <v>PEDRO VIRE</v>
          </cell>
          <cell r="H2085"/>
          <cell r="I2085" t="str">
            <v>A7</v>
          </cell>
          <cell r="J2085" t="str">
            <v>Activo</v>
          </cell>
          <cell r="K2085">
            <v>3451.9185000000002</v>
          </cell>
          <cell r="L2085">
            <v>575.31975</v>
          </cell>
          <cell r="M2085">
            <v>805.8823000000001</v>
          </cell>
          <cell r="N2085" t="str">
            <v>Si Compra</v>
          </cell>
          <cell r="O2085">
            <v>6</v>
          </cell>
          <cell r="P2085">
            <v>6253.0234</v>
          </cell>
          <cell r="Q2085">
            <v>1042.1705666666667</v>
          </cell>
          <cell r="R2085">
            <v>1402.2486333333334</v>
          </cell>
          <cell r="T2085"/>
          <cell r="U2085"/>
          <cell r="V2085">
            <v>0.55203991400384012</v>
          </cell>
          <cell r="W2085">
            <v>2.1967931621041055E-5</v>
          </cell>
          <cell r="X2085">
            <v>6</v>
          </cell>
          <cell r="Y2085" t="str">
            <v>Potenciar</v>
          </cell>
        </row>
        <row r="2086">
          <cell r="A2086" t="str">
            <v>B664</v>
          </cell>
          <cell r="B2086" t="str">
            <v>B664 - FARMA DERMAK, C.A.</v>
          </cell>
          <cell r="C2086" t="str">
            <v>INDEPENDIENTE</v>
          </cell>
          <cell r="D2086">
            <v>3</v>
          </cell>
          <cell r="E2086"/>
          <cell r="F2086" t="str">
            <v>ESTE</v>
          </cell>
          <cell r="G2086" t="str">
            <v>CARMEN ALCALA</v>
          </cell>
          <cell r="H2086"/>
          <cell r="I2086" t="str">
            <v>A6</v>
          </cell>
          <cell r="J2086" t="str">
            <v>Activo</v>
          </cell>
          <cell r="K2086">
            <v>3429.9528964608267</v>
          </cell>
          <cell r="L2086">
            <v>342.99528964608265</v>
          </cell>
          <cell r="M2086">
            <v>441.39116666666661</v>
          </cell>
          <cell r="N2086" t="str">
            <v>Si Compra</v>
          </cell>
          <cell r="O2086">
            <v>10</v>
          </cell>
          <cell r="P2086">
            <v>14183.32840399507</v>
          </cell>
          <cell r="Q2086">
            <v>1418.3328403995069</v>
          </cell>
          <cell r="R2086">
            <v>1630.8055666666669</v>
          </cell>
          <cell r="T2086"/>
          <cell r="U2086"/>
          <cell r="V2086">
            <v>0.24182990048335193</v>
          </cell>
          <cell r="W2086">
            <v>1.309688580877732E-5</v>
          </cell>
          <cell r="X2086">
            <v>10</v>
          </cell>
          <cell r="Y2086" t="str">
            <v>Potenciar</v>
          </cell>
        </row>
        <row r="2087">
          <cell r="A2087" t="str">
            <v>C472</v>
          </cell>
          <cell r="B2087" t="str">
            <v>C472 - LA GRAN FAMILIA HIPERFARMA, C.A.</v>
          </cell>
          <cell r="C2087" t="str">
            <v>INDEPENDIENTE</v>
          </cell>
          <cell r="D2087">
            <v>1</v>
          </cell>
          <cell r="E2087"/>
          <cell r="F2087" t="str">
            <v>ESTE</v>
          </cell>
          <cell r="G2087" t="str">
            <v>IRAIDA RODRIGUEZ</v>
          </cell>
          <cell r="H2087"/>
          <cell r="I2087" t="str">
            <v>AB</v>
          </cell>
          <cell r="J2087" t="str">
            <v>Activo</v>
          </cell>
          <cell r="K2087">
            <v>3423.6282999999999</v>
          </cell>
          <cell r="L2087">
            <v>489.08975714285714</v>
          </cell>
          <cell r="M2087">
            <v>810.97929999999997</v>
          </cell>
          <cell r="N2087" t="str">
            <v>Si Compra</v>
          </cell>
          <cell r="O2087">
            <v>7</v>
          </cell>
          <cell r="P2087">
            <v>104641.64839999999</v>
          </cell>
          <cell r="Q2087">
            <v>14948.806914285713</v>
          </cell>
          <cell r="R2087">
            <v>5048.0720000000001</v>
          </cell>
          <cell r="T2087"/>
          <cell r="U2087"/>
          <cell r="V2087">
            <v>3.2717644956365199E-2</v>
          </cell>
          <cell r="W2087">
            <v>1.8675337221546562E-5</v>
          </cell>
          <cell r="X2087">
            <v>7</v>
          </cell>
          <cell r="Y2087" t="str">
            <v>Conquistar</v>
          </cell>
        </row>
        <row r="2088">
          <cell r="A2088" t="str">
            <v>A31</v>
          </cell>
          <cell r="B2088" t="str">
            <v>A31 - PAEZ CHAVERO, JORGE ENRIQUE (FARMACIA 5TA AVENIDA)</v>
          </cell>
          <cell r="C2088" t="str">
            <v>INDEPENDIENTE</v>
          </cell>
          <cell r="D2088">
            <v>0</v>
          </cell>
          <cell r="E2088"/>
          <cell r="F2088" t="str">
            <v>CENTRO ESTE</v>
          </cell>
          <cell r="G2088" t="str">
            <v>WILLIBETTI GONZALEZ</v>
          </cell>
          <cell r="H2088"/>
          <cell r="I2088" t="str">
            <v>AG</v>
          </cell>
          <cell r="J2088" t="str">
            <v>Suspendido</v>
          </cell>
          <cell r="K2088">
            <v>3411.1917452156522</v>
          </cell>
          <cell r="L2088">
            <v>1705.5958726078261</v>
          </cell>
          <cell r="M2088">
            <v>0</v>
          </cell>
          <cell r="N2088" t="str">
            <v>No Compra</v>
          </cell>
          <cell r="O2088">
            <v>2</v>
          </cell>
          <cell r="P2088">
            <v>5382.8973083152205</v>
          </cell>
          <cell r="Q2088">
            <v>2691.4486541576102</v>
          </cell>
          <cell r="R2088">
            <v>0</v>
          </cell>
          <cell r="T2088"/>
          <cell r="U2088"/>
          <cell r="V2088">
            <v>0.63370923683537861</v>
          </cell>
          <cell r="W2088">
            <v>6.5126242411421787E-5</v>
          </cell>
          <cell r="X2088">
            <v>2</v>
          </cell>
          <cell r="Y2088" t="str">
            <v>Proteger</v>
          </cell>
        </row>
        <row r="2089">
          <cell r="A2089" t="str">
            <v>C011</v>
          </cell>
          <cell r="B2089" t="str">
            <v>C011 - ON FARMACIA, C.A.</v>
          </cell>
          <cell r="C2089" t="str">
            <v>INDEPENDIENTE</v>
          </cell>
          <cell r="D2089">
            <v>0</v>
          </cell>
          <cell r="E2089"/>
          <cell r="F2089" t="str">
            <v>CENTRO OESTE</v>
          </cell>
          <cell r="G2089" t="str">
            <v>LUIS PLACERES</v>
          </cell>
          <cell r="H2089"/>
          <cell r="I2089" t="str">
            <v>E</v>
          </cell>
          <cell r="J2089" t="str">
            <v>Bloqueado</v>
          </cell>
          <cell r="K2089">
            <v>3409.5491999999999</v>
          </cell>
          <cell r="L2089">
            <v>1136.5164</v>
          </cell>
          <cell r="M2089">
            <v>0</v>
          </cell>
          <cell r="N2089" t="str">
            <v>No Compra</v>
          </cell>
          <cell r="O2089">
            <v>3</v>
          </cell>
          <cell r="P2089">
            <v>6689.9492</v>
          </cell>
          <cell r="Q2089">
            <v>2229.9830666666667</v>
          </cell>
          <cell r="R2089">
            <v>0</v>
          </cell>
          <cell r="T2089"/>
          <cell r="U2089"/>
          <cell r="V2089">
            <v>0.50965247987234341</v>
          </cell>
          <cell r="W2089">
            <v>4.3396588699400198E-5</v>
          </cell>
          <cell r="X2089">
            <v>3</v>
          </cell>
          <cell r="Y2089" t="str">
            <v>Potenciar</v>
          </cell>
        </row>
        <row r="2090">
          <cell r="A2090" t="str">
            <v>8236</v>
          </cell>
          <cell r="B2090" t="str">
            <v>8236 - FARMACIA RENNY, C.A.</v>
          </cell>
          <cell r="C2090" t="str">
            <v>INDEPENDIENTE</v>
          </cell>
          <cell r="D2090">
            <v>3</v>
          </cell>
          <cell r="E2090"/>
          <cell r="F2090" t="str">
            <v>CARACAS</v>
          </cell>
          <cell r="G2090" t="str">
            <v>WILLIAM ARAQUE</v>
          </cell>
          <cell r="H2090"/>
          <cell r="I2090" t="str">
            <v>C8</v>
          </cell>
          <cell r="J2090" t="str">
            <v>Inactivo</v>
          </cell>
          <cell r="K2090">
            <v>3391.3197330647845</v>
          </cell>
          <cell r="L2090">
            <v>565.21995551079738</v>
          </cell>
          <cell r="M2090">
            <v>767.678</v>
          </cell>
          <cell r="N2090" t="str">
            <v>Si Compra</v>
          </cell>
          <cell r="O2090">
            <v>6</v>
          </cell>
          <cell r="P2090">
            <v>7513.6928868388159</v>
          </cell>
          <cell r="Q2090">
            <v>1252.2821478064693</v>
          </cell>
          <cell r="R2090">
            <v>1152.2483</v>
          </cell>
          <cell r="T2090"/>
          <cell r="U2090"/>
          <cell r="V2090">
            <v>0.4513519229678804</v>
          </cell>
          <cell r="W2090">
            <v>2.158228243252394E-5</v>
          </cell>
          <cell r="X2090">
            <v>6</v>
          </cell>
          <cell r="Y2090" t="str">
            <v>Potenciar</v>
          </cell>
        </row>
        <row r="2091">
          <cell r="A2091" t="str">
            <v>7307</v>
          </cell>
          <cell r="B2091" t="str">
            <v>7307 - FARMACIA BRASIL LAS AMERICAS,C.A</v>
          </cell>
          <cell r="C2091" t="str">
            <v>INDEPENDIENTE</v>
          </cell>
          <cell r="D2091">
            <v>2</v>
          </cell>
          <cell r="E2091"/>
          <cell r="F2091" t="str">
            <v>ANDES</v>
          </cell>
          <cell r="G2091" t="str">
            <v>LUCIA DUGARTE</v>
          </cell>
          <cell r="H2091"/>
          <cell r="I2091" t="str">
            <v>6</v>
          </cell>
          <cell r="J2091" t="str">
            <v>Bloqueado</v>
          </cell>
          <cell r="K2091">
            <v>3376.8414000000002</v>
          </cell>
          <cell r="L2091">
            <v>422.10517500000003</v>
          </cell>
          <cell r="M2091">
            <v>227.56614999999999</v>
          </cell>
          <cell r="N2091" t="str">
            <v>Si Compra</v>
          </cell>
          <cell r="O2091">
            <v>8</v>
          </cell>
          <cell r="P2091">
            <v>6327.4790000000003</v>
          </cell>
          <cell r="Q2091">
            <v>790.93487500000003</v>
          </cell>
          <cell r="R2091">
            <v>154.86259999999999</v>
          </cell>
          <cell r="T2091"/>
          <cell r="U2091"/>
          <cell r="V2091">
            <v>0.5336788000402688</v>
          </cell>
          <cell r="W2091">
            <v>1.6117606985137515E-5</v>
          </cell>
          <cell r="X2091">
            <v>7</v>
          </cell>
          <cell r="Y2091" t="str">
            <v>Potenciar</v>
          </cell>
        </row>
        <row r="2092">
          <cell r="A2092" t="str">
            <v>B329</v>
          </cell>
          <cell r="B2092" t="str">
            <v>B329 - FARMANELLA, C.A.</v>
          </cell>
          <cell r="C2092" t="str">
            <v>INDEPENDIENTE</v>
          </cell>
          <cell r="D2092">
            <v>3</v>
          </cell>
          <cell r="E2092"/>
          <cell r="F2092" t="str">
            <v>ESTE</v>
          </cell>
          <cell r="G2092" t="str">
            <v>ALEXMAR CASTILLO</v>
          </cell>
          <cell r="H2092"/>
          <cell r="I2092" t="str">
            <v>A1</v>
          </cell>
          <cell r="J2092" t="str">
            <v>Inactivo</v>
          </cell>
          <cell r="K2092">
            <v>3357.2653373819103</v>
          </cell>
          <cell r="L2092">
            <v>335.72653373819105</v>
          </cell>
          <cell r="M2092">
            <v>294.9394990878219</v>
          </cell>
          <cell r="N2092" t="str">
            <v>Si Compra</v>
          </cell>
          <cell r="O2092">
            <v>10</v>
          </cell>
          <cell r="P2092">
            <v>21083.074533076473</v>
          </cell>
          <cell r="Q2092">
            <v>2108.3074533076474</v>
          </cell>
          <cell r="R2092">
            <v>1769.1792467421722</v>
          </cell>
          <cell r="T2092"/>
          <cell r="U2092"/>
          <cell r="V2092">
            <v>0.15923983630161806</v>
          </cell>
          <cell r="W2092">
            <v>1.2819336615038358E-5</v>
          </cell>
          <cell r="X2092">
            <v>10</v>
          </cell>
          <cell r="Y2092" t="str">
            <v>Conquistar</v>
          </cell>
        </row>
        <row r="2093">
          <cell r="A2093" t="str">
            <v>0870</v>
          </cell>
          <cell r="B2093" t="str">
            <v>0870 - FARMACIA AEROPUERTO COMPAÑIA ANONIMA, C.A.</v>
          </cell>
          <cell r="C2093" t="str">
            <v>INDEPENDIENTE</v>
          </cell>
          <cell r="D2093">
            <v>3</v>
          </cell>
          <cell r="E2093"/>
          <cell r="F2093" t="str">
            <v>ESTE</v>
          </cell>
          <cell r="G2093" t="str">
            <v>IRAIDA RODRIGUEZ</v>
          </cell>
          <cell r="H2093"/>
          <cell r="I2093" t="str">
            <v>AB</v>
          </cell>
          <cell r="J2093" t="str">
            <v>Activo</v>
          </cell>
          <cell r="K2093">
            <v>3351.7452999999996</v>
          </cell>
          <cell r="L2093">
            <v>335.17452999999995</v>
          </cell>
          <cell r="M2093">
            <v>194.43883333333335</v>
          </cell>
          <cell r="N2093" t="str">
            <v>Si Compra</v>
          </cell>
          <cell r="O2093">
            <v>10</v>
          </cell>
          <cell r="P2093">
            <v>1971.8824</v>
          </cell>
          <cell r="Q2093">
            <v>197.18824000000001</v>
          </cell>
          <cell r="R2093">
            <v>0</v>
          </cell>
          <cell r="T2093"/>
          <cell r="U2093"/>
          <cell r="V2093">
            <v>1.6997693675850036</v>
          </cell>
          <cell r="W2093">
            <v>1.279825897886275E-5</v>
          </cell>
          <cell r="X2093">
            <v>4</v>
          </cell>
          <cell r="Y2093" t="str">
            <v>Proteger</v>
          </cell>
        </row>
        <row r="2094">
          <cell r="A2094" t="str">
            <v>D494</v>
          </cell>
          <cell r="B2094" t="str">
            <v>D494 - FARMAHORRO SANTO CRISTO I C.A.</v>
          </cell>
          <cell r="C2094" t="str">
            <v>INDEPENDIENTE</v>
          </cell>
          <cell r="D2094">
            <v>2</v>
          </cell>
          <cell r="E2094"/>
          <cell r="F2094" t="str">
            <v>ANDES</v>
          </cell>
          <cell r="G2094" t="str">
            <v>MARIA GABRIELA FORTUL</v>
          </cell>
          <cell r="H2094"/>
          <cell r="I2094" t="str">
            <v>3</v>
          </cell>
          <cell r="J2094" t="str">
            <v>Activo</v>
          </cell>
          <cell r="K2094">
            <v>3349.1025798800033</v>
          </cell>
          <cell r="L2094">
            <v>558.18376331333388</v>
          </cell>
          <cell r="M2094">
            <v>38.85575</v>
          </cell>
          <cell r="N2094" t="str">
            <v>Si Compra</v>
          </cell>
          <cell r="O2094">
            <v>6</v>
          </cell>
          <cell r="P2094">
            <v>4950.603330642648</v>
          </cell>
          <cell r="Q2094">
            <v>825.10055510710799</v>
          </cell>
          <cell r="R2094">
            <v>0</v>
          </cell>
          <cell r="T2094"/>
          <cell r="U2094"/>
          <cell r="V2094">
            <v>0.67650392410761973</v>
          </cell>
          <cell r="W2094">
            <v>2.1313613420089759E-5</v>
          </cell>
          <cell r="X2094">
            <v>4</v>
          </cell>
          <cell r="Y2094" t="str">
            <v>Proteger</v>
          </cell>
        </row>
        <row r="2095">
          <cell r="A2095" t="str">
            <v>E517</v>
          </cell>
          <cell r="B2095" t="str">
            <v>E517 - FARMACIA LA PAZ DE DIOS, C.A.</v>
          </cell>
          <cell r="C2095" t="e">
            <v>#N/A</v>
          </cell>
          <cell r="D2095">
            <v>2</v>
          </cell>
          <cell r="F2095" t="str">
            <v>MARACAIBO</v>
          </cell>
          <cell r="G2095">
            <v>0</v>
          </cell>
          <cell r="H2095"/>
          <cell r="I2095" t="str">
            <v>BZ</v>
          </cell>
          <cell r="J2095" t="str">
            <v>Inactivo</v>
          </cell>
          <cell r="K2095">
            <v>3342.6498000000001</v>
          </cell>
          <cell r="L2095">
            <v>1671.3249000000001</v>
          </cell>
          <cell r="M2095">
            <v>1671.3249000000001</v>
          </cell>
          <cell r="N2095" t="str">
            <v>Si Compra</v>
          </cell>
          <cell r="O2095">
            <v>2</v>
          </cell>
          <cell r="P2095">
            <v>0</v>
          </cell>
          <cell r="Q2095">
            <v>0</v>
          </cell>
          <cell r="R2095">
            <v>0</v>
          </cell>
          <cell r="V2095">
            <v>0</v>
          </cell>
          <cell r="W2095">
            <v>6.3817644222614086E-5</v>
          </cell>
          <cell r="X2095">
            <v>0</v>
          </cell>
          <cell r="Y2095" t="str">
            <v>Conquistar</v>
          </cell>
        </row>
        <row r="2096">
          <cell r="A2096" t="str">
            <v>E494</v>
          </cell>
          <cell r="B2096" t="str">
            <v>E494 - EXPENDIO DE MEDICINAS CONITO ROJO, C.A.</v>
          </cell>
          <cell r="C2096" t="e">
            <v>#N/A</v>
          </cell>
          <cell r="D2096">
            <v>3</v>
          </cell>
          <cell r="F2096" t="str">
            <v>CENTRO OESTE</v>
          </cell>
          <cell r="G2096">
            <v>0</v>
          </cell>
          <cell r="H2096"/>
          <cell r="I2096" t="str">
            <v>C</v>
          </cell>
          <cell r="J2096" t="str">
            <v>Activo</v>
          </cell>
          <cell r="K2096">
            <v>3338.8152</v>
          </cell>
          <cell r="L2096">
            <v>834.7038</v>
          </cell>
          <cell r="M2096">
            <v>800.50019999999995</v>
          </cell>
          <cell r="N2096" t="str">
            <v>Si Compra</v>
          </cell>
          <cell r="O2096">
            <v>4</v>
          </cell>
          <cell r="P2096">
            <v>0</v>
          </cell>
          <cell r="Q2096">
            <v>0</v>
          </cell>
          <cell r="R2096">
            <v>0</v>
          </cell>
          <cell r="V2096">
            <v>0</v>
          </cell>
          <cell r="W2096">
            <v>3.1872217149199429E-5</v>
          </cell>
          <cell r="X2096">
            <v>0</v>
          </cell>
          <cell r="Y2096" t="str">
            <v>Conquistar</v>
          </cell>
        </row>
        <row r="2097">
          <cell r="A2097" t="str">
            <v>4173</v>
          </cell>
          <cell r="B2097" t="str">
            <v>4173 - FARMACIA FARMA DIEZ C.A</v>
          </cell>
          <cell r="C2097" t="str">
            <v>INDEPENDIENTE</v>
          </cell>
          <cell r="D2097">
            <v>3</v>
          </cell>
          <cell r="E2097"/>
          <cell r="F2097" t="str">
            <v>ANDES</v>
          </cell>
          <cell r="G2097" t="str">
            <v>ANYERSSON TORRES</v>
          </cell>
          <cell r="H2097"/>
          <cell r="I2097" t="str">
            <v>4</v>
          </cell>
          <cell r="J2097" t="str">
            <v>Activo</v>
          </cell>
          <cell r="K2097">
            <v>3311.4974072673531</v>
          </cell>
          <cell r="L2097">
            <v>413.93717590841914</v>
          </cell>
          <cell r="M2097">
            <v>496.09909999999996</v>
          </cell>
          <cell r="N2097" t="str">
            <v>Si Compra</v>
          </cell>
          <cell r="O2097">
            <v>8</v>
          </cell>
          <cell r="P2097">
            <v>14327.721314938966</v>
          </cell>
          <cell r="Q2097">
            <v>1790.9651643673708</v>
          </cell>
          <cell r="R2097">
            <v>2242.4479999999999</v>
          </cell>
          <cell r="T2097"/>
          <cell r="U2097"/>
          <cell r="V2097">
            <v>0.2311251967062328</v>
          </cell>
          <cell r="W2097">
            <v>1.5805721211140405E-5</v>
          </cell>
          <cell r="X2097">
            <v>8</v>
          </cell>
          <cell r="Y2097" t="str">
            <v>Potenciar</v>
          </cell>
        </row>
        <row r="2098">
          <cell r="A2098" t="str">
            <v>B506</v>
          </cell>
          <cell r="B2098" t="str">
            <v>B506 - FARMACIA PORTUSALUD, C.A.</v>
          </cell>
          <cell r="C2098" t="str">
            <v>INDEPENDIENTE</v>
          </cell>
          <cell r="D2098">
            <v>3</v>
          </cell>
          <cell r="E2098"/>
          <cell r="F2098" t="str">
            <v>CENTRO OESTE</v>
          </cell>
          <cell r="G2098" t="str">
            <v>SORALI SILVA</v>
          </cell>
          <cell r="H2098"/>
          <cell r="I2098" t="str">
            <v>C</v>
          </cell>
          <cell r="J2098" t="str">
            <v>Suspendido</v>
          </cell>
          <cell r="K2098">
            <v>3303.9504000000002</v>
          </cell>
          <cell r="L2098">
            <v>330.39503999999999</v>
          </cell>
          <cell r="M2098">
            <v>341.47656666666671</v>
          </cell>
          <cell r="N2098" t="str">
            <v>Si Compra</v>
          </cell>
          <cell r="O2098">
            <v>10</v>
          </cell>
          <cell r="P2098">
            <v>4853.0192999999999</v>
          </cell>
          <cell r="Q2098">
            <v>485.30192999999997</v>
          </cell>
          <cell r="R2098">
            <v>407.15716666666668</v>
          </cell>
          <cell r="T2098"/>
          <cell r="U2098"/>
          <cell r="V2098">
            <v>0.68080306212670538</v>
          </cell>
          <cell r="W2098">
            <v>1.261575957830602E-5</v>
          </cell>
          <cell r="X2098">
            <v>10</v>
          </cell>
          <cell r="Y2098" t="str">
            <v>Proteger</v>
          </cell>
        </row>
        <row r="2099">
          <cell r="A2099" t="str">
            <v>E654</v>
          </cell>
          <cell r="B2099" t="str">
            <v>E654 - FARMACIA PERLA DEL CARIBE C.A</v>
          </cell>
          <cell r="C2099" t="e">
            <v>#N/A</v>
          </cell>
          <cell r="D2099">
            <v>2</v>
          </cell>
          <cell r="F2099" t="str">
            <v>ESTE</v>
          </cell>
          <cell r="G2099">
            <v>0</v>
          </cell>
          <cell r="H2099"/>
          <cell r="I2099" t="str">
            <v>A8</v>
          </cell>
          <cell r="J2099" t="str">
            <v>Activo</v>
          </cell>
          <cell r="K2099">
            <v>3296.8381329992376</v>
          </cell>
          <cell r="L2099">
            <v>1648.4190664996188</v>
          </cell>
          <cell r="M2099">
            <v>1648.4190664996188</v>
          </cell>
          <cell r="N2099" t="str">
            <v>Si Compra</v>
          </cell>
          <cell r="O2099">
            <v>2</v>
          </cell>
          <cell r="P2099">
            <v>0</v>
          </cell>
          <cell r="Q2099">
            <v>0</v>
          </cell>
          <cell r="R2099">
            <v>0</v>
          </cell>
          <cell r="V2099">
            <v>0</v>
          </cell>
          <cell r="W2099">
            <v>6.2943010970306434E-5</v>
          </cell>
          <cell r="X2099">
            <v>0</v>
          </cell>
          <cell r="Y2099" t="str">
            <v>Conquistar</v>
          </cell>
        </row>
        <row r="2100">
          <cell r="A2100" t="str">
            <v>0959</v>
          </cell>
          <cell r="B2100" t="str">
            <v>0959 - FARMACIA SAN ANTONIO, C.A.</v>
          </cell>
          <cell r="C2100" t="str">
            <v>INDEPENDIENTE</v>
          </cell>
          <cell r="D2100">
            <v>0</v>
          </cell>
          <cell r="E2100"/>
          <cell r="F2100" t="str">
            <v>ESTE</v>
          </cell>
          <cell r="G2100" t="str">
            <v>CARLOS BLONDELL</v>
          </cell>
          <cell r="H2100"/>
          <cell r="I2100" t="str">
            <v>A5</v>
          </cell>
          <cell r="J2100" t="str">
            <v>Bloqueado</v>
          </cell>
          <cell r="K2100">
            <v>3291.1876999999995</v>
          </cell>
          <cell r="L2100">
            <v>658.23753999999985</v>
          </cell>
          <cell r="M2100">
            <v>0</v>
          </cell>
          <cell r="N2100" t="str">
            <v>No Compra</v>
          </cell>
          <cell r="O2100">
            <v>5</v>
          </cell>
          <cell r="P2100">
            <v>4183.6795999999995</v>
          </cell>
          <cell r="Q2100">
            <v>836.73591999999985</v>
          </cell>
          <cell r="R2100">
            <v>0</v>
          </cell>
          <cell r="T2100"/>
          <cell r="U2100"/>
          <cell r="V2100">
            <v>0.78667298040700817</v>
          </cell>
          <cell r="W2100">
            <v>2.5134053314043667E-5</v>
          </cell>
          <cell r="X2100">
            <v>5</v>
          </cell>
          <cell r="Y2100" t="str">
            <v>Proteger</v>
          </cell>
        </row>
        <row r="2101">
          <cell r="A2101" t="str">
            <v>C859</v>
          </cell>
          <cell r="B2101" t="str">
            <v>C859 - COMERCIALIZADORA 140359, C.A.</v>
          </cell>
          <cell r="C2101" t="str">
            <v>INDEPENDIENTE</v>
          </cell>
          <cell r="D2101">
            <v>3</v>
          </cell>
          <cell r="E2101"/>
          <cell r="F2101" t="str">
            <v>CARACAS</v>
          </cell>
          <cell r="G2101" t="str">
            <v>WILLIAM ARAQUE</v>
          </cell>
          <cell r="H2101"/>
          <cell r="I2101" t="str">
            <v>C8</v>
          </cell>
          <cell r="J2101" t="str">
            <v>Inactivo</v>
          </cell>
          <cell r="K2101">
            <v>3286.5341736217442</v>
          </cell>
          <cell r="L2101">
            <v>410.81677170271803</v>
          </cell>
          <cell r="M2101">
            <v>350.49024320932995</v>
          </cell>
          <cell r="N2101" t="str">
            <v>Si Compra</v>
          </cell>
          <cell r="O2101">
            <v>8</v>
          </cell>
          <cell r="P2101">
            <v>8040.9106723291607</v>
          </cell>
          <cell r="Q2101">
            <v>1005.1138340411451</v>
          </cell>
          <cell r="R2101">
            <v>859.21556478396542</v>
          </cell>
          <cell r="T2101"/>
          <cell r="U2101"/>
          <cell r="V2101">
            <v>0.40872661164257834</v>
          </cell>
          <cell r="W2101">
            <v>1.5686572118447427E-5</v>
          </cell>
          <cell r="X2101">
            <v>8</v>
          </cell>
          <cell r="Y2101" t="str">
            <v>Potenciar</v>
          </cell>
        </row>
        <row r="2102">
          <cell r="A2102" t="str">
            <v>4240</v>
          </cell>
          <cell r="B2102" t="str">
            <v>4240 - FARMACIA LOS ANGELITOS, S.A.</v>
          </cell>
          <cell r="C2102" t="e">
            <v>#N/A</v>
          </cell>
          <cell r="D2102">
            <v>3</v>
          </cell>
          <cell r="E2102"/>
          <cell r="F2102" t="str">
            <v>CARACAS</v>
          </cell>
          <cell r="G2102" t="str">
            <v>WILLIAM ARAQUE</v>
          </cell>
          <cell r="H2102"/>
          <cell r="I2102" t="str">
            <v>C3</v>
          </cell>
          <cell r="J2102" t="str">
            <v>Inactivo</v>
          </cell>
          <cell r="K2102">
            <v>3274.6093758225338</v>
          </cell>
          <cell r="L2102">
            <v>654.92187516450679</v>
          </cell>
          <cell r="M2102">
            <v>739.29132527417789</v>
          </cell>
          <cell r="N2102" t="str">
            <v>Si Compra</v>
          </cell>
          <cell r="O2102">
            <v>5</v>
          </cell>
          <cell r="P2102">
            <v>13583.02795861495</v>
          </cell>
          <cell r="Q2102">
            <v>2716.6055917229901</v>
          </cell>
          <cell r="R2102">
            <v>2509.8087862049838</v>
          </cell>
          <cell r="T2102"/>
          <cell r="U2102"/>
          <cell r="V2102">
            <v>0.24108095674982641</v>
          </cell>
          <cell r="W2102">
            <v>2.5007448415838101E-5</v>
          </cell>
          <cell r="X2102">
            <v>5</v>
          </cell>
          <cell r="Y2102" t="str">
            <v>Potenciar</v>
          </cell>
        </row>
        <row r="2103">
          <cell r="A2103" t="str">
            <v>D570</v>
          </cell>
          <cell r="B2103" t="str">
            <v>D570 - FARMALISTO 24 ,C.A.</v>
          </cell>
          <cell r="C2103" t="str">
            <v>INDEPENDIENTE</v>
          </cell>
          <cell r="D2103">
            <v>3</v>
          </cell>
          <cell r="E2103"/>
          <cell r="F2103" t="str">
            <v>ESTE</v>
          </cell>
          <cell r="G2103" t="str">
            <v>IRAIDA RODRIGUEZ</v>
          </cell>
          <cell r="H2103"/>
          <cell r="I2103" t="str">
            <v>AB</v>
          </cell>
          <cell r="J2103" t="str">
            <v>Inactivo</v>
          </cell>
          <cell r="K2103">
            <v>3244.2977969617364</v>
          </cell>
          <cell r="L2103">
            <v>360.4775329957485</v>
          </cell>
          <cell r="M2103">
            <v>255.40399746058111</v>
          </cell>
          <cell r="N2103" t="str">
            <v>Si Compra</v>
          </cell>
          <cell r="O2103">
            <v>8</v>
          </cell>
          <cell r="P2103">
            <v>43194.427781143604</v>
          </cell>
          <cell r="Q2103">
            <v>4799.3808645715117</v>
          </cell>
          <cell r="R2103">
            <v>4355.8766239930555</v>
          </cell>
          <cell r="T2103"/>
          <cell r="U2103"/>
          <cell r="V2103">
            <v>7.5109174113843102E-2</v>
          </cell>
          <cell r="W2103">
            <v>1.3764425427376992E-5</v>
          </cell>
          <cell r="X2103">
            <v>9</v>
          </cell>
          <cell r="Y2103" t="str">
            <v>Conquistar</v>
          </cell>
        </row>
        <row r="2104">
          <cell r="A2104" t="str">
            <v>8499</v>
          </cell>
          <cell r="B2104" t="str">
            <v>8499 - I.E.Q. SAN IGNACIO, C.A.</v>
          </cell>
          <cell r="C2104" t="e">
            <v>#N/A</v>
          </cell>
          <cell r="D2104">
            <v>3</v>
          </cell>
          <cell r="E2104"/>
          <cell r="F2104" t="str">
            <v>CENTRO OESTE</v>
          </cell>
          <cell r="G2104">
            <v>0</v>
          </cell>
          <cell r="H2104"/>
          <cell r="I2104" t="str">
            <v>Y1</v>
          </cell>
          <cell r="J2104" t="str">
            <v>Inactivo</v>
          </cell>
          <cell r="K2104">
            <v>3240.677001047527</v>
          </cell>
          <cell r="L2104">
            <v>648.13540020950541</v>
          </cell>
          <cell r="M2104">
            <v>735.12270034917572</v>
          </cell>
          <cell r="N2104" t="str">
            <v>Si Compra</v>
          </cell>
          <cell r="O2104">
            <v>5</v>
          </cell>
          <cell r="P2104">
            <v>0</v>
          </cell>
          <cell r="Q2104">
            <v>0</v>
          </cell>
          <cell r="R2104">
            <v>0</v>
          </cell>
          <cell r="T2104"/>
          <cell r="U2104"/>
          <cell r="V2104">
            <v>0</v>
          </cell>
          <cell r="W2104">
            <v>2.4748314572858821E-5</v>
          </cell>
          <cell r="X2104">
            <v>0</v>
          </cell>
          <cell r="Y2104" t="str">
            <v>Conquistar</v>
          </cell>
        </row>
        <row r="2105">
          <cell r="A2105">
            <v>0</v>
          </cell>
          <cell r="B2105" t="str">
            <v>E638 - ZORCA SALUD 1 C.A.</v>
          </cell>
          <cell r="C2105" t="e">
            <v>#N/A</v>
          </cell>
          <cell r="D2105">
            <v>0</v>
          </cell>
          <cell r="F2105" t="str">
            <v>ANDES</v>
          </cell>
          <cell r="G2105">
            <v>0</v>
          </cell>
          <cell r="H2105"/>
          <cell r="I2105" t="str">
            <v>3</v>
          </cell>
          <cell r="J2105" t="str">
            <v>Activo</v>
          </cell>
          <cell r="K2105">
            <v>3232.6086</v>
          </cell>
          <cell r="L2105">
            <v>1616.3043</v>
          </cell>
          <cell r="M2105">
            <v>1616.3043</v>
          </cell>
          <cell r="N2105" t="str">
            <v>Si Compra</v>
          </cell>
          <cell r="O2105">
            <v>2</v>
          </cell>
          <cell r="P2105">
            <v>0</v>
          </cell>
          <cell r="Q2105">
            <v>0</v>
          </cell>
          <cell r="R2105">
            <v>0</v>
          </cell>
          <cell r="V2105">
            <v>0</v>
          </cell>
          <cell r="W2105">
            <v>6.1716745064278831E-5</v>
          </cell>
          <cell r="X2105">
            <v>0</v>
          </cell>
          <cell r="Y2105" t="str">
            <v>Conquistar</v>
          </cell>
        </row>
        <row r="2106">
          <cell r="A2106">
            <v>0</v>
          </cell>
          <cell r="B2106" t="str">
            <v>S389 - EXPENDIO DE MEDICINAS SU BOTIQUERIA, C.A</v>
          </cell>
          <cell r="C2106" t="e">
            <v>#N/A</v>
          </cell>
          <cell r="D2106">
            <v>0</v>
          </cell>
          <cell r="E2106"/>
          <cell r="F2106" t="str">
            <v>CENTRO OESTE</v>
          </cell>
          <cell r="G2106">
            <v>0</v>
          </cell>
          <cell r="H2106"/>
          <cell r="I2106" t="str">
            <v>L</v>
          </cell>
          <cell r="J2106" t="str">
            <v>Inactivo</v>
          </cell>
          <cell r="K2106">
            <v>3202.7458999999999</v>
          </cell>
          <cell r="L2106">
            <v>457.53512857142857</v>
          </cell>
          <cell r="M2106">
            <v>342.81376666666665</v>
          </cell>
          <cell r="N2106" t="str">
            <v>Si Compra</v>
          </cell>
          <cell r="O2106">
            <v>7</v>
          </cell>
          <cell r="P2106">
            <v>0</v>
          </cell>
          <cell r="Q2106">
            <v>0</v>
          </cell>
          <cell r="R2106">
            <v>0</v>
          </cell>
          <cell r="T2106"/>
          <cell r="U2106"/>
          <cell r="V2106">
            <v>0</v>
          </cell>
          <cell r="W2106">
            <v>1.7470459546506741E-5</v>
          </cell>
          <cell r="X2106">
            <v>0</v>
          </cell>
          <cell r="Y2106" t="str">
            <v>Conquistar</v>
          </cell>
        </row>
        <row r="2107">
          <cell r="A2107" t="str">
            <v>A272</v>
          </cell>
          <cell r="B2107" t="str">
            <v>A272 - CORREA SANDOVAL ROSA ( FARMACIA LA PASCUA)</v>
          </cell>
          <cell r="C2107" t="str">
            <v>INDEPENDIENTE</v>
          </cell>
          <cell r="D2107">
            <v>2</v>
          </cell>
          <cell r="E2107"/>
          <cell r="F2107" t="str">
            <v>CENTRO ESTE</v>
          </cell>
          <cell r="G2107" t="str">
            <v>WILLIBETTI GONZALEZ</v>
          </cell>
          <cell r="H2107"/>
          <cell r="I2107" t="str">
            <v>AF</v>
          </cell>
          <cell r="J2107" t="str">
            <v>Activo</v>
          </cell>
          <cell r="K2107">
            <v>3190.4919572772797</v>
          </cell>
          <cell r="L2107">
            <v>455.78456532532567</v>
          </cell>
          <cell r="M2107">
            <v>774.89579918918594</v>
          </cell>
          <cell r="N2107" t="str">
            <v>Si Compra</v>
          </cell>
          <cell r="O2107">
            <v>7</v>
          </cell>
          <cell r="P2107">
            <v>2744.349503695481</v>
          </cell>
          <cell r="Q2107">
            <v>392.04992909935442</v>
          </cell>
          <cell r="R2107">
            <v>654.41762884858304</v>
          </cell>
          <cell r="T2107"/>
          <cell r="U2107"/>
          <cell r="V2107">
            <v>1.1625676514529337</v>
          </cell>
          <cell r="W2107">
            <v>1.7403616275979879E-5</v>
          </cell>
          <cell r="X2107">
            <v>6</v>
          </cell>
          <cell r="Y2107" t="str">
            <v>Proteger</v>
          </cell>
        </row>
        <row r="2108">
          <cell r="A2108" t="str">
            <v>C955</v>
          </cell>
          <cell r="B2108" t="str">
            <v>C955 - FARMACIA SANTA RITA, C.A.</v>
          </cell>
          <cell r="C2108" t="str">
            <v>INDEPENDIENTE</v>
          </cell>
          <cell r="D2108">
            <v>0</v>
          </cell>
          <cell r="E2108"/>
          <cell r="F2108" t="str">
            <v>ANDES</v>
          </cell>
          <cell r="G2108" t="str">
            <v>MARIA GABRIELA FORTUL</v>
          </cell>
          <cell r="H2108"/>
          <cell r="I2108" t="str">
            <v>3</v>
          </cell>
          <cell r="J2108" t="str">
            <v>Bloqueado</v>
          </cell>
          <cell r="K2108">
            <v>3166.3555999999999</v>
          </cell>
          <cell r="L2108">
            <v>1583.1777999999999</v>
          </cell>
          <cell r="M2108">
            <v>0</v>
          </cell>
          <cell r="N2108" t="str">
            <v>No Compra</v>
          </cell>
          <cell r="O2108">
            <v>2</v>
          </cell>
          <cell r="P2108">
            <v>3797.8532</v>
          </cell>
          <cell r="Q2108">
            <v>1898.9266</v>
          </cell>
          <cell r="R2108">
            <v>0</v>
          </cell>
          <cell r="T2108"/>
          <cell r="U2108"/>
          <cell r="V2108">
            <v>0.83372248300697871</v>
          </cell>
          <cell r="W2108">
            <v>6.0451847262935457E-5</v>
          </cell>
          <cell r="X2108">
            <v>2</v>
          </cell>
          <cell r="Y2108" t="str">
            <v>Proteger</v>
          </cell>
        </row>
        <row r="2109">
          <cell r="A2109" t="str">
            <v>0292</v>
          </cell>
          <cell r="B2109" t="str">
            <v>0292 - FARMACIA DON JOSE, C.A.</v>
          </cell>
          <cell r="C2109" t="str">
            <v>INDEPENDIENTE</v>
          </cell>
          <cell r="D2109">
            <v>3</v>
          </cell>
          <cell r="E2109"/>
          <cell r="F2109" t="str">
            <v>ESTE</v>
          </cell>
          <cell r="G2109" t="str">
            <v>ALEXMAR CASTILLO</v>
          </cell>
          <cell r="H2109"/>
          <cell r="I2109" t="str">
            <v>A1</v>
          </cell>
          <cell r="J2109" t="str">
            <v>Activo</v>
          </cell>
          <cell r="K2109">
            <v>3158.6005645701894</v>
          </cell>
          <cell r="L2109">
            <v>315.86005645701891</v>
          </cell>
          <cell r="M2109">
            <v>455.96216666666669</v>
          </cell>
          <cell r="N2109" t="str">
            <v>Si Compra</v>
          </cell>
          <cell r="O2109">
            <v>10</v>
          </cell>
          <cell r="P2109">
            <v>962.65470000000005</v>
          </cell>
          <cell r="Q2109">
            <v>96.265470000000008</v>
          </cell>
          <cell r="R2109">
            <v>176.96326666666667</v>
          </cell>
          <cell r="T2109"/>
          <cell r="U2109"/>
          <cell r="V2109">
            <v>3.2811355562593616</v>
          </cell>
          <cell r="W2109">
            <v>1.2060757730055258E-5</v>
          </cell>
          <cell r="X2109">
            <v>2</v>
          </cell>
          <cell r="Y2109" t="str">
            <v>Proteger</v>
          </cell>
        </row>
        <row r="2110">
          <cell r="A2110" t="str">
            <v>E156</v>
          </cell>
          <cell r="B2110" t="str">
            <v>E156 - FARMACIA MAZIAD ,C.A</v>
          </cell>
          <cell r="C2110" t="str">
            <v>INDEPENDIENTE</v>
          </cell>
          <cell r="D2110">
            <v>3</v>
          </cell>
          <cell r="F2110" t="str">
            <v>ESTE</v>
          </cell>
          <cell r="G2110">
            <v>0</v>
          </cell>
          <cell r="H2110"/>
          <cell r="I2110" t="str">
            <v>AB</v>
          </cell>
          <cell r="J2110" t="str">
            <v>Activo</v>
          </cell>
          <cell r="K2110">
            <v>3132.2684194049671</v>
          </cell>
          <cell r="L2110">
            <v>391.53355242562088</v>
          </cell>
          <cell r="M2110">
            <v>551.50697313498904</v>
          </cell>
          <cell r="N2110" t="str">
            <v>Si Compra</v>
          </cell>
          <cell r="O2110">
            <v>8</v>
          </cell>
          <cell r="P2110">
            <v>0</v>
          </cell>
          <cell r="Q2110">
            <v>0</v>
          </cell>
          <cell r="R2110">
            <v>0</v>
          </cell>
          <cell r="V2110">
            <v>0</v>
          </cell>
          <cell r="W2110">
            <v>1.4950264278306686E-5</v>
          </cell>
          <cell r="X2110">
            <v>0</v>
          </cell>
          <cell r="Y2110" t="str">
            <v>Conquistar</v>
          </cell>
        </row>
        <row r="2111">
          <cell r="A2111" t="str">
            <v>D066</v>
          </cell>
          <cell r="B2111" t="str">
            <v>D066 - FARMACIA SANTO MATEO C.A</v>
          </cell>
          <cell r="C2111" t="str">
            <v>INDEPENDIENTE</v>
          </cell>
          <cell r="D2111">
            <v>3</v>
          </cell>
          <cell r="E2111"/>
          <cell r="F2111" t="str">
            <v>ANDES</v>
          </cell>
          <cell r="G2111" t="str">
            <v>ZULAY PARRA</v>
          </cell>
          <cell r="H2111"/>
          <cell r="I2111" t="str">
            <v>5</v>
          </cell>
          <cell r="J2111" t="str">
            <v>Activo</v>
          </cell>
          <cell r="K2111">
            <v>3130.5409724640535</v>
          </cell>
          <cell r="L2111">
            <v>313.05409724640538</v>
          </cell>
          <cell r="M2111">
            <v>270.49807207558098</v>
          </cell>
          <cell r="N2111" t="str">
            <v>Si Compra</v>
          </cell>
          <cell r="O2111">
            <v>10</v>
          </cell>
          <cell r="P2111">
            <v>4855.8016454220278</v>
          </cell>
          <cell r="Q2111">
            <v>485.58016454220279</v>
          </cell>
          <cell r="R2111">
            <v>484.87332865333201</v>
          </cell>
          <cell r="T2111"/>
          <cell r="U2111"/>
          <cell r="V2111">
            <v>0.64470116389854548</v>
          </cell>
          <cell r="W2111">
            <v>1.1953615362580149E-5</v>
          </cell>
          <cell r="X2111">
            <v>10</v>
          </cell>
          <cell r="Y2111" t="str">
            <v>Proteger</v>
          </cell>
        </row>
        <row r="2112">
          <cell r="A2112" t="str">
            <v>6469</v>
          </cell>
          <cell r="B2112" t="str">
            <v>6469 - FARMACIA FARMAFALCON HOSPITALARIA, C.A.</v>
          </cell>
          <cell r="C2112" t="str">
            <v>INDEPENDIENTE</v>
          </cell>
          <cell r="D2112">
            <v>3</v>
          </cell>
          <cell r="E2112"/>
          <cell r="F2112" t="str">
            <v>MARACAIBO</v>
          </cell>
          <cell r="G2112" t="str">
            <v>MARIA FUSELLA</v>
          </cell>
          <cell r="H2112"/>
          <cell r="I2112" t="str">
            <v>BZ</v>
          </cell>
          <cell r="J2112" t="str">
            <v>Activo</v>
          </cell>
          <cell r="K2112">
            <v>3121.2062893773195</v>
          </cell>
          <cell r="L2112">
            <v>346.80069881970218</v>
          </cell>
          <cell r="M2112">
            <v>286.42450000000002</v>
          </cell>
          <cell r="N2112" t="str">
            <v>Si Compra</v>
          </cell>
          <cell r="O2112">
            <v>9</v>
          </cell>
          <cell r="P2112">
            <v>3418.5800882266758</v>
          </cell>
          <cell r="Q2112">
            <v>379.84223202518621</v>
          </cell>
          <cell r="R2112">
            <v>212.8518</v>
          </cell>
          <cell r="T2112"/>
          <cell r="U2112"/>
          <cell r="V2112">
            <v>0.91301248144705205</v>
          </cell>
          <cell r="W2112">
            <v>1.324219103863629E-5</v>
          </cell>
          <cell r="X2112">
            <v>6</v>
          </cell>
          <cell r="Y2112" t="str">
            <v>Proteger</v>
          </cell>
        </row>
        <row r="2113">
          <cell r="A2113" t="str">
            <v>A878</v>
          </cell>
          <cell r="B2113" t="str">
            <v>A878 - FARMACIA PRADO SALUD, C.A.</v>
          </cell>
          <cell r="C2113" t="str">
            <v>INDEPENDIENTE</v>
          </cell>
          <cell r="D2113">
            <v>2</v>
          </cell>
          <cell r="E2113"/>
          <cell r="F2113" t="str">
            <v>CENTRO ESTE</v>
          </cell>
          <cell r="G2113" t="str">
            <v>KARLA SALAZAR</v>
          </cell>
          <cell r="H2113"/>
          <cell r="I2113" t="str">
            <v>H</v>
          </cell>
          <cell r="J2113" t="str">
            <v>Suspendido</v>
          </cell>
          <cell r="K2113">
            <v>3111.608777164065</v>
          </cell>
          <cell r="L2113">
            <v>345.73430857378503</v>
          </cell>
          <cell r="M2113">
            <v>94.78516261429661</v>
          </cell>
          <cell r="N2113" t="str">
            <v>Si Compra</v>
          </cell>
          <cell r="O2113">
            <v>8</v>
          </cell>
          <cell r="P2113">
            <v>3727.2435167412468</v>
          </cell>
          <cell r="Q2113">
            <v>414.1381685268052</v>
          </cell>
          <cell r="R2113">
            <v>86.959033333333323</v>
          </cell>
          <cell r="T2113"/>
          <cell r="U2113"/>
          <cell r="V2113">
            <v>0.83482840957077176</v>
          </cell>
          <cell r="W2113">
            <v>1.32014721375319E-5</v>
          </cell>
          <cell r="X2113">
            <v>7</v>
          </cell>
          <cell r="Y2113" t="str">
            <v>Proteger</v>
          </cell>
        </row>
        <row r="2114">
          <cell r="A2114" t="str">
            <v>E534</v>
          </cell>
          <cell r="B2114" t="str">
            <v>E534 - FARMACIA FLORINEY, C.A.</v>
          </cell>
          <cell r="C2114" t="e">
            <v>#N/A</v>
          </cell>
          <cell r="D2114">
            <v>3</v>
          </cell>
          <cell r="F2114" t="str">
            <v>ANDES</v>
          </cell>
          <cell r="G2114">
            <v>0</v>
          </cell>
          <cell r="H2114"/>
          <cell r="I2114" t="str">
            <v>4</v>
          </cell>
          <cell r="J2114" t="str">
            <v>Activo</v>
          </cell>
          <cell r="K2114">
            <v>3098.3757000000005</v>
          </cell>
          <cell r="L2114">
            <v>774.59392500000013</v>
          </cell>
          <cell r="M2114">
            <v>882.55030000000022</v>
          </cell>
          <cell r="N2114" t="str">
            <v>Si Compra</v>
          </cell>
          <cell r="O2114">
            <v>4</v>
          </cell>
          <cell r="P2114">
            <v>0</v>
          </cell>
          <cell r="Q2114">
            <v>0</v>
          </cell>
          <cell r="R2114">
            <v>0</v>
          </cell>
          <cell r="V2114">
            <v>0</v>
          </cell>
          <cell r="W2114">
            <v>2.9576989801712539E-5</v>
          </cell>
          <cell r="X2114">
            <v>0</v>
          </cell>
          <cell r="Y2114" t="str">
            <v>Conquistar</v>
          </cell>
        </row>
        <row r="2115">
          <cell r="A2115" t="str">
            <v>A925</v>
          </cell>
          <cell r="B2115" t="str">
            <v>A925 - FARMACIA EL FARAON ,C.A.</v>
          </cell>
          <cell r="C2115" t="str">
            <v>INDEPENDIENTE</v>
          </cell>
          <cell r="D2115">
            <v>1</v>
          </cell>
          <cell r="E2115"/>
          <cell r="F2115" t="str">
            <v>ESTE</v>
          </cell>
          <cell r="G2115" t="str">
            <v>PEDRO VIRE</v>
          </cell>
          <cell r="H2115"/>
          <cell r="I2115" t="str">
            <v>A7</v>
          </cell>
          <cell r="J2115" t="str">
            <v>Activo</v>
          </cell>
          <cell r="K2115">
            <v>3097.2455</v>
          </cell>
          <cell r="L2115">
            <v>774.311375</v>
          </cell>
          <cell r="M2115">
            <v>410.11259999999999</v>
          </cell>
          <cell r="N2115" t="str">
            <v>Si Compra</v>
          </cell>
          <cell r="O2115">
            <v>4</v>
          </cell>
          <cell r="P2115">
            <v>22375.432500000003</v>
          </cell>
          <cell r="Q2115">
            <v>5593.8581250000007</v>
          </cell>
          <cell r="R2115">
            <v>2495.3564999999999</v>
          </cell>
          <cell r="T2115"/>
          <cell r="U2115"/>
          <cell r="V2115">
            <v>0.13842170425085637</v>
          </cell>
          <cell r="W2115">
            <v>2.9566200950678784E-5</v>
          </cell>
          <cell r="X2115">
            <v>4</v>
          </cell>
          <cell r="Y2115" t="str">
            <v>Conquistar</v>
          </cell>
        </row>
        <row r="2116">
          <cell r="A2116" t="str">
            <v>2906</v>
          </cell>
          <cell r="B2116" t="str">
            <v>2906 - PEÑA JUAN ENRIQUE (FCIA RODRIGUEZ DOMINGUEZ)</v>
          </cell>
          <cell r="C2116" t="str">
            <v>INDEPENDIENTE</v>
          </cell>
          <cell r="D2116">
            <v>1</v>
          </cell>
          <cell r="E2116"/>
          <cell r="F2116" t="str">
            <v>CENTRO OESTE</v>
          </cell>
          <cell r="G2116" t="str">
            <v>LUIS PLACERES</v>
          </cell>
          <cell r="H2116"/>
          <cell r="I2116" t="str">
            <v>E</v>
          </cell>
          <cell r="J2116" t="str">
            <v>Bloqueado</v>
          </cell>
          <cell r="K2116">
            <v>3090.0455177732497</v>
          </cell>
          <cell r="L2116">
            <v>386.25568972165621</v>
          </cell>
          <cell r="M2116">
            <v>34.681199999999997</v>
          </cell>
          <cell r="N2116" t="str">
            <v>Si Compra</v>
          </cell>
          <cell r="O2116">
            <v>8</v>
          </cell>
          <cell r="P2116">
            <v>3981.531965721133</v>
          </cell>
          <cell r="Q2116">
            <v>497.69149571514163</v>
          </cell>
          <cell r="R2116">
            <v>0</v>
          </cell>
          <cell r="T2116"/>
          <cell r="U2116"/>
          <cell r="V2116">
            <v>0.77609461493136156</v>
          </cell>
          <cell r="W2116">
            <v>1.4748735081740884E-5</v>
          </cell>
          <cell r="X2116">
            <v>7</v>
          </cell>
          <cell r="Y2116" t="str">
            <v>Proteger</v>
          </cell>
        </row>
        <row r="2117">
          <cell r="A2117" t="str">
            <v>E425</v>
          </cell>
          <cell r="B2117" t="str">
            <v>E425 - FARMACIA FARMA MIME, C.A.</v>
          </cell>
          <cell r="C2117" t="e">
            <v>#N/A</v>
          </cell>
          <cell r="D2117">
            <v>2</v>
          </cell>
          <cell r="F2117" t="str">
            <v>ANDES</v>
          </cell>
          <cell r="G2117">
            <v>0</v>
          </cell>
          <cell r="H2117"/>
          <cell r="I2117" t="str">
            <v>5</v>
          </cell>
          <cell r="J2117" t="str">
            <v>Activo</v>
          </cell>
          <cell r="K2117">
            <v>3068.0249000000003</v>
          </cell>
          <cell r="L2117">
            <v>767.00622500000009</v>
          </cell>
          <cell r="M2117">
            <v>450.63505000000004</v>
          </cell>
          <cell r="N2117" t="str">
            <v>Si Compra</v>
          </cell>
          <cell r="O2117">
            <v>4</v>
          </cell>
          <cell r="P2117">
            <v>0</v>
          </cell>
          <cell r="Q2117">
            <v>0</v>
          </cell>
          <cell r="R2117">
            <v>0</v>
          </cell>
          <cell r="V2117">
            <v>0</v>
          </cell>
          <cell r="W2117">
            <v>2.9287262089842792E-5</v>
          </cell>
          <cell r="X2117">
            <v>0</v>
          </cell>
          <cell r="Y2117" t="str">
            <v>Conquistar</v>
          </cell>
        </row>
        <row r="2118">
          <cell r="A2118" t="str">
            <v>6795</v>
          </cell>
          <cell r="B2118" t="str">
            <v>6795 - LINA SANDRA GIGLIO PRADA(FARMACIA EL DISPENSARIO)</v>
          </cell>
          <cell r="C2118" t="str">
            <v>INDEPENDIENTE</v>
          </cell>
          <cell r="D2118">
            <v>3</v>
          </cell>
          <cell r="E2118"/>
          <cell r="F2118" t="str">
            <v>ANDES</v>
          </cell>
          <cell r="G2118" t="str">
            <v>RAYNE ANDREINA NAVA</v>
          </cell>
          <cell r="H2118"/>
          <cell r="I2118" t="str">
            <v>G1</v>
          </cell>
          <cell r="J2118" t="str">
            <v>Inactivo</v>
          </cell>
          <cell r="K2118">
            <v>3066.1725000000001</v>
          </cell>
          <cell r="L2118">
            <v>306.61725000000001</v>
          </cell>
          <cell r="M2118">
            <v>108.95376666666668</v>
          </cell>
          <cell r="N2118" t="str">
            <v>Si Compra</v>
          </cell>
          <cell r="O2118">
            <v>10</v>
          </cell>
          <cell r="P2118">
            <v>3412.3160000000007</v>
          </cell>
          <cell r="Q2118">
            <v>341.23160000000007</v>
          </cell>
          <cell r="R2118">
            <v>202.85983333333334</v>
          </cell>
          <cell r="T2118"/>
          <cell r="U2118"/>
          <cell r="V2118">
            <v>0.89856053776965539</v>
          </cell>
          <cell r="W2118">
            <v>1.1707831656798939E-5</v>
          </cell>
          <cell r="X2118">
            <v>9</v>
          </cell>
          <cell r="Y2118" t="str">
            <v>Proteger</v>
          </cell>
        </row>
        <row r="2119">
          <cell r="A2119" t="str">
            <v>E421</v>
          </cell>
          <cell r="B2119" t="str">
            <v>E421 - EXPENDIO DE MEDICAMENTOS SANTA ROSA C.A.</v>
          </cell>
          <cell r="C2119" t="e">
            <v>#N/A</v>
          </cell>
          <cell r="D2119">
            <v>1</v>
          </cell>
          <cell r="F2119" t="str">
            <v>ESTE</v>
          </cell>
          <cell r="G2119">
            <v>0</v>
          </cell>
          <cell r="H2119"/>
          <cell r="I2119" t="str">
            <v>AB</v>
          </cell>
          <cell r="J2119" t="str">
            <v>Activo</v>
          </cell>
          <cell r="K2119">
            <v>3057.7161000000001</v>
          </cell>
          <cell r="L2119">
            <v>1019.2387</v>
          </cell>
          <cell r="M2119">
            <v>125.0085</v>
          </cell>
          <cell r="N2119" t="str">
            <v>Si Compra</v>
          </cell>
          <cell r="O2119">
            <v>3</v>
          </cell>
          <cell r="P2119">
            <v>0</v>
          </cell>
          <cell r="Q2119">
            <v>0</v>
          </cell>
          <cell r="R2119">
            <v>0</v>
          </cell>
          <cell r="V2119">
            <v>0</v>
          </cell>
          <cell r="W2119">
            <v>3.8918472844220588E-5</v>
          </cell>
          <cell r="X2119">
            <v>0</v>
          </cell>
          <cell r="Y2119" t="str">
            <v>Conquistar</v>
          </cell>
        </row>
        <row r="2120">
          <cell r="A2120" t="str">
            <v>B515</v>
          </cell>
          <cell r="B2120" t="str">
            <v>B515 - FARMACIA LA REALEZA, C.A.</v>
          </cell>
          <cell r="C2120" t="str">
            <v>INDEPENDIENTE</v>
          </cell>
          <cell r="D2120">
            <v>3</v>
          </cell>
          <cell r="E2120"/>
          <cell r="F2120" t="str">
            <v>ESTE</v>
          </cell>
          <cell r="G2120" t="str">
            <v>CARMEN ALCALA</v>
          </cell>
          <cell r="H2120"/>
          <cell r="I2120" t="str">
            <v>A6</v>
          </cell>
          <cell r="J2120" t="str">
            <v>Activo</v>
          </cell>
          <cell r="K2120">
            <v>3051.6038178697499</v>
          </cell>
          <cell r="L2120">
            <v>305.16038178697499</v>
          </cell>
          <cell r="M2120">
            <v>128.26176323255973</v>
          </cell>
          <cell r="N2120" t="str">
            <v>Si Compra</v>
          </cell>
          <cell r="O2120">
            <v>10</v>
          </cell>
          <cell r="P2120">
            <v>209100.68430281134</v>
          </cell>
          <cell r="Q2120">
            <v>20910.068430281135</v>
          </cell>
          <cell r="R2120">
            <v>46467.579150895996</v>
          </cell>
          <cell r="T2120"/>
          <cell r="U2120"/>
          <cell r="V2120">
            <v>1.4593944673325593E-2</v>
          </cell>
          <cell r="W2120">
            <v>1.1652202797743428E-5</v>
          </cell>
          <cell r="X2120">
            <v>10</v>
          </cell>
          <cell r="Y2120" t="str">
            <v>Conquistar</v>
          </cell>
        </row>
        <row r="2121">
          <cell r="A2121" t="str">
            <v>8240</v>
          </cell>
          <cell r="B2121" t="str">
            <v>8240 - INVERSIONES  A  &amp; CM C.A.  (FARMACIA EL CAFETAL )</v>
          </cell>
          <cell r="C2121" t="e">
            <v>#N/A</v>
          </cell>
          <cell r="D2121">
            <v>0</v>
          </cell>
          <cell r="E2121"/>
          <cell r="F2121" t="str">
            <v>CARACAS</v>
          </cell>
          <cell r="G2121" t="str">
            <v>JHON TORRES</v>
          </cell>
          <cell r="H2121"/>
          <cell r="I2121" t="str">
            <v>2</v>
          </cell>
          <cell r="J2121" t="str">
            <v>Bloqueado</v>
          </cell>
          <cell r="K2121">
            <v>3041.088959187191</v>
          </cell>
          <cell r="L2121">
            <v>1013.6963197290637</v>
          </cell>
          <cell r="M2121">
            <v>0</v>
          </cell>
          <cell r="N2121" t="str">
            <v>No Compra</v>
          </cell>
          <cell r="O2121">
            <v>3</v>
          </cell>
          <cell r="P2121">
            <v>15678.643596523529</v>
          </cell>
          <cell r="Q2121">
            <v>5226.2145321745093</v>
          </cell>
          <cell r="R2121">
            <v>0</v>
          </cell>
          <cell r="T2121"/>
          <cell r="U2121"/>
          <cell r="V2121">
            <v>0.19396377884764859</v>
          </cell>
          <cell r="W2121">
            <v>3.8706843344608007E-5</v>
          </cell>
          <cell r="X2121">
            <v>3</v>
          </cell>
          <cell r="Y2121" t="str">
            <v>Conquistar</v>
          </cell>
        </row>
        <row r="2122">
          <cell r="A2122" t="str">
            <v>D133</v>
          </cell>
          <cell r="B2122" t="str">
            <v>D133 - FARMACIA NORTH CENTER, C.A</v>
          </cell>
          <cell r="C2122" t="e">
            <v>#N/A</v>
          </cell>
          <cell r="D2122">
            <v>2</v>
          </cell>
          <cell r="E2122"/>
          <cell r="F2122" t="str">
            <v>MARACAIBO</v>
          </cell>
          <cell r="G2122" t="str">
            <v>JOEL JIMENEZ</v>
          </cell>
          <cell r="H2122"/>
          <cell r="I2122" t="str">
            <v>D</v>
          </cell>
          <cell r="J2122" t="str">
            <v>Activo</v>
          </cell>
          <cell r="K2122">
            <v>2993.0354827898182</v>
          </cell>
          <cell r="L2122">
            <v>1496.5177413949091</v>
          </cell>
          <cell r="M2122">
            <v>1496.5177413949091</v>
          </cell>
          <cell r="N2122" t="str">
            <v>Si Compra</v>
          </cell>
          <cell r="O2122">
            <v>2</v>
          </cell>
          <cell r="P2122">
            <v>4027.8364001317441</v>
          </cell>
          <cell r="Q2122">
            <v>2013.918200065872</v>
          </cell>
          <cell r="R2122">
            <v>2013.918200065872</v>
          </cell>
          <cell r="T2122"/>
          <cell r="U2122"/>
          <cell r="V2122">
            <v>0.74308764941195748</v>
          </cell>
          <cell r="W2122">
            <v>5.7142831291013676E-5</v>
          </cell>
          <cell r="X2122">
            <v>2</v>
          </cell>
          <cell r="Y2122" t="str">
            <v>Proteger</v>
          </cell>
        </row>
        <row r="2123">
          <cell r="A2123" t="str">
            <v>8803</v>
          </cell>
          <cell r="B2123" t="str">
            <v>8803 - MARKET FARMA 24, C.A</v>
          </cell>
          <cell r="C2123" t="str">
            <v>INDEPENDIENTE</v>
          </cell>
          <cell r="D2123">
            <v>3</v>
          </cell>
          <cell r="E2123"/>
          <cell r="F2123" t="str">
            <v>ESTE</v>
          </cell>
          <cell r="G2123" t="str">
            <v>CARMEN ALCALA</v>
          </cell>
          <cell r="H2123"/>
          <cell r="I2123" t="str">
            <v>A0</v>
          </cell>
          <cell r="J2123" t="str">
            <v>Activo</v>
          </cell>
          <cell r="K2123">
            <v>2981.0781803720888</v>
          </cell>
          <cell r="L2123">
            <v>331.23090893023209</v>
          </cell>
          <cell r="M2123">
            <v>118.30720000000001</v>
          </cell>
          <cell r="N2123" t="str">
            <v>Si Compra</v>
          </cell>
          <cell r="O2123">
            <v>9</v>
          </cell>
          <cell r="P2123">
            <v>4492.4809475206221</v>
          </cell>
          <cell r="Q2123">
            <v>499.16454972451356</v>
          </cell>
          <cell r="R2123">
            <v>223.42653333333331</v>
          </cell>
          <cell r="T2123"/>
          <cell r="U2123"/>
          <cell r="V2123">
            <v>0.66357057830536403</v>
          </cell>
          <cell r="W2123">
            <v>1.2647676284630618E-5</v>
          </cell>
          <cell r="X2123">
            <v>6</v>
          </cell>
          <cell r="Y2123" t="str">
            <v>Proteger</v>
          </cell>
        </row>
        <row r="2124">
          <cell r="A2124" t="str">
            <v>8958</v>
          </cell>
          <cell r="B2124" t="str">
            <v>8958 - FARMACIA LA BOTICA DEL AHORRO,C.A</v>
          </cell>
          <cell r="C2124" t="str">
            <v>INDEPENDIENTE</v>
          </cell>
          <cell r="D2124">
            <v>2</v>
          </cell>
          <cell r="E2124"/>
          <cell r="F2124" t="str">
            <v>CENTRO ESTE</v>
          </cell>
          <cell r="G2124" t="str">
            <v>KARLA SALAZAR</v>
          </cell>
          <cell r="H2124"/>
          <cell r="I2124" t="str">
            <v>H</v>
          </cell>
          <cell r="J2124" t="str">
            <v>Activo</v>
          </cell>
          <cell r="K2124">
            <v>2975.7587129371095</v>
          </cell>
          <cell r="L2124">
            <v>495.95978548951825</v>
          </cell>
          <cell r="M2124">
            <v>186.0213</v>
          </cell>
          <cell r="N2124" t="str">
            <v>Si Compra</v>
          </cell>
          <cell r="O2124">
            <v>6</v>
          </cell>
          <cell r="P2124">
            <v>2599.7013734096945</v>
          </cell>
          <cell r="Q2124">
            <v>433.2835622349491</v>
          </cell>
          <cell r="R2124">
            <v>142.0787</v>
          </cell>
          <cell r="T2124"/>
          <cell r="U2124"/>
          <cell r="V2124">
            <v>1.1446540527207512</v>
          </cell>
          <cell r="W2124">
            <v>1.8937661455946763E-5</v>
          </cell>
          <cell r="X2124">
            <v>3</v>
          </cell>
          <cell r="Y2124" t="str">
            <v>Proteger</v>
          </cell>
        </row>
        <row r="2125">
          <cell r="A2125" t="str">
            <v>8254</v>
          </cell>
          <cell r="B2125" t="str">
            <v>8254 - FARMACIA MAITA Y PAITO C.A.</v>
          </cell>
          <cell r="C2125" t="str">
            <v>INDEPENDIENTE</v>
          </cell>
          <cell r="D2125">
            <v>3</v>
          </cell>
          <cell r="E2125"/>
          <cell r="F2125" t="str">
            <v>ESTE</v>
          </cell>
          <cell r="G2125" t="str">
            <v>CARLOS BLONDELL</v>
          </cell>
          <cell r="H2125"/>
          <cell r="I2125" t="str">
            <v>A5</v>
          </cell>
          <cell r="J2125" t="str">
            <v>Inactivo</v>
          </cell>
          <cell r="K2125">
            <v>2971.649086433335</v>
          </cell>
          <cell r="L2125">
            <v>297.16490864333349</v>
          </cell>
          <cell r="M2125">
            <v>120.54912160097406</v>
          </cell>
          <cell r="N2125" t="str">
            <v>Si Compra</v>
          </cell>
          <cell r="O2125">
            <v>9</v>
          </cell>
          <cell r="P2125">
            <v>3179.7816602849412</v>
          </cell>
          <cell r="Q2125">
            <v>317.97816602849412</v>
          </cell>
          <cell r="R2125">
            <v>92.42622009498028</v>
          </cell>
          <cell r="T2125"/>
          <cell r="U2125"/>
          <cell r="V2125">
            <v>0.93454501091972608</v>
          </cell>
          <cell r="W2125">
            <v>1.1346904731237999E-5</v>
          </cell>
          <cell r="X2125">
            <v>8</v>
          </cell>
          <cell r="Y2125" t="str">
            <v>Proteger</v>
          </cell>
        </row>
        <row r="2126">
          <cell r="A2126">
            <v>0</v>
          </cell>
          <cell r="B2126" t="str">
            <v>S370 - ALEFARMA R&amp;Y, C.A</v>
          </cell>
          <cell r="C2126" t="e">
            <v>#N/A</v>
          </cell>
          <cell r="D2126">
            <v>0</v>
          </cell>
          <cell r="E2126"/>
          <cell r="F2126" t="str">
            <v>CENTRO ESTE</v>
          </cell>
          <cell r="G2126" t="str">
            <v>KARLA SALAZAR</v>
          </cell>
          <cell r="H2126"/>
          <cell r="I2126" t="str">
            <v>O</v>
          </cell>
          <cell r="J2126" t="str">
            <v>Bloqueado</v>
          </cell>
          <cell r="K2126">
            <v>2953.4882999999995</v>
          </cell>
          <cell r="L2126">
            <v>590.69765999999993</v>
          </cell>
          <cell r="M2126">
            <v>0</v>
          </cell>
          <cell r="N2126" t="str">
            <v>No Compra</v>
          </cell>
          <cell r="O2126">
            <v>5</v>
          </cell>
          <cell r="P2126">
            <v>287528.33900000004</v>
          </cell>
          <cell r="Q2126">
            <v>57505.66780000001</v>
          </cell>
          <cell r="R2126">
            <v>0</v>
          </cell>
          <cell r="T2126"/>
          <cell r="U2126"/>
          <cell r="V2126">
            <v>1.0271990268061887E-2</v>
          </cell>
          <cell r="W2126">
            <v>2.2555119659265925E-5</v>
          </cell>
          <cell r="X2126">
            <v>5</v>
          </cell>
          <cell r="Y2126" t="str">
            <v>Conquistar</v>
          </cell>
        </row>
        <row r="2127">
          <cell r="A2127" t="str">
            <v>E530</v>
          </cell>
          <cell r="B2127" t="str">
            <v>E530 - FARMACIA NOVAFARMA C.A</v>
          </cell>
          <cell r="C2127" t="e">
            <v>#N/A</v>
          </cell>
          <cell r="D2127">
            <v>2</v>
          </cell>
          <cell r="F2127" t="str">
            <v>CENTRO ESTE</v>
          </cell>
          <cell r="G2127">
            <v>0</v>
          </cell>
          <cell r="H2127"/>
          <cell r="I2127" t="str">
            <v>M</v>
          </cell>
          <cell r="J2127" t="str">
            <v>Activo</v>
          </cell>
          <cell r="K2127">
            <v>2947.5865999999996</v>
          </cell>
          <cell r="L2127">
            <v>982.52886666666654</v>
          </cell>
          <cell r="M2127">
            <v>1255.9874499999999</v>
          </cell>
          <cell r="N2127" t="str">
            <v>Si Compra</v>
          </cell>
          <cell r="O2127">
            <v>3</v>
          </cell>
          <cell r="P2127">
            <v>0</v>
          </cell>
          <cell r="Q2127">
            <v>0</v>
          </cell>
          <cell r="R2127">
            <v>0</v>
          </cell>
          <cell r="V2127">
            <v>0</v>
          </cell>
          <cell r="W2127">
            <v>3.7516749526906203E-5</v>
          </cell>
          <cell r="X2127">
            <v>0</v>
          </cell>
          <cell r="Y2127" t="str">
            <v>Conquistar</v>
          </cell>
        </row>
        <row r="2128">
          <cell r="A2128">
            <v>0</v>
          </cell>
          <cell r="B2128" t="str">
            <v>S369 - FARES AL HASANIEH</v>
          </cell>
          <cell r="C2128" t="e">
            <v>#N/A</v>
          </cell>
          <cell r="D2128">
            <v>0</v>
          </cell>
          <cell r="E2128"/>
          <cell r="F2128" t="str">
            <v>CENTRO OESTE</v>
          </cell>
          <cell r="H2128"/>
          <cell r="I2128" t="str">
            <v>E</v>
          </cell>
          <cell r="J2128" t="str">
            <v>Bloqueado</v>
          </cell>
          <cell r="K2128">
            <v>2943.7149000000004</v>
          </cell>
          <cell r="L2128">
            <v>981.23830000000009</v>
          </cell>
          <cell r="M2128">
            <v>0</v>
          </cell>
          <cell r="N2128" t="str">
            <v>No Compra</v>
          </cell>
          <cell r="O2128">
            <v>3</v>
          </cell>
          <cell r="P2128">
            <v>0</v>
          </cell>
          <cell r="Q2128">
            <v>0</v>
          </cell>
          <cell r="R2128">
            <v>0</v>
          </cell>
          <cell r="T2128"/>
          <cell r="U2128"/>
          <cell r="V2128">
            <v>0</v>
          </cell>
          <cell r="W2128">
            <v>3.7467470703633195E-5</v>
          </cell>
          <cell r="X2128">
            <v>0</v>
          </cell>
          <cell r="Y2128" t="str">
            <v>Conquistar</v>
          </cell>
        </row>
        <row r="2129">
          <cell r="A2129" t="str">
            <v>+159</v>
          </cell>
          <cell r="B2129" t="str">
            <v>+159 - FARMACIA PASEO LAS DELICIAS, C.A</v>
          </cell>
          <cell r="C2129" t="str">
            <v>INDEPENDIENTE</v>
          </cell>
          <cell r="D2129">
            <v>0</v>
          </cell>
          <cell r="E2129"/>
          <cell r="F2129" t="str">
            <v>CENTRO ESTE</v>
          </cell>
          <cell r="G2129" t="str">
            <v>LAURA FLORES</v>
          </cell>
          <cell r="H2129"/>
          <cell r="I2129" t="str">
            <v>+</v>
          </cell>
          <cell r="J2129" t="str">
            <v>Activo</v>
          </cell>
          <cell r="K2129">
            <v>2940.9375000000005</v>
          </cell>
          <cell r="L2129">
            <v>490.15625000000006</v>
          </cell>
          <cell r="M2129">
            <v>0</v>
          </cell>
          <cell r="N2129" t="str">
            <v>No Compra</v>
          </cell>
          <cell r="O2129">
            <v>6</v>
          </cell>
          <cell r="P2129">
            <v>3274.4593</v>
          </cell>
          <cell r="Q2129">
            <v>545.74321666666663</v>
          </cell>
          <cell r="R2129">
            <v>0</v>
          </cell>
          <cell r="T2129"/>
          <cell r="U2129"/>
          <cell r="V2129">
            <v>0.89814446617186561</v>
          </cell>
          <cell r="W2129">
            <v>1.8716060040744137E-5</v>
          </cell>
          <cell r="X2129">
            <v>5</v>
          </cell>
          <cell r="Y2129" t="str">
            <v>Proteger</v>
          </cell>
        </row>
        <row r="2130">
          <cell r="A2130" t="str">
            <v>E501</v>
          </cell>
          <cell r="B2130" t="str">
            <v>E501 - FARMAHOGAR A &amp; T, C.A.</v>
          </cell>
          <cell r="C2130" t="e">
            <v>#N/A</v>
          </cell>
          <cell r="D2130">
            <v>3</v>
          </cell>
          <cell r="F2130" t="str">
            <v>CENTRO ESTE</v>
          </cell>
          <cell r="G2130">
            <v>0</v>
          </cell>
          <cell r="H2130"/>
          <cell r="I2130" t="str">
            <v>AV</v>
          </cell>
          <cell r="J2130" t="str">
            <v>Activo</v>
          </cell>
          <cell r="K2130">
            <v>2939.1717734862486</v>
          </cell>
          <cell r="L2130">
            <v>734.79294337156216</v>
          </cell>
          <cell r="M2130">
            <v>854.70495782874957</v>
          </cell>
          <cell r="N2130" t="str">
            <v>Si Compra</v>
          </cell>
          <cell r="O2130">
            <v>4</v>
          </cell>
          <cell r="P2130">
            <v>0</v>
          </cell>
          <cell r="Q2130">
            <v>0</v>
          </cell>
          <cell r="R2130">
            <v>0</v>
          </cell>
          <cell r="V2130">
            <v>0</v>
          </cell>
          <cell r="W2130">
            <v>2.805723449544357E-5</v>
          </cell>
          <cell r="X2130">
            <v>0</v>
          </cell>
          <cell r="Y2130" t="str">
            <v>Conquistar</v>
          </cell>
        </row>
        <row r="2131">
          <cell r="A2131" t="str">
            <v>C775</v>
          </cell>
          <cell r="B2131" t="str">
            <v>C775 - FARMACIA FAMILIA Y HOGAR C.A.</v>
          </cell>
          <cell r="C2131" t="str">
            <v>INDEPENDIENTE</v>
          </cell>
          <cell r="D2131">
            <v>3</v>
          </cell>
          <cell r="E2131"/>
          <cell r="F2131" t="str">
            <v>ESTE</v>
          </cell>
          <cell r="G2131">
            <v>0</v>
          </cell>
          <cell r="H2131"/>
          <cell r="I2131" t="str">
            <v>A7</v>
          </cell>
          <cell r="J2131" t="str">
            <v>Activo</v>
          </cell>
          <cell r="K2131">
            <v>2916.0316168312679</v>
          </cell>
          <cell r="L2131">
            <v>324.00351298125202</v>
          </cell>
          <cell r="M2131">
            <v>354.89206666666661</v>
          </cell>
          <cell r="N2131" t="str">
            <v>Si Compra</v>
          </cell>
          <cell r="O2131">
            <v>9</v>
          </cell>
          <cell r="P2131">
            <v>0</v>
          </cell>
          <cell r="Q2131">
            <v>0</v>
          </cell>
          <cell r="R2131">
            <v>0</v>
          </cell>
          <cell r="T2131"/>
          <cell r="U2131"/>
          <cell r="V2131">
            <v>0</v>
          </cell>
          <cell r="W2131">
            <v>1.2371706373975919E-5</v>
          </cell>
          <cell r="X2131">
            <v>0</v>
          </cell>
          <cell r="Y2131" t="str">
            <v>Conquistar</v>
          </cell>
        </row>
        <row r="2132">
          <cell r="A2132" t="str">
            <v>8661</v>
          </cell>
          <cell r="B2132" t="str">
            <v>FARMAX</v>
          </cell>
          <cell r="C2132" t="str">
            <v>CADENA</v>
          </cell>
          <cell r="D2132">
            <v>9</v>
          </cell>
          <cell r="E2132">
            <v>0</v>
          </cell>
          <cell r="F2132" t="str">
            <v>CENTRO OESTE</v>
          </cell>
          <cell r="G2132" t="str">
            <v>DIEGO TORI</v>
          </cell>
          <cell r="H2132" t="str">
            <v>HECTOR</v>
          </cell>
          <cell r="I2132" t="str">
            <v>A</v>
          </cell>
          <cell r="J2132" t="str">
            <v>Activo</v>
          </cell>
          <cell r="K2132">
            <v>2910.8222906674473</v>
          </cell>
          <cell r="L2132">
            <v>582.16445813348946</v>
          </cell>
          <cell r="M2132">
            <v>856.23305850855593</v>
          </cell>
          <cell r="N2132" t="str">
            <v>Si Compra</v>
          </cell>
          <cell r="O2132">
            <v>4</v>
          </cell>
          <cell r="P2132">
            <v>1664428.0186542841</v>
          </cell>
          <cell r="Q2132">
            <v>332885.60373085679</v>
          </cell>
          <cell r="R2132">
            <v>473996.47006185632</v>
          </cell>
          <cell r="S2132">
            <v>20000.32</v>
          </cell>
          <cell r="T2132">
            <v>8</v>
          </cell>
          <cell r="U2132">
            <v>8</v>
          </cell>
          <cell r="V2132">
            <v>1.7488423999380235E-3</v>
          </cell>
          <cell r="W2132">
            <v>2.2229289031841711E-5</v>
          </cell>
          <cell r="X2132">
            <v>5</v>
          </cell>
          <cell r="Y2132" t="str">
            <v>Conquistar</v>
          </cell>
        </row>
        <row r="2133">
          <cell r="A2133" t="str">
            <v>6464</v>
          </cell>
          <cell r="B2133" t="str">
            <v>6464 - NOVEDADES RODRIGUEZ PRADO, FP</v>
          </cell>
          <cell r="C2133" t="str">
            <v>INDEPENDIENTE</v>
          </cell>
          <cell r="D2133">
            <v>3</v>
          </cell>
          <cell r="E2133"/>
          <cell r="F2133" t="str">
            <v>ESTE</v>
          </cell>
          <cell r="G2133">
            <v>0</v>
          </cell>
          <cell r="H2133"/>
          <cell r="I2133" t="str">
            <v>AB</v>
          </cell>
          <cell r="J2133" t="str">
            <v>Activo</v>
          </cell>
          <cell r="K2133">
            <v>2888.3811039626416</v>
          </cell>
          <cell r="L2133">
            <v>288.83811039626414</v>
          </cell>
          <cell r="M2133">
            <v>329.06136666666663</v>
          </cell>
          <cell r="N2133" t="str">
            <v>Si Compra</v>
          </cell>
          <cell r="O2133">
            <v>10</v>
          </cell>
          <cell r="P2133">
            <v>0</v>
          </cell>
          <cell r="Q2133">
            <v>0</v>
          </cell>
          <cell r="R2133">
            <v>0</v>
          </cell>
          <cell r="T2133"/>
          <cell r="U2133"/>
          <cell r="V2133">
            <v>0</v>
          </cell>
          <cell r="W2133">
            <v>1.1028955391737967E-5</v>
          </cell>
          <cell r="X2133">
            <v>0</v>
          </cell>
          <cell r="Y2133" t="str">
            <v>Conquistar</v>
          </cell>
        </row>
        <row r="2134">
          <cell r="A2134" t="str">
            <v>D911</v>
          </cell>
          <cell r="B2134" t="str">
            <v>D911 - SUMEQUI, C.A.</v>
          </cell>
          <cell r="C2134" t="str">
            <v>INDEPENDIENTE</v>
          </cell>
          <cell r="D2134">
            <v>2</v>
          </cell>
          <cell r="E2134"/>
          <cell r="F2134" t="str">
            <v>ESTE</v>
          </cell>
          <cell r="G2134">
            <v>0</v>
          </cell>
          <cell r="H2134"/>
          <cell r="I2134" t="str">
            <v>AB</v>
          </cell>
          <cell r="J2134" t="str">
            <v>Activo</v>
          </cell>
          <cell r="K2134">
            <v>2867.2420999999999</v>
          </cell>
          <cell r="L2134">
            <v>409.60601428571425</v>
          </cell>
          <cell r="M2134">
            <v>550.88504999999998</v>
          </cell>
          <cell r="N2134" t="str">
            <v>Si Compra</v>
          </cell>
          <cell r="O2134">
            <v>7</v>
          </cell>
          <cell r="P2134">
            <v>0</v>
          </cell>
          <cell r="Q2134">
            <v>0</v>
          </cell>
          <cell r="R2134">
            <v>0</v>
          </cell>
          <cell r="T2134"/>
          <cell r="U2134"/>
          <cell r="V2134">
            <v>0</v>
          </cell>
          <cell r="W2134">
            <v>1.5640340720783072E-5</v>
          </cell>
          <cell r="X2134">
            <v>0</v>
          </cell>
          <cell r="Y2134" t="str">
            <v>Conquistar</v>
          </cell>
        </row>
        <row r="2135">
          <cell r="A2135" t="str">
            <v>8668</v>
          </cell>
          <cell r="B2135" t="str">
            <v>8668 - FARMACIA NAZARET MONAGAS, C.A.</v>
          </cell>
          <cell r="C2135" t="e">
            <v>#N/A</v>
          </cell>
          <cell r="D2135">
            <v>3</v>
          </cell>
          <cell r="E2135"/>
          <cell r="F2135" t="str">
            <v>ESTE</v>
          </cell>
          <cell r="G2135" t="str">
            <v>CARMEN ALCALA</v>
          </cell>
          <cell r="H2135"/>
          <cell r="I2135" t="str">
            <v>A6</v>
          </cell>
          <cell r="J2135" t="str">
            <v>Inactivo</v>
          </cell>
          <cell r="K2135">
            <v>2856.9789999999998</v>
          </cell>
          <cell r="L2135">
            <v>571.39580000000001</v>
          </cell>
          <cell r="M2135">
            <v>542.36340000000007</v>
          </cell>
          <cell r="N2135" t="str">
            <v>Si Compra</v>
          </cell>
          <cell r="O2135">
            <v>5</v>
          </cell>
          <cell r="P2135">
            <v>110576.49519999999</v>
          </cell>
          <cell r="Q2135">
            <v>22115.299039999998</v>
          </cell>
          <cell r="R2135">
            <v>16723.6368</v>
          </cell>
          <cell r="T2135"/>
          <cell r="U2135"/>
          <cell r="V2135">
            <v>2.5837127454913223E-2</v>
          </cell>
          <cell r="W2135">
            <v>2.1818100044279813E-5</v>
          </cell>
          <cell r="X2135">
            <v>5</v>
          </cell>
          <cell r="Y2135" t="str">
            <v>Conquistar</v>
          </cell>
        </row>
        <row r="2136">
          <cell r="A2136" t="str">
            <v>E516</v>
          </cell>
          <cell r="B2136" t="str">
            <v>E516 - FARMACIA MI REY DAVID, C.A.</v>
          </cell>
          <cell r="C2136" t="e">
            <v>#N/A</v>
          </cell>
          <cell r="D2136">
            <v>2</v>
          </cell>
          <cell r="F2136" t="str">
            <v>MARACAIBO</v>
          </cell>
          <cell r="G2136">
            <v>0</v>
          </cell>
          <cell r="H2136"/>
          <cell r="I2136" t="str">
            <v>BZ</v>
          </cell>
          <cell r="J2136" t="str">
            <v>Inactivo</v>
          </cell>
          <cell r="K2136">
            <v>2851.1332000000002</v>
          </cell>
          <cell r="L2136">
            <v>1425.5666000000001</v>
          </cell>
          <cell r="M2136">
            <v>1425.5666000000001</v>
          </cell>
          <cell r="N2136" t="str">
            <v>Si Compra</v>
          </cell>
          <cell r="O2136">
            <v>2</v>
          </cell>
          <cell r="P2136">
            <v>0</v>
          </cell>
          <cell r="Q2136">
            <v>0</v>
          </cell>
          <cell r="R2136">
            <v>0</v>
          </cell>
          <cell r="V2136">
            <v>0</v>
          </cell>
          <cell r="W2136">
            <v>5.4433642491918607E-5</v>
          </cell>
          <cell r="X2136">
            <v>0</v>
          </cell>
          <cell r="Y2136" t="str">
            <v>Conquistar</v>
          </cell>
        </row>
        <row r="2137">
          <cell r="A2137" t="str">
            <v>E150</v>
          </cell>
          <cell r="B2137" t="str">
            <v>E150 - FARMALINE HOSPITALARIA C.A</v>
          </cell>
          <cell r="C2137" t="str">
            <v>INDEPENDIENTE</v>
          </cell>
          <cell r="D2137">
            <v>3</v>
          </cell>
          <cell r="F2137" t="str">
            <v>ANDES</v>
          </cell>
          <cell r="G2137">
            <v>0</v>
          </cell>
          <cell r="H2137"/>
          <cell r="I2137" t="str">
            <v>4</v>
          </cell>
          <cell r="J2137" t="str">
            <v>Activo</v>
          </cell>
          <cell r="K2137">
            <v>2842.8816999999999</v>
          </cell>
          <cell r="L2137">
            <v>406.12595714285715</v>
          </cell>
          <cell r="M2137">
            <v>586.88706666666667</v>
          </cell>
          <cell r="N2137" t="str">
            <v>Si Compra</v>
          </cell>
          <cell r="O2137">
            <v>7</v>
          </cell>
          <cell r="P2137">
            <v>0</v>
          </cell>
          <cell r="Q2137">
            <v>0</v>
          </cell>
          <cell r="R2137">
            <v>0</v>
          </cell>
          <cell r="V2137">
            <v>0</v>
          </cell>
          <cell r="W2137">
            <v>1.5507458688918878E-5</v>
          </cell>
          <cell r="X2137">
            <v>0</v>
          </cell>
          <cell r="Y2137" t="str">
            <v>Conquistar</v>
          </cell>
        </row>
        <row r="2138">
          <cell r="A2138" t="str">
            <v>D033</v>
          </cell>
          <cell r="B2138" t="str">
            <v>D033 - MERCAHORRO TIENDA, C.A</v>
          </cell>
          <cell r="C2138" t="str">
            <v>INDEPENDIENTE</v>
          </cell>
          <cell r="D2138">
            <v>2</v>
          </cell>
          <cell r="E2138"/>
          <cell r="F2138" t="str">
            <v>MARACAIBO</v>
          </cell>
          <cell r="G2138">
            <v>0</v>
          </cell>
          <cell r="H2138"/>
          <cell r="I2138" t="str">
            <v>B</v>
          </cell>
          <cell r="J2138" t="str">
            <v>Activo</v>
          </cell>
          <cell r="K2138">
            <v>2838.6666999999998</v>
          </cell>
          <cell r="L2138">
            <v>405.52381428571425</v>
          </cell>
          <cell r="M2138">
            <v>357.33569999999997</v>
          </cell>
          <cell r="N2138" t="str">
            <v>Si Compra</v>
          </cell>
          <cell r="O2138">
            <v>7</v>
          </cell>
          <cell r="P2138">
            <v>0</v>
          </cell>
          <cell r="Q2138">
            <v>0</v>
          </cell>
          <cell r="R2138">
            <v>0</v>
          </cell>
          <cell r="T2138"/>
          <cell r="U2138"/>
          <cell r="V2138">
            <v>0</v>
          </cell>
          <cell r="W2138">
            <v>1.5484466547397899E-5</v>
          </cell>
          <cell r="X2138">
            <v>0</v>
          </cell>
          <cell r="Y2138" t="str">
            <v>Conquistar</v>
          </cell>
        </row>
        <row r="2139">
          <cell r="A2139" t="str">
            <v>3013</v>
          </cell>
          <cell r="B2139" t="str">
            <v>3013 - FARMACIA DR. BARRETO C.A.</v>
          </cell>
          <cell r="C2139" t="str">
            <v>INDEPENDIENTE</v>
          </cell>
          <cell r="D2139">
            <v>3</v>
          </cell>
          <cell r="E2139"/>
          <cell r="F2139" t="str">
            <v>ESTE</v>
          </cell>
          <cell r="G2139" t="str">
            <v>CARMEN ALCALA</v>
          </cell>
          <cell r="H2139"/>
          <cell r="I2139" t="str">
            <v>A0</v>
          </cell>
          <cell r="J2139" t="str">
            <v>Bloqueado</v>
          </cell>
          <cell r="K2139">
            <v>2819.953982196741</v>
          </cell>
          <cell r="L2139">
            <v>352.49424777459262</v>
          </cell>
          <cell r="M2139">
            <v>249.10126666666667</v>
          </cell>
          <cell r="N2139" t="str">
            <v>Si Compra</v>
          </cell>
          <cell r="O2139">
            <v>8</v>
          </cell>
          <cell r="P2139">
            <v>4678.6735801316518</v>
          </cell>
          <cell r="Q2139">
            <v>584.83419751645647</v>
          </cell>
          <cell r="R2139">
            <v>340.87190000000004</v>
          </cell>
          <cell r="T2139"/>
          <cell r="U2139"/>
          <cell r="V2139">
            <v>0.60272509588441758</v>
          </cell>
          <cell r="W2139">
            <v>1.3459592742857436E-5</v>
          </cell>
          <cell r="X2139">
            <v>7</v>
          </cell>
          <cell r="Y2139" t="str">
            <v>Potenciar</v>
          </cell>
        </row>
        <row r="2140">
          <cell r="A2140" t="str">
            <v>E32</v>
          </cell>
          <cell r="B2140" t="str">
            <v>GRUPO DR. ALBINO TORO</v>
          </cell>
          <cell r="C2140" t="e">
            <v>#N/A</v>
          </cell>
          <cell r="D2140">
            <v>0</v>
          </cell>
          <cell r="F2140" t="str">
            <v>CENTRO OESTE</v>
          </cell>
          <cell r="G2140" t="str">
            <v>LUIS PLACERES</v>
          </cell>
          <cell r="H2140"/>
          <cell r="I2140" t="str">
            <v>E</v>
          </cell>
          <cell r="J2140" t="str">
            <v>Bloqueado</v>
          </cell>
          <cell r="K2140">
            <v>2814.2138519299124</v>
          </cell>
          <cell r="L2140">
            <v>562.84277038598248</v>
          </cell>
          <cell r="M2140">
            <v>0</v>
          </cell>
          <cell r="N2140" t="str">
            <v>No Compra</v>
          </cell>
          <cell r="O2140">
            <v>5</v>
          </cell>
          <cell r="P2140">
            <v>2784.8068675852223</v>
          </cell>
          <cell r="Q2140">
            <v>556.96137351704442</v>
          </cell>
          <cell r="R2140">
            <v>0</v>
          </cell>
          <cell r="V2140">
            <v>1.0105597930998316</v>
          </cell>
          <cell r="W2140">
            <v>2.1491512316823081E-5</v>
          </cell>
          <cell r="X2140">
            <v>5</v>
          </cell>
          <cell r="Y2140" t="str">
            <v>Proteger</v>
          </cell>
        </row>
        <row r="2141">
          <cell r="A2141" t="str">
            <v>3560</v>
          </cell>
          <cell r="B2141" t="str">
            <v>3560 - FARMACIA EL PORTILLO, S.R.L.</v>
          </cell>
          <cell r="C2141" t="str">
            <v>INDEPENDIENTE</v>
          </cell>
          <cell r="D2141">
            <v>2</v>
          </cell>
          <cell r="E2141"/>
          <cell r="F2141" t="str">
            <v>CENTRO OESTE</v>
          </cell>
          <cell r="G2141" t="str">
            <v>DIEGO TORI</v>
          </cell>
          <cell r="H2141"/>
          <cell r="I2141" t="str">
            <v>A</v>
          </cell>
          <cell r="J2141" t="str">
            <v>Inactivo</v>
          </cell>
          <cell r="K2141">
            <v>2813.1075267359474</v>
          </cell>
          <cell r="L2141">
            <v>312.56750297066083</v>
          </cell>
          <cell r="M2141">
            <v>297.78274107147274</v>
          </cell>
          <cell r="N2141" t="str">
            <v>Si Compra</v>
          </cell>
          <cell r="O2141">
            <v>9</v>
          </cell>
          <cell r="P2141">
            <v>12514.299987821885</v>
          </cell>
          <cell r="Q2141">
            <v>1390.4777764246539</v>
          </cell>
          <cell r="R2141">
            <v>1987.5630244738845</v>
          </cell>
          <cell r="T2141"/>
          <cell r="U2141"/>
          <cell r="V2141">
            <v>0.22479144094943251</v>
          </cell>
          <cell r="W2141">
            <v>1.1935035312483232E-5</v>
          </cell>
          <cell r="X2141">
            <v>9</v>
          </cell>
          <cell r="Y2141" t="str">
            <v>Potenciar</v>
          </cell>
        </row>
        <row r="2142">
          <cell r="A2142" t="str">
            <v>D783</v>
          </cell>
          <cell r="B2142" t="str">
            <v>D783 - EPS FARMADELTA C.A.</v>
          </cell>
          <cell r="C2142" t="str">
            <v>INDEPENDIENTE</v>
          </cell>
          <cell r="D2142">
            <v>2</v>
          </cell>
          <cell r="E2142"/>
          <cell r="F2142" t="str">
            <v>ESTE</v>
          </cell>
          <cell r="G2142" t="str">
            <v>CARMEN ALCALA</v>
          </cell>
          <cell r="H2142"/>
          <cell r="I2142" t="str">
            <v>A0</v>
          </cell>
          <cell r="J2142" t="str">
            <v>Bloqueado</v>
          </cell>
          <cell r="K2142">
            <v>2811.7562000000003</v>
          </cell>
          <cell r="L2142">
            <v>351.46952500000003</v>
          </cell>
          <cell r="M2142">
            <v>45.209950000000006</v>
          </cell>
          <cell r="N2142" t="str">
            <v>Si Compra</v>
          </cell>
          <cell r="O2142">
            <v>8</v>
          </cell>
          <cell r="P2142">
            <v>156125.0533</v>
          </cell>
          <cell r="Q2142">
            <v>19515.6316625</v>
          </cell>
          <cell r="R2142">
            <v>9088.9681500000006</v>
          </cell>
          <cell r="T2142"/>
          <cell r="U2142"/>
          <cell r="V2142">
            <v>1.8009641249550821E-2</v>
          </cell>
          <cell r="W2142">
            <v>1.3420464866849748E-5</v>
          </cell>
          <cell r="X2142">
            <v>8</v>
          </cell>
          <cell r="Y2142" t="str">
            <v>Conquistar</v>
          </cell>
        </row>
        <row r="2143">
          <cell r="A2143" t="str">
            <v>3520</v>
          </cell>
          <cell r="B2143" t="str">
            <v>3520 - ESCALANTE HERNANDEZ, ALBA BELEN (FARMACIA ALBES)</v>
          </cell>
          <cell r="C2143" t="str">
            <v>INDEPENDIENTE</v>
          </cell>
          <cell r="D2143">
            <v>2</v>
          </cell>
          <cell r="E2143"/>
          <cell r="F2143" t="str">
            <v>ANDES</v>
          </cell>
          <cell r="G2143" t="str">
            <v>JESUS CONTRERAS</v>
          </cell>
          <cell r="H2143"/>
          <cell r="I2143" t="str">
            <v>G2</v>
          </cell>
          <cell r="J2143" t="str">
            <v>Activo</v>
          </cell>
          <cell r="K2143">
            <v>2807.2895000000003</v>
          </cell>
          <cell r="L2143">
            <v>311.9210555555556</v>
          </cell>
          <cell r="M2143">
            <v>233.28019999999998</v>
          </cell>
          <cell r="N2143" t="str">
            <v>Si Compra</v>
          </cell>
          <cell r="O2143">
            <v>9</v>
          </cell>
          <cell r="P2143">
            <v>2859.1849999999999</v>
          </cell>
          <cell r="Q2143">
            <v>317.6872222222222</v>
          </cell>
          <cell r="R2143">
            <v>180.24175</v>
          </cell>
          <cell r="T2143"/>
          <cell r="U2143"/>
          <cell r="V2143">
            <v>0.98184954803554181</v>
          </cell>
          <cell r="W2143">
            <v>1.1910351451705584E-5</v>
          </cell>
          <cell r="X2143">
            <v>6</v>
          </cell>
          <cell r="Y2143" t="str">
            <v>Proteger</v>
          </cell>
        </row>
        <row r="2144">
          <cell r="A2144" t="str">
            <v>9405</v>
          </cell>
          <cell r="B2144" t="str">
            <v>9405 - FARMACIA DOÑA ROSA, C.A</v>
          </cell>
          <cell r="C2144" t="e">
            <v>#N/A</v>
          </cell>
          <cell r="D2144">
            <v>3</v>
          </cell>
          <cell r="E2144"/>
          <cell r="F2144" t="str">
            <v>ANDES</v>
          </cell>
          <cell r="G2144" t="str">
            <v>ZULAY PARRA</v>
          </cell>
          <cell r="H2144"/>
          <cell r="I2144" t="str">
            <v>5</v>
          </cell>
          <cell r="J2144" t="str">
            <v>Inactivo</v>
          </cell>
          <cell r="K2144">
            <v>2799.1016</v>
          </cell>
          <cell r="L2144">
            <v>933.03386666666665</v>
          </cell>
          <cell r="M2144">
            <v>933.03386666666665</v>
          </cell>
          <cell r="N2144" t="str">
            <v>Si Compra</v>
          </cell>
          <cell r="O2144">
            <v>3</v>
          </cell>
          <cell r="P2144">
            <v>19012.9719</v>
          </cell>
          <cell r="Q2144">
            <v>6337.6572999999999</v>
          </cell>
          <cell r="R2144">
            <v>6337.6572999999999</v>
          </cell>
          <cell r="T2144"/>
          <cell r="U2144"/>
          <cell r="V2144">
            <v>0.14722062467256894</v>
          </cell>
          <cell r="W2144">
            <v>3.5626839132584742E-5</v>
          </cell>
          <cell r="X2144">
            <v>3</v>
          </cell>
          <cell r="Y2144" t="str">
            <v>Conquistar</v>
          </cell>
        </row>
        <row r="2145">
          <cell r="A2145" t="str">
            <v>D854</v>
          </cell>
          <cell r="B2145" t="str">
            <v>D854 - FARMACIA LA GLORIA DE DIOS, C.A</v>
          </cell>
          <cell r="C2145" t="str">
            <v>INDEPENDIENTE</v>
          </cell>
          <cell r="D2145">
            <v>0</v>
          </cell>
          <cell r="E2145"/>
          <cell r="F2145" t="str">
            <v>MARACAIBO</v>
          </cell>
          <cell r="G2145" t="str">
            <v>YENNIFER LUZARDO</v>
          </cell>
          <cell r="H2145"/>
          <cell r="I2145" t="str">
            <v>B</v>
          </cell>
          <cell r="J2145" t="str">
            <v>Activo</v>
          </cell>
          <cell r="K2145">
            <v>2792.3818999999999</v>
          </cell>
          <cell r="L2145">
            <v>930.79396666666662</v>
          </cell>
          <cell r="M2145">
            <v>0</v>
          </cell>
          <cell r="N2145" t="str">
            <v>No Compra</v>
          </cell>
          <cell r="O2145">
            <v>3</v>
          </cell>
          <cell r="P2145">
            <v>573297.71610000008</v>
          </cell>
          <cell r="Q2145">
            <v>191099.23870000002</v>
          </cell>
          <cell r="R2145">
            <v>0</v>
          </cell>
          <cell r="T2145"/>
          <cell r="U2145"/>
          <cell r="V2145">
            <v>4.8707361316487887E-3</v>
          </cell>
          <cell r="W2145">
            <v>3.5541311093545636E-5</v>
          </cell>
          <cell r="X2145">
            <v>3</v>
          </cell>
          <cell r="Y2145" t="str">
            <v>Conquistar</v>
          </cell>
        </row>
        <row r="2146">
          <cell r="A2146" t="str">
            <v>B468</v>
          </cell>
          <cell r="B2146" t="str">
            <v>B468 - COMERCIALIZADORA LIMPIA TODO C.A.</v>
          </cell>
          <cell r="C2146" t="str">
            <v>INDEPENDIENTE</v>
          </cell>
          <cell r="D2146">
            <v>0</v>
          </cell>
          <cell r="E2146"/>
          <cell r="F2146" t="str">
            <v>ESTE</v>
          </cell>
          <cell r="H2146"/>
          <cell r="I2146" t="str">
            <v>A7</v>
          </cell>
          <cell r="J2146" t="str">
            <v>Bloqueado</v>
          </cell>
          <cell r="K2146">
            <v>2791.797</v>
          </cell>
          <cell r="L2146">
            <v>1395.8985</v>
          </cell>
          <cell r="M2146">
            <v>0</v>
          </cell>
          <cell r="N2146" t="str">
            <v>No Compra</v>
          </cell>
          <cell r="O2146">
            <v>2</v>
          </cell>
          <cell r="P2146">
            <v>0</v>
          </cell>
          <cell r="Q2146">
            <v>0</v>
          </cell>
          <cell r="R2146">
            <v>0</v>
          </cell>
          <cell r="T2146"/>
          <cell r="U2146"/>
          <cell r="V2146">
            <v>0</v>
          </cell>
          <cell r="W2146">
            <v>5.3300799769021972E-5</v>
          </cell>
          <cell r="X2146">
            <v>0</v>
          </cell>
          <cell r="Y2146" t="str">
            <v>Conquistar</v>
          </cell>
        </row>
        <row r="2147">
          <cell r="A2147" t="str">
            <v>0975</v>
          </cell>
          <cell r="B2147" t="str">
            <v>0975 - DIAZ LOURDES (FARMACIA SAN JUDAS TADEO)</v>
          </cell>
          <cell r="C2147" t="str">
            <v>INDEPENDIENTE</v>
          </cell>
          <cell r="D2147">
            <v>3</v>
          </cell>
          <cell r="E2147"/>
          <cell r="F2147" t="str">
            <v>ESTE</v>
          </cell>
          <cell r="G2147" t="str">
            <v>CARLOS BLONDELL</v>
          </cell>
          <cell r="H2147"/>
          <cell r="I2147" t="str">
            <v>A5</v>
          </cell>
          <cell r="J2147" t="str">
            <v>Inactivo</v>
          </cell>
          <cell r="K2147">
            <v>2778.6409999999996</v>
          </cell>
          <cell r="L2147">
            <v>277.86409999999995</v>
          </cell>
          <cell r="M2147">
            <v>270.57146666666665</v>
          </cell>
          <cell r="N2147" t="str">
            <v>Si Compra</v>
          </cell>
          <cell r="O2147">
            <v>10</v>
          </cell>
          <cell r="P2147">
            <v>6793.8924999999999</v>
          </cell>
          <cell r="Q2147">
            <v>679.38924999999995</v>
          </cell>
          <cell r="R2147">
            <v>574.06763333333345</v>
          </cell>
          <cell r="T2147"/>
          <cell r="U2147"/>
          <cell r="V2147">
            <v>0.40899101656377396</v>
          </cell>
          <cell r="W2147">
            <v>1.0609925261112822E-5</v>
          </cell>
          <cell r="X2147">
            <v>10</v>
          </cell>
          <cell r="Y2147" t="str">
            <v>Potenciar</v>
          </cell>
        </row>
        <row r="2148">
          <cell r="A2148" t="str">
            <v>7108</v>
          </cell>
          <cell r="B2148" t="str">
            <v>7108 - FARMACIA LOS ILUSTRES S.P C.A</v>
          </cell>
          <cell r="C2148" t="str">
            <v>INDEPENDIENTE</v>
          </cell>
          <cell r="D2148">
            <v>3</v>
          </cell>
          <cell r="E2148"/>
          <cell r="F2148" t="str">
            <v>CARACAS</v>
          </cell>
          <cell r="G2148" t="str">
            <v>RAMON SERRANO</v>
          </cell>
          <cell r="H2148"/>
          <cell r="I2148" t="str">
            <v>CB</v>
          </cell>
          <cell r="J2148" t="str">
            <v>Activo</v>
          </cell>
          <cell r="K2148">
            <v>2773.8516</v>
          </cell>
          <cell r="L2148">
            <v>308.20573333333334</v>
          </cell>
          <cell r="M2148">
            <v>355.60453333333334</v>
          </cell>
          <cell r="N2148" t="str">
            <v>Si Compra</v>
          </cell>
          <cell r="O2148">
            <v>9</v>
          </cell>
          <cell r="P2148">
            <v>1112.7203999999999</v>
          </cell>
          <cell r="Q2148">
            <v>123.6356</v>
          </cell>
          <cell r="R2148">
            <v>89.837133333333327</v>
          </cell>
          <cell r="T2148"/>
          <cell r="U2148"/>
          <cell r="V2148">
            <v>2.4928558872471469</v>
          </cell>
          <cell r="W2148">
            <v>1.1768486089830013E-5</v>
          </cell>
          <cell r="X2148">
            <v>4</v>
          </cell>
          <cell r="Y2148" t="str">
            <v>Proteger</v>
          </cell>
        </row>
        <row r="2149">
          <cell r="A2149" t="str">
            <v>D815</v>
          </cell>
          <cell r="B2149" t="str">
            <v>D815 - KAIROS FARMACIAS, C.A</v>
          </cell>
          <cell r="C2149" t="str">
            <v>INDEPENDIENTE</v>
          </cell>
          <cell r="D2149">
            <v>0</v>
          </cell>
          <cell r="E2149"/>
          <cell r="F2149" t="str">
            <v>CENTRO ESTE</v>
          </cell>
          <cell r="G2149" t="str">
            <v>KARLA SALAZAR</v>
          </cell>
          <cell r="H2149"/>
          <cell r="I2149" t="str">
            <v>O</v>
          </cell>
          <cell r="J2149" t="str">
            <v>Bloqueado</v>
          </cell>
          <cell r="K2149">
            <v>2758.6556855490189</v>
          </cell>
          <cell r="L2149">
            <v>689.66392138725473</v>
          </cell>
          <cell r="M2149">
            <v>0</v>
          </cell>
          <cell r="N2149" t="str">
            <v>No Compra</v>
          </cell>
          <cell r="O2149">
            <v>3</v>
          </cell>
          <cell r="P2149">
            <v>4554.9070581340557</v>
          </cell>
          <cell r="Q2149">
            <v>1138.7267645335139</v>
          </cell>
          <cell r="R2149">
            <v>0</v>
          </cell>
          <cell r="T2149"/>
          <cell r="U2149"/>
          <cell r="V2149">
            <v>0.60564478052799575</v>
          </cell>
          <cell r="W2149">
            <v>2.6334034015926356E-5</v>
          </cell>
          <cell r="X2149">
            <v>3</v>
          </cell>
          <cell r="Y2149" t="str">
            <v>Potenciar</v>
          </cell>
        </row>
        <row r="2150">
          <cell r="A2150" t="str">
            <v>D365</v>
          </cell>
          <cell r="B2150" t="str">
            <v>D365 - FARMACIA DIOS CON NOSOTROS, C.A.</v>
          </cell>
          <cell r="C2150" t="str">
            <v>INDEPENDIENTE</v>
          </cell>
          <cell r="D2150">
            <v>2</v>
          </cell>
          <cell r="E2150"/>
          <cell r="F2150" t="str">
            <v>ANDES</v>
          </cell>
          <cell r="G2150" t="str">
            <v>JESUS CONTRERAS</v>
          </cell>
          <cell r="H2150"/>
          <cell r="I2150" t="str">
            <v>G2</v>
          </cell>
          <cell r="J2150" t="str">
            <v>Activo</v>
          </cell>
          <cell r="K2150">
            <v>2744.4677999999999</v>
          </cell>
          <cell r="L2150">
            <v>392.06682857142857</v>
          </cell>
          <cell r="M2150">
            <v>688.93010000000004</v>
          </cell>
          <cell r="N2150" t="str">
            <v>Si Compra</v>
          </cell>
          <cell r="O2150">
            <v>7</v>
          </cell>
          <cell r="P2150">
            <v>3850.6717000000003</v>
          </cell>
          <cell r="Q2150">
            <v>550.09595714285717</v>
          </cell>
          <cell r="R2150">
            <v>737.05674999999997</v>
          </cell>
          <cell r="T2150"/>
          <cell r="U2150"/>
          <cell r="V2150">
            <v>0.71272443194780788</v>
          </cell>
          <cell r="W2150">
            <v>1.4970626822624409E-5</v>
          </cell>
          <cell r="X2150">
            <v>7</v>
          </cell>
          <cell r="Y2150" t="str">
            <v>Proteger</v>
          </cell>
        </row>
        <row r="2151">
          <cell r="A2151" t="str">
            <v>C711</v>
          </cell>
          <cell r="B2151" t="str">
            <v>C711 - FARMACIA BIOMEDIC, C.A.</v>
          </cell>
          <cell r="C2151" t="str">
            <v>INDEPENDIENTE</v>
          </cell>
          <cell r="D2151">
            <v>2</v>
          </cell>
          <cell r="E2151"/>
          <cell r="F2151" t="str">
            <v>CARACAS</v>
          </cell>
          <cell r="G2151" t="str">
            <v>MAIRE ACOSTA FERNANDEZ</v>
          </cell>
          <cell r="H2151"/>
          <cell r="I2151" t="str">
            <v>C9</v>
          </cell>
          <cell r="J2151" t="str">
            <v>Inactivo</v>
          </cell>
          <cell r="K2151">
            <v>2739.7997</v>
          </cell>
          <cell r="L2151">
            <v>391.39995714285715</v>
          </cell>
          <cell r="M2151">
            <v>190.23025000000001</v>
          </cell>
          <cell r="N2151" t="str">
            <v>Si Compra</v>
          </cell>
          <cell r="O2151">
            <v>7</v>
          </cell>
          <cell r="P2151">
            <v>8187.0521999999992</v>
          </cell>
          <cell r="Q2151">
            <v>1169.5788857142857</v>
          </cell>
          <cell r="R2151">
            <v>565.50805000000003</v>
          </cell>
          <cell r="T2151"/>
          <cell r="U2151"/>
          <cell r="V2151">
            <v>0.33465032750127088</v>
          </cell>
          <cell r="W2151">
            <v>1.49451630940754E-5</v>
          </cell>
          <cell r="X2151">
            <v>6</v>
          </cell>
          <cell r="Y2151" t="str">
            <v>Potenciar</v>
          </cell>
        </row>
        <row r="2152">
          <cell r="A2152" t="str">
            <v>E075</v>
          </cell>
          <cell r="B2152" t="str">
            <v>E075 - FARMAAMIGA 2021, C.A</v>
          </cell>
          <cell r="C2152" t="str">
            <v>INDEPENDIENTE</v>
          </cell>
          <cell r="D2152">
            <v>3</v>
          </cell>
          <cell r="F2152" t="str">
            <v>CENTRO ESTE</v>
          </cell>
          <cell r="G2152">
            <v>0</v>
          </cell>
          <cell r="H2152"/>
          <cell r="I2152" t="str">
            <v>H</v>
          </cell>
          <cell r="J2152" t="str">
            <v>Activo</v>
          </cell>
          <cell r="K2152">
            <v>2725.5378497352194</v>
          </cell>
          <cell r="L2152">
            <v>302.83753885946885</v>
          </cell>
          <cell r="M2152">
            <v>349.44380000000001</v>
          </cell>
          <cell r="N2152" t="str">
            <v>Si Compra</v>
          </cell>
          <cell r="O2152">
            <v>9</v>
          </cell>
          <cell r="P2152">
            <v>0</v>
          </cell>
          <cell r="Q2152">
            <v>0</v>
          </cell>
          <cell r="R2152">
            <v>0</v>
          </cell>
          <cell r="V2152">
            <v>0</v>
          </cell>
          <cell r="W2152">
            <v>1.1563507677164177E-5</v>
          </cell>
          <cell r="X2152">
            <v>0</v>
          </cell>
          <cell r="Y2152" t="str">
            <v>Conquistar</v>
          </cell>
        </row>
        <row r="2153">
          <cell r="A2153" t="str">
            <v>D551</v>
          </cell>
          <cell r="B2153" t="str">
            <v>D551 - FARMACIA SANTA ANA  2030, C.A.</v>
          </cell>
          <cell r="C2153" t="str">
            <v>INDEPENDIENTE</v>
          </cell>
          <cell r="D2153">
            <v>3</v>
          </cell>
          <cell r="E2153"/>
          <cell r="F2153" t="str">
            <v>ANDES</v>
          </cell>
          <cell r="G2153" t="str">
            <v>ANYERSSON TORRES</v>
          </cell>
          <cell r="H2153"/>
          <cell r="I2153" t="str">
            <v xml:space="preserve">4 </v>
          </cell>
          <cell r="J2153" t="str">
            <v>Activo</v>
          </cell>
          <cell r="K2153">
            <v>2716.5152999999996</v>
          </cell>
          <cell r="L2153">
            <v>271.65152999999998</v>
          </cell>
          <cell r="M2153">
            <v>334.83780000000002</v>
          </cell>
          <cell r="N2153" t="str">
            <v>Si Compra</v>
          </cell>
          <cell r="O2153">
            <v>10</v>
          </cell>
          <cell r="P2153">
            <v>9032.8316000000013</v>
          </cell>
          <cell r="Q2153">
            <v>903.28316000000018</v>
          </cell>
          <cell r="R2153">
            <v>505.99736666666666</v>
          </cell>
          <cell r="T2153"/>
          <cell r="U2153"/>
          <cell r="V2153">
            <v>0.30073795464093445</v>
          </cell>
          <cell r="W2153">
            <v>1.0372705327413464E-5</v>
          </cell>
          <cell r="X2153">
            <v>10</v>
          </cell>
          <cell r="Y2153" t="str">
            <v>Potenciar</v>
          </cell>
        </row>
        <row r="2154">
          <cell r="A2154" t="str">
            <v>0259</v>
          </cell>
          <cell r="B2154" t="str">
            <v>0259 - FARMACIA LA ENTRADA C.A.</v>
          </cell>
          <cell r="C2154" t="str">
            <v>INDEPENDIENTE</v>
          </cell>
          <cell r="D2154">
            <v>3</v>
          </cell>
          <cell r="E2154"/>
          <cell r="F2154" t="str">
            <v>ESTE</v>
          </cell>
          <cell r="G2154" t="str">
            <v>CARMEN ALCALA</v>
          </cell>
          <cell r="H2154"/>
          <cell r="I2154" t="str">
            <v>A6</v>
          </cell>
          <cell r="J2154" t="str">
            <v>Inactivo</v>
          </cell>
          <cell r="K2154">
            <v>2712.2200830451497</v>
          </cell>
          <cell r="L2154">
            <v>271.22200830451499</v>
          </cell>
          <cell r="M2154">
            <v>291.60716666666667</v>
          </cell>
          <cell r="N2154" t="str">
            <v>Si Compra</v>
          </cell>
          <cell r="O2154">
            <v>10</v>
          </cell>
          <cell r="P2154">
            <v>1380.4005727960912</v>
          </cell>
          <cell r="Q2154">
            <v>138.04005727960913</v>
          </cell>
          <cell r="R2154">
            <v>106.9268</v>
          </cell>
          <cell r="T2154"/>
          <cell r="U2154"/>
          <cell r="V2154">
            <v>1.9648065470962326</v>
          </cell>
          <cell r="W2154">
            <v>1.0356304529011936E-5</v>
          </cell>
          <cell r="X2154">
            <v>4</v>
          </cell>
          <cell r="Y2154" t="str">
            <v>Proteger</v>
          </cell>
        </row>
        <row r="2155">
          <cell r="A2155" t="str">
            <v>M116</v>
          </cell>
          <cell r="B2155" t="str">
            <v>M116 - FARMACIA SAN DIEGO II C.A.</v>
          </cell>
          <cell r="C2155" t="str">
            <v>INDEPENDIENTE</v>
          </cell>
          <cell r="D2155">
            <v>2</v>
          </cell>
          <cell r="F2155" t="str">
            <v>CENTRO ESTE</v>
          </cell>
          <cell r="G2155" t="str">
            <v>KARLA SALAZAR</v>
          </cell>
          <cell r="H2155"/>
          <cell r="I2155" t="str">
            <v>O</v>
          </cell>
          <cell r="J2155" t="str">
            <v>Activo</v>
          </cell>
          <cell r="K2155">
            <v>2693.2370999999998</v>
          </cell>
          <cell r="L2155">
            <v>299.24856666666665</v>
          </cell>
          <cell r="M2155">
            <v>301.66309999999999</v>
          </cell>
          <cell r="N2155" t="str">
            <v>Si Compra</v>
          </cell>
          <cell r="O2155">
            <v>9</v>
          </cell>
          <cell r="P2155">
            <v>5749.9432000000006</v>
          </cell>
          <cell r="Q2155">
            <v>638.8825777777779</v>
          </cell>
          <cell r="R2155">
            <v>227.60409999999999</v>
          </cell>
          <cell r="V2155">
            <v>0.46839368778460272</v>
          </cell>
          <cell r="W2155">
            <v>1.1426466847744892E-5</v>
          </cell>
          <cell r="X2155">
            <v>8</v>
          </cell>
          <cell r="Y2155" t="str">
            <v>Potenciar</v>
          </cell>
        </row>
        <row r="2156">
          <cell r="A2156" t="str">
            <v>C597</v>
          </cell>
          <cell r="B2156" t="str">
            <v>C597 - FARMA ONCOLOGICA, C.A</v>
          </cell>
          <cell r="C2156" t="str">
            <v>INDEPENDIENTE</v>
          </cell>
          <cell r="D2156">
            <v>3</v>
          </cell>
          <cell r="E2156"/>
          <cell r="F2156" t="str">
            <v>CENTRO ESTE</v>
          </cell>
          <cell r="G2156" t="str">
            <v>KARLA SALAZAR</v>
          </cell>
          <cell r="H2156"/>
          <cell r="I2156" t="str">
            <v>O</v>
          </cell>
          <cell r="J2156" t="str">
            <v>Activo</v>
          </cell>
          <cell r="K2156">
            <v>2690.41470000345</v>
          </cell>
          <cell r="L2156">
            <v>269.04147000034499</v>
          </cell>
          <cell r="M2156">
            <v>167.18359999999998</v>
          </cell>
          <cell r="N2156" t="str">
            <v>Si Compra</v>
          </cell>
          <cell r="O2156">
            <v>9</v>
          </cell>
          <cell r="P2156">
            <v>4074.9242001232137</v>
          </cell>
          <cell r="Q2156">
            <v>407.49242001232136</v>
          </cell>
          <cell r="R2156">
            <v>103.54090000000001</v>
          </cell>
          <cell r="T2156"/>
          <cell r="U2156"/>
          <cell r="V2156">
            <v>0.6602367474521611</v>
          </cell>
          <cell r="W2156">
            <v>1.0273043148947951E-5</v>
          </cell>
          <cell r="X2156">
            <v>8</v>
          </cell>
          <cell r="Y2156" t="str">
            <v>Proteger</v>
          </cell>
        </row>
        <row r="2157">
          <cell r="A2157" t="str">
            <v>B647</v>
          </cell>
          <cell r="B2157" t="str">
            <v>B647 - FARMACIA LA REDOMA 2021, S.A.</v>
          </cell>
          <cell r="C2157" t="str">
            <v>INDEPENDIENTE</v>
          </cell>
          <cell r="D2157">
            <v>3</v>
          </cell>
          <cell r="E2157"/>
          <cell r="F2157" t="str">
            <v>ANDES</v>
          </cell>
          <cell r="G2157" t="str">
            <v>MILAGRO BRICEñO</v>
          </cell>
          <cell r="H2157"/>
          <cell r="I2157" t="str">
            <v>G</v>
          </cell>
          <cell r="J2157" t="str">
            <v>Inactivo</v>
          </cell>
          <cell r="K2157">
            <v>2684.5003999999999</v>
          </cell>
          <cell r="L2157">
            <v>447.4167333333333</v>
          </cell>
          <cell r="M2157">
            <v>495.29406666666665</v>
          </cell>
          <cell r="N2157" t="str">
            <v>Si Compra</v>
          </cell>
          <cell r="O2157">
            <v>6</v>
          </cell>
          <cell r="P2157">
            <v>126635.85010000001</v>
          </cell>
          <cell r="Q2157">
            <v>21105.975016666667</v>
          </cell>
          <cell r="R2157">
            <v>12531.939533333332</v>
          </cell>
          <cell r="T2157"/>
          <cell r="U2157"/>
          <cell r="V2157">
            <v>2.1198581585547389E-2</v>
          </cell>
          <cell r="W2157">
            <v>1.7084100109506457E-5</v>
          </cell>
          <cell r="X2157">
            <v>6</v>
          </cell>
          <cell r="Y2157" t="str">
            <v>Conquistar</v>
          </cell>
        </row>
        <row r="2158">
          <cell r="A2158" t="str">
            <v>D333</v>
          </cell>
          <cell r="B2158" t="str">
            <v>D333 - FARMACIA    INSUMEDI, C.A.</v>
          </cell>
          <cell r="C2158" t="str">
            <v>INDEPENDIENTE</v>
          </cell>
          <cell r="D2158">
            <v>1</v>
          </cell>
          <cell r="E2158"/>
          <cell r="F2158" t="str">
            <v>ANDES</v>
          </cell>
          <cell r="G2158" t="str">
            <v>ANYERSSON TORRES</v>
          </cell>
          <cell r="H2158"/>
          <cell r="I2158" t="str">
            <v>4</v>
          </cell>
          <cell r="J2158" t="str">
            <v>Activo</v>
          </cell>
          <cell r="K2158">
            <v>2683.4223000000002</v>
          </cell>
          <cell r="L2158">
            <v>447.23705000000001</v>
          </cell>
          <cell r="M2158">
            <v>920.79070000000002</v>
          </cell>
          <cell r="N2158" t="str">
            <v>Si Compra</v>
          </cell>
          <cell r="O2158">
            <v>6</v>
          </cell>
          <cell r="P2158">
            <v>3949.9660999999996</v>
          </cell>
          <cell r="Q2158">
            <v>658.32768333333331</v>
          </cell>
          <cell r="R2158">
            <v>870.61379999999997</v>
          </cell>
          <cell r="T2158"/>
          <cell r="U2158"/>
          <cell r="V2158">
            <v>0.67935324812028142</v>
          </cell>
          <cell r="W2158">
            <v>1.7077239105377698E-5</v>
          </cell>
          <cell r="X2158">
            <v>5</v>
          </cell>
          <cell r="Y2158" t="str">
            <v>Proteger</v>
          </cell>
        </row>
        <row r="2159">
          <cell r="A2159" t="str">
            <v>D312</v>
          </cell>
          <cell r="B2159" t="str">
            <v>D312 - FARMACOMPRAS DEL DESCUENTO, C.A.</v>
          </cell>
          <cell r="C2159" t="str">
            <v>INDEPENDIENTE</v>
          </cell>
          <cell r="D2159">
            <v>0</v>
          </cell>
          <cell r="E2159"/>
          <cell r="F2159" t="str">
            <v>CENTRO ESTE</v>
          </cell>
          <cell r="G2159" t="str">
            <v>ELIANA PERAZA</v>
          </cell>
          <cell r="H2159"/>
          <cell r="I2159" t="str">
            <v>M</v>
          </cell>
          <cell r="J2159" t="str">
            <v>Suspendido</v>
          </cell>
          <cell r="K2159">
            <v>2681.605</v>
          </cell>
          <cell r="L2159">
            <v>1340.8025</v>
          </cell>
          <cell r="M2159">
            <v>0</v>
          </cell>
          <cell r="N2159" t="str">
            <v>No Compra</v>
          </cell>
          <cell r="O2159">
            <v>2</v>
          </cell>
          <cell r="P2159">
            <v>2813.6747999999998</v>
          </cell>
          <cell r="Q2159">
            <v>1406.8373999999999</v>
          </cell>
          <cell r="R2159">
            <v>0</v>
          </cell>
          <cell r="T2159"/>
          <cell r="U2159"/>
          <cell r="V2159">
            <v>0.9530614554318787</v>
          </cell>
          <cell r="W2159">
            <v>5.1197021547271587E-5</v>
          </cell>
          <cell r="X2159">
            <v>2</v>
          </cell>
          <cell r="Y2159" t="str">
            <v>Proteger</v>
          </cell>
        </row>
        <row r="2160">
          <cell r="A2160" t="str">
            <v>465</v>
          </cell>
          <cell r="B2160" t="str">
            <v>465 - CAMARGO GARCIA GLADYS SANTIAGA (FCIA LAS PILAS)</v>
          </cell>
          <cell r="C2160" t="str">
            <v>INDEPENDIENTE</v>
          </cell>
          <cell r="D2160">
            <v>0</v>
          </cell>
          <cell r="E2160"/>
          <cell r="F2160" t="str">
            <v>ANDES</v>
          </cell>
          <cell r="G2160" t="str">
            <v>MARIA GABRIELA FORTUL</v>
          </cell>
          <cell r="H2160"/>
          <cell r="I2160" t="str">
            <v>3</v>
          </cell>
          <cell r="J2160" t="str">
            <v>Bloqueado</v>
          </cell>
          <cell r="K2160">
            <v>2679.6319000000003</v>
          </cell>
          <cell r="L2160">
            <v>893.21063333333348</v>
          </cell>
          <cell r="M2160">
            <v>0</v>
          </cell>
          <cell r="N2160" t="str">
            <v>No Compra</v>
          </cell>
          <cell r="O2160">
            <v>3</v>
          </cell>
          <cell r="P2160">
            <v>9782.5324000000001</v>
          </cell>
          <cell r="Q2160">
            <v>3260.8441333333335</v>
          </cell>
          <cell r="R2160">
            <v>0</v>
          </cell>
          <cell r="T2160"/>
          <cell r="U2160"/>
          <cell r="V2160">
            <v>0.27392006388856943</v>
          </cell>
          <cell r="W2160">
            <v>3.4106234170221769E-5</v>
          </cell>
          <cell r="X2160">
            <v>3</v>
          </cell>
          <cell r="Y2160" t="str">
            <v>Potenciar</v>
          </cell>
        </row>
        <row r="2161">
          <cell r="A2161" t="str">
            <v>E502</v>
          </cell>
          <cell r="B2161" t="str">
            <v>E502 - FARMACIA LA MEDALLA MILAGROSA, C.A.</v>
          </cell>
          <cell r="C2161" t="e">
            <v>#N/A</v>
          </cell>
          <cell r="D2161">
            <v>0</v>
          </cell>
          <cell r="F2161" t="str">
            <v>ANDES</v>
          </cell>
          <cell r="H2161"/>
          <cell r="I2161" t="str">
            <v>G1</v>
          </cell>
          <cell r="J2161" t="str">
            <v>Suspendido</v>
          </cell>
          <cell r="K2161">
            <v>2679.5882999999999</v>
          </cell>
          <cell r="L2161">
            <v>2679.5882999999999</v>
          </cell>
          <cell r="M2161">
            <v>0</v>
          </cell>
          <cell r="N2161" t="str">
            <v>No Compra</v>
          </cell>
          <cell r="O2161">
            <v>1</v>
          </cell>
          <cell r="P2161">
            <v>0</v>
          </cell>
          <cell r="Q2161">
            <v>0</v>
          </cell>
          <cell r="R2161">
            <v>0</v>
          </cell>
          <cell r="V2161">
            <v>0</v>
          </cell>
          <cell r="W2161">
            <v>1.0231703769415469E-4</v>
          </cell>
          <cell r="X2161">
            <v>0</v>
          </cell>
          <cell r="Y2161" t="str">
            <v>Conquistar</v>
          </cell>
        </row>
        <row r="2162">
          <cell r="A2162" t="str">
            <v>E608</v>
          </cell>
          <cell r="B2162" t="str">
            <v>E608 - FARMACIA FIN DE SIGLO SD, C.A</v>
          </cell>
          <cell r="C2162" t="e">
            <v>#N/A</v>
          </cell>
          <cell r="D2162">
            <v>2</v>
          </cell>
          <cell r="F2162" t="str">
            <v>CENTRO ESTE</v>
          </cell>
          <cell r="G2162">
            <v>0</v>
          </cell>
          <cell r="H2162"/>
          <cell r="I2162" t="str">
            <v>M</v>
          </cell>
          <cell r="J2162" t="str">
            <v>Activo</v>
          </cell>
          <cell r="K2162">
            <v>2674.5252661844333</v>
          </cell>
          <cell r="L2162">
            <v>1337.2626330922167</v>
          </cell>
          <cell r="M2162">
            <v>1337.2626330922167</v>
          </cell>
          <cell r="N2162" t="str">
            <v>Si Compra</v>
          </cell>
          <cell r="O2162">
            <v>2</v>
          </cell>
          <cell r="P2162">
            <v>0</v>
          </cell>
          <cell r="Q2162">
            <v>0</v>
          </cell>
          <cell r="R2162">
            <v>0</v>
          </cell>
          <cell r="V2162">
            <v>0</v>
          </cell>
          <cell r="W2162">
            <v>5.1061855747422425E-5</v>
          </cell>
          <cell r="X2162">
            <v>0</v>
          </cell>
          <cell r="Y2162" t="str">
            <v>Conquistar</v>
          </cell>
        </row>
        <row r="2163">
          <cell r="A2163" t="str">
            <v>8549</v>
          </cell>
          <cell r="B2163" t="str">
            <v>8549 - ALIRIO JOSE INFANTE PARRA</v>
          </cell>
          <cell r="C2163" t="e">
            <v>#N/A</v>
          </cell>
          <cell r="D2163">
            <v>1</v>
          </cell>
          <cell r="E2163"/>
          <cell r="F2163" t="str">
            <v>CENTRO ESTE</v>
          </cell>
          <cell r="G2163">
            <v>0</v>
          </cell>
          <cell r="H2163"/>
          <cell r="I2163" t="str">
            <v>AG</v>
          </cell>
          <cell r="J2163" t="str">
            <v>Inactivo</v>
          </cell>
          <cell r="K2163">
            <v>2668.4972285901772</v>
          </cell>
          <cell r="L2163">
            <v>381.21388979859677</v>
          </cell>
          <cell r="M2163">
            <v>284.22570000000002</v>
          </cell>
          <cell r="N2163" t="str">
            <v>Si Compra</v>
          </cell>
          <cell r="O2163">
            <v>7</v>
          </cell>
          <cell r="P2163">
            <v>0</v>
          </cell>
          <cell r="Q2163">
            <v>0</v>
          </cell>
          <cell r="R2163">
            <v>0</v>
          </cell>
          <cell r="T2163"/>
          <cell r="U2163"/>
          <cell r="V2163">
            <v>0</v>
          </cell>
          <cell r="W2163">
            <v>1.4556219674514311E-5</v>
          </cell>
          <cell r="X2163">
            <v>0</v>
          </cell>
          <cell r="Y2163" t="str">
            <v>Conquistar</v>
          </cell>
        </row>
        <row r="2164">
          <cell r="A2164" t="str">
            <v>C395</v>
          </cell>
          <cell r="B2164" t="str">
            <v>C395 - FARMACIA MIRANDA LOS TEQUES,C.A.</v>
          </cell>
          <cell r="C2164" t="e">
            <v>#N/A</v>
          </cell>
          <cell r="D2164">
            <v>3</v>
          </cell>
          <cell r="E2164"/>
          <cell r="F2164" t="str">
            <v>CARACAS</v>
          </cell>
          <cell r="G2164" t="str">
            <v>RAMON SERRANO</v>
          </cell>
          <cell r="H2164"/>
          <cell r="I2164" t="str">
            <v>CB</v>
          </cell>
          <cell r="J2164" t="str">
            <v>Activo</v>
          </cell>
          <cell r="K2164">
            <v>2643.7347</v>
          </cell>
          <cell r="L2164">
            <v>440.62245000000001</v>
          </cell>
          <cell r="M2164">
            <v>531.51206666666667</v>
          </cell>
          <cell r="N2164" t="str">
            <v>Si Compra</v>
          </cell>
          <cell r="O2164">
            <v>6</v>
          </cell>
          <cell r="P2164">
            <v>2386.6147000000001</v>
          </cell>
          <cell r="Q2164">
            <v>397.76911666666666</v>
          </cell>
          <cell r="R2164">
            <v>496.1558</v>
          </cell>
          <cell r="T2164"/>
          <cell r="U2164"/>
          <cell r="V2164">
            <v>1.1077341893519721</v>
          </cell>
          <cell r="W2164">
            <v>1.6824668112463689E-5</v>
          </cell>
          <cell r="X2164">
            <v>6</v>
          </cell>
          <cell r="Y2164" t="str">
            <v>Proteger</v>
          </cell>
        </row>
        <row r="2165">
          <cell r="A2165">
            <v>0</v>
          </cell>
          <cell r="B2165" t="str">
            <v>S381 - LA BOTICA DE YOLANDA C.A</v>
          </cell>
          <cell r="C2165" t="e">
            <v>#N/A</v>
          </cell>
          <cell r="D2165">
            <v>0</v>
          </cell>
          <cell r="E2165"/>
          <cell r="F2165" t="str">
            <v>ESTE</v>
          </cell>
          <cell r="G2165" t="str">
            <v>CARMEN ALCALA</v>
          </cell>
          <cell r="H2165"/>
          <cell r="I2165" t="str">
            <v>A6</v>
          </cell>
          <cell r="J2165" t="str">
            <v>Inactivo</v>
          </cell>
          <cell r="K2165">
            <v>2633.5324000000005</v>
          </cell>
          <cell r="L2165">
            <v>292.61471111111115</v>
          </cell>
          <cell r="M2165">
            <v>310.86099999999993</v>
          </cell>
          <cell r="N2165" t="str">
            <v>Si Compra</v>
          </cell>
          <cell r="O2165">
            <v>9</v>
          </cell>
          <cell r="P2165">
            <v>6131.3848000000007</v>
          </cell>
          <cell r="Q2165">
            <v>766.42310000000009</v>
          </cell>
          <cell r="R2165">
            <v>813.95119999999997</v>
          </cell>
          <cell r="T2165"/>
          <cell r="U2165"/>
          <cell r="V2165">
            <v>0.38179265618574271</v>
          </cell>
          <cell r="W2165">
            <v>1.1173160603298553E-5</v>
          </cell>
          <cell r="X2165">
            <v>8</v>
          </cell>
          <cell r="Y2165" t="str">
            <v>Potenciar</v>
          </cell>
        </row>
        <row r="2166">
          <cell r="A2166" t="str">
            <v>E478</v>
          </cell>
          <cell r="B2166" t="str">
            <v>E478 - EXPENDIO DE MEDICINAS AQTANIA C.A</v>
          </cell>
          <cell r="C2166" t="e">
            <v>#N/A</v>
          </cell>
          <cell r="D2166">
            <v>3</v>
          </cell>
          <cell r="F2166" t="str">
            <v>MARACAIBO</v>
          </cell>
          <cell r="G2166">
            <v>0</v>
          </cell>
          <cell r="H2166"/>
          <cell r="I2166" t="str">
            <v>Z</v>
          </cell>
          <cell r="J2166" t="str">
            <v>Inactivo</v>
          </cell>
          <cell r="K2166">
            <v>2625.4274999999998</v>
          </cell>
          <cell r="L2166">
            <v>656.35687499999995</v>
          </cell>
          <cell r="M2166">
            <v>675.06449999999995</v>
          </cell>
          <cell r="N2166" t="str">
            <v>Si Compra</v>
          </cell>
          <cell r="O2166">
            <v>4</v>
          </cell>
          <cell r="P2166">
            <v>0</v>
          </cell>
          <cell r="Q2166">
            <v>0</v>
          </cell>
          <cell r="R2166">
            <v>0</v>
          </cell>
          <cell r="V2166">
            <v>0</v>
          </cell>
          <cell r="W2166">
            <v>2.506224225571987E-5</v>
          </cell>
          <cell r="X2166">
            <v>0</v>
          </cell>
          <cell r="Y2166" t="str">
            <v>Conquistar</v>
          </cell>
        </row>
        <row r="2167">
          <cell r="A2167" t="str">
            <v>D703</v>
          </cell>
          <cell r="B2167" t="str">
            <v>D703 - SUMINISTROS MEDICOS Y ODONTOLOGICOS C.A.  FARMACIA SAN GERONIMO, C.A.</v>
          </cell>
          <cell r="C2167" t="str">
            <v>INDEPENDIENTE</v>
          </cell>
          <cell r="D2167">
            <v>0</v>
          </cell>
          <cell r="E2167"/>
          <cell r="F2167" t="str">
            <v>CENTRO ESTE</v>
          </cell>
          <cell r="H2167"/>
          <cell r="I2167" t="str">
            <v>AF</v>
          </cell>
          <cell r="J2167" t="str">
            <v>Suspendido</v>
          </cell>
          <cell r="K2167">
            <v>2581.2494000000002</v>
          </cell>
          <cell r="L2167">
            <v>1290.6247000000001</v>
          </cell>
          <cell r="M2167">
            <v>0</v>
          </cell>
          <cell r="N2167" t="str">
            <v>No Compra</v>
          </cell>
          <cell r="O2167">
            <v>2</v>
          </cell>
          <cell r="P2167">
            <v>0</v>
          </cell>
          <cell r="Q2167">
            <v>0</v>
          </cell>
          <cell r="R2167">
            <v>0</v>
          </cell>
          <cell r="T2167"/>
          <cell r="U2167"/>
          <cell r="V2167">
            <v>0</v>
          </cell>
          <cell r="W2167">
            <v>4.9281039209981282E-5</v>
          </cell>
          <cell r="X2167">
            <v>0</v>
          </cell>
          <cell r="Y2167" t="str">
            <v>Conquistar</v>
          </cell>
        </row>
        <row r="2168">
          <cell r="A2168" t="str">
            <v>1578</v>
          </cell>
          <cell r="B2168" t="str">
            <v>1578 - FARMACIA NUEVA, C.A</v>
          </cell>
          <cell r="C2168" t="e">
            <v>#N/A</v>
          </cell>
          <cell r="D2168">
            <v>3</v>
          </cell>
          <cell r="E2168"/>
          <cell r="F2168" t="str">
            <v>ESTE</v>
          </cell>
          <cell r="G2168">
            <v>0</v>
          </cell>
          <cell r="H2168"/>
          <cell r="I2168" t="str">
            <v>A5</v>
          </cell>
          <cell r="J2168" t="str">
            <v>Activo</v>
          </cell>
          <cell r="K2168">
            <v>2580.7442000000001</v>
          </cell>
          <cell r="L2168">
            <v>860.24806666666666</v>
          </cell>
          <cell r="M2168">
            <v>860.24806666666666</v>
          </cell>
          <cell r="N2168" t="str">
            <v>Si Compra</v>
          </cell>
          <cell r="O2168">
            <v>3</v>
          </cell>
          <cell r="P2168">
            <v>0</v>
          </cell>
          <cell r="Q2168">
            <v>0</v>
          </cell>
          <cell r="R2168">
            <v>0</v>
          </cell>
          <cell r="T2168"/>
          <cell r="U2168"/>
          <cell r="V2168">
            <v>0</v>
          </cell>
          <cell r="W2168">
            <v>3.2847595977134633E-5</v>
          </cell>
          <cell r="X2168">
            <v>0</v>
          </cell>
          <cell r="Y2168" t="str">
            <v>Conquistar</v>
          </cell>
        </row>
        <row r="2169">
          <cell r="A2169" t="str">
            <v>471</v>
          </cell>
          <cell r="B2169" t="str">
            <v>471 - FARMA REMEDIOS,C.A.</v>
          </cell>
          <cell r="C2169" t="str">
            <v>INDEPENDIENTE</v>
          </cell>
          <cell r="D2169">
            <v>3</v>
          </cell>
          <cell r="E2169"/>
          <cell r="F2169" t="str">
            <v>ANDES</v>
          </cell>
          <cell r="G2169" t="str">
            <v>LUCIA DUGARTE</v>
          </cell>
          <cell r="H2169"/>
          <cell r="I2169" t="str">
            <v>6</v>
          </cell>
          <cell r="J2169" t="str">
            <v>Inactivo</v>
          </cell>
          <cell r="K2169">
            <v>2574.3912813631368</v>
          </cell>
          <cell r="L2169">
            <v>286.0434757070152</v>
          </cell>
          <cell r="M2169">
            <v>316.63336666666663</v>
          </cell>
          <cell r="N2169" t="str">
            <v>Si Compra</v>
          </cell>
          <cell r="O2169">
            <v>9</v>
          </cell>
          <cell r="P2169">
            <v>3641.1891336728504</v>
          </cell>
          <cell r="Q2169">
            <v>404.57657040809448</v>
          </cell>
          <cell r="R2169">
            <v>221.43183333333332</v>
          </cell>
          <cell r="T2169"/>
          <cell r="U2169"/>
          <cell r="V2169">
            <v>0.70701937934390147</v>
          </cell>
          <cell r="W2169">
            <v>1.0922245438256949E-5</v>
          </cell>
          <cell r="X2169">
            <v>9</v>
          </cell>
          <cell r="Y2169" t="str">
            <v>Proteger</v>
          </cell>
        </row>
        <row r="2170">
          <cell r="A2170" t="str">
            <v>E460</v>
          </cell>
          <cell r="B2170" t="str">
            <v>E460 - FARMACIA LA UNION S.A.</v>
          </cell>
          <cell r="C2170" t="e">
            <v>#N/A</v>
          </cell>
          <cell r="D2170">
            <v>3</v>
          </cell>
          <cell r="F2170" t="str">
            <v>ANDES</v>
          </cell>
          <cell r="G2170">
            <v>0</v>
          </cell>
          <cell r="H2170"/>
          <cell r="I2170" t="str">
            <v>6</v>
          </cell>
          <cell r="J2170" t="str">
            <v>Activo</v>
          </cell>
          <cell r="K2170">
            <v>2562.6204999999995</v>
          </cell>
          <cell r="L2170">
            <v>640.65512499999988</v>
          </cell>
          <cell r="M2170">
            <v>178.6883</v>
          </cell>
          <cell r="N2170" t="str">
            <v>Si Compra</v>
          </cell>
          <cell r="O2170">
            <v>4</v>
          </cell>
          <cell r="P2170">
            <v>0</v>
          </cell>
          <cell r="Q2170">
            <v>0</v>
          </cell>
          <cell r="R2170">
            <v>0</v>
          </cell>
          <cell r="V2170">
            <v>0</v>
          </cell>
          <cell r="W2170">
            <v>2.446268875467861E-5</v>
          </cell>
          <cell r="X2170">
            <v>0</v>
          </cell>
          <cell r="Y2170" t="str">
            <v>Conquistar</v>
          </cell>
        </row>
        <row r="2171">
          <cell r="A2171" t="str">
            <v>C618</v>
          </cell>
          <cell r="B2171" t="str">
            <v>C618 - FARMACIA BETANIA GUADALUPE, C.A.</v>
          </cell>
          <cell r="C2171" t="str">
            <v>INDEPENDIENTE</v>
          </cell>
          <cell r="D2171">
            <v>3</v>
          </cell>
          <cell r="E2171"/>
          <cell r="F2171" t="str">
            <v>ESTE</v>
          </cell>
          <cell r="G2171" t="str">
            <v>PEDRO VIRE</v>
          </cell>
          <cell r="H2171"/>
          <cell r="I2171" t="str">
            <v>A7</v>
          </cell>
          <cell r="J2171" t="str">
            <v>Activo</v>
          </cell>
          <cell r="K2171">
            <v>2559.2931912167619</v>
          </cell>
          <cell r="L2171">
            <v>255.9293191216762</v>
          </cell>
          <cell r="M2171">
            <v>293.23751248793155</v>
          </cell>
          <cell r="N2171" t="str">
            <v>Si Compra</v>
          </cell>
          <cell r="O2171">
            <v>10</v>
          </cell>
          <cell r="P2171">
            <v>2558.8224568455357</v>
          </cell>
          <cell r="Q2171">
            <v>255.88224568455357</v>
          </cell>
          <cell r="R2171">
            <v>212.85248735778518</v>
          </cell>
          <cell r="T2171"/>
          <cell r="U2171"/>
          <cell r="V2171">
            <v>1.0001839652336828</v>
          </cell>
          <cell r="W2171">
            <v>9.7723705509581026E-6</v>
          </cell>
          <cell r="X2171">
            <v>10</v>
          </cell>
          <cell r="Y2171" t="str">
            <v>Proteger</v>
          </cell>
        </row>
        <row r="2172">
          <cell r="A2172" t="str">
            <v>+303</v>
          </cell>
          <cell r="B2172" t="str">
            <v>+303 - FARMACIA EL MEDANAL, C.A.</v>
          </cell>
          <cell r="C2172" t="str">
            <v>INDEPENDIENTE</v>
          </cell>
          <cell r="D2172">
            <v>3</v>
          </cell>
          <cell r="E2172"/>
          <cell r="F2172" t="str">
            <v>CENTRO ESTE</v>
          </cell>
          <cell r="G2172" t="str">
            <v>LAURA FLORES</v>
          </cell>
          <cell r="H2172"/>
          <cell r="I2172" t="str">
            <v>+</v>
          </cell>
          <cell r="J2172" t="str">
            <v>Activo</v>
          </cell>
          <cell r="K2172">
            <v>2556.4402</v>
          </cell>
          <cell r="L2172">
            <v>255.64402000000001</v>
          </cell>
          <cell r="M2172">
            <v>234.44396666666668</v>
          </cell>
          <cell r="N2172" t="str">
            <v>Si Compra</v>
          </cell>
          <cell r="O2172">
            <v>10</v>
          </cell>
          <cell r="P2172">
            <v>2323.9624000000003</v>
          </cell>
          <cell r="Q2172">
            <v>232.39624000000003</v>
          </cell>
          <cell r="R2172">
            <v>140.36233333333334</v>
          </cell>
          <cell r="T2172"/>
          <cell r="U2172"/>
          <cell r="V2172">
            <v>1.1000350952321776</v>
          </cell>
          <cell r="W2172">
            <v>9.761476727833613E-6</v>
          </cell>
          <cell r="X2172">
            <v>9</v>
          </cell>
          <cell r="Y2172" t="str">
            <v>Proteger</v>
          </cell>
        </row>
        <row r="2173">
          <cell r="A2173" t="str">
            <v>C492</v>
          </cell>
          <cell r="B2173" t="str">
            <v>C492 - FARMACIAS MULTIMED, C.A</v>
          </cell>
          <cell r="C2173" t="str">
            <v>INDEPENDIENTE</v>
          </cell>
          <cell r="D2173">
            <v>0</v>
          </cell>
          <cell r="E2173"/>
          <cell r="F2173" t="str">
            <v>CENTRO ESTE</v>
          </cell>
          <cell r="G2173" t="str">
            <v>LAURA FLORES</v>
          </cell>
          <cell r="H2173"/>
          <cell r="I2173" t="str">
            <v>+</v>
          </cell>
          <cell r="J2173" t="str">
            <v>Bloqueado</v>
          </cell>
          <cell r="K2173">
            <v>2540.4810818925998</v>
          </cell>
          <cell r="L2173">
            <v>423.41351364876664</v>
          </cell>
          <cell r="M2173">
            <v>0</v>
          </cell>
          <cell r="N2173" t="str">
            <v>No Compra</v>
          </cell>
          <cell r="O2173">
            <v>6</v>
          </cell>
          <cell r="P2173">
            <v>11428.642530478061</v>
          </cell>
          <cell r="Q2173">
            <v>1904.7737550796767</v>
          </cell>
          <cell r="R2173">
            <v>0</v>
          </cell>
          <cell r="T2173"/>
          <cell r="U2173"/>
          <cell r="V2173">
            <v>0.22229071170242748</v>
          </cell>
          <cell r="W2173">
            <v>1.6167564411374438E-5</v>
          </cell>
          <cell r="X2173">
            <v>6</v>
          </cell>
          <cell r="Y2173" t="str">
            <v>Potenciar</v>
          </cell>
        </row>
        <row r="2174">
          <cell r="A2174" t="str">
            <v>C573</v>
          </cell>
          <cell r="B2174" t="str">
            <v>C573 - FARMACIA SANTA SOFIA F.P</v>
          </cell>
          <cell r="C2174" t="e">
            <v>#N/A</v>
          </cell>
          <cell r="D2174">
            <v>2</v>
          </cell>
          <cell r="E2174"/>
          <cell r="F2174" t="str">
            <v>ANDES</v>
          </cell>
          <cell r="G2174" t="str">
            <v>LUCIA DUGARTE</v>
          </cell>
          <cell r="H2174"/>
          <cell r="I2174" t="str">
            <v>6</v>
          </cell>
          <cell r="J2174" t="str">
            <v>Activo</v>
          </cell>
          <cell r="K2174">
            <v>2520.8775000000001</v>
          </cell>
          <cell r="L2174">
            <v>1260.43875</v>
          </cell>
          <cell r="M2174">
            <v>1260.43875</v>
          </cell>
          <cell r="N2174" t="str">
            <v>Si Compra</v>
          </cell>
          <cell r="O2174">
            <v>2</v>
          </cell>
          <cell r="P2174">
            <v>1828.1456000000001</v>
          </cell>
          <cell r="Q2174">
            <v>914.07280000000003</v>
          </cell>
          <cell r="R2174">
            <v>914.07280000000003</v>
          </cell>
          <cell r="T2174"/>
          <cell r="U2174"/>
          <cell r="V2174">
            <v>1.3789260002047976</v>
          </cell>
          <cell r="W2174">
            <v>4.8128422972634718E-5</v>
          </cell>
          <cell r="X2174">
            <v>2</v>
          </cell>
          <cell r="Y2174" t="str">
            <v>Proteger</v>
          </cell>
        </row>
        <row r="2175">
          <cell r="A2175" t="str">
            <v>E165</v>
          </cell>
          <cell r="B2175" t="str">
            <v>E165 - ZABBI FARMA C.A.</v>
          </cell>
          <cell r="C2175" t="str">
            <v>INDEPENDIENTE</v>
          </cell>
          <cell r="D2175">
            <v>1</v>
          </cell>
          <cell r="F2175" t="str">
            <v>ESTE</v>
          </cell>
          <cell r="G2175">
            <v>0</v>
          </cell>
          <cell r="H2175"/>
          <cell r="I2175" t="str">
            <v>A6</v>
          </cell>
          <cell r="J2175" t="str">
            <v>Activo</v>
          </cell>
          <cell r="K2175">
            <v>2514.6412</v>
          </cell>
          <cell r="L2175">
            <v>419.10686666666669</v>
          </cell>
          <cell r="M2175">
            <v>1242.8400999999999</v>
          </cell>
          <cell r="N2175" t="str">
            <v>Si Compra</v>
          </cell>
          <cell r="O2175">
            <v>6</v>
          </cell>
          <cell r="P2175">
            <v>0</v>
          </cell>
          <cell r="Q2175">
            <v>0</v>
          </cell>
          <cell r="R2175">
            <v>0</v>
          </cell>
          <cell r="V2175">
            <v>0</v>
          </cell>
          <cell r="W2175">
            <v>1.6003119984742579E-5</v>
          </cell>
          <cell r="X2175">
            <v>0</v>
          </cell>
          <cell r="Y2175" t="str">
            <v>Conquistar</v>
          </cell>
        </row>
        <row r="2176">
          <cell r="A2176" t="str">
            <v>D583</v>
          </cell>
          <cell r="B2176" t="str">
            <v>D583 - FARMAPAZ GUARITOS C.A.</v>
          </cell>
          <cell r="C2176" t="str">
            <v>INDEPENDIENTE</v>
          </cell>
          <cell r="D2176">
            <v>0</v>
          </cell>
          <cell r="E2176"/>
          <cell r="F2176" t="str">
            <v>ESTE</v>
          </cell>
          <cell r="G2176" t="str">
            <v>CARMEN ALCALA</v>
          </cell>
          <cell r="H2176"/>
          <cell r="I2176" t="str">
            <v>A6</v>
          </cell>
          <cell r="J2176" t="str">
            <v>Bloqueado</v>
          </cell>
          <cell r="K2176">
            <v>2500.5286405977495</v>
          </cell>
          <cell r="L2176">
            <v>625.13216014943737</v>
          </cell>
          <cell r="M2176">
            <v>0</v>
          </cell>
          <cell r="N2176" t="str">
            <v>No Compra</v>
          </cell>
          <cell r="O2176">
            <v>3</v>
          </cell>
          <cell r="P2176">
            <v>290132.38211750728</v>
          </cell>
          <cell r="Q2176">
            <v>72533.09552937682</v>
          </cell>
          <cell r="R2176">
            <v>0</v>
          </cell>
          <cell r="T2176"/>
          <cell r="U2176"/>
          <cell r="V2176">
            <v>8.6185782584758275E-3</v>
          </cell>
          <cell r="W2176">
            <v>2.3869961961633557E-5</v>
          </cell>
          <cell r="X2176">
            <v>4</v>
          </cell>
          <cell r="Y2176" t="str">
            <v>Conquistar</v>
          </cell>
        </row>
        <row r="2177">
          <cell r="A2177" t="str">
            <v>E641</v>
          </cell>
          <cell r="B2177" t="str">
            <v>E641 - FARMAYARITO, C.A</v>
          </cell>
          <cell r="C2177" t="e">
            <v>#N/A</v>
          </cell>
          <cell r="D2177">
            <v>2</v>
          </cell>
          <cell r="F2177" t="str">
            <v>CARACAS</v>
          </cell>
          <cell r="G2177">
            <v>0</v>
          </cell>
          <cell r="H2177"/>
          <cell r="I2177" t="str">
            <v>C6</v>
          </cell>
          <cell r="J2177" t="str">
            <v>Activo</v>
          </cell>
          <cell r="K2177">
            <v>2494.4692999999997</v>
          </cell>
          <cell r="L2177">
            <v>1247.2346499999999</v>
          </cell>
          <cell r="M2177">
            <v>1247.2346499999999</v>
          </cell>
          <cell r="N2177" t="str">
            <v>Si Compra</v>
          </cell>
          <cell r="O2177">
            <v>2</v>
          </cell>
          <cell r="P2177">
            <v>0</v>
          </cell>
          <cell r="Q2177">
            <v>0</v>
          </cell>
          <cell r="R2177">
            <v>0</v>
          </cell>
          <cell r="V2177">
            <v>0</v>
          </cell>
          <cell r="W2177">
            <v>4.7624239401816246E-5</v>
          </cell>
          <cell r="X2177">
            <v>0</v>
          </cell>
          <cell r="Y2177" t="str">
            <v>Conquistar</v>
          </cell>
        </row>
        <row r="2178">
          <cell r="A2178" t="str">
            <v>7725</v>
          </cell>
          <cell r="B2178" t="str">
            <v>7725 - FARMACIA SAN PEDRO DEL CENTRO, C.A</v>
          </cell>
          <cell r="C2178" t="str">
            <v>INDEPENDIENTE</v>
          </cell>
          <cell r="D2178">
            <v>1</v>
          </cell>
          <cell r="E2178"/>
          <cell r="F2178" t="str">
            <v>MARACAIBO</v>
          </cell>
          <cell r="G2178" t="str">
            <v>MARIA FUSELLA</v>
          </cell>
          <cell r="H2178"/>
          <cell r="I2178" t="str">
            <v>Z</v>
          </cell>
          <cell r="J2178" t="str">
            <v>Activo</v>
          </cell>
          <cell r="K2178">
            <v>2490.7359893711582</v>
          </cell>
          <cell r="L2178">
            <v>355.81942705302259</v>
          </cell>
          <cell r="M2178">
            <v>0.377</v>
          </cell>
          <cell r="N2178" t="str">
            <v>Si Compra</v>
          </cell>
          <cell r="O2178">
            <v>7</v>
          </cell>
          <cell r="P2178">
            <v>17161.403487557844</v>
          </cell>
          <cell r="Q2178">
            <v>2451.6290696511205</v>
          </cell>
          <cell r="R2178">
            <v>0</v>
          </cell>
          <cell r="T2178"/>
          <cell r="U2178"/>
          <cell r="V2178">
            <v>0.14513591450588303</v>
          </cell>
          <cell r="W2178">
            <v>1.3586560939266914E-5</v>
          </cell>
          <cell r="X2178">
            <v>5</v>
          </cell>
          <cell r="Y2178" t="str">
            <v>Conquistar</v>
          </cell>
        </row>
        <row r="2179">
          <cell r="A2179">
            <v>0</v>
          </cell>
          <cell r="B2179" t="str">
            <v>S332 - FARMACIA VISION CRISTIANA 2021 C.A</v>
          </cell>
          <cell r="C2179" t="e">
            <v>#N/A</v>
          </cell>
          <cell r="D2179">
            <v>0</v>
          </cell>
          <cell r="E2179"/>
          <cell r="F2179" t="str">
            <v>CENTRO ESTE</v>
          </cell>
          <cell r="G2179" t="str">
            <v>KARLA SALAZAR</v>
          </cell>
          <cell r="H2179"/>
          <cell r="I2179" t="str">
            <v>H</v>
          </cell>
          <cell r="J2179" t="str">
            <v>Activo</v>
          </cell>
          <cell r="K2179">
            <v>2488.7512077270858</v>
          </cell>
          <cell r="L2179">
            <v>276.52791196967621</v>
          </cell>
          <cell r="M2179">
            <v>110.79006666666668</v>
          </cell>
          <cell r="N2179" t="str">
            <v>Si Compra</v>
          </cell>
          <cell r="O2179">
            <v>9</v>
          </cell>
          <cell r="P2179">
            <v>27597.303199189941</v>
          </cell>
          <cell r="Q2179">
            <v>3066.3670221322154</v>
          </cell>
          <cell r="R2179">
            <v>5733.8730666666661</v>
          </cell>
          <cell r="T2179"/>
          <cell r="U2179"/>
          <cell r="V2179">
            <v>9.0180956804508994E-2</v>
          </cell>
          <cell r="W2179">
            <v>1.0558904437852356E-5</v>
          </cell>
          <cell r="X2179">
            <v>9</v>
          </cell>
          <cell r="Y2179" t="str">
            <v>Conquistar</v>
          </cell>
        </row>
        <row r="2180">
          <cell r="A2180" t="str">
            <v>3010</v>
          </cell>
          <cell r="B2180" t="str">
            <v>3010 - FARMACIA SAN MIGUEL ARCANGEL, C.A.</v>
          </cell>
          <cell r="C2180" t="str">
            <v>INDEPENDIENTE</v>
          </cell>
          <cell r="D2180">
            <v>3</v>
          </cell>
          <cell r="E2180"/>
          <cell r="F2180" t="str">
            <v>ESTE</v>
          </cell>
          <cell r="G2180" t="str">
            <v>CARLOS BLONDELL</v>
          </cell>
          <cell r="H2180"/>
          <cell r="I2180" t="str">
            <v>A5</v>
          </cell>
          <cell r="J2180" t="str">
            <v>Activo</v>
          </cell>
          <cell r="K2180">
            <v>2487.9565000000002</v>
          </cell>
          <cell r="L2180">
            <v>414.65941666666669</v>
          </cell>
          <cell r="M2180">
            <v>204.75540000000001</v>
          </cell>
          <cell r="N2180" t="str">
            <v>Si Compra</v>
          </cell>
          <cell r="O2180">
            <v>6</v>
          </cell>
          <cell r="P2180">
            <v>4910.5650999999998</v>
          </cell>
          <cell r="Q2180">
            <v>818.42751666666663</v>
          </cell>
          <cell r="R2180">
            <v>150.41963333333334</v>
          </cell>
          <cell r="T2180"/>
          <cell r="U2180"/>
          <cell r="V2180">
            <v>0.50665380650385838</v>
          </cell>
          <cell r="W2180">
            <v>1.5833299154694596E-5</v>
          </cell>
          <cell r="X2180">
            <v>6</v>
          </cell>
          <cell r="Y2180" t="str">
            <v>Potenciar</v>
          </cell>
        </row>
        <row r="2181">
          <cell r="A2181" t="str">
            <v>B891</v>
          </cell>
          <cell r="B2181" t="str">
            <v>B891 - FARMANSSER, C.A.</v>
          </cell>
          <cell r="C2181" t="str">
            <v>INDEPENDIENTE</v>
          </cell>
          <cell r="D2181">
            <v>1</v>
          </cell>
          <cell r="E2181"/>
          <cell r="F2181" t="str">
            <v>ESTE</v>
          </cell>
          <cell r="G2181" t="str">
            <v>PEDRO VIRE</v>
          </cell>
          <cell r="H2181"/>
          <cell r="I2181" t="str">
            <v>A7</v>
          </cell>
          <cell r="J2181" t="str">
            <v>Activo</v>
          </cell>
          <cell r="K2181">
            <v>2469.0904</v>
          </cell>
          <cell r="L2181">
            <v>617.27260000000001</v>
          </cell>
          <cell r="M2181">
            <v>491.91989999999998</v>
          </cell>
          <cell r="N2181" t="str">
            <v>Si Compra</v>
          </cell>
          <cell r="O2181">
            <v>4</v>
          </cell>
          <cell r="P2181">
            <v>6357.7006000000001</v>
          </cell>
          <cell r="Q2181">
            <v>1589.42515</v>
          </cell>
          <cell r="R2181">
            <v>1669.1938</v>
          </cell>
          <cell r="T2181"/>
          <cell r="U2181"/>
          <cell r="V2181">
            <v>0.38836216980711546</v>
          </cell>
          <cell r="W2181">
            <v>2.3569853578539984E-5</v>
          </cell>
          <cell r="X2181">
            <v>4</v>
          </cell>
          <cell r="Y2181" t="str">
            <v>Potenciar</v>
          </cell>
        </row>
        <row r="2182">
          <cell r="A2182" t="str">
            <v>E099</v>
          </cell>
          <cell r="B2182" t="str">
            <v>E099 - FARMANORTE TINAQUILLO, C.A.</v>
          </cell>
          <cell r="C2182" t="e">
            <v>#N/A</v>
          </cell>
          <cell r="D2182">
            <v>3</v>
          </cell>
          <cell r="F2182" t="str">
            <v>CENTRO ESTE</v>
          </cell>
          <cell r="G2182">
            <v>0</v>
          </cell>
          <cell r="H2182"/>
          <cell r="I2182" t="str">
            <v>H</v>
          </cell>
          <cell r="J2182" t="str">
            <v>Activo</v>
          </cell>
          <cell r="K2182">
            <v>2464.5996</v>
          </cell>
          <cell r="L2182">
            <v>492.91991999999999</v>
          </cell>
          <cell r="M2182">
            <v>504.84300000000002</v>
          </cell>
          <cell r="N2182" t="str">
            <v>Si Compra</v>
          </cell>
          <cell r="O2182">
            <v>5</v>
          </cell>
          <cell r="P2182">
            <v>0</v>
          </cell>
          <cell r="Q2182">
            <v>0</v>
          </cell>
          <cell r="R2182">
            <v>0</v>
          </cell>
          <cell r="V2182">
            <v>0</v>
          </cell>
          <cell r="W2182">
            <v>1.8821587642713514E-5</v>
          </cell>
          <cell r="X2182">
            <v>0</v>
          </cell>
          <cell r="Y2182" t="str">
            <v>Conquistar</v>
          </cell>
        </row>
        <row r="2183">
          <cell r="A2183" t="str">
            <v>D189</v>
          </cell>
          <cell r="B2183" t="str">
            <v>D189 - FARMACIA LA PARAGUA C.A.</v>
          </cell>
          <cell r="C2183" t="e">
            <v>#N/A</v>
          </cell>
          <cell r="D2183">
            <v>3</v>
          </cell>
          <cell r="E2183"/>
          <cell r="F2183" t="str">
            <v>MARACAIBO</v>
          </cell>
          <cell r="G2183" t="str">
            <v>JOEL JIMENEZ</v>
          </cell>
          <cell r="H2183"/>
          <cell r="I2183" t="str">
            <v>D</v>
          </cell>
          <cell r="J2183" t="str">
            <v>Inactivo</v>
          </cell>
          <cell r="K2183">
            <v>2447.8113000000003</v>
          </cell>
          <cell r="L2183">
            <v>815.9371000000001</v>
          </cell>
          <cell r="M2183">
            <v>815.9371000000001</v>
          </cell>
          <cell r="N2183" t="str">
            <v>Si Compra</v>
          </cell>
          <cell r="O2183">
            <v>3</v>
          </cell>
          <cell r="P2183">
            <v>10875.966899999999</v>
          </cell>
          <cell r="Q2183">
            <v>3625.3222999999998</v>
          </cell>
          <cell r="R2183">
            <v>3625.3222999999998</v>
          </cell>
          <cell r="T2183"/>
          <cell r="U2183"/>
          <cell r="V2183">
            <v>0.22506608584842239</v>
          </cell>
          <cell r="W2183">
            <v>3.1155632011365052E-5</v>
          </cell>
          <cell r="X2183">
            <v>3</v>
          </cell>
          <cell r="Y2183" t="str">
            <v>Potenciar</v>
          </cell>
        </row>
        <row r="2184">
          <cell r="A2184" t="str">
            <v>E560</v>
          </cell>
          <cell r="B2184" t="str">
            <v>E560 - FARMACIA ELEMP., C.A</v>
          </cell>
          <cell r="C2184" t="e">
            <v>#N/A</v>
          </cell>
          <cell r="D2184">
            <v>3</v>
          </cell>
          <cell r="F2184" t="str">
            <v>ANDES</v>
          </cell>
          <cell r="G2184">
            <v>0</v>
          </cell>
          <cell r="H2184"/>
          <cell r="I2184" t="str">
            <v>5</v>
          </cell>
          <cell r="J2184" t="str">
            <v>Activo</v>
          </cell>
          <cell r="K2184">
            <v>2434.0482371021199</v>
          </cell>
          <cell r="L2184">
            <v>811.34941236737325</v>
          </cell>
          <cell r="M2184">
            <v>811.34941236737325</v>
          </cell>
          <cell r="N2184" t="str">
            <v>Si Compra</v>
          </cell>
          <cell r="O2184">
            <v>3</v>
          </cell>
          <cell r="P2184">
            <v>0</v>
          </cell>
          <cell r="Q2184">
            <v>0</v>
          </cell>
          <cell r="R2184">
            <v>0</v>
          </cell>
          <cell r="V2184">
            <v>0</v>
          </cell>
          <cell r="W2184">
            <v>3.0980456366495848E-5</v>
          </cell>
          <cell r="X2184">
            <v>0</v>
          </cell>
          <cell r="Y2184" t="str">
            <v>Conquistar</v>
          </cell>
        </row>
        <row r="2185">
          <cell r="A2185" t="str">
            <v>D224</v>
          </cell>
          <cell r="B2185" t="str">
            <v>D224 - FARMACIA FARMAVALE, C.A.</v>
          </cell>
          <cell r="C2185" t="e">
            <v>#N/A</v>
          </cell>
          <cell r="D2185">
            <v>1</v>
          </cell>
          <cell r="E2185"/>
          <cell r="F2185" t="str">
            <v>ESTE</v>
          </cell>
          <cell r="G2185" t="str">
            <v>CARLOS BLONDELL</v>
          </cell>
          <cell r="H2185"/>
          <cell r="I2185" t="str">
            <v>A3</v>
          </cell>
          <cell r="J2185" t="str">
            <v>Bloqueado</v>
          </cell>
          <cell r="K2185">
            <v>2399.5840554121364</v>
          </cell>
          <cell r="L2185">
            <v>599.89601385303411</v>
          </cell>
          <cell r="M2185">
            <v>321.62195541213612</v>
          </cell>
          <cell r="N2185" t="str">
            <v>Si Compra</v>
          </cell>
          <cell r="O2185">
            <v>4</v>
          </cell>
          <cell r="P2185">
            <v>4275.1035257612557</v>
          </cell>
          <cell r="Q2185">
            <v>1068.7758814403139</v>
          </cell>
          <cell r="R2185">
            <v>501.38592576125581</v>
          </cell>
          <cell r="T2185"/>
          <cell r="U2185"/>
          <cell r="V2185">
            <v>0.56129261922022089</v>
          </cell>
          <cell r="W2185">
            <v>2.2906348360296254E-5</v>
          </cell>
          <cell r="X2185">
            <v>4</v>
          </cell>
          <cell r="Y2185" t="str">
            <v>Potenciar</v>
          </cell>
        </row>
        <row r="2186">
          <cell r="A2186" t="str">
            <v>H127</v>
          </cell>
          <cell r="B2186" t="str">
            <v>H127 - FARMACIA NATALISHA C.A.</v>
          </cell>
          <cell r="C2186" t="str">
            <v>INDEPENDIENTE</v>
          </cell>
          <cell r="D2186">
            <v>3</v>
          </cell>
          <cell r="F2186" t="str">
            <v>CENTRO ESTE</v>
          </cell>
          <cell r="G2186" t="str">
            <v>ELIANA PERAZA</v>
          </cell>
          <cell r="H2186"/>
          <cell r="I2186" t="str">
            <v xml:space="preserve">M </v>
          </cell>
          <cell r="J2186" t="str">
            <v>Activo</v>
          </cell>
          <cell r="K2186">
            <v>2320.9477801395356</v>
          </cell>
          <cell r="L2186">
            <v>232.09477801395354</v>
          </cell>
          <cell r="M2186">
            <v>82.146893379845281</v>
          </cell>
          <cell r="N2186" t="str">
            <v>Si Compra</v>
          </cell>
          <cell r="O2186">
            <v>9</v>
          </cell>
          <cell r="P2186">
            <v>11814.594630716907</v>
          </cell>
          <cell r="Q2186">
            <v>1181.4594630716906</v>
          </cell>
          <cell r="R2186">
            <v>727.43097690563525</v>
          </cell>
          <cell r="V2186">
            <v>0.19644751704855581</v>
          </cell>
          <cell r="W2186">
            <v>8.8622756528195578E-6</v>
          </cell>
          <cell r="X2186">
            <v>10</v>
          </cell>
          <cell r="Y2186" t="str">
            <v>Conquistar</v>
          </cell>
        </row>
        <row r="2187">
          <cell r="A2187" t="str">
            <v>E605</v>
          </cell>
          <cell r="B2187" t="str">
            <v>E605 - BODEGON PETARE 1 C.A</v>
          </cell>
          <cell r="C2187" t="e">
            <v>#N/A</v>
          </cell>
          <cell r="D2187">
            <v>2</v>
          </cell>
          <cell r="F2187" t="str">
            <v>CARACAS</v>
          </cell>
          <cell r="G2187">
            <v>0</v>
          </cell>
          <cell r="H2187"/>
          <cell r="I2187" t="str">
            <v>C1</v>
          </cell>
          <cell r="J2187" t="str">
            <v>Suspendido</v>
          </cell>
          <cell r="K2187">
            <v>2316.9442624781123</v>
          </cell>
          <cell r="L2187">
            <v>772.31475415937075</v>
          </cell>
          <cell r="M2187">
            <v>772.31475415937075</v>
          </cell>
          <cell r="N2187" t="str">
            <v>Si Compra</v>
          </cell>
          <cell r="O2187">
            <v>2</v>
          </cell>
          <cell r="P2187">
            <v>0</v>
          </cell>
          <cell r="Q2187">
            <v>0</v>
          </cell>
          <cell r="R2187">
            <v>0</v>
          </cell>
          <cell r="V2187">
            <v>0</v>
          </cell>
          <cell r="W2187">
            <v>2.9489962250199458E-5</v>
          </cell>
          <cell r="X2187">
            <v>0</v>
          </cell>
          <cell r="Y2187" t="str">
            <v>Conquistar</v>
          </cell>
        </row>
        <row r="2188">
          <cell r="A2188" t="str">
            <v>E554</v>
          </cell>
          <cell r="B2188" t="str">
            <v>E554 - PHARMAKARDEC, C.A</v>
          </cell>
          <cell r="C2188" t="e">
            <v>#N/A</v>
          </cell>
          <cell r="D2188">
            <v>3</v>
          </cell>
          <cell r="F2188" t="str">
            <v>CENTRO OESTE</v>
          </cell>
          <cell r="G2188">
            <v>0</v>
          </cell>
          <cell r="H2188"/>
          <cell r="I2188" t="str">
            <v>E</v>
          </cell>
          <cell r="J2188" t="str">
            <v>Activo</v>
          </cell>
          <cell r="K2188">
            <v>2299.8955000000001</v>
          </cell>
          <cell r="L2188">
            <v>574.97387500000002</v>
          </cell>
          <cell r="M2188">
            <v>766.36013333333324</v>
          </cell>
          <cell r="N2188" t="str">
            <v>Si Compra</v>
          </cell>
          <cell r="O2188">
            <v>4</v>
          </cell>
          <cell r="P2188">
            <v>0</v>
          </cell>
          <cell r="Q2188">
            <v>0</v>
          </cell>
          <cell r="R2188">
            <v>0</v>
          </cell>
          <cell r="V2188">
            <v>0</v>
          </cell>
          <cell r="W2188">
            <v>2.1954724776761113E-5</v>
          </cell>
          <cell r="X2188">
            <v>0</v>
          </cell>
          <cell r="Y2188" t="str">
            <v>Conquistar</v>
          </cell>
        </row>
        <row r="2189">
          <cell r="A2189" t="str">
            <v>$309</v>
          </cell>
          <cell r="B2189" t="str">
            <v>$309 - FARMACIA PALO NEGRO,  C.A.</v>
          </cell>
          <cell r="C2189" t="str">
            <v>INDEPENDIENTE</v>
          </cell>
          <cell r="D2189">
            <v>0</v>
          </cell>
          <cell r="E2189"/>
          <cell r="F2189" t="str">
            <v>CENTRO ESTE</v>
          </cell>
          <cell r="G2189" t="str">
            <v>MARCOS CRUCES</v>
          </cell>
          <cell r="H2189"/>
          <cell r="I2189" t="str">
            <v>$</v>
          </cell>
          <cell r="J2189" t="str">
            <v>Activo</v>
          </cell>
          <cell r="K2189">
            <v>2296.7249690046388</v>
          </cell>
          <cell r="L2189">
            <v>574.18124225115969</v>
          </cell>
          <cell r="M2189">
            <v>0</v>
          </cell>
          <cell r="N2189" t="str">
            <v>No Compra</v>
          </cell>
          <cell r="O2189">
            <v>4</v>
          </cell>
          <cell r="P2189">
            <v>11816.315728157668</v>
          </cell>
          <cell r="Q2189">
            <v>2954.0789320394169</v>
          </cell>
          <cell r="R2189">
            <v>0</v>
          </cell>
          <cell r="T2189"/>
          <cell r="U2189"/>
          <cell r="V2189">
            <v>0.19436895745191221</v>
          </cell>
          <cell r="W2189">
            <v>2.1924458994946525E-5</v>
          </cell>
          <cell r="X2189">
            <v>4</v>
          </cell>
          <cell r="Y2189" t="str">
            <v>Conquistar</v>
          </cell>
        </row>
        <row r="2190">
          <cell r="A2190" t="str">
            <v>C572</v>
          </cell>
          <cell r="B2190" t="str">
            <v>C572 - FARMACIA MI SALUD 2022, C.A.</v>
          </cell>
          <cell r="C2190" t="str">
            <v>INDEPENDIENTE</v>
          </cell>
          <cell r="D2190">
            <v>2</v>
          </cell>
          <cell r="E2190"/>
          <cell r="F2190" t="str">
            <v>ESTE</v>
          </cell>
          <cell r="G2190" t="str">
            <v>JOSE RAMIREZ</v>
          </cell>
          <cell r="H2190"/>
          <cell r="I2190" t="str">
            <v>A4</v>
          </cell>
          <cell r="J2190" t="str">
            <v>Inactivo</v>
          </cell>
          <cell r="K2190">
            <v>2292.5079829339247</v>
          </cell>
          <cell r="L2190">
            <v>458.50159658678496</v>
          </cell>
          <cell r="M2190">
            <v>250.94239999999999</v>
          </cell>
          <cell r="N2190" t="str">
            <v>Si Compra</v>
          </cell>
          <cell r="O2190">
            <v>5</v>
          </cell>
          <cell r="P2190">
            <v>13501.469258406269</v>
          </cell>
          <cell r="Q2190">
            <v>2700.2938516812537</v>
          </cell>
          <cell r="R2190">
            <v>4174.4336999999996</v>
          </cell>
          <cell r="T2190"/>
          <cell r="U2190"/>
          <cell r="V2190">
            <v>0.16979692647202571</v>
          </cell>
          <cell r="W2190">
            <v>1.750736303065668E-5</v>
          </cell>
          <cell r="X2190">
            <v>5</v>
          </cell>
          <cell r="Y2190" t="str">
            <v>Conquistar</v>
          </cell>
        </row>
        <row r="2191">
          <cell r="A2191" t="str">
            <v>E582</v>
          </cell>
          <cell r="B2191" t="str">
            <v>E582 - FARMACIA VILLAGELVES C.A</v>
          </cell>
          <cell r="C2191" t="e">
            <v>#N/A</v>
          </cell>
          <cell r="D2191">
            <v>3</v>
          </cell>
          <cell r="F2191" t="str">
            <v>ANDES</v>
          </cell>
          <cell r="G2191">
            <v>0</v>
          </cell>
          <cell r="H2191"/>
          <cell r="I2191" t="str">
            <v>4</v>
          </cell>
          <cell r="J2191" t="str">
            <v>Activo</v>
          </cell>
          <cell r="K2191">
            <v>2289.8744610881636</v>
          </cell>
          <cell r="L2191">
            <v>763.29148702938789</v>
          </cell>
          <cell r="M2191">
            <v>763.29148702938789</v>
          </cell>
          <cell r="N2191" t="str">
            <v>Si Compra</v>
          </cell>
          <cell r="O2191">
            <v>3</v>
          </cell>
          <cell r="P2191">
            <v>0</v>
          </cell>
          <cell r="Q2191">
            <v>0</v>
          </cell>
          <cell r="R2191">
            <v>0</v>
          </cell>
          <cell r="V2191">
            <v>0</v>
          </cell>
          <cell r="W2191">
            <v>2.9145419036951781E-5</v>
          </cell>
          <cell r="X2191">
            <v>0</v>
          </cell>
          <cell r="Y2191" t="str">
            <v>Conquistar</v>
          </cell>
        </row>
        <row r="2192">
          <cell r="A2192" t="str">
            <v>0001</v>
          </cell>
          <cell r="B2192" t="str">
            <v>0001 - FARMA DESCUENTOS FARMACIA SANTA RITA, C.A.</v>
          </cell>
          <cell r="C2192" t="str">
            <v>INDEPENDIENTE</v>
          </cell>
          <cell r="D2192">
            <v>3</v>
          </cell>
          <cell r="E2192"/>
          <cell r="F2192" t="str">
            <v>ESTE</v>
          </cell>
          <cell r="G2192" t="str">
            <v>ADOLFO GONZALEZ</v>
          </cell>
          <cell r="H2192"/>
          <cell r="I2192" t="str">
            <v>A8</v>
          </cell>
          <cell r="J2192" t="str">
            <v>Activo</v>
          </cell>
          <cell r="K2192">
            <v>2285.9396999999999</v>
          </cell>
          <cell r="L2192">
            <v>253.99329999999998</v>
          </cell>
          <cell r="M2192">
            <v>400.62103333333334</v>
          </cell>
          <cell r="N2192" t="str">
            <v>Si Compra</v>
          </cell>
          <cell r="O2192">
            <v>9</v>
          </cell>
          <cell r="P2192">
            <v>234672.82559999998</v>
          </cell>
          <cell r="Q2192">
            <v>26074.758399999999</v>
          </cell>
          <cell r="R2192">
            <v>19996.529900000001</v>
          </cell>
          <cell r="T2192"/>
          <cell r="U2192"/>
          <cell r="V2192">
            <v>9.7409646564548796E-3</v>
          </cell>
          <cell r="W2192">
            <v>9.6984458583293326E-6</v>
          </cell>
          <cell r="X2192">
            <v>9</v>
          </cell>
          <cell r="Y2192" t="str">
            <v>Conquistar</v>
          </cell>
        </row>
        <row r="2193">
          <cell r="A2193" t="str">
            <v>5564</v>
          </cell>
          <cell r="B2193" t="str">
            <v>5564 - FARMA MARKET PAMPATAR, C.A.</v>
          </cell>
          <cell r="C2193" t="str">
            <v>INDEPENDIENTE</v>
          </cell>
          <cell r="D2193">
            <v>3</v>
          </cell>
          <cell r="E2193"/>
          <cell r="F2193" t="str">
            <v>ESTE</v>
          </cell>
          <cell r="G2193" t="str">
            <v>ADOLFO GONZALEZ</v>
          </cell>
          <cell r="H2193"/>
          <cell r="I2193" t="str">
            <v>A8</v>
          </cell>
          <cell r="J2193" t="str">
            <v>Activo</v>
          </cell>
          <cell r="K2193">
            <v>2285.4465481249526</v>
          </cell>
          <cell r="L2193">
            <v>285.68081851561908</v>
          </cell>
          <cell r="M2193">
            <v>209.83743333333337</v>
          </cell>
          <cell r="N2193" t="str">
            <v>Si Compra</v>
          </cell>
          <cell r="O2193">
            <v>8</v>
          </cell>
          <cell r="P2193">
            <v>5475.4298817316449</v>
          </cell>
          <cell r="Q2193">
            <v>684.42873521645561</v>
          </cell>
          <cell r="R2193">
            <v>212.14013333333332</v>
          </cell>
          <cell r="T2193"/>
          <cell r="U2193"/>
          <cell r="V2193">
            <v>0.41740038636056159</v>
          </cell>
          <cell r="W2193">
            <v>1.0908397785047636E-5</v>
          </cell>
          <cell r="X2193">
            <v>6</v>
          </cell>
          <cell r="Y2193" t="str">
            <v>Potenciar</v>
          </cell>
        </row>
        <row r="2194">
          <cell r="A2194" t="str">
            <v>D433</v>
          </cell>
          <cell r="B2194" t="str">
            <v>D433 - TESCO CENTER SUCRE C.A.</v>
          </cell>
          <cell r="C2194" t="str">
            <v>INDEPENDIENTE</v>
          </cell>
          <cell r="D2194">
            <v>3</v>
          </cell>
          <cell r="E2194"/>
          <cell r="F2194" t="str">
            <v>ESTE</v>
          </cell>
          <cell r="G2194">
            <v>0</v>
          </cell>
          <cell r="H2194"/>
          <cell r="I2194" t="str">
            <v>A3</v>
          </cell>
          <cell r="J2194" t="str">
            <v>Inactivo</v>
          </cell>
          <cell r="K2194">
            <v>2284.1997000000001</v>
          </cell>
          <cell r="L2194">
            <v>285.52496250000002</v>
          </cell>
          <cell r="M2194">
            <v>121.49986666666666</v>
          </cell>
          <cell r="N2194" t="str">
            <v>Si Compra</v>
          </cell>
          <cell r="O2194">
            <v>8</v>
          </cell>
          <cell r="P2194">
            <v>0</v>
          </cell>
          <cell r="Q2194">
            <v>0</v>
          </cell>
          <cell r="R2194">
            <v>0</v>
          </cell>
          <cell r="T2194"/>
          <cell r="U2194"/>
          <cell r="V2194">
            <v>0</v>
          </cell>
          <cell r="W2194">
            <v>1.0902446599999934E-5</v>
          </cell>
          <cell r="X2194">
            <v>0</v>
          </cell>
          <cell r="Y2194" t="str">
            <v>Conquistar</v>
          </cell>
        </row>
        <row r="2195">
          <cell r="A2195">
            <v>0</v>
          </cell>
          <cell r="B2195" t="str">
            <v>S309 - FARMACIA PUNTOPHARMA C.A.</v>
          </cell>
          <cell r="C2195" t="e">
            <v>#N/A</v>
          </cell>
          <cell r="D2195">
            <v>0</v>
          </cell>
          <cell r="E2195"/>
          <cell r="F2195" t="str">
            <v>ESTE</v>
          </cell>
          <cell r="G2195" t="str">
            <v>CARLOS BLONDELL</v>
          </cell>
          <cell r="H2195"/>
          <cell r="I2195" t="str">
            <v>A5</v>
          </cell>
          <cell r="J2195" t="str">
            <v>Bloqueado</v>
          </cell>
          <cell r="K2195">
            <v>2279.0619999999999</v>
          </cell>
          <cell r="L2195">
            <v>569.76549999999997</v>
          </cell>
          <cell r="M2195">
            <v>0</v>
          </cell>
          <cell r="N2195" t="str">
            <v>No Compra</v>
          </cell>
          <cell r="O2195">
            <v>4</v>
          </cell>
          <cell r="P2195">
            <v>9148.1455999999998</v>
          </cell>
          <cell r="Q2195">
            <v>2287.0364</v>
          </cell>
          <cell r="R2195">
            <v>0</v>
          </cell>
          <cell r="T2195"/>
          <cell r="U2195"/>
          <cell r="V2195">
            <v>0.24912830421063695</v>
          </cell>
          <cell r="W2195">
            <v>2.1755848889297242E-5</v>
          </cell>
          <cell r="X2195">
            <v>4</v>
          </cell>
          <cell r="Y2195" t="str">
            <v>Potenciar</v>
          </cell>
        </row>
        <row r="2196">
          <cell r="A2196" t="str">
            <v>D221</v>
          </cell>
          <cell r="B2196" t="str">
            <v>D221 - FARMACIA LUZ 7, C.A.</v>
          </cell>
          <cell r="C2196" t="str">
            <v>INDEPENDIENTE</v>
          </cell>
          <cell r="D2196">
            <v>3</v>
          </cell>
          <cell r="E2196"/>
          <cell r="F2196" t="str">
            <v>ESTE</v>
          </cell>
          <cell r="G2196" t="str">
            <v>ADOLFO GONZALEZ</v>
          </cell>
          <cell r="H2196"/>
          <cell r="I2196" t="str">
            <v>A8</v>
          </cell>
          <cell r="J2196" t="str">
            <v>Inactivo</v>
          </cell>
          <cell r="K2196">
            <v>2275.1262999999999</v>
          </cell>
          <cell r="L2196">
            <v>227.51263</v>
          </cell>
          <cell r="M2196">
            <v>247.96386666666663</v>
          </cell>
          <cell r="N2196" t="str">
            <v>Si Compra</v>
          </cell>
          <cell r="O2196">
            <v>10</v>
          </cell>
          <cell r="P2196">
            <v>9392.2695000000003</v>
          </cell>
          <cell r="Q2196">
            <v>939.22694999999999</v>
          </cell>
          <cell r="R2196">
            <v>566.8051333333334</v>
          </cell>
          <cell r="T2196"/>
          <cell r="U2196"/>
          <cell r="V2196">
            <v>0.24223392439920938</v>
          </cell>
          <cell r="W2196">
            <v>8.6873115320014897E-6</v>
          </cell>
          <cell r="X2196">
            <v>10</v>
          </cell>
          <cell r="Y2196" t="str">
            <v>Potenciar</v>
          </cell>
        </row>
        <row r="2197">
          <cell r="A2197">
            <v>0</v>
          </cell>
          <cell r="B2197" t="str">
            <v>S361 - ISMAIRA TAYZ BERMUDEZ DE NATERA</v>
          </cell>
          <cell r="C2197" t="e">
            <v>#N/A</v>
          </cell>
          <cell r="D2197">
            <v>0</v>
          </cell>
          <cell r="E2197"/>
          <cell r="F2197" t="str">
            <v>ESTE</v>
          </cell>
          <cell r="G2197">
            <v>0</v>
          </cell>
          <cell r="H2197"/>
          <cell r="I2197" t="str">
            <v>A6</v>
          </cell>
          <cell r="J2197" t="str">
            <v>Inactivo</v>
          </cell>
          <cell r="K2197">
            <v>2271.1795912618313</v>
          </cell>
          <cell r="L2197">
            <v>227.11795912618314</v>
          </cell>
          <cell r="M2197">
            <v>249.11783042061043</v>
          </cell>
          <cell r="N2197" t="str">
            <v>Si Compra</v>
          </cell>
          <cell r="O2197">
            <v>10</v>
          </cell>
          <cell r="P2197">
            <v>0</v>
          </cell>
          <cell r="Q2197">
            <v>0</v>
          </cell>
          <cell r="R2197">
            <v>0</v>
          </cell>
          <cell r="T2197"/>
          <cell r="U2197"/>
          <cell r="V2197">
            <v>0</v>
          </cell>
          <cell r="W2197">
            <v>8.6722414726669633E-6</v>
          </cell>
          <cell r="X2197">
            <v>0</v>
          </cell>
          <cell r="Y2197" t="str">
            <v>Conquistar</v>
          </cell>
        </row>
        <row r="2198">
          <cell r="A2198" t="str">
            <v>B250</v>
          </cell>
          <cell r="B2198" t="str">
            <v>B250 - FARMA ANGELUZ, C.A.</v>
          </cell>
          <cell r="C2198" t="str">
            <v>INDEPENDIENTE</v>
          </cell>
          <cell r="D2198">
            <v>3</v>
          </cell>
          <cell r="E2198"/>
          <cell r="F2198" t="str">
            <v>ESTE</v>
          </cell>
          <cell r="G2198" t="str">
            <v>PEDRO VIRE</v>
          </cell>
          <cell r="H2198"/>
          <cell r="I2198" t="str">
            <v>A7</v>
          </cell>
          <cell r="J2198" t="str">
            <v>Activo</v>
          </cell>
          <cell r="K2198">
            <v>2271.0337695993358</v>
          </cell>
          <cell r="L2198">
            <v>378.50562826655596</v>
          </cell>
          <cell r="M2198">
            <v>517.46786666666674</v>
          </cell>
          <cell r="N2198" t="str">
            <v>Si Compra</v>
          </cell>
          <cell r="O2198">
            <v>6</v>
          </cell>
          <cell r="P2198">
            <v>3498.9019132373865</v>
          </cell>
          <cell r="Q2198">
            <v>583.15031887289774</v>
          </cell>
          <cell r="R2198">
            <v>683.95966666666664</v>
          </cell>
          <cell r="T2198"/>
          <cell r="U2198"/>
          <cell r="V2198">
            <v>0.64907043007045717</v>
          </cell>
          <cell r="W2198">
            <v>1.4452807782001028E-5</v>
          </cell>
          <cell r="X2198">
            <v>6</v>
          </cell>
          <cell r="Y2198" t="str">
            <v>Proteger</v>
          </cell>
        </row>
        <row r="2199">
          <cell r="A2199" t="str">
            <v>E611</v>
          </cell>
          <cell r="B2199" t="str">
            <v>E611 - FARMAUS NORTE, C.A</v>
          </cell>
          <cell r="C2199" t="e">
            <v>#N/A</v>
          </cell>
          <cell r="D2199">
            <v>2</v>
          </cell>
          <cell r="F2199" t="str">
            <v>CENTRO ESTE</v>
          </cell>
          <cell r="G2199">
            <v>0</v>
          </cell>
          <cell r="H2199"/>
          <cell r="I2199" t="str">
            <v>+</v>
          </cell>
          <cell r="J2199" t="str">
            <v>Activo</v>
          </cell>
          <cell r="K2199">
            <v>2242.8817662373376</v>
          </cell>
          <cell r="L2199">
            <v>1121.4408831186688</v>
          </cell>
          <cell r="M2199">
            <v>1121.4408831186688</v>
          </cell>
          <cell r="N2199" t="str">
            <v>Si Compra</v>
          </cell>
          <cell r="O2199">
            <v>2</v>
          </cell>
          <cell r="P2199">
            <v>0</v>
          </cell>
          <cell r="Q2199">
            <v>0</v>
          </cell>
          <cell r="R2199">
            <v>0</v>
          </cell>
          <cell r="V2199">
            <v>0</v>
          </cell>
          <cell r="W2199">
            <v>4.2820947199171961E-5</v>
          </cell>
          <cell r="X2199">
            <v>0</v>
          </cell>
          <cell r="Y2199" t="str">
            <v>Conquistar</v>
          </cell>
        </row>
        <row r="2200">
          <cell r="A2200" t="str">
            <v>0120</v>
          </cell>
          <cell r="B2200" t="str">
            <v>0120 - FARMACIA LA PENINSULA, C.A</v>
          </cell>
          <cell r="C2200" t="str">
            <v>INDEPENDIENTE</v>
          </cell>
          <cell r="D2200">
            <v>3</v>
          </cell>
          <cell r="E2200"/>
          <cell r="F2200" t="str">
            <v>ESTE</v>
          </cell>
          <cell r="G2200" t="str">
            <v>ADOLFO GONZALEZ</v>
          </cell>
          <cell r="H2200"/>
          <cell r="I2200" t="str">
            <v>A8</v>
          </cell>
          <cell r="J2200" t="str">
            <v>Activo</v>
          </cell>
          <cell r="K2200">
            <v>2241.6153118543862</v>
          </cell>
          <cell r="L2200">
            <v>249.06836798382068</v>
          </cell>
          <cell r="M2200">
            <v>295.66857061812868</v>
          </cell>
          <cell r="N2200" t="str">
            <v>Si Compra</v>
          </cell>
          <cell r="O2200">
            <v>9</v>
          </cell>
          <cell r="P2200">
            <v>20806.403947615436</v>
          </cell>
          <cell r="Q2200">
            <v>2311.8226608461596</v>
          </cell>
          <cell r="R2200">
            <v>2313.823715871813</v>
          </cell>
          <cell r="T2200"/>
          <cell r="U2200"/>
          <cell r="V2200">
            <v>0.10773679668519996</v>
          </cell>
          <cell r="W2200">
            <v>9.5103929194728052E-6</v>
          </cell>
          <cell r="X2200">
            <v>9</v>
          </cell>
          <cell r="Y2200" t="str">
            <v>Conquistar</v>
          </cell>
        </row>
        <row r="2201">
          <cell r="A2201" t="str">
            <v>C745</v>
          </cell>
          <cell r="B2201" t="str">
            <v>C745 - FARMACIA CALLE LAS FLORES CA</v>
          </cell>
          <cell r="C2201" t="str">
            <v>INDEPENDIENTE</v>
          </cell>
          <cell r="D2201">
            <v>0</v>
          </cell>
          <cell r="E2201"/>
          <cell r="F2201" t="str">
            <v>ESTE</v>
          </cell>
          <cell r="G2201" t="str">
            <v>PEDRO VIRE</v>
          </cell>
          <cell r="H2201"/>
          <cell r="I2201" t="str">
            <v>A7</v>
          </cell>
          <cell r="J2201" t="str">
            <v>Bloqueado</v>
          </cell>
          <cell r="K2201">
            <v>2214.6065013508346</v>
          </cell>
          <cell r="L2201">
            <v>1107.3032506754173</v>
          </cell>
          <cell r="M2201">
            <v>0</v>
          </cell>
          <cell r="N2201" t="str">
            <v>No Compra</v>
          </cell>
          <cell r="O2201">
            <v>2</v>
          </cell>
          <cell r="P2201">
            <v>17787.363540275524</v>
          </cell>
          <cell r="Q2201">
            <v>8893.6817701377622</v>
          </cell>
          <cell r="R2201">
            <v>0</v>
          </cell>
          <cell r="T2201"/>
          <cell r="U2201"/>
          <cell r="V2201">
            <v>0.12450448299076765</v>
          </cell>
          <cell r="W2201">
            <v>4.2281117751639938E-5</v>
          </cell>
          <cell r="X2201">
            <v>2</v>
          </cell>
          <cell r="Y2201" t="str">
            <v>Conquistar</v>
          </cell>
        </row>
        <row r="2202">
          <cell r="A2202" t="str">
            <v>E717</v>
          </cell>
          <cell r="B2202" t="str">
            <v>E717 - FARMAVITAL S23:6, C.A</v>
          </cell>
          <cell r="C2202" t="e">
            <v>#N/A</v>
          </cell>
          <cell r="D2202">
            <v>1</v>
          </cell>
          <cell r="F2202" t="str">
            <v>ANDES</v>
          </cell>
          <cell r="G2202">
            <v>0</v>
          </cell>
          <cell r="H2202"/>
          <cell r="I2202" t="str">
            <v>G</v>
          </cell>
          <cell r="J2202" t="str">
            <v>Activo</v>
          </cell>
          <cell r="K2202">
            <v>2189.3094999999998</v>
          </cell>
          <cell r="L2202">
            <v>2189.3094999999998</v>
          </cell>
          <cell r="M2202">
            <v>2189.3094999999998</v>
          </cell>
          <cell r="N2202" t="str">
            <v>Si Compra</v>
          </cell>
          <cell r="O2202">
            <v>1</v>
          </cell>
          <cell r="P2202">
            <v>0</v>
          </cell>
          <cell r="Q2202">
            <v>0</v>
          </cell>
          <cell r="R2202">
            <v>0</v>
          </cell>
          <cell r="V2202">
            <v>0</v>
          </cell>
          <cell r="W2202">
            <v>8.3596298220764331E-5</v>
          </cell>
          <cell r="X2202">
            <v>0</v>
          </cell>
          <cell r="Y2202" t="str">
            <v>Conquistar</v>
          </cell>
        </row>
        <row r="2203">
          <cell r="A2203" t="str">
            <v>E573</v>
          </cell>
          <cell r="B2203" t="str">
            <v>E573 - FARMA 12 GROUP, C.A.</v>
          </cell>
          <cell r="C2203" t="e">
            <v>#N/A</v>
          </cell>
          <cell r="D2203">
            <v>3</v>
          </cell>
          <cell r="F2203" t="str">
            <v>CENTRO ESTE</v>
          </cell>
          <cell r="G2203">
            <v>0</v>
          </cell>
          <cell r="H2203"/>
          <cell r="I2203" t="str">
            <v>+</v>
          </cell>
          <cell r="J2203" t="str">
            <v>Activo</v>
          </cell>
          <cell r="K2203">
            <v>2182.6273000000001</v>
          </cell>
          <cell r="L2203">
            <v>727.54243333333341</v>
          </cell>
          <cell r="M2203">
            <v>727.54243333333341</v>
          </cell>
          <cell r="N2203" t="str">
            <v>Si Compra</v>
          </cell>
          <cell r="O2203">
            <v>3</v>
          </cell>
          <cell r="P2203">
            <v>0</v>
          </cell>
          <cell r="Q2203">
            <v>0</v>
          </cell>
          <cell r="R2203">
            <v>0</v>
          </cell>
          <cell r="V2203">
            <v>0</v>
          </cell>
          <cell r="W2203">
            <v>2.7780381999527203E-5</v>
          </cell>
          <cell r="X2203">
            <v>0</v>
          </cell>
          <cell r="Y2203" t="str">
            <v>Conquistar</v>
          </cell>
        </row>
        <row r="2204">
          <cell r="A2204" t="str">
            <v>E678</v>
          </cell>
          <cell r="B2204" t="str">
            <v>E678 - EXPENDIO DE MEDICAMENTOS CRISTO REINA, C.A</v>
          </cell>
          <cell r="C2204" t="e">
            <v>#N/A</v>
          </cell>
          <cell r="D2204">
            <v>2</v>
          </cell>
          <cell r="F2204" t="str">
            <v>MARACAIBO</v>
          </cell>
          <cell r="G2204">
            <v>0</v>
          </cell>
          <cell r="H2204"/>
          <cell r="I2204" t="str">
            <v>S</v>
          </cell>
          <cell r="J2204" t="str">
            <v>Activo</v>
          </cell>
          <cell r="K2204">
            <v>2180.423505015166</v>
          </cell>
          <cell r="L2204">
            <v>1090.211752507583</v>
          </cell>
          <cell r="M2204">
            <v>1090.211752507583</v>
          </cell>
          <cell r="N2204" t="str">
            <v>Si Compra</v>
          </cell>
          <cell r="O2204">
            <v>2</v>
          </cell>
          <cell r="P2204">
            <v>0</v>
          </cell>
          <cell r="Q2204">
            <v>0</v>
          </cell>
          <cell r="R2204">
            <v>0</v>
          </cell>
          <cell r="V2204">
            <v>0</v>
          </cell>
          <cell r="W2204">
            <v>4.1628498294282303E-5</v>
          </cell>
          <cell r="X2204">
            <v>0</v>
          </cell>
          <cell r="Y2204" t="str">
            <v>Conquistar</v>
          </cell>
        </row>
        <row r="2205">
          <cell r="A2205" t="str">
            <v>2979</v>
          </cell>
          <cell r="B2205" t="str">
            <v>2979 - FARMACIA VIRGEN DE FATIMA II, C,A</v>
          </cell>
          <cell r="C2205" t="str">
            <v>INDEPENDIENTE</v>
          </cell>
          <cell r="D2205">
            <v>3</v>
          </cell>
          <cell r="E2205"/>
          <cell r="F2205" t="str">
            <v>ESTE</v>
          </cell>
          <cell r="G2205" t="str">
            <v>CARMEN ALCALA</v>
          </cell>
          <cell r="H2205"/>
          <cell r="I2205" t="str">
            <v>A6</v>
          </cell>
          <cell r="J2205" t="str">
            <v>Inactivo</v>
          </cell>
          <cell r="K2205">
            <v>2167.7719242459348</v>
          </cell>
          <cell r="L2205">
            <v>361.29532070765578</v>
          </cell>
          <cell r="M2205">
            <v>549.37423333333334</v>
          </cell>
          <cell r="N2205" t="str">
            <v>Si Compra</v>
          </cell>
          <cell r="O2205">
            <v>6</v>
          </cell>
          <cell r="P2205">
            <v>35966.019479084141</v>
          </cell>
          <cell r="Q2205">
            <v>5994.3365798473569</v>
          </cell>
          <cell r="R2205">
            <v>5176.0591333333332</v>
          </cell>
          <cell r="T2205"/>
          <cell r="U2205"/>
          <cell r="V2205">
            <v>6.0272778462642819E-2</v>
          </cell>
          <cell r="W2205">
            <v>1.3795651722903449E-5</v>
          </cell>
          <cell r="X2205">
            <v>6</v>
          </cell>
          <cell r="Y2205" t="str">
            <v>Conquistar</v>
          </cell>
        </row>
        <row r="2206">
          <cell r="A2206" t="str">
            <v>0431</v>
          </cell>
          <cell r="B2206" t="str">
            <v>BOTICA MAS</v>
          </cell>
          <cell r="C2206" t="str">
            <v>GRUPO</v>
          </cell>
          <cell r="D2206">
            <v>0</v>
          </cell>
          <cell r="E2206"/>
          <cell r="F2206" t="str">
            <v>ESTE</v>
          </cell>
          <cell r="G2206" t="str">
            <v>CARLOS BLONDELL</v>
          </cell>
          <cell r="H2206"/>
          <cell r="I2206" t="str">
            <v>A3</v>
          </cell>
          <cell r="J2206" t="str">
            <v>Bloqueado</v>
          </cell>
          <cell r="K2206">
            <v>2165.6947741338245</v>
          </cell>
          <cell r="L2206">
            <v>433.13895482676492</v>
          </cell>
          <cell r="M2206">
            <v>0</v>
          </cell>
          <cell r="N2206" t="str">
            <v>No Compra</v>
          </cell>
          <cell r="O2206">
            <v>4</v>
          </cell>
          <cell r="P2206">
            <v>3554.4543382073298</v>
          </cell>
          <cell r="Q2206">
            <v>710.890867641466</v>
          </cell>
          <cell r="R2206">
            <v>0</v>
          </cell>
          <cell r="T2206"/>
          <cell r="U2206"/>
          <cell r="V2206">
            <v>0.60929036303954354</v>
          </cell>
          <cell r="W2206">
            <v>1.6538919343623371E-5</v>
          </cell>
          <cell r="X2206">
            <v>4</v>
          </cell>
          <cell r="Y2206" t="str">
            <v>Potenciar</v>
          </cell>
        </row>
        <row r="2207">
          <cell r="A2207" t="str">
            <v>0959</v>
          </cell>
          <cell r="B2207" t="str">
            <v>0959 - FARMACIA SAN ANTONIO, C.A.</v>
          </cell>
          <cell r="C2207" t="str">
            <v>INDEPENDIENTE</v>
          </cell>
          <cell r="D2207">
            <v>0</v>
          </cell>
          <cell r="E2207"/>
          <cell r="F2207" t="str">
            <v>ESTE</v>
          </cell>
          <cell r="G2207" t="str">
            <v>ADOLFO GONZALEZ</v>
          </cell>
          <cell r="H2207"/>
          <cell r="I2207" t="str">
            <v>A8</v>
          </cell>
          <cell r="J2207" t="str">
            <v>Inactivo</v>
          </cell>
          <cell r="K2207">
            <v>2153.7081999999996</v>
          </cell>
          <cell r="L2207">
            <v>430.7416399999999</v>
          </cell>
          <cell r="M2207">
            <v>142.77510000000001</v>
          </cell>
          <cell r="N2207" t="str">
            <v>Si Compra</v>
          </cell>
          <cell r="O2207">
            <v>5</v>
          </cell>
          <cell r="P2207">
            <v>7715.2831999999999</v>
          </cell>
          <cell r="Q2207">
            <v>1543.05664</v>
          </cell>
          <cell r="R2207">
            <v>567.57309999999995</v>
          </cell>
          <cell r="T2207"/>
          <cell r="U2207"/>
          <cell r="V2207">
            <v>0.27914830138704427</v>
          </cell>
          <cell r="W2207">
            <v>1.6447380598102327E-5</v>
          </cell>
          <cell r="X2207">
            <v>5</v>
          </cell>
          <cell r="Y2207" t="str">
            <v>Potenciar</v>
          </cell>
        </row>
        <row r="2208">
          <cell r="A2208" t="str">
            <v>0211</v>
          </cell>
          <cell r="B2208" t="str">
            <v>FARMABIEN</v>
          </cell>
          <cell r="C2208" t="str">
            <v>CADENA</v>
          </cell>
          <cell r="D2208">
            <v>325</v>
          </cell>
          <cell r="E2208"/>
          <cell r="F2208" t="str">
            <v>CENTRO OESTE</v>
          </cell>
          <cell r="G2208" t="str">
            <v>DIEGO TORI</v>
          </cell>
          <cell r="H2208"/>
          <cell r="I2208" t="str">
            <v>A</v>
          </cell>
          <cell r="J2208" t="str">
            <v>Bloqueado</v>
          </cell>
          <cell r="K2208">
            <v>2151.1262821333826</v>
          </cell>
          <cell r="L2208">
            <v>307.30375459048321</v>
          </cell>
          <cell r="M2208">
            <v>0</v>
          </cell>
          <cell r="N2208" t="str">
            <v>No Compra</v>
          </cell>
          <cell r="O2208">
            <v>7</v>
          </cell>
          <cell r="P2208">
            <v>44448.889473296265</v>
          </cell>
          <cell r="Q2208">
            <v>6349.8413533280382</v>
          </cell>
          <cell r="R2208">
            <v>0</v>
          </cell>
          <cell r="T2208"/>
          <cell r="U2208"/>
          <cell r="V2208">
            <v>4.8395501161524475E-2</v>
          </cell>
          <cell r="W2208">
            <v>1.1734045055350381E-5</v>
          </cell>
          <cell r="X2208">
            <v>6</v>
          </cell>
          <cell r="Y2208" t="str">
            <v>Conquistar</v>
          </cell>
        </row>
        <row r="2209">
          <cell r="A2209" t="str">
            <v>D754</v>
          </cell>
          <cell r="B2209" t="str">
            <v>D754 - FARMACIA DR. AHORRO 2 C.A.</v>
          </cell>
          <cell r="C2209" t="str">
            <v>INDEPENDIENTE</v>
          </cell>
          <cell r="D2209">
            <v>1</v>
          </cell>
          <cell r="E2209"/>
          <cell r="F2209" t="str">
            <v>ESTE</v>
          </cell>
          <cell r="G2209">
            <v>0</v>
          </cell>
          <cell r="H2209"/>
          <cell r="I2209" t="str">
            <v>A0</v>
          </cell>
          <cell r="J2209" t="str">
            <v>Inactivo</v>
          </cell>
          <cell r="K2209">
            <v>2140.3154</v>
          </cell>
          <cell r="L2209">
            <v>535.07884999999999</v>
          </cell>
          <cell r="M2209">
            <v>293.11880000000002</v>
          </cell>
          <cell r="N2209" t="str">
            <v>Si Compra</v>
          </cell>
          <cell r="O2209">
            <v>4</v>
          </cell>
          <cell r="P2209">
            <v>0</v>
          </cell>
          <cell r="Q2209">
            <v>0</v>
          </cell>
          <cell r="R2209">
            <v>0</v>
          </cell>
          <cell r="T2209"/>
          <cell r="U2209"/>
          <cell r="V2209">
            <v>0</v>
          </cell>
          <cell r="W2209">
            <v>2.0431378531095593E-5</v>
          </cell>
          <cell r="X2209">
            <v>0</v>
          </cell>
          <cell r="Y2209" t="str">
            <v>Conquistar</v>
          </cell>
        </row>
        <row r="2210">
          <cell r="A2210" t="str">
            <v>D799</v>
          </cell>
          <cell r="B2210" t="str">
            <v>D799 - FARMA-MERILIN, C.A.</v>
          </cell>
          <cell r="C2210" t="str">
            <v>INDEPENDIENTE</v>
          </cell>
          <cell r="D2210">
            <v>0</v>
          </cell>
          <cell r="E2210"/>
          <cell r="F2210" t="str">
            <v>CENTRO OESTE</v>
          </cell>
          <cell r="G2210" t="str">
            <v>LUIS PLACERES</v>
          </cell>
          <cell r="H2210"/>
          <cell r="I2210" t="str">
            <v>E</v>
          </cell>
          <cell r="J2210" t="str">
            <v>Bloqueado</v>
          </cell>
          <cell r="K2210">
            <v>2116.0551999999998</v>
          </cell>
          <cell r="L2210">
            <v>423.21103999999997</v>
          </cell>
          <cell r="M2210">
            <v>0</v>
          </cell>
          <cell r="N2210" t="str">
            <v>No Compra</v>
          </cell>
          <cell r="O2210">
            <v>5</v>
          </cell>
          <cell r="P2210">
            <v>4296.5553</v>
          </cell>
          <cell r="Q2210">
            <v>859.31106</v>
          </cell>
          <cell r="R2210">
            <v>0</v>
          </cell>
          <cell r="T2210"/>
          <cell r="U2210"/>
          <cell r="V2210">
            <v>0.49250039909878496</v>
          </cell>
          <cell r="W2210">
            <v>1.615983318491964E-5</v>
          </cell>
          <cell r="X2210">
            <v>5</v>
          </cell>
          <cell r="Y2210" t="str">
            <v>Potenciar</v>
          </cell>
        </row>
        <row r="2211">
          <cell r="A2211" t="str">
            <v>Z31</v>
          </cell>
          <cell r="B2211" t="str">
            <v>Z31 - TU FARMACIA C.A</v>
          </cell>
          <cell r="C2211" t="str">
            <v>INDEPENDIENTE</v>
          </cell>
          <cell r="D2211">
            <v>3</v>
          </cell>
          <cell r="F2211" t="str">
            <v>MARACAIBO</v>
          </cell>
          <cell r="G2211" t="str">
            <v>MARIA FUSELLA</v>
          </cell>
          <cell r="H2211"/>
          <cell r="I2211" t="str">
            <v>BZ</v>
          </cell>
          <cell r="J2211" t="str">
            <v>Activo</v>
          </cell>
          <cell r="K2211">
            <v>2114.2752</v>
          </cell>
          <cell r="L2211">
            <v>211.42752000000002</v>
          </cell>
          <cell r="M2211">
            <v>244.9057333333333</v>
          </cell>
          <cell r="N2211" t="str">
            <v>Si Compra</v>
          </cell>
          <cell r="O2211">
            <v>10</v>
          </cell>
          <cell r="P2211">
            <v>8971.2900000000009</v>
          </cell>
          <cell r="Q2211">
            <v>897.12900000000013</v>
          </cell>
          <cell r="R2211">
            <v>1057.9803333333332</v>
          </cell>
          <cell r="V2211">
            <v>0.23567125797962163</v>
          </cell>
          <cell r="W2211">
            <v>8.0731198645036787E-6</v>
          </cell>
          <cell r="X2211">
            <v>10</v>
          </cell>
          <cell r="Y2211" t="str">
            <v>Potenciar</v>
          </cell>
        </row>
        <row r="2212">
          <cell r="A2212" t="str">
            <v>E318</v>
          </cell>
          <cell r="B2212" t="str">
            <v>E318 - FARMA SHEKINAH, C.A.</v>
          </cell>
          <cell r="C2212" t="e">
            <v>#N/A</v>
          </cell>
          <cell r="D2212">
            <v>2</v>
          </cell>
          <cell r="F2212" t="str">
            <v>ESTE</v>
          </cell>
          <cell r="G2212">
            <v>0</v>
          </cell>
          <cell r="H2212"/>
          <cell r="I2212" t="str">
            <v>A0</v>
          </cell>
          <cell r="J2212" t="str">
            <v>Activo</v>
          </cell>
          <cell r="K2212">
            <v>2113.2195381564939</v>
          </cell>
          <cell r="L2212">
            <v>352.20325635941566</v>
          </cell>
          <cell r="M2212">
            <v>157.86390968782874</v>
          </cell>
          <cell r="N2212" t="str">
            <v>Si Compra</v>
          </cell>
          <cell r="O2212">
            <v>5</v>
          </cell>
          <cell r="P2212">
            <v>0</v>
          </cell>
          <cell r="Q2212">
            <v>0</v>
          </cell>
          <cell r="R2212">
            <v>0</v>
          </cell>
          <cell r="V2212">
            <v>0</v>
          </cell>
          <cell r="W2212">
            <v>1.3448481565966815E-5</v>
          </cell>
          <cell r="X2212">
            <v>0</v>
          </cell>
          <cell r="Y2212" t="str">
            <v>Conquistar</v>
          </cell>
        </row>
        <row r="2213">
          <cell r="A2213" t="str">
            <v>B617</v>
          </cell>
          <cell r="B2213" t="str">
            <v>B617 - FARMA PUENTES, C.A.</v>
          </cell>
          <cell r="C2213" t="str">
            <v>INDEPENDIENTE</v>
          </cell>
          <cell r="D2213">
            <v>0</v>
          </cell>
          <cell r="E2213"/>
          <cell r="F2213" t="str">
            <v>ANDES</v>
          </cell>
          <cell r="G2213" t="str">
            <v>JESUS CONTRERAS</v>
          </cell>
          <cell r="H2213"/>
          <cell r="I2213" t="str">
            <v>G2</v>
          </cell>
          <cell r="J2213" t="str">
            <v>Bloqueado</v>
          </cell>
          <cell r="K2213">
            <v>2111.9606250468009</v>
          </cell>
          <cell r="L2213">
            <v>351.99343750780014</v>
          </cell>
          <cell r="M2213">
            <v>0</v>
          </cell>
          <cell r="N2213" t="str">
            <v>No Compra</v>
          </cell>
          <cell r="O2213">
            <v>6</v>
          </cell>
          <cell r="P2213">
            <v>5603.4859250167392</v>
          </cell>
          <cell r="Q2213">
            <v>933.91432083612324</v>
          </cell>
          <cell r="R2213">
            <v>0</v>
          </cell>
          <cell r="T2213"/>
          <cell r="U2213"/>
          <cell r="V2213">
            <v>0.37690120994468129</v>
          </cell>
          <cell r="W2213">
            <v>1.3440469871278609E-5</v>
          </cell>
          <cell r="X2213">
            <v>5</v>
          </cell>
          <cell r="Y2213" t="str">
            <v>Potenciar</v>
          </cell>
        </row>
        <row r="2214">
          <cell r="A2214" t="str">
            <v>8516</v>
          </cell>
          <cell r="B2214" t="str">
            <v>8516 - FARMACIA FZ23, C.A</v>
          </cell>
          <cell r="C2214" t="str">
            <v>INDEPENDIENTE</v>
          </cell>
          <cell r="D2214">
            <v>0</v>
          </cell>
          <cell r="E2214"/>
          <cell r="F2214" t="str">
            <v>CENTRO OESTE</v>
          </cell>
          <cell r="G2214" t="str">
            <v>LUIS PLACERES</v>
          </cell>
          <cell r="H2214"/>
          <cell r="I2214" t="str">
            <v>E</v>
          </cell>
          <cell r="J2214" t="str">
            <v>Bloqueado</v>
          </cell>
          <cell r="K2214">
            <v>2105.5722020798084</v>
          </cell>
          <cell r="L2214">
            <v>526.39305051995211</v>
          </cell>
          <cell r="M2214">
            <v>0</v>
          </cell>
          <cell r="N2214" t="str">
            <v>No Compra</v>
          </cell>
          <cell r="O2214">
            <v>4</v>
          </cell>
          <cell r="P2214">
            <v>1929.6503731854712</v>
          </cell>
          <cell r="Q2214">
            <v>482.41259329636779</v>
          </cell>
          <cell r="R2214">
            <v>0</v>
          </cell>
          <cell r="T2214"/>
          <cell r="U2214"/>
          <cell r="V2214">
            <v>1.0911677220593725</v>
          </cell>
          <cell r="W2214">
            <v>2.0099721137008627E-5</v>
          </cell>
          <cell r="X2214">
            <v>3</v>
          </cell>
          <cell r="Y2214" t="str">
            <v>Proteger</v>
          </cell>
        </row>
        <row r="2215">
          <cell r="A2215" t="str">
            <v>D028</v>
          </cell>
          <cell r="B2215" t="str">
            <v>D028 - FARMACIA LOS CEDROS LF C.A.</v>
          </cell>
          <cell r="C2215" t="str">
            <v>INDEPENDIENTE</v>
          </cell>
          <cell r="D2215">
            <v>3</v>
          </cell>
          <cell r="E2215"/>
          <cell r="F2215" t="str">
            <v>ANDES</v>
          </cell>
          <cell r="G2215" t="str">
            <v>JESUS CONTRERAS</v>
          </cell>
          <cell r="H2215"/>
          <cell r="I2215" t="str">
            <v>G2</v>
          </cell>
          <cell r="J2215" t="str">
            <v>Activo</v>
          </cell>
          <cell r="K2215">
            <v>2095.1507999999999</v>
          </cell>
          <cell r="L2215">
            <v>232.79453333333333</v>
          </cell>
          <cell r="M2215">
            <v>130.1353</v>
          </cell>
          <cell r="N2215" t="str">
            <v>Si Compra</v>
          </cell>
          <cell r="O2215">
            <v>9</v>
          </cell>
          <cell r="P2215">
            <v>5235.6149999999998</v>
          </cell>
          <cell r="Q2215">
            <v>581.73500000000001</v>
          </cell>
          <cell r="R2215">
            <v>896.22400000000005</v>
          </cell>
          <cell r="T2215"/>
          <cell r="U2215"/>
          <cell r="V2215">
            <v>0.40017281637400764</v>
          </cell>
          <cell r="W2215">
            <v>8.8889950154133065E-6</v>
          </cell>
          <cell r="X2215">
            <v>8</v>
          </cell>
          <cell r="Y2215" t="str">
            <v>Potenciar</v>
          </cell>
        </row>
        <row r="2216">
          <cell r="A2216" t="str">
            <v>C616</v>
          </cell>
          <cell r="B2216" t="str">
            <v>C616 - FARMACIA ALFAMEDICALL, C.A.</v>
          </cell>
          <cell r="C2216" t="e">
            <v>#N/A</v>
          </cell>
          <cell r="D2216">
            <v>3</v>
          </cell>
          <cell r="E2216"/>
          <cell r="F2216" t="str">
            <v>CARACAS</v>
          </cell>
          <cell r="G2216" t="str">
            <v>JHON TORRES</v>
          </cell>
          <cell r="H2216"/>
          <cell r="I2216" t="str">
            <v>C4</v>
          </cell>
          <cell r="J2216" t="str">
            <v>Inactivo</v>
          </cell>
          <cell r="K2216">
            <v>2082.792948563047</v>
          </cell>
          <cell r="L2216">
            <v>347.13215809384116</v>
          </cell>
          <cell r="M2216">
            <v>555.97074952101582</v>
          </cell>
          <cell r="N2216" t="str">
            <v>Si Compra</v>
          </cell>
          <cell r="O2216">
            <v>6</v>
          </cell>
          <cell r="P2216">
            <v>12837.834638906574</v>
          </cell>
          <cell r="Q2216">
            <v>2139.6391064844288</v>
          </cell>
          <cell r="R2216">
            <v>3190.1620796355251</v>
          </cell>
          <cell r="T2216"/>
          <cell r="U2216"/>
          <cell r="V2216">
            <v>0.16223864905152285</v>
          </cell>
          <cell r="W2216">
            <v>1.3254847434787205E-5</v>
          </cell>
          <cell r="X2216">
            <v>6</v>
          </cell>
          <cell r="Y2216" t="str">
            <v>Conquistar</v>
          </cell>
        </row>
        <row r="2217">
          <cell r="A2217" t="str">
            <v>B449</v>
          </cell>
          <cell r="B2217" t="str">
            <v>B449 - GLOBAL FARMACIA, C.A.</v>
          </cell>
          <cell r="C2217" t="str">
            <v>INDEPENDIENTE</v>
          </cell>
          <cell r="D2217">
            <v>1</v>
          </cell>
          <cell r="E2217"/>
          <cell r="F2217" t="str">
            <v>CENTRO ESTE</v>
          </cell>
          <cell r="G2217" t="str">
            <v>MARCOS CRUCES</v>
          </cell>
          <cell r="H2217"/>
          <cell r="I2217" t="str">
            <v>AV</v>
          </cell>
          <cell r="J2217" t="str">
            <v>Activo</v>
          </cell>
          <cell r="K2217">
            <v>2075.5920001877416</v>
          </cell>
          <cell r="L2217">
            <v>518.89800004693541</v>
          </cell>
          <cell r="M2217">
            <v>276.33229999999998</v>
          </cell>
          <cell r="N2217" t="str">
            <v>Si Compra</v>
          </cell>
          <cell r="O2217">
            <v>3</v>
          </cell>
          <cell r="P2217">
            <v>1712.7921000000001</v>
          </cell>
          <cell r="Q2217">
            <v>428.19802500000003</v>
          </cell>
          <cell r="R2217">
            <v>253.495</v>
          </cell>
          <cell r="T2217"/>
          <cell r="U2217"/>
          <cell r="V2217">
            <v>1.2118178266864621</v>
          </cell>
          <cell r="W2217">
            <v>1.9813531142162311E-5</v>
          </cell>
          <cell r="X2217">
            <v>3</v>
          </cell>
          <cell r="Y2217" t="str">
            <v>Proteger</v>
          </cell>
        </row>
        <row r="2218">
          <cell r="A2218" t="str">
            <v>E667</v>
          </cell>
          <cell r="B2218" t="str">
            <v>E667 - FARMASERVICIOS MIAFARMA, C.A</v>
          </cell>
          <cell r="C2218" t="e">
            <v>#N/A</v>
          </cell>
          <cell r="D2218">
            <v>2</v>
          </cell>
          <cell r="F2218" t="str">
            <v>ANDES</v>
          </cell>
          <cell r="G2218">
            <v>0</v>
          </cell>
          <cell r="H2218"/>
          <cell r="I2218" t="str">
            <v>3</v>
          </cell>
          <cell r="J2218" t="str">
            <v>Suspendido</v>
          </cell>
          <cell r="K2218">
            <v>2074.4546</v>
          </cell>
          <cell r="L2218">
            <v>1037.2273</v>
          </cell>
          <cell r="M2218">
            <v>1037.2273</v>
          </cell>
          <cell r="N2218" t="str">
            <v>Si Compra</v>
          </cell>
          <cell r="O2218">
            <v>2</v>
          </cell>
          <cell r="P2218">
            <v>0</v>
          </cell>
          <cell r="Q2218">
            <v>0</v>
          </cell>
          <cell r="R2218">
            <v>0</v>
          </cell>
          <cell r="V2218">
            <v>0</v>
          </cell>
          <cell r="W2218">
            <v>3.9605347116759054E-5</v>
          </cell>
          <cell r="X2218">
            <v>0</v>
          </cell>
          <cell r="Y2218" t="str">
            <v>Conquistar</v>
          </cell>
        </row>
        <row r="2219">
          <cell r="A2219" t="str">
            <v>B533</v>
          </cell>
          <cell r="B2219" t="str">
            <v>B533 - FARMACIA LA GALENICA, C.A.</v>
          </cell>
          <cell r="C2219" t="str">
            <v>INDEPENDIENTE</v>
          </cell>
          <cell r="D2219">
            <v>0</v>
          </cell>
          <cell r="E2219"/>
          <cell r="F2219" t="str">
            <v>ESTE</v>
          </cell>
          <cell r="G2219" t="str">
            <v>PEDRO VIRE</v>
          </cell>
          <cell r="H2219"/>
          <cell r="I2219" t="str">
            <v>A7</v>
          </cell>
          <cell r="J2219" t="str">
            <v>Bloqueado</v>
          </cell>
          <cell r="K2219">
            <v>2073.327285669543</v>
          </cell>
          <cell r="L2219">
            <v>414.6654571339086</v>
          </cell>
          <cell r="M2219">
            <v>0</v>
          </cell>
          <cell r="N2219" t="str">
            <v>No Compra</v>
          </cell>
          <cell r="O2219">
            <v>5</v>
          </cell>
          <cell r="P2219">
            <v>39893.780836619415</v>
          </cell>
          <cell r="Q2219">
            <v>7978.7561673238833</v>
          </cell>
          <cell r="R2219">
            <v>0</v>
          </cell>
          <cell r="T2219"/>
          <cell r="U2219"/>
          <cell r="V2219">
            <v>5.1971190551244731E-2</v>
          </cell>
          <cell r="W2219">
            <v>1.5833529803079828E-5</v>
          </cell>
          <cell r="X2219">
            <v>5</v>
          </cell>
          <cell r="Y2219" t="str">
            <v>Conquistar</v>
          </cell>
        </row>
        <row r="2220">
          <cell r="A2220" t="str">
            <v>D564</v>
          </cell>
          <cell r="B2220" t="str">
            <v>D564 - DAYLENNYS DAYRETH GUIZA TORRES</v>
          </cell>
          <cell r="C2220" t="str">
            <v>INDEPENDIENTE</v>
          </cell>
          <cell r="D2220">
            <v>1</v>
          </cell>
          <cell r="E2220"/>
          <cell r="F2220" t="str">
            <v>CENTRO OESTE</v>
          </cell>
          <cell r="G2220" t="str">
            <v>LUIS PLACERES</v>
          </cell>
          <cell r="H2220"/>
          <cell r="I2220" t="str">
            <v>E</v>
          </cell>
          <cell r="J2220" t="str">
            <v>Bloqueado</v>
          </cell>
          <cell r="K2220">
            <v>2071.6622000000002</v>
          </cell>
          <cell r="L2220">
            <v>295.9517428571429</v>
          </cell>
          <cell r="M2220">
            <v>177.06450000000001</v>
          </cell>
          <cell r="N2220" t="str">
            <v>Si Compra</v>
          </cell>
          <cell r="O2220">
            <v>7</v>
          </cell>
          <cell r="P2220">
            <v>49664.207400000007</v>
          </cell>
          <cell r="Q2220">
            <v>7094.8867714285725</v>
          </cell>
          <cell r="R2220">
            <v>137.11699999999999</v>
          </cell>
          <cell r="T2220"/>
          <cell r="U2220"/>
          <cell r="V2220">
            <v>4.1713384919538653E-2</v>
          </cell>
          <cell r="W2220">
            <v>1.1300581372729931E-5</v>
          </cell>
          <cell r="X2220">
            <v>7</v>
          </cell>
          <cell r="Y2220" t="str">
            <v>Conquistar</v>
          </cell>
        </row>
        <row r="2221">
          <cell r="A2221" t="str">
            <v>D381</v>
          </cell>
          <cell r="B2221" t="str">
            <v>D381 - EXPENDIO DE MEDICINAS GALENA C.A</v>
          </cell>
          <cell r="C2221" t="str">
            <v>INDEPENDIENTE</v>
          </cell>
          <cell r="D2221">
            <v>0</v>
          </cell>
          <cell r="E2221"/>
          <cell r="F2221" t="str">
            <v>CENTRO OESTE</v>
          </cell>
          <cell r="H2221"/>
          <cell r="I2221" t="str">
            <v>C</v>
          </cell>
          <cell r="J2221" t="str">
            <v>Bloqueado</v>
          </cell>
          <cell r="K2221">
            <v>2064.597507585489</v>
          </cell>
          <cell r="L2221">
            <v>294.94250108364128</v>
          </cell>
          <cell r="M2221">
            <v>0</v>
          </cell>
          <cell r="N2221" t="str">
            <v>No Compra</v>
          </cell>
          <cell r="O2221">
            <v>7</v>
          </cell>
          <cell r="P2221">
            <v>0</v>
          </cell>
          <cell r="Q2221">
            <v>0</v>
          </cell>
          <cell r="R2221">
            <v>0</v>
          </cell>
          <cell r="T2221"/>
          <cell r="U2221"/>
          <cell r="V2221">
            <v>0</v>
          </cell>
          <cell r="W2221">
            <v>1.1262044621176762E-5</v>
          </cell>
          <cell r="X2221">
            <v>0</v>
          </cell>
          <cell r="Y2221" t="str">
            <v>Conquistar</v>
          </cell>
        </row>
        <row r="2222">
          <cell r="A2222" t="str">
            <v>D271</v>
          </cell>
          <cell r="B2222" t="str">
            <v>D271 - FARMACIA EL INDIO CUMANA C.A.</v>
          </cell>
          <cell r="C2222" t="str">
            <v>INDEPENDIENTE</v>
          </cell>
          <cell r="D2222">
            <v>2</v>
          </cell>
          <cell r="E2222"/>
          <cell r="F2222" t="str">
            <v>ESTE</v>
          </cell>
          <cell r="G2222">
            <v>0</v>
          </cell>
          <cell r="H2222"/>
          <cell r="I2222" t="str">
            <v>A3</v>
          </cell>
          <cell r="J2222" t="str">
            <v>Inactivo</v>
          </cell>
          <cell r="K2222">
            <v>2059.2008999999998</v>
          </cell>
          <cell r="L2222">
            <v>343.20014999999995</v>
          </cell>
          <cell r="M2222">
            <v>490.32124999999996</v>
          </cell>
          <cell r="N2222" t="str">
            <v>Si Compra</v>
          </cell>
          <cell r="O2222">
            <v>6</v>
          </cell>
          <cell r="P2222">
            <v>0</v>
          </cell>
          <cell r="Q2222">
            <v>0</v>
          </cell>
          <cell r="R2222">
            <v>0</v>
          </cell>
          <cell r="T2222"/>
          <cell r="U2222"/>
          <cell r="V2222">
            <v>0</v>
          </cell>
          <cell r="W2222">
            <v>1.31047081688592E-5</v>
          </cell>
          <cell r="X2222">
            <v>0</v>
          </cell>
          <cell r="Y2222" t="str">
            <v>Conquistar</v>
          </cell>
        </row>
        <row r="2223">
          <cell r="A2223" t="str">
            <v>$227</v>
          </cell>
          <cell r="B2223" t="str">
            <v>$227 - FARMACIA MARIARA,C.A</v>
          </cell>
          <cell r="C2223" t="str">
            <v>INDEPENDIENTE</v>
          </cell>
          <cell r="D2223">
            <v>0</v>
          </cell>
          <cell r="E2223"/>
          <cell r="F2223" t="str">
            <v>CENTRO ESTE</v>
          </cell>
          <cell r="G2223" t="str">
            <v>LAURA FLORES</v>
          </cell>
          <cell r="H2223"/>
          <cell r="I2223" t="str">
            <v>+</v>
          </cell>
          <cell r="J2223" t="str">
            <v>Activo</v>
          </cell>
          <cell r="K2223">
            <v>2045.6409000000001</v>
          </cell>
          <cell r="L2223">
            <v>2045.6409000000001</v>
          </cell>
          <cell r="M2223">
            <v>0</v>
          </cell>
          <cell r="N2223" t="str">
            <v>No Compra</v>
          </cell>
          <cell r="O2223">
            <v>1</v>
          </cell>
          <cell r="P2223">
            <v>19332.482599999999</v>
          </cell>
          <cell r="Q2223">
            <v>19332.482599999999</v>
          </cell>
          <cell r="R2223">
            <v>0</v>
          </cell>
          <cell r="T2223"/>
          <cell r="U2223"/>
          <cell r="V2223">
            <v>0.10581366823524259</v>
          </cell>
          <cell r="W2223">
            <v>7.8110475804810952E-5</v>
          </cell>
          <cell r="X2223">
            <v>1</v>
          </cell>
          <cell r="Y2223" t="str">
            <v>Conquistar</v>
          </cell>
        </row>
        <row r="2224">
          <cell r="A2224" t="str">
            <v>E594</v>
          </cell>
          <cell r="B2224" t="str">
            <v>FARMASUPER</v>
          </cell>
          <cell r="C2224" t="e">
            <v>#N/A</v>
          </cell>
          <cell r="D2224">
            <v>3</v>
          </cell>
          <cell r="E2224"/>
          <cell r="F2224" t="str">
            <v>ANDES</v>
          </cell>
          <cell r="H2224"/>
          <cell r="I2224"/>
          <cell r="J2224" t="str">
            <v>Activo</v>
          </cell>
          <cell r="K2224">
            <v>2032.2951</v>
          </cell>
          <cell r="L2224">
            <v>1016.14755</v>
          </cell>
          <cell r="M2224">
            <v>1016.14755</v>
          </cell>
          <cell r="N2224" t="str">
            <v>Si Compra</v>
          </cell>
          <cell r="O2224">
            <v>2</v>
          </cell>
          <cell r="P2224">
            <v>0</v>
          </cell>
          <cell r="Q2224">
            <v>0</v>
          </cell>
          <cell r="R2224">
            <v>0</v>
          </cell>
          <cell r="S2224"/>
          <cell r="T2224"/>
          <cell r="U2224"/>
          <cell r="V2224">
            <v>0</v>
          </cell>
          <cell r="W2224">
            <v>3.8800440790166508E-5</v>
          </cell>
          <cell r="X2224">
            <v>0</v>
          </cell>
          <cell r="Y2224" t="str">
            <v>Conquistar</v>
          </cell>
        </row>
        <row r="2225">
          <cell r="A2225" t="str">
            <v>E401</v>
          </cell>
          <cell r="B2225" t="str">
            <v>E401 - FARMACIA SALUD Y VIDA C.A.</v>
          </cell>
          <cell r="C2225" t="e">
            <v>#N/A</v>
          </cell>
          <cell r="D2225">
            <v>1</v>
          </cell>
          <cell r="F2225" t="str">
            <v>ESTE</v>
          </cell>
          <cell r="G2225">
            <v>0</v>
          </cell>
          <cell r="H2225"/>
          <cell r="I2225" t="str">
            <v>A4</v>
          </cell>
          <cell r="J2225" t="str">
            <v>Activo</v>
          </cell>
          <cell r="K2225">
            <v>2028.5087274719278</v>
          </cell>
          <cell r="L2225">
            <v>676.16957582397595</v>
          </cell>
          <cell r="M2225">
            <v>611.59295115882264</v>
          </cell>
          <cell r="N2225" t="str">
            <v>Si Compra</v>
          </cell>
          <cell r="O2225">
            <v>3</v>
          </cell>
          <cell r="P2225">
            <v>0</v>
          </cell>
          <cell r="Q2225">
            <v>0</v>
          </cell>
          <cell r="R2225">
            <v>0</v>
          </cell>
          <cell r="V2225">
            <v>0</v>
          </cell>
          <cell r="W2225">
            <v>2.5818767747725399E-5</v>
          </cell>
          <cell r="X2225">
            <v>0</v>
          </cell>
          <cell r="Y2225" t="str">
            <v>Conquistar</v>
          </cell>
        </row>
        <row r="2226">
          <cell r="A2226" t="str">
            <v>B731</v>
          </cell>
          <cell r="B2226" t="str">
            <v>B731 - GRUPO J.J.R. FARMACIAS TEN 2021, C.A.</v>
          </cell>
          <cell r="C2226" t="str">
            <v>INDEPENDIENTE</v>
          </cell>
          <cell r="D2226">
            <v>0</v>
          </cell>
          <cell r="E2226"/>
          <cell r="F2226" t="str">
            <v>CARACAS</v>
          </cell>
          <cell r="G2226" t="str">
            <v>RAMON SERRANO</v>
          </cell>
          <cell r="H2226"/>
          <cell r="I2226" t="str">
            <v>CB</v>
          </cell>
          <cell r="J2226" t="str">
            <v>Bloqueado</v>
          </cell>
          <cell r="K2226">
            <v>2027.8683999999998</v>
          </cell>
          <cell r="L2226">
            <v>1013.9341999999999</v>
          </cell>
          <cell r="M2226">
            <v>0</v>
          </cell>
          <cell r="N2226" t="str">
            <v>No Compra</v>
          </cell>
          <cell r="O2226">
            <v>2</v>
          </cell>
          <cell r="P2226">
            <v>6249.1088</v>
          </cell>
          <cell r="Q2226">
            <v>3124.5544</v>
          </cell>
          <cell r="R2226">
            <v>0</v>
          </cell>
          <cell r="T2226"/>
          <cell r="U2226"/>
          <cell r="V2226">
            <v>0.32450521584773812</v>
          </cell>
          <cell r="W2226">
            <v>3.8715926532741078E-5</v>
          </cell>
          <cell r="X2226">
            <v>2</v>
          </cell>
          <cell r="Y2226" t="str">
            <v>Potenciar</v>
          </cell>
        </row>
        <row r="2227">
          <cell r="A2227" t="str">
            <v>C475</v>
          </cell>
          <cell r="B2227" t="str">
            <v>C475 - FARMACIA SAN PATRICIO, C.A.</v>
          </cell>
          <cell r="C2227" t="str">
            <v>INDEPENDIENTE</v>
          </cell>
          <cell r="D2227">
            <v>0</v>
          </cell>
          <cell r="E2227"/>
          <cell r="F2227" t="str">
            <v>ESTE</v>
          </cell>
          <cell r="G2227" t="str">
            <v>CARMEN ALCALA</v>
          </cell>
          <cell r="H2227"/>
          <cell r="I2227" t="str">
            <v>A6</v>
          </cell>
          <cell r="J2227" t="str">
            <v>Bloqueado</v>
          </cell>
          <cell r="K2227">
            <v>2026.467380227941</v>
          </cell>
          <cell r="L2227">
            <v>506.61684505698526</v>
          </cell>
          <cell r="M2227">
            <v>0</v>
          </cell>
          <cell r="N2227" t="str">
            <v>No Compra</v>
          </cell>
          <cell r="O2227">
            <v>3</v>
          </cell>
          <cell r="P2227">
            <v>77695.491552973908</v>
          </cell>
          <cell r="Q2227">
            <v>19423.872888243477</v>
          </cell>
          <cell r="R2227">
            <v>0</v>
          </cell>
          <cell r="T2227"/>
          <cell r="U2227"/>
          <cell r="V2227">
            <v>2.6082174650330466E-2</v>
          </cell>
          <cell r="W2227">
            <v>1.9344589178938154E-5</v>
          </cell>
          <cell r="X2227">
            <v>4</v>
          </cell>
          <cell r="Y2227" t="str">
            <v>Conquistar</v>
          </cell>
        </row>
        <row r="2228">
          <cell r="A2228" t="str">
            <v>H18</v>
          </cell>
          <cell r="B2228" t="str">
            <v>H18 - FARMACIA NUEVA TIUNA C.A.</v>
          </cell>
          <cell r="C2228" t="str">
            <v>INDEPENDIENTE</v>
          </cell>
          <cell r="D2228">
            <v>2</v>
          </cell>
          <cell r="F2228" t="str">
            <v>CENTRO ESTE</v>
          </cell>
          <cell r="G2228" t="str">
            <v>ELIANA PERAZA</v>
          </cell>
          <cell r="H2228"/>
          <cell r="I2228" t="str">
            <v>M</v>
          </cell>
          <cell r="J2228" t="str">
            <v>Inactivo</v>
          </cell>
          <cell r="K2228">
            <v>2026.4395000000004</v>
          </cell>
          <cell r="L2228">
            <v>289.49135714285723</v>
          </cell>
          <cell r="M2228">
            <v>255.80630000000002</v>
          </cell>
          <cell r="N2228" t="str">
            <v>Si Compra</v>
          </cell>
          <cell r="O2228">
            <v>7</v>
          </cell>
          <cell r="P2228">
            <v>2060.1499999999996</v>
          </cell>
          <cell r="Q2228">
            <v>294.30714285714282</v>
          </cell>
          <cell r="R2228">
            <v>268.7577</v>
          </cell>
          <cell r="V2228">
            <v>0.98363687110161924</v>
          </cell>
          <cell r="W2228">
            <v>1.1053898877270706E-5</v>
          </cell>
          <cell r="X2228">
            <v>7</v>
          </cell>
          <cell r="Y2228" t="str">
            <v>Proteger</v>
          </cell>
        </row>
        <row r="2229">
          <cell r="A2229" t="str">
            <v>C474</v>
          </cell>
          <cell r="B2229" t="str">
            <v>C474 - FARMACIA BIENESTAR C.A</v>
          </cell>
          <cell r="C2229" t="str">
            <v>INDEPENDIENTE</v>
          </cell>
          <cell r="D2229">
            <v>3</v>
          </cell>
          <cell r="E2229"/>
          <cell r="F2229" t="str">
            <v>CENTRO OESTE</v>
          </cell>
          <cell r="G2229" t="str">
            <v>SORALI SILVA</v>
          </cell>
          <cell r="H2229"/>
          <cell r="I2229" t="str">
            <v>L</v>
          </cell>
          <cell r="J2229" t="str">
            <v>Activo</v>
          </cell>
          <cell r="K2229">
            <v>1989.0238999999999</v>
          </cell>
          <cell r="L2229">
            <v>198.90239</v>
          </cell>
          <cell r="M2229">
            <v>224.62040000000002</v>
          </cell>
          <cell r="N2229" t="str">
            <v>Si Compra</v>
          </cell>
          <cell r="O2229">
            <v>10</v>
          </cell>
          <cell r="P2229">
            <v>1821.0235</v>
          </cell>
          <cell r="Q2229">
            <v>182.10235</v>
          </cell>
          <cell r="R2229">
            <v>151.68819999999999</v>
          </cell>
          <cell r="T2229"/>
          <cell r="U2229"/>
          <cell r="V2229">
            <v>1.0922560307431508</v>
          </cell>
          <cell r="W2229">
            <v>7.5948619924513984E-6</v>
          </cell>
          <cell r="X2229">
            <v>9</v>
          </cell>
          <cell r="Y2229" t="str">
            <v>Proteger</v>
          </cell>
        </row>
        <row r="2230">
          <cell r="A2230" t="str">
            <v>E473</v>
          </cell>
          <cell r="B2230" t="str">
            <v>E473 - EXPENDIO DE MEDICINAS LOS ANDES C.A.</v>
          </cell>
          <cell r="C2230" t="e">
            <v>#N/A</v>
          </cell>
          <cell r="D2230">
            <v>3</v>
          </cell>
          <cell r="F2230" t="str">
            <v>ANDES</v>
          </cell>
          <cell r="G2230">
            <v>0</v>
          </cell>
          <cell r="H2230"/>
          <cell r="I2230" t="str">
            <v>G2</v>
          </cell>
          <cell r="J2230" t="str">
            <v>Activo</v>
          </cell>
          <cell r="K2230">
            <v>1976.1203999999998</v>
          </cell>
          <cell r="L2230">
            <v>494.03009999999995</v>
          </cell>
          <cell r="M2230">
            <v>504.11733333333331</v>
          </cell>
          <cell r="N2230" t="str">
            <v>Si Compra</v>
          </cell>
          <cell r="O2230">
            <v>4</v>
          </cell>
          <cell r="P2230">
            <v>0</v>
          </cell>
          <cell r="Q2230">
            <v>0</v>
          </cell>
          <cell r="R2230">
            <v>0</v>
          </cell>
          <cell r="V2230">
            <v>0</v>
          </cell>
          <cell r="W2230">
            <v>1.8863978605872775E-5</v>
          </cell>
          <cell r="X2230">
            <v>0</v>
          </cell>
          <cell r="Y2230" t="str">
            <v>Conquistar</v>
          </cell>
        </row>
        <row r="2231">
          <cell r="A2231" t="str">
            <v>E375</v>
          </cell>
          <cell r="B2231" t="str">
            <v>E375 - EXPENDIO DE MEDICINAS JOSE GREGORIO HERNANDEZ 2, C A</v>
          </cell>
          <cell r="C2231" t="e">
            <v>#N/A</v>
          </cell>
          <cell r="D2231">
            <v>0</v>
          </cell>
          <cell r="F2231" t="str">
            <v>MARACAIBO</v>
          </cell>
          <cell r="H2231"/>
          <cell r="I2231" t="str">
            <v>BZ</v>
          </cell>
          <cell r="J2231" t="str">
            <v>Suspendido</v>
          </cell>
          <cell r="K2231">
            <v>1966.8397653816983</v>
          </cell>
          <cell r="L2231">
            <v>491.70994134542457</v>
          </cell>
          <cell r="M2231">
            <v>-1427.9873909336925</v>
          </cell>
          <cell r="N2231" t="str">
            <v>No Compra</v>
          </cell>
          <cell r="O2231">
            <v>2</v>
          </cell>
          <cell r="P2231">
            <v>0</v>
          </cell>
          <cell r="Q2231">
            <v>0</v>
          </cell>
          <cell r="R2231">
            <v>0</v>
          </cell>
          <cell r="V2231">
            <v>0</v>
          </cell>
          <cell r="W2231">
            <v>1.8775385981208528E-5</v>
          </cell>
          <cell r="X2231">
            <v>0</v>
          </cell>
          <cell r="Y2231" t="str">
            <v>Conquistar</v>
          </cell>
        </row>
        <row r="2232">
          <cell r="A2232" t="str">
            <v>E448</v>
          </cell>
          <cell r="B2232" t="str">
            <v>E448 - FARMACIA CAMINO REAL 1, C.A</v>
          </cell>
          <cell r="C2232" t="e">
            <v>#N/A</v>
          </cell>
          <cell r="D2232">
            <v>3</v>
          </cell>
          <cell r="F2232" t="str">
            <v>ANDES</v>
          </cell>
          <cell r="G2232">
            <v>0</v>
          </cell>
          <cell r="H2232"/>
          <cell r="I2232" t="str">
            <v>G2</v>
          </cell>
          <cell r="J2232" t="str">
            <v>Activo</v>
          </cell>
          <cell r="K2232">
            <v>1961.0297</v>
          </cell>
          <cell r="L2232">
            <v>392.20594</v>
          </cell>
          <cell r="M2232">
            <v>317.55563333333333</v>
          </cell>
          <cell r="N2232" t="str">
            <v>Si Compra</v>
          </cell>
          <cell r="O2232">
            <v>5</v>
          </cell>
          <cell r="P2232">
            <v>0</v>
          </cell>
          <cell r="Q2232">
            <v>0</v>
          </cell>
          <cell r="R2232">
            <v>0</v>
          </cell>
          <cell r="V2232">
            <v>0</v>
          </cell>
          <cell r="W2232">
            <v>1.4975938634622106E-5</v>
          </cell>
          <cell r="X2232">
            <v>0</v>
          </cell>
          <cell r="Y2232" t="str">
            <v>Conquistar</v>
          </cell>
        </row>
        <row r="2233">
          <cell r="A2233" t="str">
            <v>C975</v>
          </cell>
          <cell r="B2233" t="str">
            <v>C975 - EXPENDIO DE MEDICINAS JESTHIFANY C.A.</v>
          </cell>
          <cell r="C2233" t="str">
            <v>INDEPENDIENTE</v>
          </cell>
          <cell r="D2233">
            <v>0</v>
          </cell>
          <cell r="E2233"/>
          <cell r="F2233" t="str">
            <v>ESTE</v>
          </cell>
          <cell r="H2233"/>
          <cell r="I2233" t="str">
            <v>A3</v>
          </cell>
          <cell r="J2233" t="str">
            <v>Activo</v>
          </cell>
          <cell r="K2233">
            <v>1952.6176</v>
          </cell>
          <cell r="L2233">
            <v>325.43626666666665</v>
          </cell>
          <cell r="M2233">
            <v>0</v>
          </cell>
          <cell r="N2233" t="str">
            <v>No Compra</v>
          </cell>
          <cell r="O2233">
            <v>6</v>
          </cell>
          <cell r="P2233">
            <v>0</v>
          </cell>
          <cell r="Q2233">
            <v>0</v>
          </cell>
          <cell r="R2233">
            <v>0</v>
          </cell>
          <cell r="T2233"/>
          <cell r="U2233"/>
          <cell r="V2233">
            <v>0</v>
          </cell>
          <cell r="W2233">
            <v>1.2426414447166494E-5</v>
          </cell>
          <cell r="X2233">
            <v>0</v>
          </cell>
          <cell r="Y2233" t="str">
            <v>Conquistar</v>
          </cell>
        </row>
        <row r="2234">
          <cell r="A2234" t="str">
            <v>C603</v>
          </cell>
          <cell r="B2234" t="str">
            <v>C603 - FARMACIA EUROFARMA CUMANA, C.A.</v>
          </cell>
          <cell r="C2234" t="str">
            <v>INDEPENDIENTE</v>
          </cell>
          <cell r="D2234">
            <v>3</v>
          </cell>
          <cell r="E2234"/>
          <cell r="F2234" t="str">
            <v>ESTE</v>
          </cell>
          <cell r="G2234" t="str">
            <v>CARLOS BLONDELL</v>
          </cell>
          <cell r="H2234"/>
          <cell r="I2234" t="str">
            <v>A3</v>
          </cell>
          <cell r="J2234" t="str">
            <v>Activo</v>
          </cell>
          <cell r="K2234">
            <v>1945.6974</v>
          </cell>
          <cell r="L2234">
            <v>216.18860000000001</v>
          </cell>
          <cell r="M2234">
            <v>152.35386666666668</v>
          </cell>
          <cell r="N2234" t="str">
            <v>Si Compra</v>
          </cell>
          <cell r="O2234">
            <v>9</v>
          </cell>
          <cell r="P2234">
            <v>243832.50069999998</v>
          </cell>
          <cell r="Q2234">
            <v>27092.500077777775</v>
          </cell>
          <cell r="R2234">
            <v>28755.864966666664</v>
          </cell>
          <cell r="T2234"/>
          <cell r="U2234"/>
          <cell r="V2234">
            <v>7.979647481013593E-3</v>
          </cell>
          <cell r="W2234">
            <v>8.2549163001071952E-6</v>
          </cell>
          <cell r="X2234">
            <v>9</v>
          </cell>
          <cell r="Y2234" t="str">
            <v>Conquistar</v>
          </cell>
        </row>
        <row r="2235">
          <cell r="A2235" t="str">
            <v>0487</v>
          </cell>
          <cell r="B2235" t="str">
            <v>0487 - INTRAMEDICA,C.A.</v>
          </cell>
          <cell r="C2235" t="str">
            <v>INDEPENDIENTE</v>
          </cell>
          <cell r="D2235">
            <v>3</v>
          </cell>
          <cell r="E2235"/>
          <cell r="F2235" t="str">
            <v>ANDES</v>
          </cell>
          <cell r="G2235">
            <v>0</v>
          </cell>
          <cell r="H2235"/>
          <cell r="I2235" t="str">
            <v>4</v>
          </cell>
          <cell r="J2235" t="str">
            <v>Activo</v>
          </cell>
          <cell r="K2235">
            <v>1942.4871000000001</v>
          </cell>
          <cell r="L2235">
            <v>215.83190000000002</v>
          </cell>
          <cell r="M2235">
            <v>295.05099999999999</v>
          </cell>
          <cell r="N2235" t="str">
            <v>Si Compra</v>
          </cell>
          <cell r="O2235">
            <v>9</v>
          </cell>
          <cell r="P2235">
            <v>0</v>
          </cell>
          <cell r="Q2235">
            <v>0</v>
          </cell>
          <cell r="R2235">
            <v>0</v>
          </cell>
          <cell r="T2235"/>
          <cell r="U2235"/>
          <cell r="V2235">
            <v>0</v>
          </cell>
          <cell r="W2235">
            <v>8.2412961154894671E-6</v>
          </cell>
          <cell r="X2235">
            <v>0</v>
          </cell>
          <cell r="Y2235" t="str">
            <v>Conquistar</v>
          </cell>
        </row>
        <row r="2236">
          <cell r="A2236" t="str">
            <v>E591</v>
          </cell>
          <cell r="B2236" t="str">
            <v>E591 - MEGAFAR C.A.</v>
          </cell>
          <cell r="C2236" t="e">
            <v>#N/A</v>
          </cell>
          <cell r="D2236">
            <v>2</v>
          </cell>
          <cell r="F2236" t="str">
            <v>ANDES</v>
          </cell>
          <cell r="G2236">
            <v>0</v>
          </cell>
          <cell r="H2236"/>
          <cell r="I2236" t="str">
            <v>3</v>
          </cell>
          <cell r="J2236" t="str">
            <v>Activo</v>
          </cell>
          <cell r="K2236">
            <v>1941.7364717170294</v>
          </cell>
          <cell r="L2236">
            <v>970.86823585851471</v>
          </cell>
          <cell r="M2236">
            <v>970.86823585851471</v>
          </cell>
          <cell r="N2236" t="str">
            <v>Si Compra</v>
          </cell>
          <cell r="O2236">
            <v>2</v>
          </cell>
          <cell r="P2236">
            <v>0</v>
          </cell>
          <cell r="Q2236">
            <v>0</v>
          </cell>
          <cell r="R2236">
            <v>0</v>
          </cell>
          <cell r="V2236">
            <v>0</v>
          </cell>
          <cell r="W2236">
            <v>3.7071501575220754E-5</v>
          </cell>
          <cell r="X2236">
            <v>0</v>
          </cell>
          <cell r="Y2236" t="str">
            <v>Conquistar</v>
          </cell>
        </row>
        <row r="2237">
          <cell r="A2237" t="str">
            <v>A538</v>
          </cell>
          <cell r="B2237" t="str">
            <v>SAN SHARBEL</v>
          </cell>
          <cell r="C2237" t="str">
            <v>GRUPO</v>
          </cell>
          <cell r="D2237">
            <v>0</v>
          </cell>
          <cell r="E2237"/>
          <cell r="F2237" t="str">
            <v>ESTE</v>
          </cell>
          <cell r="H2237"/>
          <cell r="I2237"/>
          <cell r="J2237" t="str">
            <v>Activo</v>
          </cell>
          <cell r="K2237">
            <v>1930.8927824631887</v>
          </cell>
          <cell r="L2237">
            <v>1930.8927824631887</v>
          </cell>
          <cell r="M2237">
            <v>0</v>
          </cell>
          <cell r="N2237" t="str">
            <v>No Compra</v>
          </cell>
          <cell r="O2237">
            <v>1</v>
          </cell>
          <cell r="P2237">
            <v>0</v>
          </cell>
          <cell r="Q2237">
            <v>0</v>
          </cell>
          <cell r="R2237">
            <v>0</v>
          </cell>
          <cell r="S2237"/>
          <cell r="T2237"/>
          <cell r="U2237"/>
          <cell r="V2237">
            <v>0</v>
          </cell>
          <cell r="W2237">
            <v>7.3728949184715171E-5</v>
          </cell>
          <cell r="X2237">
            <v>0</v>
          </cell>
          <cell r="Y2237" t="str">
            <v>Conquistar</v>
          </cell>
        </row>
        <row r="2238">
          <cell r="A2238" t="str">
            <v>A803</v>
          </cell>
          <cell r="B2238" t="str">
            <v>A803 - FARMACIA PEPE ALEMAN 2020, C.A.</v>
          </cell>
          <cell r="C2238" t="e">
            <v>#N/A</v>
          </cell>
          <cell r="D2238">
            <v>3</v>
          </cell>
          <cell r="E2238"/>
          <cell r="F2238" t="str">
            <v>CARACAS</v>
          </cell>
          <cell r="G2238" t="str">
            <v>WILLIAM ARAQUE</v>
          </cell>
          <cell r="H2238"/>
          <cell r="I2238" t="str">
            <v>C3</v>
          </cell>
          <cell r="J2238" t="str">
            <v>Activo</v>
          </cell>
          <cell r="K2238">
            <v>1926.7238</v>
          </cell>
          <cell r="L2238">
            <v>481.68095</v>
          </cell>
          <cell r="M2238">
            <v>556.18520000000001</v>
          </cell>
          <cell r="N2238" t="str">
            <v>Si Compra</v>
          </cell>
          <cell r="O2238">
            <v>4</v>
          </cell>
          <cell r="P2238">
            <v>4353.9362000000001</v>
          </cell>
          <cell r="Q2238">
            <v>1088.48405</v>
          </cell>
          <cell r="R2238">
            <v>536.64723333333325</v>
          </cell>
          <cell r="T2238"/>
          <cell r="U2238"/>
          <cell r="V2238">
            <v>0.44252458269829492</v>
          </cell>
          <cell r="W2238">
            <v>1.8392440330369497E-5</v>
          </cell>
          <cell r="X2238">
            <v>4</v>
          </cell>
          <cell r="Y2238" t="str">
            <v>Potenciar</v>
          </cell>
        </row>
        <row r="2239">
          <cell r="A2239" t="str">
            <v>E729</v>
          </cell>
          <cell r="B2239" t="str">
            <v>E729 - FARMACIA GIDAL C.A</v>
          </cell>
          <cell r="C2239" t="e">
            <v>#N/A</v>
          </cell>
          <cell r="D2239">
            <v>1</v>
          </cell>
          <cell r="F2239" t="str">
            <v>ANDES</v>
          </cell>
          <cell r="G2239">
            <v>0</v>
          </cell>
          <cell r="H2239"/>
          <cell r="I2239" t="str">
            <v>G2</v>
          </cell>
          <cell r="J2239" t="str">
            <v>Activo</v>
          </cell>
          <cell r="K2239">
            <v>1926.4156</v>
          </cell>
          <cell r="L2239">
            <v>1926.4156</v>
          </cell>
          <cell r="M2239">
            <v>1926.4156</v>
          </cell>
          <cell r="N2239" t="str">
            <v>Si Compra</v>
          </cell>
          <cell r="O2239">
            <v>1</v>
          </cell>
          <cell r="P2239">
            <v>0</v>
          </cell>
          <cell r="Q2239">
            <v>0</v>
          </cell>
          <cell r="R2239">
            <v>0</v>
          </cell>
          <cell r="V2239">
            <v>0</v>
          </cell>
          <cell r="W2239">
            <v>7.3557993054308978E-5</v>
          </cell>
          <cell r="X2239">
            <v>0</v>
          </cell>
          <cell r="Y2239" t="str">
            <v>Conquistar</v>
          </cell>
        </row>
        <row r="2240">
          <cell r="A2240" t="str">
            <v>E208</v>
          </cell>
          <cell r="B2240" t="str">
            <v>E208 - FARMACIA DEL VALLE 2021, C.A</v>
          </cell>
          <cell r="C2240" t="e">
            <v>#N/A</v>
          </cell>
          <cell r="D2240">
            <v>3</v>
          </cell>
          <cell r="F2240" t="str">
            <v>CENTRO ESTE</v>
          </cell>
          <cell r="G2240">
            <v>0</v>
          </cell>
          <cell r="H2240"/>
          <cell r="I2240" t="str">
            <v>M</v>
          </cell>
          <cell r="J2240" t="str">
            <v>Activo</v>
          </cell>
          <cell r="K2240">
            <v>1922.3748000000001</v>
          </cell>
          <cell r="L2240">
            <v>480.59370000000001</v>
          </cell>
          <cell r="M2240">
            <v>426.32696666666669</v>
          </cell>
          <cell r="N2240" t="str">
            <v>Si Compra</v>
          </cell>
          <cell r="O2240">
            <v>4</v>
          </cell>
          <cell r="P2240">
            <v>0</v>
          </cell>
          <cell r="Q2240">
            <v>0</v>
          </cell>
          <cell r="R2240">
            <v>0</v>
          </cell>
          <cell r="V2240">
            <v>0</v>
          </cell>
          <cell r="W2240">
            <v>1.8350924923232898E-5</v>
          </cell>
          <cell r="X2240">
            <v>0</v>
          </cell>
          <cell r="Y2240" t="str">
            <v>Conquistar</v>
          </cell>
        </row>
        <row r="2241">
          <cell r="A2241" t="str">
            <v>D738</v>
          </cell>
          <cell r="B2241" t="str">
            <v>D738 - ENOCFARMA, C.A.</v>
          </cell>
          <cell r="C2241" t="str">
            <v>INDEPENDIENTE</v>
          </cell>
          <cell r="D2241">
            <v>2</v>
          </cell>
          <cell r="E2241"/>
          <cell r="F2241" t="str">
            <v>ANDES</v>
          </cell>
          <cell r="G2241">
            <v>0</v>
          </cell>
          <cell r="H2241"/>
          <cell r="I2241" t="str">
            <v>3</v>
          </cell>
          <cell r="J2241" t="str">
            <v>Activo</v>
          </cell>
          <cell r="K2241">
            <v>1917.7232000000001</v>
          </cell>
          <cell r="L2241">
            <v>319.62053333333336</v>
          </cell>
          <cell r="M2241">
            <v>211.41405</v>
          </cell>
          <cell r="N2241" t="str">
            <v>Si Compra</v>
          </cell>
          <cell r="O2241">
            <v>6</v>
          </cell>
          <cell r="P2241">
            <v>0</v>
          </cell>
          <cell r="Q2241">
            <v>0</v>
          </cell>
          <cell r="R2241">
            <v>0</v>
          </cell>
          <cell r="T2241"/>
          <cell r="U2241"/>
          <cell r="V2241">
            <v>0</v>
          </cell>
          <cell r="W2241">
            <v>1.2204347271143291E-5</v>
          </cell>
          <cell r="X2241">
            <v>0</v>
          </cell>
          <cell r="Y2241" t="str">
            <v>Conquistar</v>
          </cell>
        </row>
        <row r="2242">
          <cell r="A2242" t="str">
            <v>M201</v>
          </cell>
          <cell r="B2242" t="str">
            <v>M201 - FARMACIA EL RASTRO, C.A.</v>
          </cell>
          <cell r="C2242" t="str">
            <v>INDEPENDIENTE</v>
          </cell>
          <cell r="D2242">
            <v>0</v>
          </cell>
          <cell r="F2242" t="str">
            <v>CENTRO ESTE</v>
          </cell>
          <cell r="G2242" t="str">
            <v>ELIANA PERAZA</v>
          </cell>
          <cell r="H2242"/>
          <cell r="I2242" t="str">
            <v>M</v>
          </cell>
          <cell r="J2242" t="str">
            <v>Bloqueado</v>
          </cell>
          <cell r="K2242">
            <v>1914.0411999999999</v>
          </cell>
          <cell r="L2242">
            <v>382.80823999999996</v>
          </cell>
          <cell r="M2242">
            <v>0</v>
          </cell>
          <cell r="N2242" t="str">
            <v>No Compra</v>
          </cell>
          <cell r="O2242">
            <v>5</v>
          </cell>
          <cell r="P2242">
            <v>4697.1738000000005</v>
          </cell>
          <cell r="Q2242">
            <v>939.4347600000001</v>
          </cell>
          <cell r="R2242">
            <v>0</v>
          </cell>
          <cell r="V2242">
            <v>0.40748783875103783</v>
          </cell>
          <cell r="W2242">
            <v>1.4617098127243282E-5</v>
          </cell>
          <cell r="X2242">
            <v>3</v>
          </cell>
          <cell r="Y2242" t="str">
            <v>Potenciar</v>
          </cell>
        </row>
        <row r="2243">
          <cell r="A2243" t="str">
            <v>E631</v>
          </cell>
          <cell r="B2243" t="str">
            <v>E631 - FARMACIA NAZARET 1, C.A</v>
          </cell>
          <cell r="C2243" t="e">
            <v>#N/A</v>
          </cell>
          <cell r="D2243">
            <v>1</v>
          </cell>
          <cell r="F2243" t="str">
            <v>ESTE</v>
          </cell>
          <cell r="G2243">
            <v>0</v>
          </cell>
          <cell r="H2243"/>
          <cell r="I2243" t="str">
            <v>A2</v>
          </cell>
          <cell r="J2243" t="str">
            <v>Suspendido</v>
          </cell>
          <cell r="K2243">
            <v>1906.6585</v>
          </cell>
          <cell r="L2243">
            <v>1906.6585</v>
          </cell>
          <cell r="M2243">
            <v>1906.6585</v>
          </cell>
          <cell r="N2243" t="str">
            <v>Si Compra</v>
          </cell>
          <cell r="O2243">
            <v>1</v>
          </cell>
          <cell r="P2243">
            <v>0</v>
          </cell>
          <cell r="Q2243">
            <v>0</v>
          </cell>
          <cell r="R2243">
            <v>0</v>
          </cell>
          <cell r="V2243">
            <v>0</v>
          </cell>
          <cell r="W2243">
            <v>7.2803590616655708E-5</v>
          </cell>
          <cell r="X2243">
            <v>0</v>
          </cell>
          <cell r="Y2243" t="str">
            <v>Conquistar</v>
          </cell>
        </row>
        <row r="2244">
          <cell r="A2244" t="str">
            <v>A481</v>
          </cell>
          <cell r="B2244" t="str">
            <v>A481 - SURTI FARMACIA PRINCIPAL,C.A.</v>
          </cell>
          <cell r="C2244" t="str">
            <v>INDEPENDIENTE</v>
          </cell>
          <cell r="D2244">
            <v>3</v>
          </cell>
          <cell r="E2244"/>
          <cell r="F2244" t="str">
            <v>ESTE</v>
          </cell>
          <cell r="G2244" t="str">
            <v>CARLOS BLONDELL</v>
          </cell>
          <cell r="H2244"/>
          <cell r="I2244" t="str">
            <v>A5</v>
          </cell>
          <cell r="J2244" t="str">
            <v>Activo</v>
          </cell>
          <cell r="K2244">
            <v>1887.9062000000001</v>
          </cell>
          <cell r="L2244">
            <v>269.70088571428573</v>
          </cell>
          <cell r="M2244">
            <v>281.42950000000002</v>
          </cell>
          <cell r="N2244" t="str">
            <v>Si Compra</v>
          </cell>
          <cell r="O2244">
            <v>7</v>
          </cell>
          <cell r="P2244">
            <v>28953.453000000001</v>
          </cell>
          <cell r="Q2244">
            <v>4136.207571428572</v>
          </cell>
          <cell r="R2244">
            <v>4122.0919666666668</v>
          </cell>
          <cell r="T2244"/>
          <cell r="U2244"/>
          <cell r="V2244">
            <v>6.5204872109727294E-2</v>
          </cell>
          <cell r="W2244">
            <v>1.0298222189496603E-5</v>
          </cell>
          <cell r="X2244">
            <v>7</v>
          </cell>
          <cell r="Y2244" t="str">
            <v>Conquistar</v>
          </cell>
        </row>
        <row r="2245">
          <cell r="A2245" t="str">
            <v>3427</v>
          </cell>
          <cell r="B2245" t="str">
            <v>3427 - FARMACIA PASTORA DE LARA,C.A</v>
          </cell>
          <cell r="C2245" t="str">
            <v>INDEPENDIENTE</v>
          </cell>
          <cell r="D2245">
            <v>3</v>
          </cell>
          <cell r="E2245"/>
          <cell r="F2245" t="str">
            <v>CENTRO OESTE</v>
          </cell>
          <cell r="G2245" t="str">
            <v>JOSE LUIS GARCIA</v>
          </cell>
          <cell r="H2245"/>
          <cell r="I2245" t="str">
            <v>Y</v>
          </cell>
          <cell r="J2245" t="str">
            <v>Activo</v>
          </cell>
          <cell r="K2245">
            <v>1875.0234</v>
          </cell>
          <cell r="L2245">
            <v>208.33593333333334</v>
          </cell>
          <cell r="M2245">
            <v>459.17329999999993</v>
          </cell>
          <cell r="N2245" t="str">
            <v>Si Compra</v>
          </cell>
          <cell r="O2245">
            <v>9</v>
          </cell>
          <cell r="P2245">
            <v>6603.0847999999996</v>
          </cell>
          <cell r="Q2245">
            <v>733.6760888888889</v>
          </cell>
          <cell r="R2245">
            <v>716.11693333333335</v>
          </cell>
          <cell r="T2245"/>
          <cell r="U2245"/>
          <cell r="V2245">
            <v>0.28396173255263962</v>
          </cell>
          <cell r="W2245">
            <v>7.955071136828581E-6</v>
          </cell>
          <cell r="X2245">
            <v>9</v>
          </cell>
          <cell r="Y2245" t="str">
            <v>Potenciar</v>
          </cell>
        </row>
        <row r="2246">
          <cell r="A2246" t="str">
            <v>N138</v>
          </cell>
          <cell r="B2246" t="str">
            <v>N138 - COSMETICOS Y PERFUMERIA ELSIMAR, C.A.</v>
          </cell>
          <cell r="C2246" t="str">
            <v>INDEPENDIENTE</v>
          </cell>
          <cell r="D2246">
            <v>3</v>
          </cell>
          <cell r="F2246" t="str">
            <v>CENTRO OESTE</v>
          </cell>
          <cell r="G2246">
            <v>0</v>
          </cell>
          <cell r="H2246"/>
          <cell r="I2246" t="str">
            <v xml:space="preserve">A </v>
          </cell>
          <cell r="J2246" t="str">
            <v>Activo</v>
          </cell>
          <cell r="K2246">
            <v>1867.0941</v>
          </cell>
          <cell r="L2246">
            <v>233.3867625</v>
          </cell>
          <cell r="M2246">
            <v>232.9435</v>
          </cell>
          <cell r="N2246" t="str">
            <v>Si Compra</v>
          </cell>
          <cell r="O2246">
            <v>8</v>
          </cell>
          <cell r="P2246">
            <v>0</v>
          </cell>
          <cell r="Q2246">
            <v>0</v>
          </cell>
          <cell r="R2246">
            <v>0</v>
          </cell>
          <cell r="V2246">
            <v>0</v>
          </cell>
          <cell r="W2246">
            <v>8.9116086139162594E-6</v>
          </cell>
          <cell r="X2246">
            <v>0</v>
          </cell>
          <cell r="Y2246" t="str">
            <v>Conquistar</v>
          </cell>
        </row>
        <row r="2247">
          <cell r="A2247" t="str">
            <v>0021</v>
          </cell>
          <cell r="B2247" t="str">
            <v>0021 - FARMACIA JESUS DE NAZARETH C.A.</v>
          </cell>
          <cell r="C2247" t="str">
            <v>INDEPENDIENTE</v>
          </cell>
          <cell r="D2247">
            <v>3</v>
          </cell>
          <cell r="E2247"/>
          <cell r="F2247" t="str">
            <v>ESTE</v>
          </cell>
          <cell r="G2247" t="str">
            <v>ADOLFO GONZALEZ</v>
          </cell>
          <cell r="H2247"/>
          <cell r="I2247" t="str">
            <v>A8</v>
          </cell>
          <cell r="J2247" t="str">
            <v>Inactivo</v>
          </cell>
          <cell r="K2247">
            <v>1865.5766000000003</v>
          </cell>
          <cell r="L2247">
            <v>207.28628888888892</v>
          </cell>
          <cell r="M2247">
            <v>169.06053333333332</v>
          </cell>
          <cell r="N2247" t="str">
            <v>Si Compra</v>
          </cell>
          <cell r="O2247">
            <v>9</v>
          </cell>
          <cell r="P2247">
            <v>1817.6777999999999</v>
          </cell>
          <cell r="Q2247">
            <v>201.96420000000001</v>
          </cell>
          <cell r="R2247">
            <v>111.3439</v>
          </cell>
          <cell r="T2247"/>
          <cell r="U2247"/>
          <cell r="V2247">
            <v>1.0263516449394938</v>
          </cell>
          <cell r="W2247">
            <v>7.9149916551456375E-6</v>
          </cell>
          <cell r="X2247">
            <v>7</v>
          </cell>
          <cell r="Y2247" t="str">
            <v>Proteger</v>
          </cell>
        </row>
        <row r="2248">
          <cell r="A2248" t="str">
            <v>D863</v>
          </cell>
          <cell r="B2248" t="str">
            <v>D863 - FARMACIA LA CRISTALINA, C.A</v>
          </cell>
          <cell r="C2248" t="str">
            <v>INDEPENDIENTE</v>
          </cell>
          <cell r="D2248">
            <v>2</v>
          </cell>
          <cell r="E2248"/>
          <cell r="F2248" t="str">
            <v>ANDES</v>
          </cell>
          <cell r="G2248" t="str">
            <v>MILAGRO BRICEñO</v>
          </cell>
          <cell r="H2248"/>
          <cell r="I2248" t="str">
            <v>G</v>
          </cell>
          <cell r="J2248" t="str">
            <v>Activo</v>
          </cell>
          <cell r="K2248">
            <v>1858.182</v>
          </cell>
          <cell r="L2248">
            <v>309.697</v>
          </cell>
          <cell r="M2248">
            <v>281.55674999999997</v>
          </cell>
          <cell r="N2248" t="str">
            <v>Si Compra</v>
          </cell>
          <cell r="O2248">
            <v>6</v>
          </cell>
          <cell r="P2248">
            <v>2826.6569000000004</v>
          </cell>
          <cell r="Q2248">
            <v>471.1094833333334</v>
          </cell>
          <cell r="R2248">
            <v>201.92734999999999</v>
          </cell>
          <cell r="T2248"/>
          <cell r="U2248"/>
          <cell r="V2248">
            <v>0.65737797891212046</v>
          </cell>
          <cell r="W2248">
            <v>1.1825428414792909E-5</v>
          </cell>
          <cell r="X2248">
            <v>5</v>
          </cell>
          <cell r="Y2248" t="str">
            <v>Proteger</v>
          </cell>
        </row>
        <row r="2249">
          <cell r="A2249" t="str">
            <v>8773</v>
          </cell>
          <cell r="B2249" t="str">
            <v>8773 - FARMACIA QUICK-FARMA III,C.A</v>
          </cell>
          <cell r="C2249" t="str">
            <v>INDEPENDIENTE</v>
          </cell>
          <cell r="D2249">
            <v>3</v>
          </cell>
          <cell r="E2249"/>
          <cell r="F2249" t="str">
            <v>CENTRO ESTE</v>
          </cell>
          <cell r="G2249" t="str">
            <v>KARLA SALAZAR</v>
          </cell>
          <cell r="H2249"/>
          <cell r="I2249" t="str">
            <v>O</v>
          </cell>
          <cell r="J2249" t="str">
            <v>Suspendido</v>
          </cell>
          <cell r="K2249">
            <v>1849.6455706035536</v>
          </cell>
          <cell r="L2249">
            <v>264.23508151479336</v>
          </cell>
          <cell r="M2249">
            <v>174.64569020118452</v>
          </cell>
          <cell r="N2249" t="str">
            <v>Si Compra</v>
          </cell>
          <cell r="O2249">
            <v>7</v>
          </cell>
          <cell r="P2249">
            <v>2497.7928351483611</v>
          </cell>
          <cell r="Q2249">
            <v>356.82754787833727</v>
          </cell>
          <cell r="R2249">
            <v>185.03777838278702</v>
          </cell>
          <cell r="T2249"/>
          <cell r="U2249"/>
          <cell r="V2249">
            <v>0.74051200106580917</v>
          </cell>
          <cell r="W2249">
            <v>1.0089516660252304E-5</v>
          </cell>
          <cell r="X2249">
            <v>7</v>
          </cell>
          <cell r="Y2249" t="str">
            <v>Proteger</v>
          </cell>
        </row>
        <row r="2250">
          <cell r="A2250" t="str">
            <v>A934</v>
          </cell>
          <cell r="B2250" t="str">
            <v>A934 - FARMA ASUNCION, C.A.</v>
          </cell>
          <cell r="C2250" t="str">
            <v>INDEPENDIENTE</v>
          </cell>
          <cell r="D2250">
            <v>1</v>
          </cell>
          <cell r="E2250"/>
          <cell r="F2250" t="str">
            <v>ESTE</v>
          </cell>
          <cell r="G2250" t="str">
            <v>ADOLFO GONZALEZ</v>
          </cell>
          <cell r="H2250"/>
          <cell r="I2250" t="str">
            <v>A8</v>
          </cell>
          <cell r="J2250" t="str">
            <v>Suspendido</v>
          </cell>
          <cell r="K2250">
            <v>1833.3556000000001</v>
          </cell>
          <cell r="L2250">
            <v>458.33890000000002</v>
          </cell>
          <cell r="M2250">
            <v>715.18669999999997</v>
          </cell>
          <cell r="N2250" t="str">
            <v>Si Compra</v>
          </cell>
          <cell r="O2250">
            <v>4</v>
          </cell>
          <cell r="P2250">
            <v>2586.6986999999999</v>
          </cell>
          <cell r="Q2250">
            <v>646.67467499999998</v>
          </cell>
          <cell r="R2250">
            <v>366.7586</v>
          </cell>
          <cell r="T2250"/>
          <cell r="U2250"/>
          <cell r="V2250">
            <v>0.70876271751325348</v>
          </cell>
          <cell r="W2250">
            <v>1.7501150646163591E-5</v>
          </cell>
          <cell r="X2250">
            <v>4</v>
          </cell>
          <cell r="Y2250" t="str">
            <v>Proteger</v>
          </cell>
        </row>
        <row r="2251">
          <cell r="A2251" t="str">
            <v>9894</v>
          </cell>
          <cell r="B2251" t="str">
            <v>9894 - FARMACIA TU ALTERNATIVA C.A</v>
          </cell>
          <cell r="C2251" t="str">
            <v>INDEPENDIENTE</v>
          </cell>
          <cell r="D2251">
            <v>2</v>
          </cell>
          <cell r="E2251"/>
          <cell r="F2251" t="str">
            <v>ANDES</v>
          </cell>
          <cell r="G2251" t="str">
            <v>MARIA GABRIELA FORTUL</v>
          </cell>
          <cell r="H2251"/>
          <cell r="I2251" t="str">
            <v>3</v>
          </cell>
          <cell r="J2251" t="str">
            <v>Activo</v>
          </cell>
          <cell r="K2251">
            <v>1818.2700000000002</v>
          </cell>
          <cell r="L2251">
            <v>227.28375000000003</v>
          </cell>
          <cell r="M2251">
            <v>29.930149999999998</v>
          </cell>
          <cell r="N2251" t="str">
            <v>Si Compra</v>
          </cell>
          <cell r="O2251">
            <v>8</v>
          </cell>
          <cell r="P2251">
            <v>26411.749599999999</v>
          </cell>
          <cell r="Q2251">
            <v>3301.4686999999999</v>
          </cell>
          <cell r="R2251">
            <v>230.9359</v>
          </cell>
          <cell r="T2251"/>
          <cell r="U2251"/>
          <cell r="V2251">
            <v>6.8843224229265004E-2</v>
          </cell>
          <cell r="W2251">
            <v>8.6785720089981109E-6</v>
          </cell>
          <cell r="X2251">
            <v>8</v>
          </cell>
          <cell r="Y2251" t="str">
            <v>Conquistar</v>
          </cell>
        </row>
        <row r="2252">
          <cell r="A2252" t="str">
            <v>A395</v>
          </cell>
          <cell r="B2252" t="str">
            <v>A395 - FARMACIA MARIA AUXILIADORA, C.A.</v>
          </cell>
          <cell r="C2252" t="str">
            <v>INDEPENDIENTE</v>
          </cell>
          <cell r="D2252">
            <v>0</v>
          </cell>
          <cell r="E2252"/>
          <cell r="F2252" t="str">
            <v>ESTE</v>
          </cell>
          <cell r="G2252" t="str">
            <v>CARMEN ALCALA</v>
          </cell>
          <cell r="H2252"/>
          <cell r="I2252" t="str">
            <v>A6</v>
          </cell>
          <cell r="J2252" t="str">
            <v>Bloqueado</v>
          </cell>
          <cell r="K2252">
            <v>1817.192</v>
          </cell>
          <cell r="L2252">
            <v>259.59885714285713</v>
          </cell>
          <cell r="M2252">
            <v>0</v>
          </cell>
          <cell r="N2252" t="str">
            <v>No Compra</v>
          </cell>
          <cell r="O2252">
            <v>7</v>
          </cell>
          <cell r="P2252">
            <v>3922.5308999999997</v>
          </cell>
          <cell r="Q2252">
            <v>560.36155714285712</v>
          </cell>
          <cell r="R2252">
            <v>0</v>
          </cell>
          <cell r="T2252"/>
          <cell r="U2252"/>
          <cell r="V2252">
            <v>0.46327028296960004</v>
          </cell>
          <cell r="W2252">
            <v>9.912487695085543E-6</v>
          </cell>
          <cell r="X2252">
            <v>6</v>
          </cell>
          <cell r="Y2252" t="str">
            <v>Potenciar</v>
          </cell>
        </row>
        <row r="2253">
          <cell r="A2253" t="str">
            <v>E171</v>
          </cell>
          <cell r="B2253" t="str">
            <v>E171 - FARMACIA YEJEIDER DE ENIR JOSEFINA MENDOZA F.P</v>
          </cell>
          <cell r="C2253" t="e">
            <v>#N/A</v>
          </cell>
          <cell r="D2253">
            <v>2</v>
          </cell>
          <cell r="F2253" t="str">
            <v>ANDES</v>
          </cell>
          <cell r="G2253">
            <v>0</v>
          </cell>
          <cell r="H2253"/>
          <cell r="I2253" t="str">
            <v>5</v>
          </cell>
          <cell r="J2253" t="str">
            <v>Activo</v>
          </cell>
          <cell r="K2253">
            <v>1810.9004</v>
          </cell>
          <cell r="L2253">
            <v>452.7251</v>
          </cell>
          <cell r="M2253">
            <v>468.46609999999998</v>
          </cell>
          <cell r="N2253" t="str">
            <v>Si Compra</v>
          </cell>
          <cell r="O2253">
            <v>4</v>
          </cell>
          <cell r="P2253">
            <v>0</v>
          </cell>
          <cell r="Q2253">
            <v>0</v>
          </cell>
          <cell r="R2253">
            <v>0</v>
          </cell>
          <cell r="V2253">
            <v>0</v>
          </cell>
          <cell r="W2253">
            <v>1.7286794065263664E-5</v>
          </cell>
          <cell r="X2253">
            <v>0</v>
          </cell>
          <cell r="Y2253" t="str">
            <v>Conquistar</v>
          </cell>
        </row>
        <row r="2254">
          <cell r="A2254" t="str">
            <v>A757</v>
          </cell>
          <cell r="B2254" t="str">
            <v>A757 - COMERCIALIZADORA 08101107, C.A.</v>
          </cell>
          <cell r="C2254" t="str">
            <v>INDEPENDIENTE</v>
          </cell>
          <cell r="D2254">
            <v>1</v>
          </cell>
          <cell r="E2254"/>
          <cell r="F2254" t="str">
            <v>CARACAS</v>
          </cell>
          <cell r="G2254">
            <v>0</v>
          </cell>
          <cell r="H2254"/>
          <cell r="I2254" t="str">
            <v>C8</v>
          </cell>
          <cell r="J2254" t="str">
            <v>Activo</v>
          </cell>
          <cell r="K2254">
            <v>1782.8227999999999</v>
          </cell>
          <cell r="L2254">
            <v>297.13713333333334</v>
          </cell>
          <cell r="M2254">
            <v>405.2901</v>
          </cell>
          <cell r="N2254" t="str">
            <v>Si Compra</v>
          </cell>
          <cell r="O2254">
            <v>6</v>
          </cell>
          <cell r="P2254">
            <v>0</v>
          </cell>
          <cell r="Q2254">
            <v>0</v>
          </cell>
          <cell r="R2254">
            <v>0</v>
          </cell>
          <cell r="T2254"/>
          <cell r="U2254"/>
          <cell r="V2254">
            <v>0</v>
          </cell>
          <cell r="W2254">
            <v>1.1345844162552783E-5</v>
          </cell>
          <cell r="X2254">
            <v>0</v>
          </cell>
          <cell r="Y2254" t="str">
            <v>Conquistar</v>
          </cell>
        </row>
        <row r="2255">
          <cell r="A2255" t="str">
            <v>D724</v>
          </cell>
          <cell r="B2255" t="str">
            <v>D724 - FARMA DIVINA C.A.</v>
          </cell>
          <cell r="C2255" t="str">
            <v>INDEPENDIENTE</v>
          </cell>
          <cell r="D2255">
            <v>1</v>
          </cell>
          <cell r="E2255"/>
          <cell r="F2255" t="str">
            <v>ESTE</v>
          </cell>
          <cell r="G2255" t="str">
            <v>CARMEN ALCALA</v>
          </cell>
          <cell r="H2255"/>
          <cell r="I2255" t="str">
            <v>A6</v>
          </cell>
          <cell r="J2255" t="str">
            <v>Inactivo</v>
          </cell>
          <cell r="K2255">
            <v>1776.5264999999999</v>
          </cell>
          <cell r="L2255">
            <v>253.7895</v>
          </cell>
          <cell r="M2255">
            <v>360.55700000000002</v>
          </cell>
          <cell r="N2255" t="str">
            <v>Si Compra</v>
          </cell>
          <cell r="O2255">
            <v>7</v>
          </cell>
          <cell r="P2255">
            <v>276805.71040000004</v>
          </cell>
          <cell r="Q2255">
            <v>39543.672914285722</v>
          </cell>
          <cell r="R2255">
            <v>33946.583700000003</v>
          </cell>
          <cell r="T2255"/>
          <cell r="U2255"/>
          <cell r="V2255">
            <v>6.4179546636982951E-3</v>
          </cell>
          <cell r="W2255">
            <v>9.6906639866582012E-6</v>
          </cell>
          <cell r="X2255">
            <v>7</v>
          </cell>
          <cell r="Y2255" t="str">
            <v>Conquistar</v>
          </cell>
        </row>
        <row r="2256">
          <cell r="A2256" t="str">
            <v>D709</v>
          </cell>
          <cell r="B2256" t="str">
            <v>D709 - FARMACIA PASCUA OFERTA 2, C.A.</v>
          </cell>
          <cell r="C2256" t="e">
            <v>#N/A</v>
          </cell>
          <cell r="D2256">
            <v>0</v>
          </cell>
          <cell r="E2256"/>
          <cell r="F2256" t="str">
            <v>CENTRO ESTE</v>
          </cell>
          <cell r="H2256"/>
          <cell r="I2256" t="str">
            <v>M</v>
          </cell>
          <cell r="J2256" t="str">
            <v>Bloqueado</v>
          </cell>
          <cell r="K2256">
            <v>1746.2259000000001</v>
          </cell>
          <cell r="L2256">
            <v>582.07530000000008</v>
          </cell>
          <cell r="M2256">
            <v>0</v>
          </cell>
          <cell r="N2256" t="str">
            <v>No Compra</v>
          </cell>
          <cell r="O2256">
            <v>3</v>
          </cell>
          <cell r="P2256">
            <v>0</v>
          </cell>
          <cell r="Q2256">
            <v>0</v>
          </cell>
          <cell r="R2256">
            <v>0</v>
          </cell>
          <cell r="T2256"/>
          <cell r="U2256"/>
          <cell r="V2256">
            <v>0</v>
          </cell>
          <cell r="W2256">
            <v>2.2225884629715843E-5</v>
          </cell>
          <cell r="X2256">
            <v>0</v>
          </cell>
          <cell r="Y2256" t="str">
            <v>Conquistar</v>
          </cell>
        </row>
        <row r="2257">
          <cell r="A2257" t="str">
            <v>D446</v>
          </cell>
          <cell r="B2257" t="str">
            <v>D446 - FARMACIA H&amp;H, C.A.</v>
          </cell>
          <cell r="C2257" t="str">
            <v>INDEPENDIENTE</v>
          </cell>
          <cell r="D2257">
            <v>2</v>
          </cell>
          <cell r="E2257"/>
          <cell r="F2257" t="str">
            <v>ESTE</v>
          </cell>
          <cell r="G2257" t="str">
            <v>ALEXMAR CASTILLO</v>
          </cell>
          <cell r="H2257"/>
          <cell r="I2257" t="str">
            <v>A1</v>
          </cell>
          <cell r="J2257" t="str">
            <v>Inactivo</v>
          </cell>
          <cell r="K2257">
            <v>1740.3336000000002</v>
          </cell>
          <cell r="L2257">
            <v>290.05560000000003</v>
          </cell>
          <cell r="M2257">
            <v>188.98034999999999</v>
          </cell>
          <cell r="N2257" t="str">
            <v>Si Compra</v>
          </cell>
          <cell r="O2257">
            <v>6</v>
          </cell>
          <cell r="P2257">
            <v>12000.156999999999</v>
          </cell>
          <cell r="Q2257">
            <v>2000.0261666666665</v>
          </cell>
          <cell r="R2257">
            <v>204.36959999999999</v>
          </cell>
          <cell r="T2257"/>
          <cell r="U2257"/>
          <cell r="V2257">
            <v>0.14502590257777462</v>
          </cell>
          <cell r="W2257">
            <v>1.1075443850311131E-5</v>
          </cell>
          <cell r="X2257">
            <v>5</v>
          </cell>
          <cell r="Y2257" t="str">
            <v>Conquistar</v>
          </cell>
        </row>
        <row r="2258">
          <cell r="A2258" t="str">
            <v>D070</v>
          </cell>
          <cell r="B2258" t="str">
            <v>D070 - INVERSIONES BUENO 1286, C.A.</v>
          </cell>
          <cell r="C2258" t="e">
            <v>#N/A</v>
          </cell>
          <cell r="D2258">
            <v>3</v>
          </cell>
          <cell r="E2258"/>
          <cell r="F2258" t="str">
            <v>CARACAS</v>
          </cell>
          <cell r="G2258">
            <v>0</v>
          </cell>
          <cell r="H2258"/>
          <cell r="I2258" t="str">
            <v>C7</v>
          </cell>
          <cell r="J2258" t="str">
            <v>Activo</v>
          </cell>
          <cell r="K2258">
            <v>1731.8305567066766</v>
          </cell>
          <cell r="L2258">
            <v>432.95763917666915</v>
          </cell>
          <cell r="M2258">
            <v>398.82781890222554</v>
          </cell>
          <cell r="N2258" t="str">
            <v>Si Compra</v>
          </cell>
          <cell r="O2258">
            <v>4</v>
          </cell>
          <cell r="P2258">
            <v>0</v>
          </cell>
          <cell r="Q2258">
            <v>0</v>
          </cell>
          <cell r="R2258">
            <v>0</v>
          </cell>
          <cell r="T2258"/>
          <cell r="U2258"/>
          <cell r="V2258">
            <v>0</v>
          </cell>
          <cell r="W2258">
            <v>1.6531996011331847E-5</v>
          </cell>
          <cell r="X2258">
            <v>0</v>
          </cell>
          <cell r="Y2258" t="str">
            <v>Conquistar</v>
          </cell>
        </row>
        <row r="2259">
          <cell r="A2259" t="str">
            <v>0960</v>
          </cell>
          <cell r="B2259" t="str">
            <v>0960 - FARMACIA ANDREA, C.A.</v>
          </cell>
          <cell r="C2259" t="str">
            <v>INDEPENDIENTE</v>
          </cell>
          <cell r="D2259">
            <v>3</v>
          </cell>
          <cell r="E2259"/>
          <cell r="F2259" t="str">
            <v>ESTE</v>
          </cell>
          <cell r="G2259" t="str">
            <v>CARLOS BLONDELL</v>
          </cell>
          <cell r="H2259"/>
          <cell r="I2259" t="str">
            <v>A3</v>
          </cell>
          <cell r="J2259" t="str">
            <v>Activo</v>
          </cell>
          <cell r="K2259">
            <v>1691.2210585782925</v>
          </cell>
          <cell r="L2259">
            <v>169.12210585782924</v>
          </cell>
          <cell r="M2259">
            <v>224.43715524560082</v>
          </cell>
          <cell r="N2259" t="str">
            <v>Si Compra</v>
          </cell>
          <cell r="O2259">
            <v>10</v>
          </cell>
          <cell r="P2259">
            <v>2698.4070200261272</v>
          </cell>
          <cell r="Q2259">
            <v>269.84070200261272</v>
          </cell>
          <cell r="R2259">
            <v>292.7004670584393</v>
          </cell>
          <cell r="T2259"/>
          <cell r="U2259"/>
          <cell r="V2259">
            <v>0.62674794648359511</v>
          </cell>
          <cell r="W2259">
            <v>6.4577356454237143E-6</v>
          </cell>
          <cell r="X2259">
            <v>10</v>
          </cell>
          <cell r="Y2259" t="str">
            <v>Proteger</v>
          </cell>
        </row>
        <row r="2260">
          <cell r="A2260" t="str">
            <v>D287</v>
          </cell>
          <cell r="B2260" t="str">
            <v>D287 - MEDICALSAMIV, C.A.</v>
          </cell>
          <cell r="C2260" t="str">
            <v>INDEPENDIENTE</v>
          </cell>
          <cell r="D2260">
            <v>3</v>
          </cell>
          <cell r="E2260"/>
          <cell r="F2260" t="str">
            <v>ANDES</v>
          </cell>
          <cell r="G2260" t="str">
            <v>ANYERSSON TORRES</v>
          </cell>
          <cell r="H2260"/>
          <cell r="I2260" t="str">
            <v xml:space="preserve">4 </v>
          </cell>
          <cell r="J2260" t="str">
            <v>Inactivo</v>
          </cell>
          <cell r="K2260">
            <v>1680.1542000000002</v>
          </cell>
          <cell r="L2260">
            <v>186.68380000000002</v>
          </cell>
          <cell r="M2260">
            <v>187.21476666666663</v>
          </cell>
          <cell r="N2260" t="str">
            <v>Si Compra</v>
          </cell>
          <cell r="O2260">
            <v>9</v>
          </cell>
          <cell r="P2260">
            <v>2434.0880999999999</v>
          </cell>
          <cell r="Q2260">
            <v>270.45423333333332</v>
          </cell>
          <cell r="R2260">
            <v>245.06856666666667</v>
          </cell>
          <cell r="T2260"/>
          <cell r="U2260"/>
          <cell r="V2260">
            <v>0.69026022517426555</v>
          </cell>
          <cell r="W2260">
            <v>7.1283090023523524E-6</v>
          </cell>
          <cell r="X2260">
            <v>8</v>
          </cell>
          <cell r="Y2260" t="str">
            <v>Proteger</v>
          </cell>
        </row>
        <row r="2261">
          <cell r="A2261" t="str">
            <v>8960</v>
          </cell>
          <cell r="B2261" t="str">
            <v>8960 - FARMACIA TODOFARMA, C.A.</v>
          </cell>
          <cell r="C2261" t="str">
            <v>INDEPENDIENTE</v>
          </cell>
          <cell r="D2261">
            <v>0</v>
          </cell>
          <cell r="E2261"/>
          <cell r="F2261" t="str">
            <v>ESTE</v>
          </cell>
          <cell r="G2261" t="str">
            <v>IRAIDA RODRIGUEZ</v>
          </cell>
          <cell r="H2261"/>
          <cell r="I2261" t="str">
            <v>AB</v>
          </cell>
          <cell r="J2261" t="str">
            <v>Bloqueado</v>
          </cell>
          <cell r="K2261">
            <v>1675.7292063198224</v>
          </cell>
          <cell r="L2261">
            <v>558.57640210660747</v>
          </cell>
          <cell r="M2261">
            <v>0</v>
          </cell>
          <cell r="N2261" t="str">
            <v>No Compra</v>
          </cell>
          <cell r="O2261">
            <v>2</v>
          </cell>
          <cell r="P2261">
            <v>3365.0315000000001</v>
          </cell>
          <cell r="Q2261">
            <v>1121.6771666666666</v>
          </cell>
          <cell r="R2261">
            <v>0</v>
          </cell>
          <cell r="T2261"/>
          <cell r="U2261"/>
          <cell r="V2261">
            <v>0.49798321540818341</v>
          </cell>
          <cell r="W2261">
            <v>2.1328605886735311E-5</v>
          </cell>
          <cell r="X2261">
            <v>2</v>
          </cell>
          <cell r="Y2261" t="str">
            <v>Potenciar</v>
          </cell>
        </row>
        <row r="2262">
          <cell r="A2262" t="str">
            <v>E442</v>
          </cell>
          <cell r="B2262" t="str">
            <v>E442 - FARMACIA SALUD Y BIENESTAR C.A.</v>
          </cell>
          <cell r="C2262" t="e">
            <v>#N/A</v>
          </cell>
          <cell r="D2262">
            <v>3</v>
          </cell>
          <cell r="F2262" t="str">
            <v>ANDES</v>
          </cell>
          <cell r="G2262">
            <v>0</v>
          </cell>
          <cell r="H2262"/>
          <cell r="I2262" t="str">
            <v>G2</v>
          </cell>
          <cell r="J2262" t="str">
            <v>Activo</v>
          </cell>
          <cell r="K2262">
            <v>1664.8004000000001</v>
          </cell>
          <cell r="L2262">
            <v>332.96008</v>
          </cell>
          <cell r="M2262">
            <v>253.80499999999998</v>
          </cell>
          <cell r="N2262" t="str">
            <v>Si Compra</v>
          </cell>
          <cell r="O2262">
            <v>5</v>
          </cell>
          <cell r="P2262">
            <v>0</v>
          </cell>
          <cell r="Q2262">
            <v>0</v>
          </cell>
          <cell r="R2262">
            <v>0</v>
          </cell>
          <cell r="V2262">
            <v>0</v>
          </cell>
          <cell r="W2262">
            <v>1.2713702719185913E-5</v>
          </cell>
          <cell r="X2262">
            <v>0</v>
          </cell>
          <cell r="Y2262" t="str">
            <v>Conquistar</v>
          </cell>
        </row>
        <row r="2263">
          <cell r="A2263" t="str">
            <v>E685</v>
          </cell>
          <cell r="B2263" t="str">
            <v>E685 - TU FARMACIA TODO POR TU SALUD, C.A.</v>
          </cell>
          <cell r="C2263" t="e">
            <v>#N/A</v>
          </cell>
          <cell r="D2263">
            <v>2</v>
          </cell>
          <cell r="F2263" t="str">
            <v>CENTRO OESTE</v>
          </cell>
          <cell r="G2263">
            <v>0</v>
          </cell>
          <cell r="H2263"/>
          <cell r="I2263" t="str">
            <v>E</v>
          </cell>
          <cell r="J2263" t="str">
            <v>Inactivo</v>
          </cell>
          <cell r="K2263">
            <v>1645.8794</v>
          </cell>
          <cell r="L2263">
            <v>822.93970000000002</v>
          </cell>
          <cell r="M2263">
            <v>822.93970000000002</v>
          </cell>
          <cell r="N2263" t="str">
            <v>Si Compra</v>
          </cell>
          <cell r="O2263">
            <v>2</v>
          </cell>
          <cell r="P2263">
            <v>0</v>
          </cell>
          <cell r="Q2263">
            <v>0</v>
          </cell>
          <cell r="R2263">
            <v>0</v>
          </cell>
          <cell r="V2263">
            <v>0</v>
          </cell>
          <cell r="W2263">
            <v>3.1423018343868851E-5</v>
          </cell>
          <cell r="X2263">
            <v>0</v>
          </cell>
          <cell r="Y2263" t="str">
            <v>Conquistar</v>
          </cell>
        </row>
        <row r="2264">
          <cell r="A2264" t="str">
            <v>8004</v>
          </cell>
          <cell r="B2264" t="str">
            <v>8004 - FARMACIA EL SINAI F.P</v>
          </cell>
          <cell r="C2264" t="e">
            <v>#N/A</v>
          </cell>
          <cell r="D2264">
            <v>2</v>
          </cell>
          <cell r="E2264"/>
          <cell r="F2264" t="str">
            <v>ANDES</v>
          </cell>
          <cell r="G2264" t="str">
            <v>ZULAY PARRA</v>
          </cell>
          <cell r="H2264"/>
          <cell r="I2264" t="str">
            <v>5</v>
          </cell>
          <cell r="J2264" t="str">
            <v>Activo</v>
          </cell>
          <cell r="K2264">
            <v>1631.9232000000002</v>
          </cell>
          <cell r="L2264">
            <v>815.96160000000009</v>
          </cell>
          <cell r="M2264">
            <v>815.96160000000009</v>
          </cell>
          <cell r="N2264" t="str">
            <v>Si Compra</v>
          </cell>
          <cell r="O2264">
            <v>2</v>
          </cell>
          <cell r="P2264">
            <v>529.74170000000004</v>
          </cell>
          <cell r="Q2264">
            <v>264.87085000000002</v>
          </cell>
          <cell r="R2264">
            <v>264.87085000000002</v>
          </cell>
          <cell r="T2264"/>
          <cell r="U2264"/>
          <cell r="V2264">
            <v>3.0806017347699832</v>
          </cell>
          <cell r="W2264">
            <v>3.1156567516055645E-5</v>
          </cell>
          <cell r="X2264">
            <v>1</v>
          </cell>
          <cell r="Y2264" t="str">
            <v>Proteger</v>
          </cell>
        </row>
        <row r="2265">
          <cell r="A2265" t="str">
            <v>E145</v>
          </cell>
          <cell r="B2265" t="str">
            <v>E145 - FARMAFAMILIA, C.A.</v>
          </cell>
          <cell r="C2265" t="str">
            <v>INDEPENDIENTE</v>
          </cell>
          <cell r="D2265">
            <v>2</v>
          </cell>
          <cell r="F2265" t="str">
            <v>CENTRO OESTE</v>
          </cell>
          <cell r="G2265" t="str">
            <v>LUIS PLACERES</v>
          </cell>
          <cell r="H2265"/>
          <cell r="I2265" t="str">
            <v>E</v>
          </cell>
          <cell r="J2265" t="str">
            <v>Activo</v>
          </cell>
          <cell r="K2265">
            <v>1618.1592000000001</v>
          </cell>
          <cell r="L2265">
            <v>323.63184000000001</v>
          </cell>
          <cell r="M2265">
            <v>374.19504999999998</v>
          </cell>
          <cell r="N2265" t="str">
            <v>Si Compra</v>
          </cell>
          <cell r="O2265">
            <v>5</v>
          </cell>
          <cell r="P2265">
            <v>3975.1240000000003</v>
          </cell>
          <cell r="Q2265">
            <v>795.02480000000003</v>
          </cell>
          <cell r="R2265">
            <v>400.75790000000001</v>
          </cell>
          <cell r="V2265">
            <v>0.40707137689289691</v>
          </cell>
          <cell r="W2265">
            <v>1.2357514463064582E-5</v>
          </cell>
          <cell r="X2265">
            <v>5</v>
          </cell>
          <cell r="Y2265" t="str">
            <v>Potenciar</v>
          </cell>
        </row>
        <row r="2266">
          <cell r="A2266" t="str">
            <v>D708</v>
          </cell>
          <cell r="B2266" t="str">
            <v>D708 - FARMACIA UNITAS TRUJILLO DE DILMA TRUJILLO FP</v>
          </cell>
          <cell r="C2266" t="e">
            <v>#N/A</v>
          </cell>
          <cell r="D2266">
            <v>1</v>
          </cell>
          <cell r="E2266"/>
          <cell r="F2266" t="str">
            <v>ANDES</v>
          </cell>
          <cell r="G2266">
            <v>0</v>
          </cell>
          <cell r="H2266"/>
          <cell r="I2266" t="str">
            <v>G2</v>
          </cell>
          <cell r="J2266" t="str">
            <v>Bloqueado</v>
          </cell>
          <cell r="K2266">
            <v>1607.8548999999998</v>
          </cell>
          <cell r="L2266">
            <v>229.69355714285712</v>
          </cell>
          <cell r="M2266">
            <v>10.9278</v>
          </cell>
          <cell r="N2266" t="str">
            <v>Si Compra</v>
          </cell>
          <cell r="O2266">
            <v>7</v>
          </cell>
          <cell r="P2266">
            <v>0</v>
          </cell>
          <cell r="Q2266">
            <v>0</v>
          </cell>
          <cell r="R2266">
            <v>0</v>
          </cell>
          <cell r="T2266"/>
          <cell r="U2266"/>
          <cell r="V2266">
            <v>0</v>
          </cell>
          <cell r="W2266">
            <v>8.770587759429381E-6</v>
          </cell>
          <cell r="X2266">
            <v>0</v>
          </cell>
          <cell r="Y2266" t="str">
            <v>Conquistar</v>
          </cell>
        </row>
        <row r="2267">
          <cell r="A2267" t="str">
            <v>E308</v>
          </cell>
          <cell r="B2267" t="str">
            <v>E308 - FARMA ARISHE, C.A.</v>
          </cell>
          <cell r="C2267" t="str">
            <v>INDEPENDIENTE</v>
          </cell>
          <cell r="D2267">
            <v>2</v>
          </cell>
          <cell r="F2267" t="str">
            <v>CARACAS</v>
          </cell>
          <cell r="G2267">
            <v>0</v>
          </cell>
          <cell r="H2267"/>
          <cell r="I2267" t="str">
            <v>C9</v>
          </cell>
          <cell r="J2267" t="str">
            <v>Suspendido</v>
          </cell>
          <cell r="K2267">
            <v>1602.6604695752362</v>
          </cell>
          <cell r="L2267">
            <v>320.53209391504726</v>
          </cell>
          <cell r="M2267">
            <v>178.3674</v>
          </cell>
          <cell r="N2267" t="str">
            <v>Si Compra</v>
          </cell>
          <cell r="O2267">
            <v>5</v>
          </cell>
          <cell r="P2267">
            <v>0</v>
          </cell>
          <cell r="Q2267">
            <v>0</v>
          </cell>
          <cell r="R2267">
            <v>0</v>
          </cell>
          <cell r="V2267">
            <v>0</v>
          </cell>
          <cell r="W2267">
            <v>1.2239154177263805E-5</v>
          </cell>
          <cell r="X2267">
            <v>0</v>
          </cell>
          <cell r="Y2267" t="str">
            <v>Conquistar</v>
          </cell>
        </row>
        <row r="2268">
          <cell r="A2268" t="str">
            <v>E610</v>
          </cell>
          <cell r="B2268" t="str">
            <v>E610 - FARMACIA ALIXFARMA, C.A.</v>
          </cell>
          <cell r="C2268" t="e">
            <v>#N/A</v>
          </cell>
          <cell r="D2268">
            <v>1</v>
          </cell>
          <cell r="F2268" t="str">
            <v>CENTRO OESTE</v>
          </cell>
          <cell r="G2268">
            <v>0</v>
          </cell>
          <cell r="H2268"/>
          <cell r="I2268" t="str">
            <v>E</v>
          </cell>
          <cell r="J2268" t="str">
            <v>Suspendido</v>
          </cell>
          <cell r="K2268">
            <v>1591.9122</v>
          </cell>
          <cell r="L2268">
            <v>1591.9122</v>
          </cell>
          <cell r="M2268">
            <v>1591.9122</v>
          </cell>
          <cell r="N2268" t="str">
            <v>Si Compra</v>
          </cell>
          <cell r="O2268">
            <v>1</v>
          </cell>
          <cell r="P2268">
            <v>0</v>
          </cell>
          <cell r="Q2268">
            <v>0</v>
          </cell>
          <cell r="R2268">
            <v>0</v>
          </cell>
          <cell r="V2268">
            <v>0</v>
          </cell>
          <cell r="W2268">
            <v>6.0785360412711423E-5</v>
          </cell>
          <cell r="X2268">
            <v>0</v>
          </cell>
          <cell r="Y2268" t="str">
            <v>Conquistar</v>
          </cell>
        </row>
        <row r="2269">
          <cell r="A2269" t="str">
            <v>R18</v>
          </cell>
          <cell r="B2269" t="str">
            <v>R18 - GARCIA ALDANA, IVAN DE JESUS (EXPENDIO DE MEDICINAS LAS DELICIAS)</v>
          </cell>
          <cell r="C2269" t="str">
            <v>INDEPENDIENTE</v>
          </cell>
          <cell r="D2269">
            <v>1</v>
          </cell>
          <cell r="F2269" t="str">
            <v>CENTRO ESTE</v>
          </cell>
          <cell r="G2269">
            <v>0</v>
          </cell>
          <cell r="H2269"/>
          <cell r="I2269" t="str">
            <v>I</v>
          </cell>
          <cell r="J2269" t="str">
            <v>Activo</v>
          </cell>
          <cell r="K2269">
            <v>1590.6077</v>
          </cell>
          <cell r="L2269">
            <v>318.12153999999998</v>
          </cell>
          <cell r="M2269">
            <v>538.79729999999995</v>
          </cell>
          <cell r="N2269" t="str">
            <v>Si Compra</v>
          </cell>
          <cell r="O2269">
            <v>5</v>
          </cell>
          <cell r="P2269">
            <v>0</v>
          </cell>
          <cell r="Q2269">
            <v>0</v>
          </cell>
          <cell r="R2269">
            <v>0</v>
          </cell>
          <cell r="V2269">
            <v>0</v>
          </cell>
          <cell r="W2269">
            <v>1.2147109912184098E-5</v>
          </cell>
          <cell r="X2269">
            <v>0</v>
          </cell>
          <cell r="Y2269" t="str">
            <v>Conquistar</v>
          </cell>
        </row>
        <row r="2270">
          <cell r="A2270" t="str">
            <v>C613</v>
          </cell>
          <cell r="B2270" t="str">
            <v>C613 - INVERSIONES AZIZI FASHION 2019, C.A.</v>
          </cell>
          <cell r="C2270" t="str">
            <v>INDEPENDIENTE</v>
          </cell>
          <cell r="D2270">
            <v>0</v>
          </cell>
          <cell r="E2270"/>
          <cell r="F2270" t="str">
            <v>CARACAS</v>
          </cell>
          <cell r="H2270"/>
          <cell r="I2270" t="str">
            <v>CB</v>
          </cell>
          <cell r="J2270" t="str">
            <v>Activo</v>
          </cell>
          <cell r="K2270">
            <v>1590.5998</v>
          </cell>
          <cell r="L2270">
            <v>530.19993333333332</v>
          </cell>
          <cell r="M2270">
            <v>0</v>
          </cell>
          <cell r="N2270" t="str">
            <v>No Compra</v>
          </cell>
          <cell r="O2270">
            <v>3</v>
          </cell>
          <cell r="P2270">
            <v>0</v>
          </cell>
          <cell r="Q2270">
            <v>0</v>
          </cell>
          <cell r="R2270">
            <v>0</v>
          </cell>
          <cell r="T2270"/>
          <cell r="U2270"/>
          <cell r="V2270">
            <v>0</v>
          </cell>
          <cell r="W2270">
            <v>2.0245082636129202E-5</v>
          </cell>
          <cell r="X2270">
            <v>0</v>
          </cell>
          <cell r="Y2270" t="str">
            <v>Conquistar</v>
          </cell>
        </row>
        <row r="2271">
          <cell r="A2271" t="str">
            <v>N134</v>
          </cell>
          <cell r="B2271" t="str">
            <v>N134 - FARMACIA FELDANY F.P</v>
          </cell>
          <cell r="C2271" t="e">
            <v>#N/A</v>
          </cell>
          <cell r="D2271">
            <v>0</v>
          </cell>
          <cell r="F2271" t="str">
            <v>CENTRO OESTE</v>
          </cell>
          <cell r="G2271" t="str">
            <v>YAMILEX LAMEDA</v>
          </cell>
          <cell r="H2271"/>
          <cell r="I2271" t="str">
            <v>Y1</v>
          </cell>
          <cell r="J2271" t="str">
            <v>Activo</v>
          </cell>
          <cell r="K2271">
            <v>1572.3069</v>
          </cell>
          <cell r="L2271">
            <v>786.15345000000002</v>
          </cell>
          <cell r="M2271">
            <v>0</v>
          </cell>
          <cell r="N2271" t="str">
            <v>No Compra</v>
          </cell>
          <cell r="O2271">
            <v>2</v>
          </cell>
          <cell r="P2271">
            <v>3936.0144</v>
          </cell>
          <cell r="Q2271">
            <v>1968.0072</v>
          </cell>
          <cell r="R2271">
            <v>0</v>
          </cell>
          <cell r="V2271">
            <v>0.39946675499967682</v>
          </cell>
          <cell r="W2271">
            <v>3.0018377142876668E-5</v>
          </cell>
          <cell r="X2271">
            <v>2</v>
          </cell>
          <cell r="Y2271" t="str">
            <v>Potenciar</v>
          </cell>
        </row>
        <row r="2272">
          <cell r="A2272" t="str">
            <v>6220</v>
          </cell>
          <cell r="B2272" t="str">
            <v>6220 - PLATA MENDEZ, GUSTAVO ANTONIO (FARMACIA GIRASOL)</v>
          </cell>
          <cell r="C2272" t="str">
            <v>INDEPENDIENTE</v>
          </cell>
          <cell r="D2272">
            <v>0</v>
          </cell>
          <cell r="E2272"/>
          <cell r="F2272" t="str">
            <v>ANDES</v>
          </cell>
          <cell r="G2272" t="str">
            <v>JESUS CONTRERAS</v>
          </cell>
          <cell r="H2272"/>
          <cell r="I2272" t="str">
            <v>G2</v>
          </cell>
          <cell r="J2272" t="str">
            <v>Bloqueado</v>
          </cell>
          <cell r="K2272">
            <v>1564.0491999999999</v>
          </cell>
          <cell r="L2272">
            <v>1564.0491999999999</v>
          </cell>
          <cell r="M2272">
            <v>0</v>
          </cell>
          <cell r="N2272" t="str">
            <v>No Compra</v>
          </cell>
          <cell r="O2272">
            <v>1</v>
          </cell>
          <cell r="P2272">
            <v>3791.7631999999999</v>
          </cell>
          <cell r="Q2272">
            <v>3791.7631999999999</v>
          </cell>
          <cell r="R2272">
            <v>0</v>
          </cell>
          <cell r="T2272"/>
          <cell r="U2272"/>
          <cell r="V2272">
            <v>0.41248599068633823</v>
          </cell>
          <cell r="W2272">
            <v>5.9721443384385752E-5</v>
          </cell>
          <cell r="X2272">
            <v>1</v>
          </cell>
          <cell r="Y2272" t="str">
            <v>Potenciar</v>
          </cell>
        </row>
        <row r="2273">
          <cell r="A2273" t="str">
            <v>9369</v>
          </cell>
          <cell r="B2273" t="str">
            <v>9369 - FARMACIA CRISTO NEGRO. C.A</v>
          </cell>
          <cell r="C2273" t="str">
            <v>INDEPENDIENTE</v>
          </cell>
          <cell r="D2273">
            <v>0</v>
          </cell>
          <cell r="E2273"/>
          <cell r="F2273" t="str">
            <v>ANDES</v>
          </cell>
          <cell r="H2273"/>
          <cell r="I2273" t="str">
            <v>5</v>
          </cell>
          <cell r="J2273" t="str">
            <v>Bloqueado</v>
          </cell>
          <cell r="K2273">
            <v>1521.5762</v>
          </cell>
          <cell r="L2273">
            <v>1521.5762</v>
          </cell>
          <cell r="M2273">
            <v>0</v>
          </cell>
          <cell r="N2273" t="str">
            <v>No Compra</v>
          </cell>
          <cell r="O2273">
            <v>1</v>
          </cell>
          <cell r="P2273">
            <v>0</v>
          </cell>
          <cell r="Q2273">
            <v>0</v>
          </cell>
          <cell r="R2273">
            <v>0</v>
          </cell>
          <cell r="T2273"/>
          <cell r="U2273"/>
          <cell r="V2273">
            <v>0</v>
          </cell>
          <cell r="W2273">
            <v>5.8099660089547577E-5</v>
          </cell>
          <cell r="X2273">
            <v>0</v>
          </cell>
          <cell r="Y2273" t="str">
            <v>Conquistar</v>
          </cell>
        </row>
        <row r="2274">
          <cell r="A2274" t="str">
            <v>D759</v>
          </cell>
          <cell r="B2274" t="str">
            <v>D759 - FARMACIA DR JOSE GREGORIO HERNANDEZ EL BEATO, C.A.</v>
          </cell>
          <cell r="C2274" t="str">
            <v>INDEPENDIENTE</v>
          </cell>
          <cell r="D2274">
            <v>0</v>
          </cell>
          <cell r="E2274"/>
          <cell r="F2274" t="str">
            <v>CENTRO ESTE</v>
          </cell>
          <cell r="G2274" t="str">
            <v>ELIANA PERAZA</v>
          </cell>
          <cell r="H2274"/>
          <cell r="I2274" t="str">
            <v>M</v>
          </cell>
          <cell r="J2274" t="str">
            <v>Activo</v>
          </cell>
          <cell r="K2274">
            <v>1518.1552999999999</v>
          </cell>
          <cell r="L2274">
            <v>1518.1552999999999</v>
          </cell>
          <cell r="M2274">
            <v>0</v>
          </cell>
          <cell r="N2274" t="str">
            <v>No Compra</v>
          </cell>
          <cell r="O2274">
            <v>1</v>
          </cell>
          <cell r="P2274">
            <v>5037.1652000000004</v>
          </cell>
          <cell r="Q2274">
            <v>5037.1652000000004</v>
          </cell>
          <cell r="R2274">
            <v>0</v>
          </cell>
          <cell r="T2274"/>
          <cell r="U2274"/>
          <cell r="V2274">
            <v>0.30139081005324181</v>
          </cell>
          <cell r="W2274">
            <v>5.7969036906035418E-5</v>
          </cell>
          <cell r="X2274">
            <v>1</v>
          </cell>
          <cell r="Y2274" t="str">
            <v>Potenciar</v>
          </cell>
        </row>
        <row r="2275">
          <cell r="A2275" t="str">
            <v>E110</v>
          </cell>
          <cell r="B2275" t="str">
            <v>E110 - FARMACIA LA CARDENERA TRINIDAD, C.A.</v>
          </cell>
          <cell r="C2275" t="str">
            <v>INDEPENDIENTE</v>
          </cell>
          <cell r="D2275">
            <v>0</v>
          </cell>
          <cell r="F2275" t="str">
            <v>CENTRO OESTE</v>
          </cell>
          <cell r="G2275" t="str">
            <v>LUIS PLACERES</v>
          </cell>
          <cell r="H2275"/>
          <cell r="I2275" t="str">
            <v>E</v>
          </cell>
          <cell r="J2275" t="str">
            <v>Activo</v>
          </cell>
          <cell r="K2275">
            <v>1503.0287000000001</v>
          </cell>
          <cell r="L2275">
            <v>300.60574000000003</v>
          </cell>
          <cell r="M2275">
            <v>0</v>
          </cell>
          <cell r="N2275" t="str">
            <v>No Compra</v>
          </cell>
          <cell r="O2275">
            <v>5</v>
          </cell>
          <cell r="P2275">
            <v>5027.6401999999998</v>
          </cell>
          <cell r="Q2275">
            <v>1005.5280399999999</v>
          </cell>
          <cell r="R2275">
            <v>0</v>
          </cell>
          <cell r="V2275">
            <v>0.2989531152209341</v>
          </cell>
          <cell r="W2275">
            <v>1.1478288970980827E-5</v>
          </cell>
          <cell r="X2275">
            <v>3</v>
          </cell>
          <cell r="Y2275" t="str">
            <v>Potenciar</v>
          </cell>
        </row>
        <row r="2276">
          <cell r="A2276" t="str">
            <v>D464</v>
          </cell>
          <cell r="B2276" t="str">
            <v>D464 - FARMACIA CIENTIFICA SAN MARTIN, C.A</v>
          </cell>
          <cell r="C2276" t="str">
            <v>INDEPENDIENTE</v>
          </cell>
          <cell r="D2276">
            <v>3</v>
          </cell>
          <cell r="E2276"/>
          <cell r="F2276" t="str">
            <v>ESTE</v>
          </cell>
          <cell r="G2276">
            <v>0</v>
          </cell>
          <cell r="H2276"/>
          <cell r="I2276" t="str">
            <v>A5</v>
          </cell>
          <cell r="J2276" t="str">
            <v>Activo</v>
          </cell>
          <cell r="K2276">
            <v>1500.8601073423899</v>
          </cell>
          <cell r="L2276">
            <v>166.76223414915444</v>
          </cell>
          <cell r="M2276">
            <v>107.26606666666667</v>
          </cell>
          <cell r="N2276" t="str">
            <v>Si Compra</v>
          </cell>
          <cell r="O2276">
            <v>9</v>
          </cell>
          <cell r="P2276">
            <v>0</v>
          </cell>
          <cell r="Q2276">
            <v>0</v>
          </cell>
          <cell r="R2276">
            <v>0</v>
          </cell>
          <cell r="T2276"/>
          <cell r="U2276"/>
          <cell r="V2276">
            <v>0</v>
          </cell>
          <cell r="W2276">
            <v>6.3676266228660887E-6</v>
          </cell>
          <cell r="X2276">
            <v>0</v>
          </cell>
          <cell r="Y2276" t="str">
            <v>Conquistar</v>
          </cell>
        </row>
        <row r="2277">
          <cell r="A2277" t="str">
            <v>E562</v>
          </cell>
          <cell r="B2277" t="str">
            <v>E562 - FARMACIA PUEBLO LLANO DE MANUEL IGNACIO MORA F.P</v>
          </cell>
          <cell r="C2277" t="e">
            <v>#N/A</v>
          </cell>
          <cell r="D2277">
            <v>3</v>
          </cell>
          <cell r="F2277" t="str">
            <v>ANDES</v>
          </cell>
          <cell r="G2277">
            <v>0</v>
          </cell>
          <cell r="H2277"/>
          <cell r="I2277" t="str">
            <v>6</v>
          </cell>
          <cell r="J2277" t="str">
            <v>Activo</v>
          </cell>
          <cell r="K2277">
            <v>1463.304766580821</v>
          </cell>
          <cell r="L2277">
            <v>487.76825552694032</v>
          </cell>
          <cell r="M2277">
            <v>487.76825552694032</v>
          </cell>
          <cell r="N2277" t="str">
            <v>Si Compra</v>
          </cell>
          <cell r="O2277">
            <v>2</v>
          </cell>
          <cell r="P2277">
            <v>0</v>
          </cell>
          <cell r="Q2277">
            <v>0</v>
          </cell>
          <cell r="R2277">
            <v>0</v>
          </cell>
          <cell r="V2277">
            <v>0</v>
          </cell>
          <cell r="W2277">
            <v>1.8624877182350001E-5</v>
          </cell>
          <cell r="X2277">
            <v>0</v>
          </cell>
          <cell r="Y2277" t="str">
            <v>Conquistar</v>
          </cell>
        </row>
        <row r="2278">
          <cell r="A2278" t="str">
            <v>B926</v>
          </cell>
          <cell r="B2278" t="str">
            <v>B926 - FARMAHEALTH 2021 C.A.</v>
          </cell>
          <cell r="C2278" t="str">
            <v>INDEPENDIENTE</v>
          </cell>
          <cell r="D2278">
            <v>0</v>
          </cell>
          <cell r="E2278"/>
          <cell r="F2278" t="str">
            <v>CENTRO ESTE</v>
          </cell>
          <cell r="G2278" t="str">
            <v>LAURA FLORES</v>
          </cell>
          <cell r="H2278"/>
          <cell r="I2278" t="str">
            <v>+</v>
          </cell>
          <cell r="J2278" t="str">
            <v>Activo</v>
          </cell>
          <cell r="K2278">
            <v>1449.3131882367816</v>
          </cell>
          <cell r="L2278">
            <v>483.10439607892721</v>
          </cell>
          <cell r="M2278">
            <v>0</v>
          </cell>
          <cell r="N2278" t="str">
            <v>No Compra</v>
          </cell>
          <cell r="O2278">
            <v>3</v>
          </cell>
          <cell r="P2278">
            <v>11703.034306197544</v>
          </cell>
          <cell r="Q2278">
            <v>3901.0114353991812</v>
          </cell>
          <cell r="R2278">
            <v>0</v>
          </cell>
          <cell r="T2278"/>
          <cell r="U2278"/>
          <cell r="V2278">
            <v>0.12384080489871527</v>
          </cell>
          <cell r="W2278">
            <v>1.8446793003171209E-5</v>
          </cell>
          <cell r="X2278">
            <v>3</v>
          </cell>
          <cell r="Y2278" t="str">
            <v>Conquistar</v>
          </cell>
        </row>
        <row r="2279">
          <cell r="A2279" t="str">
            <v>B530</v>
          </cell>
          <cell r="B2279" t="str">
            <v>B530 - FARMACIA CASA MEDICA, C.A.</v>
          </cell>
          <cell r="C2279" t="str">
            <v>INDEPENDIENTE</v>
          </cell>
          <cell r="D2279">
            <v>0</v>
          </cell>
          <cell r="E2279"/>
          <cell r="F2279" t="str">
            <v>ANDES</v>
          </cell>
          <cell r="G2279" t="str">
            <v>LUCIA DUGARTE</v>
          </cell>
          <cell r="H2279"/>
          <cell r="I2279" t="str">
            <v>6</v>
          </cell>
          <cell r="J2279" t="str">
            <v>Bloqueado</v>
          </cell>
          <cell r="K2279">
            <v>1446.9867000000002</v>
          </cell>
          <cell r="L2279">
            <v>723.49335000000008</v>
          </cell>
          <cell r="M2279">
            <v>0</v>
          </cell>
          <cell r="N2279" t="str">
            <v>No Compra</v>
          </cell>
          <cell r="O2279">
            <v>2</v>
          </cell>
          <cell r="P2279">
            <v>6765.5337</v>
          </cell>
          <cell r="Q2279">
            <v>3382.76685</v>
          </cell>
          <cell r="R2279">
            <v>0</v>
          </cell>
          <cell r="T2279"/>
          <cell r="U2279"/>
          <cell r="V2279">
            <v>0.21387620905650062</v>
          </cell>
          <cell r="W2279">
            <v>2.7625772348468703E-5</v>
          </cell>
          <cell r="X2279">
            <v>2</v>
          </cell>
          <cell r="Y2279" t="str">
            <v>Potenciar</v>
          </cell>
        </row>
        <row r="2280">
          <cell r="A2280" t="str">
            <v>E426</v>
          </cell>
          <cell r="B2280" t="str">
            <v>E426 - FARMACIA MEDICA DIGITAL, C.A</v>
          </cell>
          <cell r="C2280" t="e">
            <v>#N/A</v>
          </cell>
          <cell r="D2280">
            <v>2</v>
          </cell>
          <cell r="F2280" t="str">
            <v>MARACAIBO</v>
          </cell>
          <cell r="G2280">
            <v>0</v>
          </cell>
          <cell r="H2280"/>
          <cell r="I2280" t="str">
            <v>BD</v>
          </cell>
          <cell r="J2280" t="str">
            <v>Bloqueado</v>
          </cell>
          <cell r="K2280">
            <v>1440.2490550375162</v>
          </cell>
          <cell r="L2280">
            <v>360.06226375937905</v>
          </cell>
          <cell r="M2280">
            <v>241.81455</v>
          </cell>
          <cell r="N2280" t="str">
            <v>Si Compra</v>
          </cell>
          <cell r="O2280">
            <v>4</v>
          </cell>
          <cell r="P2280">
            <v>0</v>
          </cell>
          <cell r="Q2280">
            <v>0</v>
          </cell>
          <cell r="R2280">
            <v>0</v>
          </cell>
          <cell r="V2280">
            <v>0</v>
          </cell>
          <cell r="W2280">
            <v>1.374856884294914E-5</v>
          </cell>
          <cell r="X2280">
            <v>0</v>
          </cell>
          <cell r="Y2280" t="str">
            <v>Conquistar</v>
          </cell>
        </row>
        <row r="2281">
          <cell r="A2281" t="str">
            <v>D599</v>
          </cell>
          <cell r="B2281" t="str">
            <v>D599 - FARMACIA ENLACE, C.A.</v>
          </cell>
          <cell r="C2281" t="str">
            <v>INDEPENDIENTE</v>
          </cell>
          <cell r="D2281">
            <v>3</v>
          </cell>
          <cell r="E2281"/>
          <cell r="F2281" t="str">
            <v>ANDES</v>
          </cell>
          <cell r="G2281" t="str">
            <v>ZULAY PARRA</v>
          </cell>
          <cell r="H2281"/>
          <cell r="I2281" t="str">
            <v>5</v>
          </cell>
          <cell r="J2281" t="str">
            <v>Activo</v>
          </cell>
          <cell r="K2281">
            <v>1425.1645999999998</v>
          </cell>
          <cell r="L2281">
            <v>142.51646</v>
          </cell>
          <cell r="M2281">
            <v>138.35749999999999</v>
          </cell>
          <cell r="N2281" t="str">
            <v>Si Compra</v>
          </cell>
          <cell r="O2281">
            <v>10</v>
          </cell>
          <cell r="P2281">
            <v>1007.9342000000001</v>
          </cell>
          <cell r="Q2281">
            <v>100.79342000000001</v>
          </cell>
          <cell r="R2281">
            <v>109.59736666666667</v>
          </cell>
          <cell r="T2281"/>
          <cell r="U2281"/>
          <cell r="V2281">
            <v>1.4139460690985579</v>
          </cell>
          <cell r="W2281">
            <v>5.4418292578219903E-6</v>
          </cell>
          <cell r="X2281">
            <v>7</v>
          </cell>
          <cell r="Y2281" t="str">
            <v>Proteger</v>
          </cell>
        </row>
        <row r="2282">
          <cell r="A2282" t="str">
            <v>5897</v>
          </cell>
          <cell r="B2282" t="str">
            <v>5897 - FARMACIA TURISTICA, C.A</v>
          </cell>
          <cell r="C2282" t="str">
            <v>INDEPENDIENTE</v>
          </cell>
          <cell r="D2282">
            <v>0</v>
          </cell>
          <cell r="E2282"/>
          <cell r="F2282" t="str">
            <v>ESTE</v>
          </cell>
          <cell r="G2282" t="str">
            <v>JOSE RAMIREZ</v>
          </cell>
          <cell r="H2282"/>
          <cell r="I2282" t="str">
            <v>A2</v>
          </cell>
          <cell r="J2282" t="str">
            <v>Bloqueado</v>
          </cell>
          <cell r="K2282">
            <v>1400.6574755036045</v>
          </cell>
          <cell r="L2282">
            <v>700.32873775180224</v>
          </cell>
          <cell r="M2282">
            <v>0</v>
          </cell>
          <cell r="N2282" t="str">
            <v>No Compra</v>
          </cell>
          <cell r="O2282">
            <v>1</v>
          </cell>
          <cell r="P2282">
            <v>3553.2573787655469</v>
          </cell>
          <cell r="Q2282">
            <v>1776.6286893827735</v>
          </cell>
          <cell r="R2282">
            <v>0</v>
          </cell>
          <cell r="T2282"/>
          <cell r="U2282"/>
          <cell r="V2282">
            <v>0.39418970431863654</v>
          </cell>
          <cell r="W2282">
            <v>2.6741257923409698E-5</v>
          </cell>
          <cell r="X2282">
            <v>2</v>
          </cell>
          <cell r="Y2282" t="str">
            <v>Potenciar</v>
          </cell>
        </row>
        <row r="2283">
          <cell r="A2283" t="str">
            <v>6537</v>
          </cell>
          <cell r="B2283" t="str">
            <v>6537 - FARMACIA CARMEN ISAIAS, C.A.</v>
          </cell>
          <cell r="C2283" t="e">
            <v>#N/A</v>
          </cell>
          <cell r="D2283">
            <v>1</v>
          </cell>
          <cell r="E2283"/>
          <cell r="F2283" t="str">
            <v>ESTE</v>
          </cell>
          <cell r="G2283" t="str">
            <v>ALEXMAR CASTILLO</v>
          </cell>
          <cell r="H2283"/>
          <cell r="I2283" t="str">
            <v>A1</v>
          </cell>
          <cell r="J2283" t="str">
            <v>Activo</v>
          </cell>
          <cell r="K2283">
            <v>1381.6541999999999</v>
          </cell>
          <cell r="L2283">
            <v>1381.6541999999999</v>
          </cell>
          <cell r="M2283">
            <v>1381.6541999999999</v>
          </cell>
          <cell r="N2283" t="str">
            <v>Si Compra</v>
          </cell>
          <cell r="O2283">
            <v>1</v>
          </cell>
          <cell r="P2283">
            <v>17644.4656</v>
          </cell>
          <cell r="Q2283">
            <v>17644.4656</v>
          </cell>
          <cell r="R2283">
            <v>17644.4656</v>
          </cell>
          <cell r="T2283"/>
          <cell r="U2283"/>
          <cell r="V2283">
            <v>7.8305244903535076E-2</v>
          </cell>
          <cell r="W2283">
            <v>5.2756897341911491E-5</v>
          </cell>
          <cell r="X2283">
            <v>1</v>
          </cell>
          <cell r="Y2283" t="str">
            <v>Conquistar</v>
          </cell>
        </row>
        <row r="2284">
          <cell r="A2284" t="str">
            <v>A686</v>
          </cell>
          <cell r="B2284" t="str">
            <v>A686 - FARMAMACAR, C.A.</v>
          </cell>
          <cell r="C2284" t="str">
            <v>INDEPENDIENTE</v>
          </cell>
          <cell r="D2284">
            <v>0</v>
          </cell>
          <cell r="E2284"/>
          <cell r="F2284" t="str">
            <v>CARACAS</v>
          </cell>
          <cell r="G2284" t="str">
            <v>RAMON SERRANO</v>
          </cell>
          <cell r="H2284"/>
          <cell r="I2284" t="str">
            <v>C6</v>
          </cell>
          <cell r="J2284" t="str">
            <v>Bloqueado</v>
          </cell>
          <cell r="K2284">
            <v>1370.56</v>
          </cell>
          <cell r="L2284">
            <v>456.8533333333333</v>
          </cell>
          <cell r="M2284">
            <v>0</v>
          </cell>
          <cell r="N2284" t="str">
            <v>No Compra</v>
          </cell>
          <cell r="O2284">
            <v>3</v>
          </cell>
          <cell r="P2284">
            <v>5888.9236999999994</v>
          </cell>
          <cell r="Q2284">
            <v>1962.9745666666665</v>
          </cell>
          <cell r="R2284">
            <v>0</v>
          </cell>
          <cell r="T2284"/>
          <cell r="U2284"/>
          <cell r="V2284">
            <v>0.23273522800100127</v>
          </cell>
          <cell r="W2284">
            <v>1.7444425969230749E-5</v>
          </cell>
          <cell r="X2284">
            <v>3</v>
          </cell>
          <cell r="Y2284" t="str">
            <v>Potenciar</v>
          </cell>
        </row>
        <row r="2285">
          <cell r="A2285" t="str">
            <v>E498</v>
          </cell>
          <cell r="B2285" t="str">
            <v>E498 - FARMACIA SUR DE ARAGUA 2022, C.A.</v>
          </cell>
          <cell r="C2285" t="e">
            <v>#N/A</v>
          </cell>
          <cell r="D2285">
            <v>1</v>
          </cell>
          <cell r="F2285" t="str">
            <v>CENTRO ESTE</v>
          </cell>
          <cell r="G2285">
            <v>0</v>
          </cell>
          <cell r="H2285"/>
          <cell r="I2285" t="str">
            <v>AV</v>
          </cell>
          <cell r="J2285" t="str">
            <v>Activo</v>
          </cell>
          <cell r="K2285">
            <v>1368.9825000000001</v>
          </cell>
          <cell r="L2285">
            <v>684.49125000000004</v>
          </cell>
          <cell r="M2285">
            <v>638.84479999999996</v>
          </cell>
          <cell r="N2285" t="str">
            <v>Si Compra</v>
          </cell>
          <cell r="O2285">
            <v>2</v>
          </cell>
          <cell r="P2285">
            <v>0</v>
          </cell>
          <cell r="Q2285">
            <v>0</v>
          </cell>
          <cell r="R2285">
            <v>0</v>
          </cell>
          <cell r="V2285">
            <v>0</v>
          </cell>
          <cell r="W2285">
            <v>2.6136521430388788E-5</v>
          </cell>
          <cell r="X2285">
            <v>0</v>
          </cell>
          <cell r="Y2285" t="str">
            <v>Conquistar</v>
          </cell>
        </row>
        <row r="2286">
          <cell r="A2286" t="str">
            <v>A405</v>
          </cell>
          <cell r="B2286" t="str">
            <v>A405 - FARMACIA BELFRA,C.A.</v>
          </cell>
          <cell r="C2286" t="str">
            <v>INDEPENDIENTE</v>
          </cell>
          <cell r="D2286">
            <v>3</v>
          </cell>
          <cell r="E2286"/>
          <cell r="F2286" t="str">
            <v>ESTE</v>
          </cell>
          <cell r="G2286" t="str">
            <v>CARMEN ALCALA</v>
          </cell>
          <cell r="H2286"/>
          <cell r="I2286" t="str">
            <v>A6</v>
          </cell>
          <cell r="J2286" t="str">
            <v>Activo</v>
          </cell>
          <cell r="K2286">
            <v>1352.5759999999998</v>
          </cell>
          <cell r="L2286">
            <v>135.25759999999997</v>
          </cell>
          <cell r="M2286">
            <v>206.14276666666669</v>
          </cell>
          <cell r="N2286" t="str">
            <v>Si Compra</v>
          </cell>
          <cell r="O2286">
            <v>10</v>
          </cell>
          <cell r="P2286">
            <v>29379.166500000003</v>
          </cell>
          <cell r="Q2286">
            <v>2937.9166500000001</v>
          </cell>
          <cell r="R2286">
            <v>1382.3679333333332</v>
          </cell>
          <cell r="T2286"/>
          <cell r="U2286"/>
          <cell r="V2286">
            <v>4.6038610387398149E-2</v>
          </cell>
          <cell r="W2286">
            <v>5.1646579280932419E-6</v>
          </cell>
          <cell r="X2286">
            <v>10</v>
          </cell>
          <cell r="Y2286" t="str">
            <v>Conquistar</v>
          </cell>
        </row>
        <row r="2287">
          <cell r="A2287" t="str">
            <v>A909</v>
          </cell>
          <cell r="B2287" t="str">
            <v>A909 - FARMACIA DON ANTONIO 28, C.A.</v>
          </cell>
          <cell r="C2287" t="str">
            <v>INDEPENDIENTE</v>
          </cell>
          <cell r="D2287">
            <v>0</v>
          </cell>
          <cell r="E2287"/>
          <cell r="F2287" t="str">
            <v>CENTRO OESTE</v>
          </cell>
          <cell r="G2287" t="str">
            <v>SORALI SILVA</v>
          </cell>
          <cell r="H2287"/>
          <cell r="I2287" t="str">
            <v>C</v>
          </cell>
          <cell r="J2287" t="str">
            <v>Bloqueado</v>
          </cell>
          <cell r="K2287">
            <v>1332.0046509040758</v>
          </cell>
          <cell r="L2287">
            <v>444.00155030135858</v>
          </cell>
          <cell r="M2287">
            <v>0</v>
          </cell>
          <cell r="N2287" t="str">
            <v>No Compra</v>
          </cell>
          <cell r="O2287">
            <v>3</v>
          </cell>
          <cell r="P2287">
            <v>2617.4607638353959</v>
          </cell>
          <cell r="Q2287">
            <v>872.48692127846527</v>
          </cell>
          <cell r="R2287">
            <v>0</v>
          </cell>
          <cell r="T2287"/>
          <cell r="U2287"/>
          <cell r="V2287">
            <v>0.50889192659846172</v>
          </cell>
          <cell r="W2287">
            <v>1.6953695221929137E-5</v>
          </cell>
          <cell r="X2287">
            <v>2</v>
          </cell>
          <cell r="Y2287" t="str">
            <v>Potenciar</v>
          </cell>
        </row>
        <row r="2288">
          <cell r="A2288" t="str">
            <v>1504</v>
          </cell>
          <cell r="B2288" t="str">
            <v>1504 - FARMACIA LA BERMUDEZ DE CAGUA .CA</v>
          </cell>
          <cell r="C2288" t="str">
            <v>INDEPENDIENTE</v>
          </cell>
          <cell r="D2288">
            <v>0</v>
          </cell>
          <cell r="E2288"/>
          <cell r="F2288" t="str">
            <v>CENTRO ESTE</v>
          </cell>
          <cell r="G2288" t="str">
            <v>MARCOS CRUCES</v>
          </cell>
          <cell r="H2288"/>
          <cell r="I2288" t="str">
            <v>$</v>
          </cell>
          <cell r="J2288" t="str">
            <v>Bloqueado</v>
          </cell>
          <cell r="K2288">
            <v>1319.9491</v>
          </cell>
          <cell r="L2288">
            <v>439.98303333333337</v>
          </cell>
          <cell r="M2288">
            <v>0</v>
          </cell>
          <cell r="N2288" t="str">
            <v>No Compra</v>
          </cell>
          <cell r="O2288">
            <v>3</v>
          </cell>
          <cell r="P2288">
            <v>4513.7534000000005</v>
          </cell>
          <cell r="Q2288">
            <v>1504.5844666666669</v>
          </cell>
          <cell r="R2288">
            <v>0</v>
          </cell>
          <cell r="T2288"/>
          <cell r="U2288"/>
          <cell r="V2288">
            <v>0.29242827045004272</v>
          </cell>
          <cell r="W2288">
            <v>1.6800252712834723E-5</v>
          </cell>
          <cell r="X2288">
            <v>3</v>
          </cell>
          <cell r="Y2288" t="str">
            <v>Potenciar</v>
          </cell>
        </row>
        <row r="2289">
          <cell r="A2289" t="str">
            <v>B964</v>
          </cell>
          <cell r="B2289" t="str">
            <v>B964 - FARMACLIP SANTA TERESA, C.A.</v>
          </cell>
          <cell r="C2289" t="str">
            <v>INDEPENDIENTE</v>
          </cell>
          <cell r="D2289">
            <v>0</v>
          </cell>
          <cell r="E2289"/>
          <cell r="F2289" t="str">
            <v>CARACAS</v>
          </cell>
          <cell r="G2289" t="str">
            <v>RAMON SERRANO</v>
          </cell>
          <cell r="H2289"/>
          <cell r="I2289" t="str">
            <v>C6</v>
          </cell>
          <cell r="J2289" t="str">
            <v>Bloqueado</v>
          </cell>
          <cell r="K2289">
            <v>1307.2746</v>
          </cell>
          <cell r="L2289">
            <v>1307.2746</v>
          </cell>
          <cell r="M2289">
            <v>0</v>
          </cell>
          <cell r="N2289" t="str">
            <v>No Compra</v>
          </cell>
          <cell r="O2289">
            <v>1</v>
          </cell>
          <cell r="P2289">
            <v>7929.85</v>
          </cell>
          <cell r="Q2289">
            <v>7929.85</v>
          </cell>
          <cell r="R2289">
            <v>0</v>
          </cell>
          <cell r="T2289"/>
          <cell r="U2289"/>
          <cell r="V2289">
            <v>0.16485489637256692</v>
          </cell>
          <cell r="W2289">
            <v>4.9916796742548464E-5</v>
          </cell>
          <cell r="X2289">
            <v>1</v>
          </cell>
          <cell r="Y2289" t="str">
            <v>Conquistar</v>
          </cell>
        </row>
        <row r="2290">
          <cell r="A2290" t="str">
            <v>E352</v>
          </cell>
          <cell r="B2290" t="str">
            <v>E352 - FARMACIA EL MARQUEZ DEL PUMAR, F.P</v>
          </cell>
          <cell r="C2290" t="e">
            <v>#N/A</v>
          </cell>
          <cell r="D2290">
            <v>3</v>
          </cell>
          <cell r="F2290" t="str">
            <v>ANDES</v>
          </cell>
          <cell r="G2290">
            <v>0</v>
          </cell>
          <cell r="H2290"/>
          <cell r="I2290" t="str">
            <v>4</v>
          </cell>
          <cell r="J2290" t="str">
            <v>Inactivo</v>
          </cell>
          <cell r="K2290">
            <v>1288.7655</v>
          </cell>
          <cell r="L2290">
            <v>257.75310000000002</v>
          </cell>
          <cell r="M2290">
            <v>219.94870000000003</v>
          </cell>
          <cell r="N2290" t="str">
            <v>Si Compra</v>
          </cell>
          <cell r="O2290">
            <v>5</v>
          </cell>
          <cell r="P2290">
            <v>0</v>
          </cell>
          <cell r="Q2290">
            <v>0</v>
          </cell>
          <cell r="R2290">
            <v>0</v>
          </cell>
          <cell r="V2290">
            <v>0</v>
          </cell>
          <cell r="W2290">
            <v>9.8420095536636073E-6</v>
          </cell>
          <cell r="X2290">
            <v>0</v>
          </cell>
          <cell r="Y2290" t="str">
            <v>Conquistar</v>
          </cell>
        </row>
        <row r="2291">
          <cell r="A2291">
            <v>0</v>
          </cell>
          <cell r="B2291" t="str">
            <v>S399 - FARMACIA COLITA DE RANA, C.A</v>
          </cell>
          <cell r="C2291" t="e">
            <v>#N/A</v>
          </cell>
          <cell r="D2291">
            <v>0</v>
          </cell>
          <cell r="E2291"/>
          <cell r="F2291" t="str">
            <v>CENTRO ESTE</v>
          </cell>
          <cell r="G2291" t="str">
            <v>WILLIBETTI GONZALEZ</v>
          </cell>
          <cell r="H2291"/>
          <cell r="I2291" t="str">
            <v>AF</v>
          </cell>
          <cell r="J2291" t="str">
            <v>Activo</v>
          </cell>
          <cell r="K2291">
            <v>1273.0168999999999</v>
          </cell>
          <cell r="L2291">
            <v>254.60337999999996</v>
          </cell>
          <cell r="M2291">
            <v>0</v>
          </cell>
          <cell r="N2291" t="str">
            <v>No Compra</v>
          </cell>
          <cell r="O2291">
            <v>5</v>
          </cell>
          <cell r="P2291">
            <v>70520.580400000006</v>
          </cell>
          <cell r="Q2291">
            <v>14104.116080000002</v>
          </cell>
          <cell r="R2291">
            <v>0</v>
          </cell>
          <cell r="T2291"/>
          <cell r="U2291"/>
          <cell r="V2291">
            <v>1.8051707640228096E-2</v>
          </cell>
          <cell r="W2291">
            <v>9.7217410706410326E-6</v>
          </cell>
          <cell r="X2291">
            <v>5</v>
          </cell>
          <cell r="Y2291" t="str">
            <v>Conquistar</v>
          </cell>
        </row>
        <row r="2292">
          <cell r="A2292">
            <v>0</v>
          </cell>
          <cell r="B2292" t="str">
            <v>S397 - FARMAGREEN, C.A.</v>
          </cell>
          <cell r="C2292" t="e">
            <v>#N/A</v>
          </cell>
          <cell r="D2292">
            <v>0</v>
          </cell>
          <cell r="E2292"/>
          <cell r="F2292" t="str">
            <v>CENTRO ESTE</v>
          </cell>
          <cell r="G2292" t="str">
            <v>LAURA FLORES</v>
          </cell>
          <cell r="H2292"/>
          <cell r="I2292" t="str">
            <v>-</v>
          </cell>
          <cell r="J2292" t="str">
            <v>Suspendido</v>
          </cell>
          <cell r="K2292">
            <v>1266.3050317846762</v>
          </cell>
          <cell r="L2292">
            <v>180.9007188263823</v>
          </cell>
          <cell r="M2292">
            <v>0</v>
          </cell>
          <cell r="N2292" t="str">
            <v>No Compra</v>
          </cell>
          <cell r="O2292">
            <v>6</v>
          </cell>
          <cell r="P2292">
            <v>671663.17238684592</v>
          </cell>
          <cell r="Q2292">
            <v>95951.881769549422</v>
          </cell>
          <cell r="R2292">
            <v>0</v>
          </cell>
          <cell r="T2292"/>
          <cell r="U2292"/>
          <cell r="V2292">
            <v>1.8853274734189904E-3</v>
          </cell>
          <cell r="W2292">
            <v>6.9074886119851457E-6</v>
          </cell>
          <cell r="X2292">
            <v>7</v>
          </cell>
          <cell r="Y2292" t="str">
            <v>Conquistar</v>
          </cell>
        </row>
        <row r="2293">
          <cell r="A2293" t="str">
            <v>C786</v>
          </cell>
          <cell r="B2293" t="str">
            <v>C786 - FARMA GUATIRE, C.A.</v>
          </cell>
          <cell r="C2293" t="str">
            <v>INDEPENDIENTE</v>
          </cell>
          <cell r="D2293">
            <v>1</v>
          </cell>
          <cell r="E2293"/>
          <cell r="F2293" t="str">
            <v>CARACAS</v>
          </cell>
          <cell r="G2293" t="str">
            <v>MAIRUBI QUIJADA</v>
          </cell>
          <cell r="H2293"/>
          <cell r="I2293" t="str">
            <v>C7</v>
          </cell>
          <cell r="J2293" t="str">
            <v>Inactivo</v>
          </cell>
          <cell r="K2293">
            <v>1246.2193770923147</v>
          </cell>
          <cell r="L2293">
            <v>415.4064590307716</v>
          </cell>
          <cell r="M2293">
            <v>24.631538546157351</v>
          </cell>
          <cell r="N2293" t="str">
            <v>Si Compra</v>
          </cell>
          <cell r="O2293">
            <v>2</v>
          </cell>
          <cell r="P2293">
            <v>36620.119607055123</v>
          </cell>
          <cell r="Q2293">
            <v>12206.706535685042</v>
          </cell>
          <cell r="R2293">
            <v>17453.101503527563</v>
          </cell>
          <cell r="T2293"/>
          <cell r="U2293"/>
          <cell r="V2293">
            <v>3.4031002368769485E-2</v>
          </cell>
          <cell r="W2293">
            <v>1.5861824119416697E-5</v>
          </cell>
          <cell r="X2293">
            <v>3</v>
          </cell>
          <cell r="Y2293" t="str">
            <v>Conquistar</v>
          </cell>
        </row>
        <row r="2294">
          <cell r="A2294">
            <v>0</v>
          </cell>
          <cell r="B2294" t="str">
            <v>4121 - FARMACIA LA SERRANIA   C.A.</v>
          </cell>
          <cell r="C2294" t="str">
            <v>INDEPENDIENTE</v>
          </cell>
          <cell r="D2294">
            <v>0</v>
          </cell>
          <cell r="E2294"/>
          <cell r="F2294" t="str">
            <v>ANDES</v>
          </cell>
          <cell r="G2294" t="str">
            <v>ANYERSSON TORRES</v>
          </cell>
          <cell r="H2294"/>
          <cell r="I2294" t="str">
            <v>4</v>
          </cell>
          <cell r="J2294" t="str">
            <v>Bloqueado</v>
          </cell>
          <cell r="K2294">
            <v>1242.6946445082006</v>
          </cell>
          <cell r="L2294">
            <v>177.52780635831436</v>
          </cell>
          <cell r="M2294">
            <v>0</v>
          </cell>
          <cell r="N2294" t="str">
            <v>No Compra</v>
          </cell>
          <cell r="O2294">
            <v>7</v>
          </cell>
          <cell r="P2294">
            <v>3348.4549360930323</v>
          </cell>
          <cell r="Q2294">
            <v>478.35070515614746</v>
          </cell>
          <cell r="R2294">
            <v>0</v>
          </cell>
          <cell r="T2294"/>
          <cell r="U2294"/>
          <cell r="V2294">
            <v>0.37112479284495709</v>
          </cell>
          <cell r="W2294">
            <v>6.7786977779102274E-6</v>
          </cell>
          <cell r="X2294">
            <v>7</v>
          </cell>
          <cell r="Y2294" t="str">
            <v>Potenciar</v>
          </cell>
        </row>
        <row r="2295">
          <cell r="A2295" t="str">
            <v>D993</v>
          </cell>
          <cell r="B2295" t="str">
            <v>D993 - FARMACIA UNIDAS, C.A</v>
          </cell>
          <cell r="C2295" t="str">
            <v>INDEPENDIENTE</v>
          </cell>
          <cell r="D2295">
            <v>2</v>
          </cell>
          <cell r="F2295" t="str">
            <v>CENTRO OESTE</v>
          </cell>
          <cell r="G2295">
            <v>0</v>
          </cell>
          <cell r="H2295"/>
          <cell r="I2295" t="str">
            <v>Y1</v>
          </cell>
          <cell r="J2295" t="str">
            <v>Bloqueado</v>
          </cell>
          <cell r="K2295">
            <v>1196.6118999999999</v>
          </cell>
          <cell r="L2295">
            <v>170.94455714285712</v>
          </cell>
          <cell r="M2295">
            <v>84.305300000000003</v>
          </cell>
          <cell r="N2295" t="str">
            <v>Si Compra</v>
          </cell>
          <cell r="O2295">
            <v>7</v>
          </cell>
          <cell r="P2295">
            <v>0</v>
          </cell>
          <cell r="Q2295">
            <v>0</v>
          </cell>
          <cell r="R2295">
            <v>0</v>
          </cell>
          <cell r="V2295">
            <v>0</v>
          </cell>
          <cell r="W2295">
            <v>6.5273238791184043E-6</v>
          </cell>
          <cell r="X2295">
            <v>0</v>
          </cell>
          <cell r="Y2295" t="str">
            <v>Conquistar</v>
          </cell>
        </row>
        <row r="2296">
          <cell r="A2296" t="str">
            <v>C054</v>
          </cell>
          <cell r="B2296" t="str">
            <v>C054 - FARMA BERACA BARINAS C.A</v>
          </cell>
          <cell r="C2296" t="str">
            <v>INDEPENDIENTE</v>
          </cell>
          <cell r="D2296">
            <v>1</v>
          </cell>
          <cell r="E2296"/>
          <cell r="F2296" t="str">
            <v>CENTRO OESTE</v>
          </cell>
          <cell r="G2296" t="str">
            <v>LUIS PLACERES</v>
          </cell>
          <cell r="H2296"/>
          <cell r="I2296" t="str">
            <v>E</v>
          </cell>
          <cell r="J2296" t="str">
            <v>Activo</v>
          </cell>
          <cell r="K2296">
            <v>1176.7423000000001</v>
          </cell>
          <cell r="L2296">
            <v>392.24743333333339</v>
          </cell>
          <cell r="M2296">
            <v>1079.4019000000001</v>
          </cell>
          <cell r="N2296" t="str">
            <v>Si Compra</v>
          </cell>
          <cell r="O2296">
            <v>3</v>
          </cell>
          <cell r="P2296">
            <v>2147.2692000000002</v>
          </cell>
          <cell r="Q2296">
            <v>715.7564000000001</v>
          </cell>
          <cell r="R2296">
            <v>1755.3838000000001</v>
          </cell>
          <cell r="T2296"/>
          <cell r="U2296"/>
          <cell r="V2296">
            <v>0.54801805940307813</v>
          </cell>
          <cell r="W2296">
            <v>1.4977523010457277E-5</v>
          </cell>
          <cell r="X2296">
            <v>3</v>
          </cell>
          <cell r="Y2296" t="str">
            <v>Potenciar</v>
          </cell>
        </row>
        <row r="2297">
          <cell r="A2297" t="str">
            <v>9685</v>
          </cell>
          <cell r="B2297" t="str">
            <v>9685 - SUPERMERCADO LA ESQUINA 11 CON 22 C.A.</v>
          </cell>
          <cell r="C2297" t="e">
            <v>#N/A</v>
          </cell>
          <cell r="D2297">
            <v>3</v>
          </cell>
          <cell r="E2297"/>
          <cell r="F2297" t="str">
            <v>ANDES</v>
          </cell>
          <cell r="G2297" t="str">
            <v>MARIA GABRIELA FORTUL</v>
          </cell>
          <cell r="H2297"/>
          <cell r="I2297" t="str">
            <v>3</v>
          </cell>
          <cell r="J2297" t="str">
            <v>Activo</v>
          </cell>
          <cell r="K2297">
            <v>1173.9608000000001</v>
          </cell>
          <cell r="L2297">
            <v>234.79216000000002</v>
          </cell>
          <cell r="M2297">
            <v>245.648</v>
          </cell>
          <cell r="N2297" t="str">
            <v>Si Compra</v>
          </cell>
          <cell r="O2297">
            <v>5</v>
          </cell>
          <cell r="P2297">
            <v>3477.5702000000001</v>
          </cell>
          <cell r="Q2297">
            <v>695.51404000000002</v>
          </cell>
          <cell r="R2297">
            <v>827.82920000000001</v>
          </cell>
          <cell r="T2297"/>
          <cell r="U2297"/>
          <cell r="V2297">
            <v>0.33758076256807124</v>
          </cell>
          <cell r="W2297">
            <v>8.9652721222181777E-6</v>
          </cell>
          <cell r="X2297">
            <v>5</v>
          </cell>
          <cell r="Y2297" t="str">
            <v>Potenciar</v>
          </cell>
        </row>
        <row r="2298">
          <cell r="A2298" t="str">
            <v>D562</v>
          </cell>
          <cell r="B2298" t="str">
            <v>D562 - FARMACIA GLOBAL SALUD C.A.</v>
          </cell>
          <cell r="C2298" t="str">
            <v>INDEPENDIENTE</v>
          </cell>
          <cell r="D2298">
            <v>3</v>
          </cell>
          <cell r="E2298"/>
          <cell r="F2298" t="str">
            <v>ESTE</v>
          </cell>
          <cell r="G2298" t="str">
            <v>JOSE RAMIREZ</v>
          </cell>
          <cell r="H2298"/>
          <cell r="I2298" t="str">
            <v>A4</v>
          </cell>
          <cell r="J2298" t="str">
            <v>Activo</v>
          </cell>
          <cell r="K2298">
            <v>1161.0376108920584</v>
          </cell>
          <cell r="L2298">
            <v>145.1297013615073</v>
          </cell>
          <cell r="M2298">
            <v>172.06716666666668</v>
          </cell>
          <cell r="N2298" t="str">
            <v>Si Compra</v>
          </cell>
          <cell r="O2298">
            <v>7</v>
          </cell>
          <cell r="P2298">
            <v>837482.15709063294</v>
          </cell>
          <cell r="Q2298">
            <v>104685.26963632912</v>
          </cell>
          <cell r="R2298">
            <v>140864.94163333334</v>
          </cell>
          <cell r="T2298"/>
          <cell r="U2298"/>
          <cell r="V2298">
            <v>1.3863431012374513E-3</v>
          </cell>
          <cell r="W2298">
            <v>5.5416129129787422E-6</v>
          </cell>
          <cell r="X2298">
            <v>8</v>
          </cell>
          <cell r="Y2298" t="str">
            <v>Conquistar</v>
          </cell>
        </row>
        <row r="2299">
          <cell r="A2299" t="str">
            <v>B755</v>
          </cell>
          <cell r="B2299" t="str">
            <v>B755 - FARMACIA MODA Y ALGO MAS, C.A.</v>
          </cell>
          <cell r="C2299" t="e">
            <v>#N/A</v>
          </cell>
          <cell r="D2299">
            <v>0</v>
          </cell>
          <cell r="E2299"/>
          <cell r="F2299" t="str">
            <v>ESTE</v>
          </cell>
          <cell r="H2299"/>
          <cell r="I2299" t="str">
            <v>A6</v>
          </cell>
          <cell r="J2299" t="str">
            <v>Inactivo</v>
          </cell>
          <cell r="K2299">
            <v>1151.2438999999999</v>
          </cell>
          <cell r="L2299">
            <v>575.62194999999997</v>
          </cell>
          <cell r="M2299">
            <v>0</v>
          </cell>
          <cell r="N2299" t="str">
            <v>No Compra</v>
          </cell>
          <cell r="O2299">
            <v>2</v>
          </cell>
          <cell r="P2299">
            <v>0</v>
          </cell>
          <cell r="Q2299">
            <v>0</v>
          </cell>
          <cell r="R2299">
            <v>0</v>
          </cell>
          <cell r="T2299"/>
          <cell r="U2299"/>
          <cell r="V2299">
            <v>0</v>
          </cell>
          <cell r="W2299">
            <v>2.1979470785020527E-5</v>
          </cell>
          <cell r="X2299">
            <v>0</v>
          </cell>
          <cell r="Y2299" t="str">
            <v>Conquistar</v>
          </cell>
        </row>
        <row r="2300">
          <cell r="A2300" t="str">
            <v>3649</v>
          </cell>
          <cell r="B2300" t="str">
            <v>3649 - FARMACIA SANTA MARIA, C. A.</v>
          </cell>
          <cell r="C2300" t="str">
            <v>INDEPENDIENTE</v>
          </cell>
          <cell r="D2300">
            <v>3</v>
          </cell>
          <cell r="E2300"/>
          <cell r="F2300" t="str">
            <v>CENTRO ESTE</v>
          </cell>
          <cell r="G2300" t="str">
            <v>KARLA SALAZAR</v>
          </cell>
          <cell r="H2300"/>
          <cell r="I2300" t="str">
            <v>H</v>
          </cell>
          <cell r="J2300" t="str">
            <v>Inactivo</v>
          </cell>
          <cell r="K2300">
            <v>1150.4249</v>
          </cell>
          <cell r="L2300">
            <v>127.82498888888888</v>
          </cell>
          <cell r="M2300">
            <v>105.58883333333334</v>
          </cell>
          <cell r="N2300" t="str">
            <v>Si Compra</v>
          </cell>
          <cell r="O2300">
            <v>9</v>
          </cell>
          <cell r="P2300">
            <v>639.00149999999996</v>
          </cell>
          <cell r="Q2300">
            <v>71.000166666666658</v>
          </cell>
          <cell r="R2300">
            <v>76.765866666666668</v>
          </cell>
          <cell r="T2300"/>
          <cell r="U2300"/>
          <cell r="V2300">
            <v>1.8003477300131534</v>
          </cell>
          <cell r="W2300">
            <v>4.8808521094077574E-6</v>
          </cell>
          <cell r="X2300">
            <v>5</v>
          </cell>
          <cell r="Y2300" t="str">
            <v>Proteger</v>
          </cell>
        </row>
        <row r="2301">
          <cell r="A2301" t="str">
            <v>A083</v>
          </cell>
          <cell r="B2301" t="str">
            <v>A083 - FARMA GO AVENIDA 8 COMPAÑÍA ANONIMA</v>
          </cell>
          <cell r="C2301" t="str">
            <v>INDEPENDIENTE</v>
          </cell>
          <cell r="D2301">
            <v>0</v>
          </cell>
          <cell r="E2301"/>
          <cell r="F2301" t="str">
            <v>MARACAIBO</v>
          </cell>
          <cell r="G2301" t="str">
            <v>JOEL JIMENEZ</v>
          </cell>
          <cell r="H2301"/>
          <cell r="I2301" t="str">
            <v>D</v>
          </cell>
          <cell r="J2301" t="str">
            <v>Bloqueado</v>
          </cell>
          <cell r="K2301">
            <v>1149.3861000000002</v>
          </cell>
          <cell r="L2301">
            <v>164.19801428571432</v>
          </cell>
          <cell r="M2301">
            <v>0</v>
          </cell>
          <cell r="N2301" t="str">
            <v>No Compra</v>
          </cell>
          <cell r="O2301">
            <v>7</v>
          </cell>
          <cell r="P2301">
            <v>19310.5694</v>
          </cell>
          <cell r="Q2301">
            <v>2758.6527714285717</v>
          </cell>
          <cell r="R2301">
            <v>0</v>
          </cell>
          <cell r="T2301"/>
          <cell r="U2301"/>
          <cell r="V2301">
            <v>5.9521087969575885E-2</v>
          </cell>
          <cell r="W2301">
            <v>6.269714797969816E-6</v>
          </cell>
          <cell r="X2301">
            <v>6</v>
          </cell>
          <cell r="Y2301" t="str">
            <v>Conquistar</v>
          </cell>
        </row>
        <row r="2302">
          <cell r="A2302" t="str">
            <v>9209</v>
          </cell>
          <cell r="B2302" t="str">
            <v>9209 - FARMACIA LOS LIRIOS, C.A.</v>
          </cell>
          <cell r="C2302" t="str">
            <v>INDEPENDIENTE</v>
          </cell>
          <cell r="D2302">
            <v>0</v>
          </cell>
          <cell r="E2302"/>
          <cell r="F2302" t="str">
            <v>ANDES</v>
          </cell>
          <cell r="G2302" t="str">
            <v>ZULAY PARRA</v>
          </cell>
          <cell r="H2302"/>
          <cell r="I2302" t="str">
            <v>5</v>
          </cell>
          <cell r="J2302" t="str">
            <v>Bloqueado</v>
          </cell>
          <cell r="K2302">
            <v>1146.8858382677849</v>
          </cell>
          <cell r="L2302">
            <v>382.295279422595</v>
          </cell>
          <cell r="M2302">
            <v>0</v>
          </cell>
          <cell r="N2302" t="str">
            <v>No Compra</v>
          </cell>
          <cell r="O2302">
            <v>2</v>
          </cell>
          <cell r="P2302">
            <v>5434.0681951775314</v>
          </cell>
          <cell r="Q2302">
            <v>1811.3560650591771</v>
          </cell>
          <cell r="R2302">
            <v>0</v>
          </cell>
          <cell r="T2302"/>
          <cell r="U2302"/>
          <cell r="V2302">
            <v>0.2110547378271016</v>
          </cell>
          <cell r="W2302">
            <v>1.4597511309845266E-5</v>
          </cell>
          <cell r="X2302">
            <v>3</v>
          </cell>
          <cell r="Y2302" t="str">
            <v>Potenciar</v>
          </cell>
        </row>
        <row r="2303">
          <cell r="A2303" t="str">
            <v>E556</v>
          </cell>
          <cell r="B2303" t="str">
            <v>E556 - FARMACIA QUERIDO PADRE C.A.</v>
          </cell>
          <cell r="C2303" t="e">
            <v>#N/A</v>
          </cell>
          <cell r="D2303">
            <v>3</v>
          </cell>
          <cell r="F2303" t="str">
            <v>ESTE</v>
          </cell>
          <cell r="G2303">
            <v>0</v>
          </cell>
          <cell r="H2303"/>
          <cell r="I2303" t="str">
            <v>A5</v>
          </cell>
          <cell r="J2303" t="str">
            <v>Activo</v>
          </cell>
          <cell r="K2303">
            <v>1146.7601999999999</v>
          </cell>
          <cell r="L2303">
            <v>382.2534</v>
          </cell>
          <cell r="M2303">
            <v>382.2534</v>
          </cell>
          <cell r="N2303" t="str">
            <v>Si Compra</v>
          </cell>
          <cell r="O2303">
            <v>3</v>
          </cell>
          <cell r="P2303">
            <v>0</v>
          </cell>
          <cell r="Q2303">
            <v>0</v>
          </cell>
          <cell r="R2303">
            <v>0</v>
          </cell>
          <cell r="V2303">
            <v>0</v>
          </cell>
          <cell r="W2303">
            <v>1.4595912191629881E-5</v>
          </cell>
          <cell r="X2303">
            <v>0</v>
          </cell>
          <cell r="Y2303" t="str">
            <v>Conquistar</v>
          </cell>
        </row>
        <row r="2304">
          <cell r="A2304" t="str">
            <v>B729</v>
          </cell>
          <cell r="B2304" t="str">
            <v>B729 - FARMACIA LA FRANCISCANA, C.A.</v>
          </cell>
          <cell r="C2304" t="str">
            <v>INDEPENDIENTE</v>
          </cell>
          <cell r="D2304">
            <v>0</v>
          </cell>
          <cell r="E2304"/>
          <cell r="F2304" t="str">
            <v>CARACAS</v>
          </cell>
          <cell r="H2304"/>
          <cell r="I2304" t="str">
            <v>C8</v>
          </cell>
          <cell r="J2304" t="str">
            <v>Activo</v>
          </cell>
          <cell r="K2304">
            <v>1099.3103372941064</v>
          </cell>
          <cell r="L2304">
            <v>274.82758432352659</v>
          </cell>
          <cell r="M2304">
            <v>0</v>
          </cell>
          <cell r="N2304" t="str">
            <v>No Compra</v>
          </cell>
          <cell r="O2304">
            <v>4</v>
          </cell>
          <cell r="P2304">
            <v>0</v>
          </cell>
          <cell r="Q2304">
            <v>0</v>
          </cell>
          <cell r="R2304">
            <v>0</v>
          </cell>
          <cell r="T2304"/>
          <cell r="U2304"/>
          <cell r="V2304">
            <v>0</v>
          </cell>
          <cell r="W2304">
            <v>1.0493979356688394E-5</v>
          </cell>
          <cell r="X2304">
            <v>0</v>
          </cell>
          <cell r="Y2304" t="str">
            <v>Conquistar</v>
          </cell>
        </row>
        <row r="2305">
          <cell r="A2305" t="str">
            <v>P103</v>
          </cell>
          <cell r="B2305" t="str">
            <v>P103 - HAKANI BECERENI JHONNY (FARMACIA FARMA VIDA)</v>
          </cell>
          <cell r="C2305" t="str">
            <v>INDEPENDIENTE</v>
          </cell>
          <cell r="D2305">
            <v>1</v>
          </cell>
          <cell r="F2305" t="str">
            <v>CENTRO OESTE</v>
          </cell>
          <cell r="G2305" t="str">
            <v>JOSE LUIS GARCIA</v>
          </cell>
          <cell r="H2305"/>
          <cell r="I2305" t="str">
            <v>Y</v>
          </cell>
          <cell r="J2305" t="str">
            <v>Activo</v>
          </cell>
          <cell r="K2305">
            <v>1055.8397</v>
          </cell>
          <cell r="L2305">
            <v>175.97328333333334</v>
          </cell>
          <cell r="M2305">
            <v>121.06610000000001</v>
          </cell>
          <cell r="N2305" t="str">
            <v>Si Compra</v>
          </cell>
          <cell r="O2305">
            <v>6</v>
          </cell>
          <cell r="P2305">
            <v>938.91329999999994</v>
          </cell>
          <cell r="Q2305">
            <v>156.48554999999999</v>
          </cell>
          <cell r="R2305">
            <v>173.94990000000001</v>
          </cell>
          <cell r="V2305">
            <v>1.1245337562051789</v>
          </cell>
          <cell r="W2305">
            <v>6.7193400807059908E-6</v>
          </cell>
          <cell r="X2305">
            <v>4</v>
          </cell>
          <cell r="Y2305" t="str">
            <v>Proteger</v>
          </cell>
        </row>
        <row r="2306">
          <cell r="A2306" t="str">
            <v>E540</v>
          </cell>
          <cell r="B2306" t="str">
            <v>E540 - CASA NATURISTA NATUFARMA, TU PUNTO SALUDABLE F.P</v>
          </cell>
          <cell r="C2306" t="e">
            <v>#N/A</v>
          </cell>
          <cell r="D2306">
            <v>3</v>
          </cell>
          <cell r="F2306" t="str">
            <v>ANDES</v>
          </cell>
          <cell r="G2306">
            <v>0</v>
          </cell>
          <cell r="H2306"/>
          <cell r="I2306" t="str">
            <v>5</v>
          </cell>
          <cell r="J2306" t="str">
            <v>Activo</v>
          </cell>
          <cell r="K2306">
            <v>1053.6738</v>
          </cell>
          <cell r="L2306">
            <v>351.22460000000001</v>
          </cell>
          <cell r="M2306">
            <v>351.22460000000001</v>
          </cell>
          <cell r="N2306" t="str">
            <v>Si Compra</v>
          </cell>
          <cell r="O2306">
            <v>3</v>
          </cell>
          <cell r="P2306">
            <v>0</v>
          </cell>
          <cell r="Q2306">
            <v>0</v>
          </cell>
          <cell r="R2306">
            <v>0</v>
          </cell>
          <cell r="V2306">
            <v>0</v>
          </cell>
          <cell r="W2306">
            <v>1.3411112683733693E-5</v>
          </cell>
          <cell r="X2306">
            <v>0</v>
          </cell>
          <cell r="Y2306" t="str">
            <v>Conquistar</v>
          </cell>
        </row>
        <row r="2307">
          <cell r="A2307" t="str">
            <v>E665</v>
          </cell>
          <cell r="B2307" t="str">
            <v>E665 - PLANETA RESPIRATORIO AJ C.A.</v>
          </cell>
          <cell r="C2307" t="e">
            <v>#N/A</v>
          </cell>
          <cell r="D2307">
            <v>2</v>
          </cell>
          <cell r="F2307" t="str">
            <v>CARACAS</v>
          </cell>
          <cell r="G2307">
            <v>0</v>
          </cell>
          <cell r="H2307"/>
          <cell r="I2307" t="str">
            <v>C1</v>
          </cell>
          <cell r="J2307" t="str">
            <v>Activo</v>
          </cell>
          <cell r="K2307">
            <v>1050.7951787622649</v>
          </cell>
          <cell r="L2307">
            <v>525.39758938113243</v>
          </cell>
          <cell r="M2307">
            <v>525.39758938113243</v>
          </cell>
          <cell r="N2307" t="str">
            <v>Si Compra</v>
          </cell>
          <cell r="O2307">
            <v>2</v>
          </cell>
          <cell r="P2307">
            <v>0</v>
          </cell>
          <cell r="Q2307">
            <v>0</v>
          </cell>
          <cell r="R2307">
            <v>0</v>
          </cell>
          <cell r="V2307">
            <v>0</v>
          </cell>
          <cell r="W2307">
            <v>2.0061710583348693E-5</v>
          </cell>
          <cell r="X2307">
            <v>0</v>
          </cell>
          <cell r="Y2307" t="str">
            <v>Conquistar</v>
          </cell>
        </row>
        <row r="2308">
          <cell r="A2308" t="str">
            <v>8452</v>
          </cell>
          <cell r="B2308" t="str">
            <v>8452 - "FARMACIA FARMALIVIO, C.A."</v>
          </cell>
          <cell r="C2308" t="str">
            <v>INDEPENDIENTE</v>
          </cell>
          <cell r="D2308">
            <v>0</v>
          </cell>
          <cell r="E2308"/>
          <cell r="F2308" t="str">
            <v>ESTE</v>
          </cell>
          <cell r="G2308" t="str">
            <v>JOSE RAMIREZ</v>
          </cell>
          <cell r="H2308"/>
          <cell r="I2308" t="str">
            <v>A2</v>
          </cell>
          <cell r="J2308" t="str">
            <v>Bloqueado</v>
          </cell>
          <cell r="K2308">
            <v>1034.8978999999999</v>
          </cell>
          <cell r="L2308">
            <v>172.48298333333332</v>
          </cell>
          <cell r="M2308">
            <v>0</v>
          </cell>
          <cell r="N2308" t="str">
            <v>No Compra</v>
          </cell>
          <cell r="O2308">
            <v>6</v>
          </cell>
          <cell r="P2308">
            <v>17641.849700000002</v>
          </cell>
          <cell r="Q2308">
            <v>2940.3082833333337</v>
          </cell>
          <cell r="R2308">
            <v>0</v>
          </cell>
          <cell r="T2308"/>
          <cell r="U2308"/>
          <cell r="V2308">
            <v>5.8661530258927432E-2</v>
          </cell>
          <cell r="W2308">
            <v>6.5860669369682347E-6</v>
          </cell>
          <cell r="X2308">
            <v>6</v>
          </cell>
          <cell r="Y2308" t="str">
            <v>Conquistar</v>
          </cell>
        </row>
        <row r="2309">
          <cell r="A2309" t="str">
            <v>E547</v>
          </cell>
          <cell r="B2309" t="str">
            <v>E547 - EXPENDIO DE MEDICINA EVEHEY 33, C.A</v>
          </cell>
          <cell r="C2309" t="e">
            <v>#N/A</v>
          </cell>
          <cell r="D2309">
            <v>3</v>
          </cell>
          <cell r="F2309" t="str">
            <v>CARACAS</v>
          </cell>
          <cell r="G2309">
            <v>0</v>
          </cell>
          <cell r="H2309"/>
          <cell r="I2309" t="str">
            <v>C9</v>
          </cell>
          <cell r="J2309" t="str">
            <v>Activo</v>
          </cell>
          <cell r="K2309">
            <v>1003.9195</v>
          </cell>
          <cell r="L2309">
            <v>334.63983333333334</v>
          </cell>
          <cell r="M2309">
            <v>334.63983333333334</v>
          </cell>
          <cell r="N2309" t="str">
            <v>Si Compra</v>
          </cell>
          <cell r="O2309">
            <v>3</v>
          </cell>
          <cell r="P2309">
            <v>0</v>
          </cell>
          <cell r="Q2309">
            <v>0</v>
          </cell>
          <cell r="R2309">
            <v>0</v>
          </cell>
          <cell r="V2309">
            <v>0</v>
          </cell>
          <cell r="W2309">
            <v>1.2777842193568433E-5</v>
          </cell>
          <cell r="X2309">
            <v>0</v>
          </cell>
          <cell r="Y2309" t="str">
            <v>Conquistar</v>
          </cell>
        </row>
        <row r="2310">
          <cell r="A2310" t="str">
            <v>C854</v>
          </cell>
          <cell r="B2310" t="str">
            <v>C854 - FARMACIA EL SINAHY, C.A</v>
          </cell>
          <cell r="C2310" t="str">
            <v>INDEPENDIENTE</v>
          </cell>
          <cell r="D2310">
            <v>0</v>
          </cell>
          <cell r="E2310"/>
          <cell r="F2310" t="str">
            <v>ANDES</v>
          </cell>
          <cell r="G2310" t="str">
            <v>RAYNE ANDREINA NAVA</v>
          </cell>
          <cell r="H2310"/>
          <cell r="I2310" t="str">
            <v>G1</v>
          </cell>
          <cell r="J2310" t="str">
            <v>Activo</v>
          </cell>
          <cell r="K2310">
            <v>1002.2731594189336</v>
          </cell>
          <cell r="L2310">
            <v>334.09105313964454</v>
          </cell>
          <cell r="M2310">
            <v>0</v>
          </cell>
          <cell r="N2310" t="str">
            <v>No Compra</v>
          </cell>
          <cell r="O2310">
            <v>3</v>
          </cell>
          <cell r="P2310">
            <v>14888.769102144508</v>
          </cell>
          <cell r="Q2310">
            <v>4962.923034048169</v>
          </cell>
          <cell r="R2310">
            <v>0</v>
          </cell>
          <cell r="T2310"/>
          <cell r="U2310"/>
          <cell r="V2310">
            <v>6.7317395584741188E-2</v>
          </cell>
          <cell r="W2310">
            <v>1.2756887644780672E-5</v>
          </cell>
          <cell r="X2310">
            <v>3</v>
          </cell>
          <cell r="Y2310" t="str">
            <v>Conquistar</v>
          </cell>
        </row>
        <row r="2311">
          <cell r="A2311" t="str">
            <v>D789</v>
          </cell>
          <cell r="B2311" t="str">
            <v>D789 - FARMACIA &amp; MILAGROS, C.A.</v>
          </cell>
          <cell r="C2311" t="str">
            <v>INDEPENDIENTE</v>
          </cell>
          <cell r="D2311">
            <v>0</v>
          </cell>
          <cell r="E2311"/>
          <cell r="F2311" t="str">
            <v>CENTRO OESTE</v>
          </cell>
          <cell r="G2311" t="str">
            <v>LUIS PLACERES</v>
          </cell>
          <cell r="H2311"/>
          <cell r="I2311" t="str">
            <v>E</v>
          </cell>
          <cell r="J2311" t="str">
            <v>Bloqueado</v>
          </cell>
          <cell r="K2311">
            <v>991.59559999999999</v>
          </cell>
          <cell r="L2311">
            <v>991.59559999999999</v>
          </cell>
          <cell r="M2311">
            <v>0</v>
          </cell>
          <cell r="N2311" t="str">
            <v>No Compra</v>
          </cell>
          <cell r="O2311">
            <v>1</v>
          </cell>
          <cell r="P2311">
            <v>11124.009</v>
          </cell>
          <cell r="Q2311">
            <v>11124.009</v>
          </cell>
          <cell r="R2311">
            <v>0</v>
          </cell>
          <cell r="T2311"/>
          <cell r="U2311"/>
          <cell r="V2311">
            <v>8.9140129246569291E-2</v>
          </cell>
          <cell r="W2311">
            <v>3.7862952447791301E-5</v>
          </cell>
          <cell r="X2311">
            <v>1</v>
          </cell>
          <cell r="Y2311" t="str">
            <v>Conquistar</v>
          </cell>
        </row>
        <row r="2312">
          <cell r="A2312" t="str">
            <v>C005</v>
          </cell>
          <cell r="B2312" t="str">
            <v>C005 - FARMACIA MARIA NIEVES 66, C.A.</v>
          </cell>
          <cell r="C2312" t="str">
            <v>INDEPENDIENTE</v>
          </cell>
          <cell r="D2312">
            <v>0</v>
          </cell>
          <cell r="E2312"/>
          <cell r="F2312" t="str">
            <v>CENTRO ESTE</v>
          </cell>
          <cell r="G2312" t="str">
            <v>WILLIBETTI GONZALEZ</v>
          </cell>
          <cell r="H2312"/>
          <cell r="I2312" t="str">
            <v>AG</v>
          </cell>
          <cell r="J2312" t="str">
            <v>Bloqueado</v>
          </cell>
          <cell r="K2312">
            <v>977.48972203496226</v>
          </cell>
          <cell r="L2312">
            <v>139.64138886213746</v>
          </cell>
          <cell r="M2312">
            <v>0</v>
          </cell>
          <cell r="N2312" t="str">
            <v>No Compra</v>
          </cell>
          <cell r="O2312">
            <v>7</v>
          </cell>
          <cell r="P2312">
            <v>1513.1740892089115</v>
          </cell>
          <cell r="Q2312">
            <v>216.16772702984449</v>
          </cell>
          <cell r="R2312">
            <v>0</v>
          </cell>
          <cell r="T2312"/>
          <cell r="U2312"/>
          <cell r="V2312">
            <v>0.64598629398022178</v>
          </cell>
          <cell r="W2312">
            <v>5.3320479298522952E-6</v>
          </cell>
          <cell r="X2312">
            <v>4</v>
          </cell>
          <cell r="Y2312" t="str">
            <v>Proteger</v>
          </cell>
        </row>
        <row r="2313">
          <cell r="A2313" t="str">
            <v>B769</v>
          </cell>
          <cell r="B2313" t="str">
            <v>B769 - TCONIN CAMAGUAN C.A</v>
          </cell>
          <cell r="C2313" t="str">
            <v>INDEPENDIENTE</v>
          </cell>
          <cell r="D2313">
            <v>0</v>
          </cell>
          <cell r="E2313"/>
          <cell r="F2313" t="str">
            <v>CENTRO ESTE</v>
          </cell>
          <cell r="H2313"/>
          <cell r="I2313" t="str">
            <v>AG</v>
          </cell>
          <cell r="J2313" t="str">
            <v>Activo</v>
          </cell>
          <cell r="K2313">
            <v>967.50019999999995</v>
          </cell>
          <cell r="L2313">
            <v>483.75009999999997</v>
          </cell>
          <cell r="M2313">
            <v>0</v>
          </cell>
          <cell r="N2313" t="str">
            <v>No Compra</v>
          </cell>
          <cell r="O2313">
            <v>2</v>
          </cell>
          <cell r="P2313">
            <v>0</v>
          </cell>
          <cell r="Q2313">
            <v>0</v>
          </cell>
          <cell r="R2313">
            <v>0</v>
          </cell>
          <cell r="T2313"/>
          <cell r="U2313"/>
          <cell r="V2313">
            <v>0</v>
          </cell>
          <cell r="W2313">
            <v>1.8471448474473148E-5</v>
          </cell>
          <cell r="X2313">
            <v>0</v>
          </cell>
          <cell r="Y2313" t="str">
            <v>Conquistar</v>
          </cell>
        </row>
        <row r="2314">
          <cell r="A2314" t="str">
            <v>D246</v>
          </cell>
          <cell r="B2314" t="str">
            <v>D246 - EXPENDIO DE MEDICINAS TU SALUD 2021, C.A.</v>
          </cell>
          <cell r="C2314" t="str">
            <v>INDEPENDIENTE</v>
          </cell>
          <cell r="D2314">
            <v>3</v>
          </cell>
          <cell r="E2314"/>
          <cell r="F2314" t="str">
            <v>MARACAIBO</v>
          </cell>
          <cell r="G2314">
            <v>0</v>
          </cell>
          <cell r="H2314"/>
          <cell r="I2314" t="str">
            <v>BZ</v>
          </cell>
          <cell r="J2314" t="str">
            <v>Activo</v>
          </cell>
          <cell r="K2314">
            <v>952.53019999999992</v>
          </cell>
          <cell r="L2314">
            <v>119.06627499999999</v>
          </cell>
          <cell r="M2314">
            <v>102.03796666666666</v>
          </cell>
          <cell r="N2314" t="str">
            <v>Si Compra</v>
          </cell>
          <cell r="O2314">
            <v>8</v>
          </cell>
          <cell r="P2314">
            <v>0</v>
          </cell>
          <cell r="Q2314">
            <v>0</v>
          </cell>
          <cell r="R2314">
            <v>0</v>
          </cell>
          <cell r="T2314"/>
          <cell r="U2314"/>
          <cell r="V2314">
            <v>0</v>
          </cell>
          <cell r="W2314">
            <v>4.5464105613827266E-6</v>
          </cell>
          <cell r="X2314">
            <v>0</v>
          </cell>
          <cell r="Y2314" t="str">
            <v>Conquistar</v>
          </cell>
        </row>
        <row r="2315">
          <cell r="A2315" t="str">
            <v>5417</v>
          </cell>
          <cell r="B2315" t="str">
            <v>5417 - FARMACIA MAUZAGO C.A</v>
          </cell>
          <cell r="C2315" t="e">
            <v>#N/A</v>
          </cell>
          <cell r="D2315">
            <v>2</v>
          </cell>
          <cell r="E2315"/>
          <cell r="F2315" t="str">
            <v>ANDES</v>
          </cell>
          <cell r="G2315" t="str">
            <v>MARIA GABRIELA FORTUL</v>
          </cell>
          <cell r="H2315"/>
          <cell r="I2315" t="str">
            <v>3</v>
          </cell>
          <cell r="J2315" t="str">
            <v>Activo</v>
          </cell>
          <cell r="K2315">
            <v>936.94849999999997</v>
          </cell>
          <cell r="L2315">
            <v>468.47424999999998</v>
          </cell>
          <cell r="M2315">
            <v>468.47424999999998</v>
          </cell>
          <cell r="N2315" t="str">
            <v>Si Compra</v>
          </cell>
          <cell r="O2315">
            <v>2</v>
          </cell>
          <cell r="P2315">
            <v>5797.0108</v>
          </cell>
          <cell r="Q2315">
            <v>2898.5054</v>
          </cell>
          <cell r="R2315">
            <v>2898.5054</v>
          </cell>
          <cell r="T2315"/>
          <cell r="U2315"/>
          <cell r="V2315">
            <v>0.16162614359800745</v>
          </cell>
          <cell r="W2315">
            <v>1.788815748150223E-5</v>
          </cell>
          <cell r="X2315">
            <v>2</v>
          </cell>
          <cell r="Y2315" t="str">
            <v>Conquistar</v>
          </cell>
        </row>
        <row r="2316">
          <cell r="A2316" t="str">
            <v>Z55</v>
          </cell>
          <cell r="B2316" t="str">
            <v>Z55 - FARMACIA DON LUIS   S.R.L.</v>
          </cell>
          <cell r="C2316" t="str">
            <v>INDEPENDIENTE</v>
          </cell>
          <cell r="D2316">
            <v>0</v>
          </cell>
          <cell r="F2316" t="str">
            <v>MARACAIBO</v>
          </cell>
          <cell r="G2316" t="str">
            <v>MARIA FUSELLA</v>
          </cell>
          <cell r="H2316"/>
          <cell r="I2316" t="str">
            <v>Z</v>
          </cell>
          <cell r="J2316" t="str">
            <v>Bloqueado</v>
          </cell>
          <cell r="K2316">
            <v>923.52689999999996</v>
          </cell>
          <cell r="L2316">
            <v>307.84229999999997</v>
          </cell>
          <cell r="M2316">
            <v>0</v>
          </cell>
          <cell r="N2316" t="str">
            <v>No Compra</v>
          </cell>
          <cell r="O2316">
            <v>3</v>
          </cell>
          <cell r="P2316">
            <v>1209.4341999999999</v>
          </cell>
          <cell r="Q2316">
            <v>403.14473333333331</v>
          </cell>
          <cell r="R2316">
            <v>0</v>
          </cell>
          <cell r="V2316">
            <v>0.76360243492370228</v>
          </cell>
          <cell r="W2316">
            <v>1.1754608800521809E-5</v>
          </cell>
          <cell r="X2316">
            <v>2</v>
          </cell>
          <cell r="Y2316" t="str">
            <v>Proteger</v>
          </cell>
        </row>
        <row r="2317">
          <cell r="A2317" t="str">
            <v>A313</v>
          </cell>
          <cell r="B2317" t="str">
            <v>A313 - FARMACIA TRINIDAD, C.A.</v>
          </cell>
          <cell r="C2317" t="str">
            <v>INDEPENDIENTE</v>
          </cell>
          <cell r="D2317">
            <v>2</v>
          </cell>
          <cell r="E2317"/>
          <cell r="F2317" t="str">
            <v>CENTRO ESTE</v>
          </cell>
          <cell r="G2317" t="str">
            <v>WILLIBETTI GONZALEZ</v>
          </cell>
          <cell r="H2317"/>
          <cell r="I2317" t="str">
            <v>AF</v>
          </cell>
          <cell r="J2317" t="str">
            <v>Inactivo</v>
          </cell>
          <cell r="K2317">
            <v>920.73443479913567</v>
          </cell>
          <cell r="L2317">
            <v>306.91147826637854</v>
          </cell>
          <cell r="M2317">
            <v>112.5543</v>
          </cell>
          <cell r="N2317" t="str">
            <v>Si Compra</v>
          </cell>
          <cell r="O2317">
            <v>3</v>
          </cell>
          <cell r="P2317">
            <v>16954.926006970229</v>
          </cell>
          <cell r="Q2317">
            <v>5651.6420023234095</v>
          </cell>
          <cell r="R2317">
            <v>303.81585000000001</v>
          </cell>
          <cell r="T2317"/>
          <cell r="U2317"/>
          <cell r="V2317">
            <v>5.4304833558142244E-2</v>
          </cell>
          <cell r="W2317">
            <v>1.1719066429178612E-5</v>
          </cell>
          <cell r="X2317">
            <v>3</v>
          </cell>
          <cell r="Y2317" t="str">
            <v>Conquistar</v>
          </cell>
        </row>
        <row r="2318">
          <cell r="A2318" t="str">
            <v>8566</v>
          </cell>
          <cell r="B2318" t="str">
            <v>8566 - FARMACIA FARMA EXPRESS I C.A.</v>
          </cell>
          <cell r="C2318" t="str">
            <v>INDEPENDIENTE</v>
          </cell>
          <cell r="D2318">
            <v>3</v>
          </cell>
          <cell r="E2318"/>
          <cell r="F2318" t="str">
            <v>MARACAIBO</v>
          </cell>
          <cell r="G2318" t="str">
            <v>JOEL JIMENEZ</v>
          </cell>
          <cell r="H2318"/>
          <cell r="I2318" t="str">
            <v>S</v>
          </cell>
          <cell r="J2318" t="str">
            <v>Activo</v>
          </cell>
          <cell r="K2318">
            <v>913.09260000000006</v>
          </cell>
          <cell r="L2318">
            <v>114.13657500000001</v>
          </cell>
          <cell r="M2318">
            <v>168.48536666666669</v>
          </cell>
          <cell r="N2318" t="str">
            <v>Si Compra</v>
          </cell>
          <cell r="O2318">
            <v>8</v>
          </cell>
          <cell r="P2318">
            <v>702.57690000000002</v>
          </cell>
          <cell r="Q2318">
            <v>87.822112500000003</v>
          </cell>
          <cell r="R2318">
            <v>126.52093333333333</v>
          </cell>
          <cell r="T2318"/>
          <cell r="U2318"/>
          <cell r="V2318">
            <v>1.299633677110648</v>
          </cell>
          <cell r="W2318">
            <v>4.3581755624760394E-6</v>
          </cell>
          <cell r="X2318">
            <v>3</v>
          </cell>
          <cell r="Y2318" t="str">
            <v>Proteger</v>
          </cell>
        </row>
        <row r="2319">
          <cell r="A2319" t="str">
            <v>E064</v>
          </cell>
          <cell r="B2319" t="str">
            <v>E064 - FARMACIA C&amp;H C.A.</v>
          </cell>
          <cell r="C2319" t="str">
            <v>INDEPENDIENTE</v>
          </cell>
          <cell r="D2319">
            <v>2</v>
          </cell>
          <cell r="F2319" t="str">
            <v>ESTE</v>
          </cell>
          <cell r="G2319">
            <v>0</v>
          </cell>
          <cell r="H2319"/>
          <cell r="I2319" t="str">
            <v>A6</v>
          </cell>
          <cell r="J2319" t="str">
            <v>Inactivo</v>
          </cell>
          <cell r="K2319">
            <v>904.79330000000004</v>
          </cell>
          <cell r="L2319">
            <v>226.19832500000001</v>
          </cell>
          <cell r="M2319">
            <v>139.16070000000002</v>
          </cell>
          <cell r="N2319" t="str">
            <v>Si Compra</v>
          </cell>
          <cell r="O2319">
            <v>4</v>
          </cell>
          <cell r="P2319">
            <v>0</v>
          </cell>
          <cell r="Q2319">
            <v>0</v>
          </cell>
          <cell r="R2319">
            <v>0</v>
          </cell>
          <cell r="V2319">
            <v>0</v>
          </cell>
          <cell r="W2319">
            <v>8.6371262874149928E-6</v>
          </cell>
          <cell r="X2319">
            <v>0</v>
          </cell>
          <cell r="Y2319" t="str">
            <v>Conquistar</v>
          </cell>
        </row>
        <row r="2320">
          <cell r="A2320" t="str">
            <v>E710</v>
          </cell>
          <cell r="B2320" t="str">
            <v>E710 - EXPENDIO DE MEDICINAS AMANDA B&amp;V, C.A</v>
          </cell>
          <cell r="C2320" t="e">
            <v>#N/A</v>
          </cell>
          <cell r="D2320">
            <v>1</v>
          </cell>
          <cell r="F2320" t="str">
            <v>CENTRO OESTE</v>
          </cell>
          <cell r="G2320">
            <v>0</v>
          </cell>
          <cell r="H2320"/>
          <cell r="I2320" t="str">
            <v>A</v>
          </cell>
          <cell r="J2320" t="str">
            <v>Activo</v>
          </cell>
          <cell r="K2320">
            <v>903.22270000000003</v>
          </cell>
          <cell r="L2320">
            <v>903.22270000000003</v>
          </cell>
          <cell r="M2320">
            <v>903.22270000000003</v>
          </cell>
          <cell r="N2320" t="str">
            <v>Si Compra</v>
          </cell>
          <cell r="O2320">
            <v>1</v>
          </cell>
          <cell r="P2320">
            <v>0</v>
          </cell>
          <cell r="Q2320">
            <v>0</v>
          </cell>
          <cell r="R2320">
            <v>0</v>
          </cell>
          <cell r="V2320">
            <v>0</v>
          </cell>
          <cell r="W2320">
            <v>3.4488533571413255E-5</v>
          </cell>
          <cell r="X2320">
            <v>0</v>
          </cell>
          <cell r="Y2320" t="str">
            <v>Conquistar</v>
          </cell>
        </row>
        <row r="2321">
          <cell r="A2321" t="str">
            <v>E708</v>
          </cell>
          <cell r="B2321" t="str">
            <v>E708 - FARMACIA POLIFARMA, C.A.</v>
          </cell>
          <cell r="C2321" t="e">
            <v>#N/A</v>
          </cell>
          <cell r="D2321">
            <v>1</v>
          </cell>
          <cell r="F2321" t="str">
            <v>CENTRO OESTE</v>
          </cell>
          <cell r="G2321">
            <v>0</v>
          </cell>
          <cell r="H2321"/>
          <cell r="I2321" t="str">
            <v>A</v>
          </cell>
          <cell r="J2321" t="str">
            <v>Inactivo</v>
          </cell>
          <cell r="K2321">
            <v>887.23023919420632</v>
          </cell>
          <cell r="L2321">
            <v>887.23023919420632</v>
          </cell>
          <cell r="M2321">
            <v>887.23023919420632</v>
          </cell>
          <cell r="N2321" t="str">
            <v>Si Compra</v>
          </cell>
          <cell r="O2321">
            <v>1</v>
          </cell>
          <cell r="P2321">
            <v>0</v>
          </cell>
          <cell r="Q2321">
            <v>0</v>
          </cell>
          <cell r="R2321">
            <v>0</v>
          </cell>
          <cell r="V2321">
            <v>0</v>
          </cell>
          <cell r="W2321">
            <v>3.3877879608232159E-5</v>
          </cell>
          <cell r="X2321">
            <v>0</v>
          </cell>
          <cell r="Y2321" t="str">
            <v>Conquistar</v>
          </cell>
        </row>
        <row r="2322">
          <cell r="A2322" t="str">
            <v>E676</v>
          </cell>
          <cell r="B2322" t="str">
            <v>E676 - FARMACIA SANA SANA PUTUCUAL C.A</v>
          </cell>
          <cell r="C2322" t="e">
            <v>#N/A</v>
          </cell>
          <cell r="D2322">
            <v>2</v>
          </cell>
          <cell r="F2322" t="str">
            <v>ESTE</v>
          </cell>
          <cell r="G2322">
            <v>0</v>
          </cell>
          <cell r="H2322"/>
          <cell r="I2322" t="str">
            <v>A7</v>
          </cell>
          <cell r="J2322" t="str">
            <v>Inactivo</v>
          </cell>
          <cell r="K2322">
            <v>885.98839999999996</v>
          </cell>
          <cell r="L2322">
            <v>442.99419999999998</v>
          </cell>
          <cell r="M2322">
            <v>442.99419999999998</v>
          </cell>
          <cell r="N2322" t="str">
            <v>Si Compra</v>
          </cell>
          <cell r="O2322">
            <v>2</v>
          </cell>
          <cell r="P2322">
            <v>0</v>
          </cell>
          <cell r="Q2322">
            <v>0</v>
          </cell>
          <cell r="R2322">
            <v>0</v>
          </cell>
          <cell r="V2322">
            <v>0</v>
          </cell>
          <cell r="W2322">
            <v>1.6915230694092782E-5</v>
          </cell>
          <cell r="X2322">
            <v>0</v>
          </cell>
          <cell r="Y2322" t="str">
            <v>Conquistar</v>
          </cell>
        </row>
        <row r="2323">
          <cell r="A2323" t="str">
            <v>A273</v>
          </cell>
          <cell r="B2323" t="str">
            <v>A273 - FARMACIA LIBERTADOR</v>
          </cell>
          <cell r="C2323" t="str">
            <v>INDEPENDIENTE</v>
          </cell>
          <cell r="D2323">
            <v>3</v>
          </cell>
          <cell r="E2323"/>
          <cell r="F2323" t="str">
            <v>CENTRO ESTE</v>
          </cell>
          <cell r="G2323" t="str">
            <v>WILLIBETTI GONZALEZ</v>
          </cell>
          <cell r="H2323"/>
          <cell r="I2323" t="str">
            <v>AF</v>
          </cell>
          <cell r="J2323" t="str">
            <v>Suspendido</v>
          </cell>
          <cell r="K2323">
            <v>885.18670000000009</v>
          </cell>
          <cell r="L2323">
            <v>88.518670000000014</v>
          </cell>
          <cell r="M2323">
            <v>64.867999999999995</v>
          </cell>
          <cell r="N2323" t="str">
            <v>Si Compra</v>
          </cell>
          <cell r="O2323">
            <v>10</v>
          </cell>
          <cell r="P2323">
            <v>795.97640000000001</v>
          </cell>
          <cell r="Q2323">
            <v>79.597639999999998</v>
          </cell>
          <cell r="R2323">
            <v>0</v>
          </cell>
          <cell r="T2323"/>
          <cell r="U2323"/>
          <cell r="V2323">
            <v>1.1120765640790358</v>
          </cell>
          <cell r="W2323">
            <v>3.3799849383677487E-6</v>
          </cell>
          <cell r="X2323">
            <v>5</v>
          </cell>
          <cell r="Y2323" t="str">
            <v>Proteger</v>
          </cell>
        </row>
        <row r="2324">
          <cell r="A2324">
            <v>0</v>
          </cell>
          <cell r="B2324" t="str">
            <v>E531 - FARMACIA+MEDICA HOSPITAL, C.A.</v>
          </cell>
          <cell r="C2324" t="e">
            <v>#N/A</v>
          </cell>
          <cell r="D2324">
            <v>0</v>
          </cell>
          <cell r="F2324" t="str">
            <v>ANDES</v>
          </cell>
          <cell r="G2324">
            <v>0</v>
          </cell>
          <cell r="H2324"/>
          <cell r="I2324" t="str">
            <v>G</v>
          </cell>
          <cell r="J2324" t="str">
            <v>Activo</v>
          </cell>
          <cell r="K2324">
            <v>877.65897081036246</v>
          </cell>
          <cell r="L2324">
            <v>292.5529902701208</v>
          </cell>
          <cell r="M2324">
            <v>292.5529902701208</v>
          </cell>
          <cell r="N2324" t="str">
            <v>Si Compra</v>
          </cell>
          <cell r="O2324">
            <v>3</v>
          </cell>
          <cell r="P2324">
            <v>0</v>
          </cell>
          <cell r="Q2324">
            <v>0</v>
          </cell>
          <cell r="R2324">
            <v>0</v>
          </cell>
          <cell r="V2324">
            <v>0</v>
          </cell>
          <cell r="W2324">
            <v>1.1170803863043296E-5</v>
          </cell>
          <cell r="X2324">
            <v>0</v>
          </cell>
          <cell r="Y2324" t="str">
            <v>Conquistar</v>
          </cell>
        </row>
        <row r="2325">
          <cell r="A2325" t="str">
            <v>D079</v>
          </cell>
          <cell r="B2325" t="str">
            <v>D079 - ANGARITA FARMACIA FARMACITY</v>
          </cell>
          <cell r="C2325" t="str">
            <v>INDEPENDIENTE</v>
          </cell>
          <cell r="D2325">
            <v>0</v>
          </cell>
          <cell r="E2325"/>
          <cell r="F2325" t="str">
            <v>CENTRO OESTE</v>
          </cell>
          <cell r="G2325" t="str">
            <v>LUIS PLACERES</v>
          </cell>
          <cell r="H2325"/>
          <cell r="I2325" t="str">
            <v>E</v>
          </cell>
          <cell r="J2325" t="str">
            <v>Bloqueado</v>
          </cell>
          <cell r="K2325">
            <v>875.93089999999995</v>
          </cell>
          <cell r="L2325">
            <v>875.93089999999995</v>
          </cell>
          <cell r="M2325">
            <v>0</v>
          </cell>
          <cell r="N2325" t="str">
            <v>No Compra</v>
          </cell>
          <cell r="O2325">
            <v>1</v>
          </cell>
          <cell r="P2325">
            <v>1933.9378999999999</v>
          </cell>
          <cell r="Q2325">
            <v>1933.9378999999999</v>
          </cell>
          <cell r="R2325">
            <v>0</v>
          </cell>
          <cell r="T2325"/>
          <cell r="U2325"/>
          <cell r="V2325">
            <v>0.45292607378964961</v>
          </cell>
          <cell r="W2325">
            <v>3.344642716673111E-5</v>
          </cell>
          <cell r="X2325">
            <v>1</v>
          </cell>
          <cell r="Y2325" t="str">
            <v>Potenciar</v>
          </cell>
        </row>
        <row r="2326">
          <cell r="A2326" t="str">
            <v>D299</v>
          </cell>
          <cell r="B2326" t="str">
            <v>D299 - FARMACIA INDIA TUCAN, C.A</v>
          </cell>
          <cell r="C2326" t="str">
            <v>INDEPENDIENTE</v>
          </cell>
          <cell r="D2326">
            <v>1</v>
          </cell>
          <cell r="E2326"/>
          <cell r="F2326" t="str">
            <v>CENTRO ESTE</v>
          </cell>
          <cell r="G2326" t="str">
            <v>ELIANA PERAZA</v>
          </cell>
          <cell r="H2326"/>
          <cell r="I2326" t="str">
            <v>I</v>
          </cell>
          <cell r="J2326" t="str">
            <v>Activo</v>
          </cell>
          <cell r="K2326">
            <v>848.03150000000005</v>
          </cell>
          <cell r="L2326">
            <v>212.00787500000001</v>
          </cell>
          <cell r="M2326">
            <v>102.4121</v>
          </cell>
          <cell r="N2326" t="str">
            <v>Si Compra</v>
          </cell>
          <cell r="O2326">
            <v>4</v>
          </cell>
          <cell r="P2326">
            <v>1563.2973000000002</v>
          </cell>
          <cell r="Q2326">
            <v>390.82432500000004</v>
          </cell>
          <cell r="R2326">
            <v>129.93170000000001</v>
          </cell>
          <cell r="T2326"/>
          <cell r="U2326"/>
          <cell r="V2326">
            <v>0.54246335613833652</v>
          </cell>
          <cell r="W2326">
            <v>8.0952800614305704E-6</v>
          </cell>
          <cell r="X2326">
            <v>3</v>
          </cell>
          <cell r="Y2326" t="str">
            <v>Potenciar</v>
          </cell>
        </row>
        <row r="2327">
          <cell r="A2327" t="str">
            <v>C699</v>
          </cell>
          <cell r="B2327" t="str">
            <v>C699 - FARMACIA MONTES FARMA, C.A.</v>
          </cell>
          <cell r="C2327" t="str">
            <v>INDEPENDIENTE</v>
          </cell>
          <cell r="D2327">
            <v>0</v>
          </cell>
          <cell r="E2327"/>
          <cell r="F2327" t="str">
            <v>ESTE</v>
          </cell>
          <cell r="G2327" t="str">
            <v>CARLOS BLONDELL</v>
          </cell>
          <cell r="H2327"/>
          <cell r="I2327" t="str">
            <v>A3</v>
          </cell>
          <cell r="J2327" t="str">
            <v>Activo</v>
          </cell>
          <cell r="K2327">
            <v>840.9045000000001</v>
          </cell>
          <cell r="L2327">
            <v>420.45225000000005</v>
          </cell>
          <cell r="M2327">
            <v>0</v>
          </cell>
          <cell r="N2327" t="str">
            <v>No Compra</v>
          </cell>
          <cell r="O2327">
            <v>2</v>
          </cell>
          <cell r="P2327">
            <v>6087.3251</v>
          </cell>
          <cell r="Q2327">
            <v>3043.66255</v>
          </cell>
          <cell r="R2327">
            <v>0</v>
          </cell>
          <cell r="T2327"/>
          <cell r="U2327"/>
          <cell r="V2327">
            <v>0.1381402317415247</v>
          </cell>
          <cell r="W2327">
            <v>1.6054491920211084E-5</v>
          </cell>
          <cell r="X2327">
            <v>2</v>
          </cell>
          <cell r="Y2327" t="str">
            <v>Conquistar</v>
          </cell>
        </row>
        <row r="2328">
          <cell r="A2328" t="str">
            <v>0211</v>
          </cell>
          <cell r="B2328" t="str">
            <v>FARMABIEN</v>
          </cell>
          <cell r="C2328" t="str">
            <v>CADENA</v>
          </cell>
          <cell r="D2328">
            <v>325</v>
          </cell>
          <cell r="E2328"/>
          <cell r="F2328" t="str">
            <v>CENTRO OESTE</v>
          </cell>
          <cell r="H2328"/>
          <cell r="I2328" t="str">
            <v>PY</v>
          </cell>
          <cell r="J2328" t="str">
            <v>Bloqueado</v>
          </cell>
          <cell r="K2328">
            <v>838.53409999999997</v>
          </cell>
          <cell r="L2328">
            <v>838.53409999999997</v>
          </cell>
          <cell r="M2328">
            <v>0</v>
          </cell>
          <cell r="N2328" t="str">
            <v>No Compra</v>
          </cell>
          <cell r="O2328">
            <v>1</v>
          </cell>
          <cell r="P2328">
            <v>0</v>
          </cell>
          <cell r="Q2328">
            <v>0</v>
          </cell>
          <cell r="R2328">
            <v>0</v>
          </cell>
          <cell r="T2328"/>
          <cell r="U2328"/>
          <cell r="V2328">
            <v>0</v>
          </cell>
          <cell r="W2328">
            <v>3.2018472807010717E-5</v>
          </cell>
          <cell r="X2328">
            <v>0</v>
          </cell>
          <cell r="Y2328" t="str">
            <v>Conquistar</v>
          </cell>
        </row>
        <row r="2329">
          <cell r="A2329" t="str">
            <v>E606</v>
          </cell>
          <cell r="B2329" t="str">
            <v>E606 - GREENFARMA, C.A</v>
          </cell>
          <cell r="C2329" t="e">
            <v>#N/A</v>
          </cell>
          <cell r="D2329">
            <v>2</v>
          </cell>
          <cell r="F2329" t="str">
            <v>ESTE</v>
          </cell>
          <cell r="G2329">
            <v>0</v>
          </cell>
          <cell r="H2329"/>
          <cell r="I2329" t="str">
            <v>A7</v>
          </cell>
          <cell r="J2329" t="str">
            <v>Activo</v>
          </cell>
          <cell r="K2329">
            <v>831.85179999999991</v>
          </cell>
          <cell r="L2329">
            <v>415.92589999999996</v>
          </cell>
          <cell r="M2329">
            <v>415.92589999999996</v>
          </cell>
          <cell r="N2329" t="str">
            <v>Si Compra</v>
          </cell>
          <cell r="O2329">
            <v>2</v>
          </cell>
          <cell r="P2329">
            <v>0</v>
          </cell>
          <cell r="Q2329">
            <v>0</v>
          </cell>
          <cell r="R2329">
            <v>0</v>
          </cell>
          <cell r="V2329">
            <v>0</v>
          </cell>
          <cell r="W2329">
            <v>1.5881658383220737E-5</v>
          </cell>
          <cell r="X2329">
            <v>0</v>
          </cell>
          <cell r="Y2329" t="str">
            <v>Conquistar</v>
          </cell>
        </row>
        <row r="2330">
          <cell r="A2330" t="str">
            <v>E639</v>
          </cell>
          <cell r="B2330" t="str">
            <v>E639 - FARMAEXPRESS FARMACIA, C.A</v>
          </cell>
          <cell r="C2330" t="e">
            <v>#N/A</v>
          </cell>
          <cell r="D2330">
            <v>2</v>
          </cell>
          <cell r="F2330" t="str">
            <v>ESTE</v>
          </cell>
          <cell r="G2330">
            <v>0</v>
          </cell>
          <cell r="H2330"/>
          <cell r="I2330" t="str">
            <v>A0</v>
          </cell>
          <cell r="J2330" t="str">
            <v>Activo</v>
          </cell>
          <cell r="K2330">
            <v>821.61210000000005</v>
          </cell>
          <cell r="L2330">
            <v>410.80605000000003</v>
          </cell>
          <cell r="M2330">
            <v>410.80605000000003</v>
          </cell>
          <cell r="N2330" t="str">
            <v>Si Compra</v>
          </cell>
          <cell r="O2330">
            <v>2</v>
          </cell>
          <cell r="P2330">
            <v>0</v>
          </cell>
          <cell r="Q2330">
            <v>0</v>
          </cell>
          <cell r="R2330">
            <v>0</v>
          </cell>
          <cell r="V2330">
            <v>0</v>
          </cell>
          <cell r="W2330">
            <v>1.5686162722399108E-5</v>
          </cell>
          <cell r="X2330">
            <v>0</v>
          </cell>
          <cell r="Y2330" t="str">
            <v>Conquistar</v>
          </cell>
        </row>
        <row r="2331">
          <cell r="A2331" t="str">
            <v>E404</v>
          </cell>
          <cell r="B2331" t="str">
            <v>E404 - FARMACIA LAS TRES ROSAS C.A.</v>
          </cell>
          <cell r="C2331" t="e">
            <v>#N/A</v>
          </cell>
          <cell r="D2331">
            <v>0</v>
          </cell>
          <cell r="F2331" t="str">
            <v>ESTE</v>
          </cell>
          <cell r="H2331"/>
          <cell r="I2331" t="str">
            <v>A4</v>
          </cell>
          <cell r="J2331" t="str">
            <v>Activo</v>
          </cell>
          <cell r="K2331">
            <v>818.78629999999998</v>
          </cell>
          <cell r="L2331">
            <v>818.78629999999998</v>
          </cell>
          <cell r="M2331">
            <v>0</v>
          </cell>
          <cell r="N2331" t="str">
            <v>No Compra</v>
          </cell>
          <cell r="O2331">
            <v>1</v>
          </cell>
          <cell r="P2331">
            <v>0</v>
          </cell>
          <cell r="Q2331">
            <v>0</v>
          </cell>
          <cell r="R2331">
            <v>0</v>
          </cell>
          <cell r="V2331">
            <v>0</v>
          </cell>
          <cell r="W2331">
            <v>3.1264425479301223E-5</v>
          </cell>
          <cell r="X2331">
            <v>0</v>
          </cell>
          <cell r="Y2331" t="str">
            <v>Conquistar</v>
          </cell>
        </row>
        <row r="2332">
          <cell r="A2332">
            <v>0</v>
          </cell>
          <cell r="B2332" t="str">
            <v>E643 - FARMA MEDICA LA INMACULADA C.A</v>
          </cell>
          <cell r="C2332" t="e">
            <v>#N/A</v>
          </cell>
          <cell r="D2332">
            <v>0</v>
          </cell>
          <cell r="F2332" t="str">
            <v>ANDES</v>
          </cell>
          <cell r="G2332">
            <v>0</v>
          </cell>
          <cell r="H2332"/>
          <cell r="I2332" t="str">
            <v>G</v>
          </cell>
          <cell r="J2332" t="str">
            <v>Permiso</v>
          </cell>
          <cell r="K2332">
            <v>806.54859999999996</v>
          </cell>
          <cell r="L2332">
            <v>806.54859999999996</v>
          </cell>
          <cell r="M2332">
            <v>806.54859999999996</v>
          </cell>
          <cell r="N2332" t="str">
            <v>Si Compra</v>
          </cell>
          <cell r="O2332">
            <v>1</v>
          </cell>
          <cell r="P2332">
            <v>0</v>
          </cell>
          <cell r="Q2332">
            <v>0</v>
          </cell>
          <cell r="R2332">
            <v>0</v>
          </cell>
          <cell r="V2332">
            <v>0</v>
          </cell>
          <cell r="W2332">
            <v>3.0797142795543514E-5</v>
          </cell>
          <cell r="X2332">
            <v>0</v>
          </cell>
          <cell r="Y2332" t="str">
            <v>Conquistar</v>
          </cell>
        </row>
        <row r="2333">
          <cell r="A2333" t="str">
            <v>B727</v>
          </cell>
          <cell r="B2333" t="str">
            <v>B727 - FARMACIA RAPI EXPRESS, C.A.</v>
          </cell>
          <cell r="C2333" t="str">
            <v>INDEPENDIENTE</v>
          </cell>
          <cell r="D2333">
            <v>0</v>
          </cell>
          <cell r="E2333"/>
          <cell r="F2333" t="str">
            <v>CENTRO ESTE</v>
          </cell>
          <cell r="G2333" t="str">
            <v>LAURA FLORES</v>
          </cell>
          <cell r="H2333"/>
          <cell r="I2333" t="str">
            <v>+</v>
          </cell>
          <cell r="J2333" t="str">
            <v>Bloqueado</v>
          </cell>
          <cell r="K2333">
            <v>795.75310000000002</v>
          </cell>
          <cell r="L2333">
            <v>397.87655000000001</v>
          </cell>
          <cell r="M2333">
            <v>0</v>
          </cell>
          <cell r="N2333" t="str">
            <v>No Compra</v>
          </cell>
          <cell r="O2333">
            <v>2</v>
          </cell>
          <cell r="P2333">
            <v>1429.2693999999999</v>
          </cell>
          <cell r="Q2333">
            <v>714.63469999999995</v>
          </cell>
          <cell r="R2333">
            <v>0</v>
          </cell>
          <cell r="T2333"/>
          <cell r="U2333"/>
          <cell r="V2333">
            <v>0.55675515056853531</v>
          </cell>
          <cell r="W2333">
            <v>1.5192464440888259E-5</v>
          </cell>
          <cell r="X2333">
            <v>2</v>
          </cell>
          <cell r="Y2333" t="str">
            <v>Potenciar</v>
          </cell>
        </row>
        <row r="2334">
          <cell r="A2334" t="str">
            <v>4324</v>
          </cell>
          <cell r="B2334" t="str">
            <v>4324 - FARMA BONO, C.A.</v>
          </cell>
          <cell r="C2334" t="str">
            <v>INDEPENDIENTE</v>
          </cell>
          <cell r="D2334">
            <v>2</v>
          </cell>
          <cell r="E2334"/>
          <cell r="F2334" t="str">
            <v>ESTE</v>
          </cell>
          <cell r="G2334" t="str">
            <v>CARMEN ALCALA</v>
          </cell>
          <cell r="H2334"/>
          <cell r="I2334" t="str">
            <v>A0</v>
          </cell>
          <cell r="J2334" t="str">
            <v>Inactivo</v>
          </cell>
          <cell r="K2334">
            <v>794.79309999999998</v>
          </cell>
          <cell r="L2334">
            <v>113.54187142857143</v>
          </cell>
          <cell r="M2334">
            <v>141.316</v>
          </cell>
          <cell r="N2334" t="str">
            <v>Si Compra</v>
          </cell>
          <cell r="O2334">
            <v>7</v>
          </cell>
          <cell r="P2334">
            <v>9670.7981</v>
          </cell>
          <cell r="Q2334">
            <v>1381.5425857142857</v>
          </cell>
          <cell r="R2334">
            <v>1622.8886500000001</v>
          </cell>
          <cell r="T2334"/>
          <cell r="U2334"/>
          <cell r="V2334">
            <v>8.218485090697944E-2</v>
          </cell>
          <cell r="W2334">
            <v>4.3354674816358942E-6</v>
          </cell>
          <cell r="X2334">
            <v>7</v>
          </cell>
          <cell r="Y2334" t="str">
            <v>Conquistar</v>
          </cell>
        </row>
        <row r="2335">
          <cell r="A2335" t="str">
            <v>9644</v>
          </cell>
          <cell r="B2335" t="str">
            <v>9644 - FARMACIA VIRGEN DE LA ENCARNACION  C.A.</v>
          </cell>
          <cell r="C2335" t="str">
            <v>INDEPENDIENTE</v>
          </cell>
          <cell r="D2335">
            <v>0</v>
          </cell>
          <cell r="E2335"/>
          <cell r="F2335" t="str">
            <v>ANDES</v>
          </cell>
          <cell r="G2335" t="str">
            <v>MILAGRO BRICEñO</v>
          </cell>
          <cell r="H2335"/>
          <cell r="I2335" t="str">
            <v>G</v>
          </cell>
          <cell r="J2335" t="str">
            <v>Bloqueado</v>
          </cell>
          <cell r="K2335">
            <v>793.67560000000003</v>
          </cell>
          <cell r="L2335">
            <v>396.83780000000002</v>
          </cell>
          <cell r="M2335">
            <v>0</v>
          </cell>
          <cell r="N2335" t="str">
            <v>No Compra</v>
          </cell>
          <cell r="O2335">
            <v>2</v>
          </cell>
          <cell r="P2335">
            <v>0</v>
          </cell>
          <cell r="Q2335">
            <v>0</v>
          </cell>
          <cell r="R2335">
            <v>0</v>
          </cell>
          <cell r="T2335"/>
          <cell r="U2335"/>
          <cell r="V2335">
            <v>0</v>
          </cell>
          <cell r="W2335">
            <v>1.5152800951200383E-5</v>
          </cell>
          <cell r="X2335">
            <v>0</v>
          </cell>
          <cell r="Y2335" t="str">
            <v>Conquistar</v>
          </cell>
        </row>
        <row r="2336">
          <cell r="A2336" t="str">
            <v>E479</v>
          </cell>
          <cell r="B2336" t="str">
            <v>E479 - EXPENDIO DE MEDICINAS JEHOVA ES MI PROVEEDOR C.A.</v>
          </cell>
          <cell r="C2336" t="e">
            <v>#N/A</v>
          </cell>
          <cell r="D2336">
            <v>0</v>
          </cell>
          <cell r="F2336" t="str">
            <v>MARACAIBO</v>
          </cell>
          <cell r="H2336"/>
          <cell r="I2336" t="str">
            <v>BZ</v>
          </cell>
          <cell r="J2336" t="str">
            <v>Activo</v>
          </cell>
          <cell r="K2336">
            <v>786.08040000000005</v>
          </cell>
          <cell r="L2336">
            <v>786.08040000000005</v>
          </cell>
          <cell r="M2336">
            <v>0</v>
          </cell>
          <cell r="N2336" t="str">
            <v>No Compra</v>
          </cell>
          <cell r="O2336">
            <v>1</v>
          </cell>
          <cell r="P2336">
            <v>0</v>
          </cell>
          <cell r="Q2336">
            <v>0</v>
          </cell>
          <cell r="R2336">
            <v>0</v>
          </cell>
          <cell r="V2336">
            <v>0</v>
          </cell>
          <cell r="W2336">
            <v>3.0015587811544109E-5</v>
          </cell>
          <cell r="X2336">
            <v>0</v>
          </cell>
          <cell r="Y2336" t="str">
            <v>Conquistar</v>
          </cell>
        </row>
        <row r="2337">
          <cell r="A2337" t="str">
            <v>A063</v>
          </cell>
          <cell r="B2337" t="str">
            <v>A063 - FARMACIA FARMA HOGAR VALERA, C. A.</v>
          </cell>
          <cell r="C2337" t="str">
            <v>INDEPENDIENTE</v>
          </cell>
          <cell r="D2337">
            <v>0</v>
          </cell>
          <cell r="E2337"/>
          <cell r="F2337" t="str">
            <v>ANDES</v>
          </cell>
          <cell r="G2337" t="str">
            <v>MILAGRO BRICEñO</v>
          </cell>
          <cell r="H2337"/>
          <cell r="I2337" t="str">
            <v>G</v>
          </cell>
          <cell r="J2337" t="str">
            <v>Bloqueado</v>
          </cell>
          <cell r="K2337">
            <v>779.59349999999995</v>
          </cell>
          <cell r="L2337">
            <v>389.79674999999997</v>
          </cell>
          <cell r="M2337">
            <v>0</v>
          </cell>
          <cell r="N2337" t="str">
            <v>No Compra</v>
          </cell>
          <cell r="O2337">
            <v>2</v>
          </cell>
          <cell r="P2337">
            <v>673.05290000000002</v>
          </cell>
          <cell r="Q2337">
            <v>336.52645000000001</v>
          </cell>
          <cell r="R2337">
            <v>0</v>
          </cell>
          <cell r="T2337"/>
          <cell r="U2337"/>
          <cell r="V2337">
            <v>1.1582945411868812</v>
          </cell>
          <cell r="W2337">
            <v>1.4883946449090327E-5</v>
          </cell>
          <cell r="X2337">
            <v>1</v>
          </cell>
          <cell r="Y2337" t="str">
            <v>Proteger</v>
          </cell>
        </row>
        <row r="2338">
          <cell r="A2338" t="str">
            <v>-137</v>
          </cell>
          <cell r="B2338" t="str">
            <v>-137 - FARMACIA SANTA ROSA,C.A.</v>
          </cell>
          <cell r="C2338" t="str">
            <v>INDEPENDIENTE</v>
          </cell>
          <cell r="D2338">
            <v>0</v>
          </cell>
          <cell r="E2338"/>
          <cell r="F2338" t="str">
            <v>CARACAS</v>
          </cell>
          <cell r="G2338" t="str">
            <v>RAMON SERRANO</v>
          </cell>
          <cell r="H2338"/>
          <cell r="I2338" t="str">
            <v>C6</v>
          </cell>
          <cell r="J2338" t="str">
            <v>Bloqueado</v>
          </cell>
          <cell r="K2338">
            <v>763.95919240109811</v>
          </cell>
          <cell r="L2338">
            <v>763.95919240109811</v>
          </cell>
          <cell r="M2338">
            <v>0</v>
          </cell>
          <cell r="N2338" t="str">
            <v>No Compra</v>
          </cell>
          <cell r="O2338">
            <v>1</v>
          </cell>
          <cell r="P2338">
            <v>2198.1953674888136</v>
          </cell>
          <cell r="Q2338">
            <v>2198.1953674888136</v>
          </cell>
          <cell r="R2338">
            <v>0</v>
          </cell>
          <cell r="T2338"/>
          <cell r="U2338"/>
          <cell r="V2338">
            <v>0.34753926047703121</v>
          </cell>
          <cell r="W2338">
            <v>2.9170914608672953E-5</v>
          </cell>
          <cell r="X2338">
            <v>1</v>
          </cell>
          <cell r="Y2338" t="str">
            <v>Potenciar</v>
          </cell>
        </row>
        <row r="2339">
          <cell r="A2339" t="str">
            <v>4973</v>
          </cell>
          <cell r="B2339" t="str">
            <v>4973 - SOLSUMED, C.A.</v>
          </cell>
          <cell r="C2339" t="str">
            <v>INDEPENDIENTE</v>
          </cell>
          <cell r="D2339">
            <v>2</v>
          </cell>
          <cell r="E2339"/>
          <cell r="F2339" t="str">
            <v>CENTRO OESTE</v>
          </cell>
          <cell r="G2339">
            <v>0</v>
          </cell>
          <cell r="H2339"/>
          <cell r="I2339" t="str">
            <v xml:space="preserve">Y </v>
          </cell>
          <cell r="J2339" t="str">
            <v>Bloqueado</v>
          </cell>
          <cell r="K2339">
            <v>762.78879999999992</v>
          </cell>
          <cell r="L2339">
            <v>84.754311111111107</v>
          </cell>
          <cell r="M2339">
            <v>133.95600000000002</v>
          </cell>
          <cell r="N2339" t="str">
            <v>Si Compra</v>
          </cell>
          <cell r="O2339">
            <v>9</v>
          </cell>
          <cell r="P2339">
            <v>0</v>
          </cell>
          <cell r="Q2339">
            <v>0</v>
          </cell>
          <cell r="R2339">
            <v>0</v>
          </cell>
          <cell r="T2339"/>
          <cell r="U2339"/>
          <cell r="V2339">
            <v>0</v>
          </cell>
          <cell r="W2339">
            <v>3.2362471670359465E-6</v>
          </cell>
          <cell r="X2339">
            <v>0</v>
          </cell>
          <cell r="Y2339" t="str">
            <v>Conquistar</v>
          </cell>
        </row>
        <row r="2340">
          <cell r="A2340" t="str">
            <v>D935</v>
          </cell>
          <cell r="B2340" t="str">
            <v>D935 - FARMA LIFE EXPRESS C.A.</v>
          </cell>
          <cell r="C2340" t="str">
            <v>INDEPENDIENTE</v>
          </cell>
          <cell r="D2340">
            <v>2</v>
          </cell>
          <cell r="E2340"/>
          <cell r="F2340" t="str">
            <v>ESTE</v>
          </cell>
          <cell r="G2340" t="str">
            <v>CARMEN ALCALA</v>
          </cell>
          <cell r="H2340"/>
          <cell r="I2340" t="str">
            <v>A6</v>
          </cell>
          <cell r="J2340" t="str">
            <v>Activo</v>
          </cell>
          <cell r="K2340">
            <v>760.25440000000003</v>
          </cell>
          <cell r="L2340">
            <v>108.60777142857144</v>
          </cell>
          <cell r="M2340">
            <v>98.199849999999998</v>
          </cell>
          <cell r="N2340" t="str">
            <v>Si Compra</v>
          </cell>
          <cell r="O2340">
            <v>7</v>
          </cell>
          <cell r="P2340">
            <v>1324140.1433000001</v>
          </cell>
          <cell r="Q2340">
            <v>189162.87761428574</v>
          </cell>
          <cell r="R2340">
            <v>212756.20855000001</v>
          </cell>
          <cell r="T2340"/>
          <cell r="U2340"/>
          <cell r="V2340">
            <v>5.7414949908950468E-4</v>
          </cell>
          <cell r="W2340">
            <v>4.1470644737235489E-6</v>
          </cell>
          <cell r="X2340">
            <v>7</v>
          </cell>
          <cell r="Y2340" t="str">
            <v>Conquistar</v>
          </cell>
        </row>
        <row r="2341">
          <cell r="A2341" t="str">
            <v>6648</v>
          </cell>
          <cell r="B2341" t="str">
            <v>6648 - FARMACIA FARMADESCUENTO, C.A</v>
          </cell>
          <cell r="C2341" t="e">
            <v>#N/A</v>
          </cell>
          <cell r="D2341">
            <v>2</v>
          </cell>
          <cell r="E2341"/>
          <cell r="F2341" t="str">
            <v>CENTRO ESTE</v>
          </cell>
          <cell r="G2341" t="str">
            <v>MARCOS CRUCES</v>
          </cell>
          <cell r="H2341"/>
          <cell r="I2341" t="str">
            <v>$</v>
          </cell>
          <cell r="J2341" t="str">
            <v>Activo</v>
          </cell>
          <cell r="K2341">
            <v>759.8329</v>
          </cell>
          <cell r="L2341">
            <v>189.958225</v>
          </cell>
          <cell r="M2341">
            <v>47.672749999999994</v>
          </cell>
          <cell r="N2341" t="str">
            <v>Si Compra</v>
          </cell>
          <cell r="O2341">
            <v>4</v>
          </cell>
          <cell r="P2341">
            <v>708.01350000000002</v>
          </cell>
          <cell r="Q2341">
            <v>177.00337500000001</v>
          </cell>
          <cell r="R2341">
            <v>57.574849999999998</v>
          </cell>
          <cell r="T2341"/>
          <cell r="U2341"/>
          <cell r="V2341">
            <v>1.0731898473687296</v>
          </cell>
          <cell r="W2341">
            <v>7.2533392042500399E-6</v>
          </cell>
          <cell r="X2341">
            <v>3</v>
          </cell>
          <cell r="Y2341" t="str">
            <v>Proteger</v>
          </cell>
        </row>
        <row r="2342">
          <cell r="A2342" t="str">
            <v>A607</v>
          </cell>
          <cell r="B2342" t="str">
            <v>A607 - OPTIMUS FARMA, C.A.</v>
          </cell>
          <cell r="C2342" t="str">
            <v>INDEPENDIENTE</v>
          </cell>
          <cell r="D2342">
            <v>3</v>
          </cell>
          <cell r="E2342"/>
          <cell r="F2342" t="str">
            <v>MARACAIBO</v>
          </cell>
          <cell r="G2342" t="str">
            <v>MARIA FUSELLA</v>
          </cell>
          <cell r="H2342"/>
          <cell r="I2342" t="str">
            <v>BZ</v>
          </cell>
          <cell r="J2342" t="str">
            <v>Activo</v>
          </cell>
          <cell r="K2342">
            <v>755.9085</v>
          </cell>
          <cell r="L2342">
            <v>107.98692857142858</v>
          </cell>
          <cell r="M2342">
            <v>130.39860000000002</v>
          </cell>
          <cell r="N2342" t="str">
            <v>Si Compra</v>
          </cell>
          <cell r="O2342">
            <v>7</v>
          </cell>
          <cell r="P2342">
            <v>875.79319999999996</v>
          </cell>
          <cell r="Q2342">
            <v>125.11331428571428</v>
          </cell>
          <cell r="R2342">
            <v>241.83503333333331</v>
          </cell>
          <cell r="T2342"/>
          <cell r="U2342"/>
          <cell r="V2342">
            <v>0.86311300430284232</v>
          </cell>
          <cell r="W2342">
            <v>4.1233582939285289E-6</v>
          </cell>
          <cell r="X2342">
            <v>4</v>
          </cell>
          <cell r="Y2342" t="str">
            <v>Proteger</v>
          </cell>
        </row>
        <row r="2343">
          <cell r="A2343" t="str">
            <v>E675</v>
          </cell>
          <cell r="B2343" t="str">
            <v>E675 - FARMACIAS ZL&amp;L, C.A.</v>
          </cell>
          <cell r="C2343" t="e">
            <v>#N/A</v>
          </cell>
          <cell r="D2343">
            <v>2</v>
          </cell>
          <cell r="F2343" t="str">
            <v>CENTRO OESTE</v>
          </cell>
          <cell r="G2343">
            <v>0</v>
          </cell>
          <cell r="H2343"/>
          <cell r="I2343" t="str">
            <v>A</v>
          </cell>
          <cell r="J2343" t="str">
            <v>Activo</v>
          </cell>
          <cell r="K2343">
            <v>732.16480000000001</v>
          </cell>
          <cell r="L2343">
            <v>366.08240000000001</v>
          </cell>
          <cell r="M2343">
            <v>366.08240000000001</v>
          </cell>
          <cell r="N2343" t="str">
            <v>Si Compra</v>
          </cell>
          <cell r="O2343">
            <v>2</v>
          </cell>
          <cell r="P2343">
            <v>0</v>
          </cell>
          <cell r="Q2343">
            <v>0</v>
          </cell>
          <cell r="R2343">
            <v>0</v>
          </cell>
          <cell r="V2343">
            <v>0</v>
          </cell>
          <cell r="W2343">
            <v>1.3978440911973907E-5</v>
          </cell>
          <cell r="X2343">
            <v>0</v>
          </cell>
          <cell r="Y2343" t="str">
            <v>Conquistar</v>
          </cell>
        </row>
        <row r="2344">
          <cell r="A2344" t="str">
            <v>D097</v>
          </cell>
          <cell r="B2344" t="str">
            <v>D097 - FARMA ORINOCO CA CA</v>
          </cell>
          <cell r="C2344" t="str">
            <v>INDEPENDIENTE</v>
          </cell>
          <cell r="D2344">
            <v>0</v>
          </cell>
          <cell r="E2344"/>
          <cell r="F2344" t="str">
            <v>ESTE</v>
          </cell>
          <cell r="H2344"/>
          <cell r="I2344" t="str">
            <v>A1</v>
          </cell>
          <cell r="J2344" t="str">
            <v>Bloqueado</v>
          </cell>
          <cell r="K2344">
            <v>722.44389999999999</v>
          </cell>
          <cell r="L2344">
            <v>361.22194999999999</v>
          </cell>
          <cell r="M2344">
            <v>0</v>
          </cell>
          <cell r="N2344" t="str">
            <v>No Compra</v>
          </cell>
          <cell r="O2344">
            <v>2</v>
          </cell>
          <cell r="P2344">
            <v>0</v>
          </cell>
          <cell r="Q2344">
            <v>0</v>
          </cell>
          <cell r="R2344">
            <v>0</v>
          </cell>
          <cell r="T2344"/>
          <cell r="U2344"/>
          <cell r="V2344">
            <v>0</v>
          </cell>
          <cell r="W2344">
            <v>1.3792850145713077E-5</v>
          </cell>
          <cell r="X2344">
            <v>0</v>
          </cell>
          <cell r="Y2344" t="str">
            <v>Conquistar</v>
          </cell>
        </row>
        <row r="2345">
          <cell r="A2345" t="str">
            <v>8897</v>
          </cell>
          <cell r="B2345" t="str">
            <v>8897 - FARMACIA GLOBALSALUD, C.A.</v>
          </cell>
          <cell r="C2345" t="str">
            <v>INDEPENDIENTE</v>
          </cell>
          <cell r="D2345">
            <v>1</v>
          </cell>
          <cell r="E2345"/>
          <cell r="F2345" t="str">
            <v>ESTE</v>
          </cell>
          <cell r="G2345" t="str">
            <v>CARMEN ALCALA</v>
          </cell>
          <cell r="H2345"/>
          <cell r="I2345" t="str">
            <v>A6</v>
          </cell>
          <cell r="J2345" t="str">
            <v>Inactivo</v>
          </cell>
          <cell r="K2345">
            <v>714.26369999999997</v>
          </cell>
          <cell r="L2345">
            <v>178.56592499999999</v>
          </cell>
          <cell r="M2345">
            <v>0.89090000000000003</v>
          </cell>
          <cell r="N2345" t="str">
            <v>Si Compra</v>
          </cell>
          <cell r="O2345">
            <v>4</v>
          </cell>
          <cell r="P2345">
            <v>1507.508</v>
          </cell>
          <cell r="Q2345">
            <v>376.87700000000001</v>
          </cell>
          <cell r="R2345">
            <v>0</v>
          </cell>
          <cell r="T2345"/>
          <cell r="U2345"/>
          <cell r="V2345">
            <v>0.47380425178506513</v>
          </cell>
          <cell r="W2345">
            <v>6.8183371598975104E-6</v>
          </cell>
          <cell r="X2345">
            <v>3</v>
          </cell>
          <cell r="Y2345" t="str">
            <v>Potenciar</v>
          </cell>
        </row>
        <row r="2346">
          <cell r="A2346" t="str">
            <v>E711</v>
          </cell>
          <cell r="B2346" t="str">
            <v>E711 - BARAK FARMA, C.A</v>
          </cell>
          <cell r="C2346" t="e">
            <v>#N/A</v>
          </cell>
          <cell r="D2346">
            <v>1</v>
          </cell>
          <cell r="F2346" t="str">
            <v>ESTE</v>
          </cell>
          <cell r="G2346">
            <v>0</v>
          </cell>
          <cell r="H2346"/>
          <cell r="I2346" t="str">
            <v>A0</v>
          </cell>
          <cell r="J2346" t="str">
            <v>Inactivo</v>
          </cell>
          <cell r="K2346">
            <v>705.6576</v>
          </cell>
          <cell r="L2346">
            <v>705.6576</v>
          </cell>
          <cell r="M2346">
            <v>705.6576</v>
          </cell>
          <cell r="N2346" t="str">
            <v>Si Compra</v>
          </cell>
          <cell r="O2346">
            <v>1</v>
          </cell>
          <cell r="P2346">
            <v>0</v>
          </cell>
          <cell r="Q2346">
            <v>0</v>
          </cell>
          <cell r="R2346">
            <v>0</v>
          </cell>
          <cell r="V2346">
            <v>0</v>
          </cell>
          <cell r="W2346">
            <v>2.6944734479683587E-5</v>
          </cell>
          <cell r="X2346">
            <v>0</v>
          </cell>
          <cell r="Y2346" t="str">
            <v>Conquistar</v>
          </cell>
        </row>
        <row r="2347">
          <cell r="A2347" t="str">
            <v>4569</v>
          </cell>
          <cell r="B2347" t="str">
            <v>4569 - FARMACIA GREGMAR C.A</v>
          </cell>
          <cell r="C2347" t="str">
            <v>INDEPENDIENTE</v>
          </cell>
          <cell r="D2347">
            <v>3</v>
          </cell>
          <cell r="E2347"/>
          <cell r="F2347" t="str">
            <v>ANDES</v>
          </cell>
          <cell r="G2347" t="str">
            <v>ZULAY PARRA</v>
          </cell>
          <cell r="H2347"/>
          <cell r="I2347" t="str">
            <v>5</v>
          </cell>
          <cell r="J2347" t="str">
            <v>Activo</v>
          </cell>
          <cell r="K2347">
            <v>698.30798672267281</v>
          </cell>
          <cell r="L2347">
            <v>69.830798672267278</v>
          </cell>
          <cell r="M2347">
            <v>61.866066666666661</v>
          </cell>
          <cell r="N2347" t="str">
            <v>Si Compra</v>
          </cell>
          <cell r="O2347">
            <v>10</v>
          </cell>
          <cell r="P2347">
            <v>4243.7880208484712</v>
          </cell>
          <cell r="Q2347">
            <v>424.37880208484711</v>
          </cell>
          <cell r="R2347">
            <v>316.1053</v>
          </cell>
          <cell r="T2347"/>
          <cell r="U2347"/>
          <cell r="V2347">
            <v>0.16454827227281213</v>
          </cell>
          <cell r="W2347">
            <v>2.6664097839072138E-6</v>
          </cell>
          <cell r="X2347">
            <v>10</v>
          </cell>
          <cell r="Y2347" t="str">
            <v>Conquistar</v>
          </cell>
        </row>
        <row r="2348">
          <cell r="A2348" t="str">
            <v>1410</v>
          </cell>
          <cell r="B2348" t="str">
            <v>1410 - CENTRO CLINICO SANTA ROSA, C.A.</v>
          </cell>
          <cell r="C2348" t="e">
            <v>#N/A</v>
          </cell>
          <cell r="D2348">
            <v>1</v>
          </cell>
          <cell r="E2348"/>
          <cell r="F2348" t="str">
            <v>ESTE</v>
          </cell>
          <cell r="G2348">
            <v>0</v>
          </cell>
          <cell r="H2348"/>
          <cell r="I2348" t="str">
            <v>A3</v>
          </cell>
          <cell r="J2348" t="str">
            <v>Activo</v>
          </cell>
          <cell r="K2348">
            <v>694.38229999999999</v>
          </cell>
          <cell r="L2348">
            <v>347.19114999999999</v>
          </cell>
          <cell r="M2348">
            <v>347.19114999999999</v>
          </cell>
          <cell r="N2348" t="str">
            <v>Si Compra</v>
          </cell>
          <cell r="O2348">
            <v>2</v>
          </cell>
          <cell r="P2348">
            <v>0</v>
          </cell>
          <cell r="Q2348">
            <v>0</v>
          </cell>
          <cell r="R2348">
            <v>0</v>
          </cell>
          <cell r="T2348"/>
          <cell r="U2348"/>
          <cell r="V2348">
            <v>0</v>
          </cell>
          <cell r="W2348">
            <v>1.3257099973763473E-5</v>
          </cell>
          <cell r="X2348">
            <v>0</v>
          </cell>
          <cell r="Y2348" t="str">
            <v>Conquistar</v>
          </cell>
        </row>
        <row r="2349">
          <cell r="A2349" t="str">
            <v>E151</v>
          </cell>
          <cell r="B2349" t="str">
            <v>E151 - FARMACIA ACTIVA 24/7 C.A</v>
          </cell>
          <cell r="C2349" t="str">
            <v>INDEPENDIENTE</v>
          </cell>
          <cell r="D2349">
            <v>2</v>
          </cell>
          <cell r="F2349" t="str">
            <v>ANDES</v>
          </cell>
          <cell r="G2349">
            <v>0</v>
          </cell>
          <cell r="H2349"/>
          <cell r="I2349" t="str">
            <v>G2</v>
          </cell>
          <cell r="J2349" t="str">
            <v>Activo</v>
          </cell>
          <cell r="K2349">
            <v>681.30144104137287</v>
          </cell>
          <cell r="L2349">
            <v>97.328777291624689</v>
          </cell>
          <cell r="M2349">
            <v>102.62307052068644</v>
          </cell>
          <cell r="N2349" t="str">
            <v>Si Compra</v>
          </cell>
          <cell r="O2349">
            <v>7</v>
          </cell>
          <cell r="P2349">
            <v>0</v>
          </cell>
          <cell r="Q2349">
            <v>0</v>
          </cell>
          <cell r="R2349">
            <v>0</v>
          </cell>
          <cell r="V2349">
            <v>0</v>
          </cell>
          <cell r="W2349">
            <v>3.7163888851407323E-6</v>
          </cell>
          <cell r="X2349">
            <v>0</v>
          </cell>
          <cell r="Y2349" t="str">
            <v>Conquistar</v>
          </cell>
        </row>
        <row r="2350">
          <cell r="A2350" t="str">
            <v>E549</v>
          </cell>
          <cell r="B2350" t="str">
            <v>E549 - FARMACIA LOS TRES MOSQUETEROS 24, C.A.</v>
          </cell>
          <cell r="C2350" t="e">
            <v>#N/A</v>
          </cell>
          <cell r="D2350">
            <v>3</v>
          </cell>
          <cell r="F2350" t="str">
            <v>CENTRO ESTE</v>
          </cell>
          <cell r="G2350">
            <v>0</v>
          </cell>
          <cell r="H2350"/>
          <cell r="I2350" t="str">
            <v>+</v>
          </cell>
          <cell r="J2350" t="str">
            <v>Inactivo</v>
          </cell>
          <cell r="K2350">
            <v>679.64249999999993</v>
          </cell>
          <cell r="L2350">
            <v>226.54749999999999</v>
          </cell>
          <cell r="M2350">
            <v>226.54749999999999</v>
          </cell>
          <cell r="N2350" t="str">
            <v>Si Compra</v>
          </cell>
          <cell r="O2350">
            <v>3</v>
          </cell>
          <cell r="P2350">
            <v>0</v>
          </cell>
          <cell r="Q2350">
            <v>0</v>
          </cell>
          <cell r="R2350">
            <v>0</v>
          </cell>
          <cell r="V2350">
            <v>0</v>
          </cell>
          <cell r="W2350">
            <v>8.650459138449181E-6</v>
          </cell>
          <cell r="X2350">
            <v>0</v>
          </cell>
          <cell r="Y2350" t="str">
            <v>Conquistar</v>
          </cell>
        </row>
        <row r="2351">
          <cell r="A2351" t="str">
            <v>9850</v>
          </cell>
          <cell r="B2351" t="str">
            <v>9850 - FARMACIA LA SALUD, C.A.</v>
          </cell>
          <cell r="C2351" t="str">
            <v>INDEPENDIENTE</v>
          </cell>
          <cell r="D2351">
            <v>2</v>
          </cell>
          <cell r="E2351"/>
          <cell r="F2351" t="str">
            <v>MARACAIBO</v>
          </cell>
          <cell r="G2351" t="str">
            <v>ADRIANA ALBORNOZ</v>
          </cell>
          <cell r="H2351"/>
          <cell r="I2351" t="str">
            <v>Q</v>
          </cell>
          <cell r="J2351" t="str">
            <v>Activo</v>
          </cell>
          <cell r="K2351">
            <v>670.47019999999998</v>
          </cell>
          <cell r="L2351">
            <v>167.61754999999999</v>
          </cell>
          <cell r="M2351">
            <v>106.8933</v>
          </cell>
          <cell r="N2351" t="str">
            <v>Si Compra</v>
          </cell>
          <cell r="O2351">
            <v>4</v>
          </cell>
          <cell r="P2351">
            <v>8521.174500000001</v>
          </cell>
          <cell r="Q2351">
            <v>2130.2936250000002</v>
          </cell>
          <cell r="R2351">
            <v>1186.2024000000001</v>
          </cell>
          <cell r="T2351"/>
          <cell r="U2351"/>
          <cell r="V2351">
            <v>7.8682838850442499E-2</v>
          </cell>
          <cell r="W2351">
            <v>6.4002858877805431E-6</v>
          </cell>
          <cell r="X2351">
            <v>4</v>
          </cell>
          <cell r="Y2351" t="str">
            <v>Conquistar</v>
          </cell>
        </row>
        <row r="2352">
          <cell r="A2352" t="str">
            <v>A867</v>
          </cell>
          <cell r="B2352" t="str">
            <v>A867 - COSMOFARMA 24 MIRANDA, C.A.</v>
          </cell>
          <cell r="C2352" t="str">
            <v>INDEPENDIENTE</v>
          </cell>
          <cell r="D2352">
            <v>3</v>
          </cell>
          <cell r="E2352"/>
          <cell r="F2352" t="str">
            <v>ESTE</v>
          </cell>
          <cell r="G2352" t="str">
            <v>CARMEN ALCALA</v>
          </cell>
          <cell r="H2352"/>
          <cell r="I2352" t="str">
            <v>A6</v>
          </cell>
          <cell r="J2352" t="str">
            <v>Permiso</v>
          </cell>
          <cell r="K2352">
            <v>668.69010000000014</v>
          </cell>
          <cell r="L2352">
            <v>66.869010000000017</v>
          </cell>
          <cell r="M2352">
            <v>41.240433333333335</v>
          </cell>
          <cell r="N2352" t="str">
            <v>Si Compra</v>
          </cell>
          <cell r="O2352">
            <v>10</v>
          </cell>
          <cell r="P2352">
            <v>855.24109999999996</v>
          </cell>
          <cell r="Q2352">
            <v>85.524109999999993</v>
          </cell>
          <cell r="R2352">
            <v>42.943533333333335</v>
          </cell>
          <cell r="T2352"/>
          <cell r="U2352"/>
          <cell r="V2352">
            <v>0.78187320511140102</v>
          </cell>
          <cell r="W2352">
            <v>2.5533172453174272E-6</v>
          </cell>
          <cell r="X2352">
            <v>5</v>
          </cell>
          <cell r="Y2352" t="str">
            <v>Proteger</v>
          </cell>
        </row>
        <row r="2353">
          <cell r="A2353" t="str">
            <v>3114</v>
          </cell>
          <cell r="B2353" t="str">
            <v>3114 - SUCESION REGINO  ELEUTERIO RIVAS DASILVA  F.P (FARMACIA COLONCITO)</v>
          </cell>
          <cell r="C2353" t="str">
            <v>INDEPENDIENTE</v>
          </cell>
          <cell r="D2353">
            <v>0</v>
          </cell>
          <cell r="E2353"/>
          <cell r="F2353" t="str">
            <v>ANDES</v>
          </cell>
          <cell r="G2353" t="str">
            <v>JESUS CONTRERAS</v>
          </cell>
          <cell r="H2353"/>
          <cell r="I2353" t="str">
            <v>G2</v>
          </cell>
          <cell r="J2353" t="str">
            <v>Activo</v>
          </cell>
          <cell r="K2353">
            <v>633.50423092052392</v>
          </cell>
          <cell r="L2353">
            <v>158.37605773013098</v>
          </cell>
          <cell r="M2353">
            <v>0</v>
          </cell>
          <cell r="N2353" t="str">
            <v>No Compra</v>
          </cell>
          <cell r="O2353">
            <v>2</v>
          </cell>
          <cell r="P2353">
            <v>6023.6175457286336</v>
          </cell>
          <cell r="Q2353">
            <v>1505.9043864321584</v>
          </cell>
          <cell r="R2353">
            <v>0</v>
          </cell>
          <cell r="T2353"/>
          <cell r="U2353"/>
          <cell r="V2353">
            <v>0.10517006202854691</v>
          </cell>
          <cell r="W2353">
            <v>6.0474099952688362E-6</v>
          </cell>
          <cell r="X2353">
            <v>4</v>
          </cell>
          <cell r="Y2353" t="str">
            <v>Conquistar</v>
          </cell>
        </row>
        <row r="2354">
          <cell r="A2354" t="str">
            <v>9562</v>
          </cell>
          <cell r="B2354" t="str">
            <v>9562 - INVERSIONES Y SUMINISTROS VALERA 24, C.A</v>
          </cell>
          <cell r="C2354" t="str">
            <v>INDEPENDIENTE</v>
          </cell>
          <cell r="D2354">
            <v>2</v>
          </cell>
          <cell r="E2354"/>
          <cell r="F2354" t="str">
            <v>ANDES</v>
          </cell>
          <cell r="G2354" t="str">
            <v>MILAGRO BRICEñO</v>
          </cell>
          <cell r="H2354"/>
          <cell r="I2354" t="str">
            <v>G</v>
          </cell>
          <cell r="J2354" t="str">
            <v>Activo</v>
          </cell>
          <cell r="K2354">
            <v>632.82972803201221</v>
          </cell>
          <cell r="L2354">
            <v>70.314414225779132</v>
          </cell>
          <cell r="M2354">
            <v>55.968549999999993</v>
          </cell>
          <cell r="N2354" t="str">
            <v>Si Compra</v>
          </cell>
          <cell r="O2354">
            <v>8</v>
          </cell>
          <cell r="P2354">
            <v>59473.42587561917</v>
          </cell>
          <cell r="Q2354">
            <v>6608.1584306243521</v>
          </cell>
          <cell r="R2354">
            <v>0</v>
          </cell>
          <cell r="T2354"/>
          <cell r="U2354"/>
          <cell r="V2354">
            <v>1.0640546071038386E-2</v>
          </cell>
          <cell r="W2354">
            <v>2.6848760948767577E-6</v>
          </cell>
          <cell r="X2354">
            <v>2</v>
          </cell>
          <cell r="Y2354" t="str">
            <v>Conquistar</v>
          </cell>
        </row>
        <row r="2355">
          <cell r="A2355" t="str">
            <v>C776</v>
          </cell>
          <cell r="B2355" t="str">
            <v>LA BOTICA DEL AHORRO Y MAS</v>
          </cell>
          <cell r="C2355" t="e">
            <v>#N/A</v>
          </cell>
          <cell r="D2355">
            <v>2</v>
          </cell>
          <cell r="E2355"/>
          <cell r="F2355" t="str">
            <v>ANDES</v>
          </cell>
          <cell r="H2355"/>
          <cell r="I2355"/>
          <cell r="J2355" t="str">
            <v>Activo</v>
          </cell>
          <cell r="K2355">
            <v>628.16630778156775</v>
          </cell>
          <cell r="L2355">
            <v>314.08315389078388</v>
          </cell>
          <cell r="M2355">
            <v>314.08315389078388</v>
          </cell>
          <cell r="N2355" t="str">
            <v>Si Compra</v>
          </cell>
          <cell r="O2355">
            <v>2</v>
          </cell>
          <cell r="P2355">
            <v>43247.614521085197</v>
          </cell>
          <cell r="Q2355">
            <v>21623.807260542599</v>
          </cell>
          <cell r="R2355">
            <v>21623.807260542599</v>
          </cell>
          <cell r="S2355"/>
          <cell r="T2355"/>
          <cell r="U2355"/>
          <cell r="V2355">
            <v>1.4524877608574406E-2</v>
          </cell>
          <cell r="W2355">
            <v>1.1992908722486331E-5</v>
          </cell>
          <cell r="X2355">
            <v>2</v>
          </cell>
          <cell r="Y2355" t="str">
            <v>Conquistar</v>
          </cell>
        </row>
        <row r="2356">
          <cell r="A2356" t="str">
            <v>G84</v>
          </cell>
          <cell r="B2356" t="str">
            <v>G84 - ABREU JOSE(FARMACIA JOSE GREGORIO HERNANDEZ)</v>
          </cell>
          <cell r="C2356" t="str">
            <v>INDEPENDIENTE</v>
          </cell>
          <cell r="D2356">
            <v>0</v>
          </cell>
          <cell r="F2356" t="str">
            <v>ANDES</v>
          </cell>
          <cell r="G2356" t="str">
            <v>RAYNE ANDREINA NAVA</v>
          </cell>
          <cell r="H2356"/>
          <cell r="I2356" t="str">
            <v>G1</v>
          </cell>
          <cell r="J2356" t="str">
            <v>Bloqueado</v>
          </cell>
          <cell r="K2356">
            <v>621.05250000000001</v>
          </cell>
          <cell r="L2356">
            <v>310.52625</v>
          </cell>
          <cell r="M2356">
            <v>0</v>
          </cell>
          <cell r="N2356" t="str">
            <v>No Compra</v>
          </cell>
          <cell r="O2356">
            <v>2</v>
          </cell>
          <cell r="P2356">
            <v>4350.0895</v>
          </cell>
          <cell r="Q2356">
            <v>2175.04475</v>
          </cell>
          <cell r="R2356">
            <v>0</v>
          </cell>
          <cell r="V2356">
            <v>0.1427677522496951</v>
          </cell>
          <cell r="W2356">
            <v>1.1857092384779595E-5</v>
          </cell>
          <cell r="X2356">
            <v>2</v>
          </cell>
          <cell r="Y2356" t="str">
            <v>Conquistar</v>
          </cell>
        </row>
        <row r="2357">
          <cell r="A2357" t="str">
            <v>C674</v>
          </cell>
          <cell r="B2357" t="str">
            <v>C674 - FARMAPRADA NORTE, C.A.</v>
          </cell>
          <cell r="C2357" t="e">
            <v>#N/A</v>
          </cell>
          <cell r="D2357">
            <v>3</v>
          </cell>
          <cell r="E2357"/>
          <cell r="F2357" t="str">
            <v>ANDES</v>
          </cell>
          <cell r="G2357" t="str">
            <v>JESUS CONTRERAS</v>
          </cell>
          <cell r="H2357"/>
          <cell r="I2357" t="str">
            <v>G2</v>
          </cell>
          <cell r="J2357" t="str">
            <v>Inactivo</v>
          </cell>
          <cell r="K2357">
            <v>616.08420000000001</v>
          </cell>
          <cell r="L2357">
            <v>123.21684</v>
          </cell>
          <cell r="M2357">
            <v>90.143199999999993</v>
          </cell>
          <cell r="N2357" t="str">
            <v>Si Compra</v>
          </cell>
          <cell r="O2357">
            <v>5</v>
          </cell>
          <cell r="P2357">
            <v>332.5874</v>
          </cell>
          <cell r="Q2357">
            <v>110.86246666666666</v>
          </cell>
          <cell r="R2357">
            <v>0</v>
          </cell>
          <cell r="T2357"/>
          <cell r="U2357"/>
          <cell r="V2357">
            <v>1.1114387376070172</v>
          </cell>
          <cell r="W2357">
            <v>4.7048951746933017E-6</v>
          </cell>
          <cell r="X2357">
            <v>2</v>
          </cell>
          <cell r="Y2357" t="str">
            <v>Proteger</v>
          </cell>
        </row>
        <row r="2358">
          <cell r="A2358" t="str">
            <v>8677</v>
          </cell>
          <cell r="B2358" t="str">
            <v>8677 - FARMACIA CANAAN MONAY C.A.</v>
          </cell>
          <cell r="C2358" t="str">
            <v>INDEPENDIENTE</v>
          </cell>
          <cell r="D2358">
            <v>2</v>
          </cell>
          <cell r="E2358"/>
          <cell r="F2358" t="str">
            <v>ANDES</v>
          </cell>
          <cell r="H2358"/>
          <cell r="I2358" t="str">
            <v>G1</v>
          </cell>
          <cell r="J2358" t="str">
            <v>Activo</v>
          </cell>
          <cell r="K2358">
            <v>615.84620000000007</v>
          </cell>
          <cell r="L2358">
            <v>307.92310000000003</v>
          </cell>
          <cell r="M2358">
            <v>0</v>
          </cell>
          <cell r="N2358" t="str">
            <v>No Compra</v>
          </cell>
          <cell r="O2358">
            <v>2</v>
          </cell>
          <cell r="P2358">
            <v>0</v>
          </cell>
          <cell r="Q2358">
            <v>0</v>
          </cell>
          <cell r="R2358">
            <v>0</v>
          </cell>
          <cell r="T2358"/>
          <cell r="U2358"/>
          <cell r="V2358">
            <v>0</v>
          </cell>
          <cell r="W2358">
            <v>1.1757694056807519E-5</v>
          </cell>
          <cell r="X2358">
            <v>0</v>
          </cell>
          <cell r="Y2358" t="str">
            <v>Conquistar</v>
          </cell>
        </row>
        <row r="2359">
          <cell r="A2359" t="str">
            <v>1815</v>
          </cell>
          <cell r="B2359" t="str">
            <v>1815 - FARMACIA LUZ, C.A</v>
          </cell>
          <cell r="C2359" t="e">
            <v>#N/A</v>
          </cell>
          <cell r="D2359">
            <v>2</v>
          </cell>
          <cell r="E2359"/>
          <cell r="F2359" t="str">
            <v>ESTE</v>
          </cell>
          <cell r="G2359" t="str">
            <v>CARMEN ALCALA</v>
          </cell>
          <cell r="H2359"/>
          <cell r="I2359" t="str">
            <v>A6</v>
          </cell>
          <cell r="J2359" t="str">
            <v>Activo</v>
          </cell>
          <cell r="K2359">
            <v>599.62699999999995</v>
          </cell>
          <cell r="L2359">
            <v>199.87566666666666</v>
          </cell>
          <cell r="M2359">
            <v>176.28740000000002</v>
          </cell>
          <cell r="N2359" t="str">
            <v>Si Compra</v>
          </cell>
          <cell r="O2359">
            <v>3</v>
          </cell>
          <cell r="P2359">
            <v>59387.124299999996</v>
          </cell>
          <cell r="Q2359">
            <v>19795.7081</v>
          </cell>
          <cell r="R2359">
            <v>6703.9126500000002</v>
          </cell>
          <cell r="T2359"/>
          <cell r="U2359"/>
          <cell r="V2359">
            <v>1.0096919274469734E-2</v>
          </cell>
          <cell r="W2359">
            <v>7.6320254572232714E-6</v>
          </cell>
          <cell r="X2359">
            <v>3</v>
          </cell>
          <cell r="Y2359" t="str">
            <v>Conquistar</v>
          </cell>
        </row>
        <row r="2360">
          <cell r="A2360" t="str">
            <v>S48</v>
          </cell>
          <cell r="B2360" t="str">
            <v>S48 - FARMACIA CENTRO CIVICO, C. A.</v>
          </cell>
          <cell r="C2360" t="str">
            <v>INDEPENDIENTE</v>
          </cell>
          <cell r="D2360">
            <v>1</v>
          </cell>
          <cell r="F2360" t="str">
            <v>MARACAIBO</v>
          </cell>
          <cell r="G2360" t="str">
            <v>JOEL JIMENEZ</v>
          </cell>
          <cell r="H2360"/>
          <cell r="I2360" t="str">
            <v>S1</v>
          </cell>
          <cell r="J2360" t="str">
            <v>Bloqueado</v>
          </cell>
          <cell r="K2360">
            <v>593.21100000000001</v>
          </cell>
          <cell r="L2360">
            <v>74.151375000000002</v>
          </cell>
          <cell r="M2360">
            <v>42.374200000000002</v>
          </cell>
          <cell r="N2360" t="str">
            <v>Si Compra</v>
          </cell>
          <cell r="O2360">
            <v>8</v>
          </cell>
          <cell r="P2360">
            <v>0</v>
          </cell>
          <cell r="Q2360">
            <v>0</v>
          </cell>
          <cell r="R2360">
            <v>0</v>
          </cell>
          <cell r="V2360">
            <v>0</v>
          </cell>
          <cell r="W2360">
            <v>2.8313860867911684E-6</v>
          </cell>
          <cell r="X2360">
            <v>0</v>
          </cell>
          <cell r="Y2360" t="str">
            <v>Conquistar</v>
          </cell>
        </row>
        <row r="2361">
          <cell r="A2361" t="str">
            <v>9898</v>
          </cell>
          <cell r="B2361" t="str">
            <v>9898 - CHARCU MARKET 2017 C.A</v>
          </cell>
          <cell r="C2361" t="str">
            <v>INDEPENDIENTE</v>
          </cell>
          <cell r="D2361">
            <v>3</v>
          </cell>
          <cell r="E2361"/>
          <cell r="F2361" t="str">
            <v>CENTRO OESTE</v>
          </cell>
          <cell r="H2361"/>
          <cell r="I2361"/>
          <cell r="J2361" t="str">
            <v>Activo</v>
          </cell>
          <cell r="K2361">
            <v>592.65319999999997</v>
          </cell>
          <cell r="L2361">
            <v>59.265319999999996</v>
          </cell>
          <cell r="M2361">
            <v>61.521233333333335</v>
          </cell>
          <cell r="N2361" t="str">
            <v>Si Compra</v>
          </cell>
          <cell r="O2361">
            <v>10</v>
          </cell>
          <cell r="P2361">
            <v>0</v>
          </cell>
          <cell r="Q2361">
            <v>0</v>
          </cell>
          <cell r="R2361">
            <v>0</v>
          </cell>
          <cell r="S2361"/>
          <cell r="T2361"/>
          <cell r="U2361"/>
          <cell r="V2361">
            <v>0</v>
          </cell>
          <cell r="W2361">
            <v>2.2629789734475773E-6</v>
          </cell>
          <cell r="X2361">
            <v>0</v>
          </cell>
          <cell r="Y2361" t="str">
            <v>Conquistar</v>
          </cell>
        </row>
        <row r="2362">
          <cell r="A2362" t="str">
            <v>B317</v>
          </cell>
          <cell r="B2362" t="str">
            <v>B317 - FARMANORTE R&amp;F, C.A.</v>
          </cell>
          <cell r="C2362" t="str">
            <v>INDEPENDIENTE</v>
          </cell>
          <cell r="D2362">
            <v>1</v>
          </cell>
          <cell r="E2362"/>
          <cell r="F2362" t="str">
            <v>ESTE</v>
          </cell>
          <cell r="G2362" t="str">
            <v>ALEXMAR CASTILLO</v>
          </cell>
          <cell r="H2362"/>
          <cell r="I2362" t="str">
            <v>A1</v>
          </cell>
          <cell r="J2362" t="str">
            <v>Activo</v>
          </cell>
          <cell r="K2362">
            <v>591.76170000000002</v>
          </cell>
          <cell r="L2362">
            <v>84.537385714285719</v>
          </cell>
          <cell r="M2362">
            <v>5.75</v>
          </cell>
          <cell r="N2362" t="str">
            <v>Si Compra</v>
          </cell>
          <cell r="O2362">
            <v>7</v>
          </cell>
          <cell r="P2362">
            <v>27342.456399999999</v>
          </cell>
          <cell r="Q2362">
            <v>3906.0652</v>
          </cell>
          <cell r="R2362">
            <v>0</v>
          </cell>
          <cell r="T2362"/>
          <cell r="U2362"/>
          <cell r="V2362">
            <v>2.1642594628037883E-2</v>
          </cell>
          <cell r="W2362">
            <v>3.2279641169853836E-6</v>
          </cell>
          <cell r="X2362">
            <v>3</v>
          </cell>
          <cell r="Y2362" t="str">
            <v>Conquistar</v>
          </cell>
        </row>
        <row r="2363">
          <cell r="A2363" t="str">
            <v>C940</v>
          </cell>
          <cell r="B2363" t="str">
            <v>C940 - FARMACIA DEL CENTRO 2021, C.A.</v>
          </cell>
          <cell r="C2363" t="str">
            <v>INDEPENDIENTE</v>
          </cell>
          <cell r="D2363">
            <v>0</v>
          </cell>
          <cell r="E2363"/>
          <cell r="F2363" t="str">
            <v>CENTRO ESTE</v>
          </cell>
          <cell r="G2363" t="str">
            <v>MARCOS CRUCES</v>
          </cell>
          <cell r="H2363"/>
          <cell r="I2363" t="str">
            <v>AV</v>
          </cell>
          <cell r="J2363" t="str">
            <v>Activo</v>
          </cell>
          <cell r="K2363">
            <v>588.43849999999998</v>
          </cell>
          <cell r="L2363">
            <v>588.43849999999998</v>
          </cell>
          <cell r="M2363">
            <v>0</v>
          </cell>
          <cell r="N2363" t="str">
            <v>No Compra</v>
          </cell>
          <cell r="O2363">
            <v>1</v>
          </cell>
          <cell r="P2363">
            <v>2230.8557999999998</v>
          </cell>
          <cell r="Q2363">
            <v>2230.8557999999998</v>
          </cell>
          <cell r="R2363">
            <v>0</v>
          </cell>
          <cell r="T2363"/>
          <cell r="U2363"/>
          <cell r="V2363">
            <v>0.26377253966840886</v>
          </cell>
          <cell r="W2363">
            <v>2.246885619898842E-5</v>
          </cell>
          <cell r="X2363">
            <v>1</v>
          </cell>
          <cell r="Y2363" t="str">
            <v>Potenciar</v>
          </cell>
        </row>
        <row r="2364">
          <cell r="A2364" t="str">
            <v>E412</v>
          </cell>
          <cell r="B2364" t="str">
            <v>E412 - CITADEL MARKET, F.P</v>
          </cell>
          <cell r="C2364" t="e">
            <v>#N/A</v>
          </cell>
          <cell r="D2364">
            <v>3</v>
          </cell>
          <cell r="F2364" t="str">
            <v>ANDES</v>
          </cell>
          <cell r="G2364">
            <v>0</v>
          </cell>
          <cell r="H2364"/>
          <cell r="I2364" t="str">
            <v>6</v>
          </cell>
          <cell r="J2364" t="str">
            <v>Activo</v>
          </cell>
          <cell r="K2364">
            <v>573.976</v>
          </cell>
          <cell r="L2364">
            <v>114.79519999999999</v>
          </cell>
          <cell r="M2364">
            <v>94.543899999999994</v>
          </cell>
          <cell r="N2364" t="str">
            <v>Si Compra</v>
          </cell>
          <cell r="O2364">
            <v>5</v>
          </cell>
          <cell r="P2364">
            <v>0</v>
          </cell>
          <cell r="Q2364">
            <v>0</v>
          </cell>
          <cell r="R2364">
            <v>0</v>
          </cell>
          <cell r="V2364">
            <v>0</v>
          </cell>
          <cell r="W2364">
            <v>4.3833244105103851E-6</v>
          </cell>
          <cell r="X2364">
            <v>0</v>
          </cell>
          <cell r="Y2364" t="str">
            <v>Conquistar</v>
          </cell>
        </row>
        <row r="2365">
          <cell r="A2365" t="str">
            <v>B324</v>
          </cell>
          <cell r="B2365" t="str">
            <v>B324 - LALY FARMA, C.A.</v>
          </cell>
          <cell r="C2365" t="str">
            <v>INDEPENDIENTE</v>
          </cell>
          <cell r="D2365">
            <v>1</v>
          </cell>
          <cell r="E2365"/>
          <cell r="F2365" t="str">
            <v>ESTE</v>
          </cell>
          <cell r="G2365" t="str">
            <v>CARLOS BLONDELL</v>
          </cell>
          <cell r="H2365"/>
          <cell r="I2365" t="str">
            <v>A5</v>
          </cell>
          <cell r="J2365" t="str">
            <v>Activo</v>
          </cell>
          <cell r="K2365">
            <v>554.96460000000002</v>
          </cell>
          <cell r="L2365">
            <v>138.74115</v>
          </cell>
          <cell r="M2365">
            <v>197.5729</v>
          </cell>
          <cell r="N2365" t="str">
            <v>Si Compra</v>
          </cell>
          <cell r="O2365">
            <v>4</v>
          </cell>
          <cell r="P2365">
            <v>34319.397599999997</v>
          </cell>
          <cell r="Q2365">
            <v>8579.8493999999992</v>
          </cell>
          <cell r="R2365">
            <v>7098.6785</v>
          </cell>
          <cell r="T2365"/>
          <cell r="U2365"/>
          <cell r="V2365">
            <v>1.6170581036072735E-2</v>
          </cell>
          <cell r="W2365">
            <v>5.2976733307427748E-6</v>
          </cell>
          <cell r="X2365">
            <v>4</v>
          </cell>
          <cell r="Y2365" t="str">
            <v>Conquistar</v>
          </cell>
        </row>
        <row r="2366">
          <cell r="A2366" t="str">
            <v>B468</v>
          </cell>
          <cell r="B2366" t="str">
            <v>B468 - COMERCIALIZADORA LIMPIA TODO C.A.</v>
          </cell>
          <cell r="C2366" t="str">
            <v>INDEPENDIENTE</v>
          </cell>
          <cell r="D2366">
            <v>0</v>
          </cell>
          <cell r="E2366"/>
          <cell r="F2366" t="str">
            <v>ESTE</v>
          </cell>
          <cell r="H2366"/>
          <cell r="I2366" t="str">
            <v>A7</v>
          </cell>
          <cell r="J2366" t="str">
            <v>Bloqueado</v>
          </cell>
          <cell r="K2366">
            <v>554.37840000000006</v>
          </cell>
          <cell r="L2366">
            <v>554.37840000000006</v>
          </cell>
          <cell r="M2366">
            <v>0</v>
          </cell>
          <cell r="N2366" t="str">
            <v>No Compra</v>
          </cell>
          <cell r="O2366">
            <v>1</v>
          </cell>
          <cell r="P2366">
            <v>0</v>
          </cell>
          <cell r="Q2366">
            <v>0</v>
          </cell>
          <cell r="R2366">
            <v>0</v>
          </cell>
          <cell r="T2366"/>
          <cell r="U2366"/>
          <cell r="V2366">
            <v>0</v>
          </cell>
          <cell r="W2366">
            <v>2.1168309941353742E-5</v>
          </cell>
          <cell r="X2366">
            <v>0</v>
          </cell>
          <cell r="Y2366" t="str">
            <v>Conquistar</v>
          </cell>
        </row>
        <row r="2367">
          <cell r="A2367" t="str">
            <v>B770</v>
          </cell>
          <cell r="B2367" t="str">
            <v>B770 - FARMACIA LG 2021, C.A.</v>
          </cell>
          <cell r="C2367" t="str">
            <v>INDEPENDIENTE</v>
          </cell>
          <cell r="D2367">
            <v>0</v>
          </cell>
          <cell r="E2367"/>
          <cell r="F2367" t="str">
            <v>CENTRO ESTE</v>
          </cell>
          <cell r="G2367" t="str">
            <v>KARLA SALAZAR</v>
          </cell>
          <cell r="H2367"/>
          <cell r="I2367" t="str">
            <v>O</v>
          </cell>
          <cell r="J2367" t="str">
            <v>Bloqueado</v>
          </cell>
          <cell r="K2367">
            <v>552.84802239324426</v>
          </cell>
          <cell r="L2367">
            <v>184.28267413108142</v>
          </cell>
          <cell r="M2367">
            <v>0</v>
          </cell>
          <cell r="N2367" t="str">
            <v>No Compra</v>
          </cell>
          <cell r="O2367">
            <v>3</v>
          </cell>
          <cell r="P2367">
            <v>52337.631424690757</v>
          </cell>
          <cell r="Q2367">
            <v>17445.877141563586</v>
          </cell>
          <cell r="R2367">
            <v>0</v>
          </cell>
          <cell r="T2367"/>
          <cell r="U2367"/>
          <cell r="V2367">
            <v>1.0563107411323033E-2</v>
          </cell>
          <cell r="W2367">
            <v>7.036624736512502E-6</v>
          </cell>
          <cell r="X2367">
            <v>3</v>
          </cell>
          <cell r="Y2367" t="str">
            <v>Conquistar</v>
          </cell>
        </row>
        <row r="2368">
          <cell r="A2368" t="str">
            <v>D095</v>
          </cell>
          <cell r="B2368" t="str">
            <v>D095 - FARMACIA MARCHAP 2, C.A.</v>
          </cell>
          <cell r="C2368" t="e">
            <v>#N/A</v>
          </cell>
          <cell r="D2368">
            <v>1</v>
          </cell>
          <cell r="E2368"/>
          <cell r="F2368" t="str">
            <v>MARACAIBO</v>
          </cell>
          <cell r="G2368">
            <v>0</v>
          </cell>
          <cell r="H2368"/>
          <cell r="I2368" t="str">
            <v>S</v>
          </cell>
          <cell r="J2368" t="str">
            <v>Activo</v>
          </cell>
          <cell r="K2368">
            <v>552.80899437515882</v>
          </cell>
          <cell r="L2368">
            <v>138.2022485937897</v>
          </cell>
          <cell r="M2368">
            <v>16.926597187579418</v>
          </cell>
          <cell r="N2368" t="str">
            <v>Si Compra</v>
          </cell>
          <cell r="O2368">
            <v>3</v>
          </cell>
          <cell r="P2368">
            <v>0</v>
          </cell>
          <cell r="Q2368">
            <v>0</v>
          </cell>
          <cell r="R2368">
            <v>0</v>
          </cell>
          <cell r="T2368"/>
          <cell r="U2368"/>
          <cell r="V2368">
            <v>0</v>
          </cell>
          <cell r="W2368">
            <v>5.2770959922416878E-6</v>
          </cell>
          <cell r="X2368">
            <v>0</v>
          </cell>
          <cell r="Y2368" t="str">
            <v>Conquistar</v>
          </cell>
        </row>
        <row r="2369">
          <cell r="A2369" t="str">
            <v>2731</v>
          </cell>
          <cell r="B2369" t="str">
            <v>2731 - FARMACIA FARMACLINICO,C.A</v>
          </cell>
          <cell r="C2369" t="str">
            <v>INDEPENDIENTE</v>
          </cell>
          <cell r="D2369">
            <v>0</v>
          </cell>
          <cell r="E2369"/>
          <cell r="F2369" t="str">
            <v>MARACAIBO</v>
          </cell>
          <cell r="G2369" t="str">
            <v>JOEL JIMENEZ</v>
          </cell>
          <cell r="H2369"/>
          <cell r="I2369" t="str">
            <v>D</v>
          </cell>
          <cell r="J2369" t="str">
            <v>Activo</v>
          </cell>
          <cell r="K2369">
            <v>548.80890000000011</v>
          </cell>
          <cell r="L2369">
            <v>182.93630000000005</v>
          </cell>
          <cell r="M2369">
            <v>0</v>
          </cell>
          <cell r="N2369" t="str">
            <v>No Compra</v>
          </cell>
          <cell r="O2369">
            <v>3</v>
          </cell>
          <cell r="P2369">
            <v>2464.2440000000001</v>
          </cell>
          <cell r="Q2369">
            <v>821.41466666666668</v>
          </cell>
          <cell r="R2369">
            <v>0</v>
          </cell>
          <cell r="T2369"/>
          <cell r="U2369"/>
          <cell r="V2369">
            <v>0.22270883078136749</v>
          </cell>
          <cell r="W2369">
            <v>6.9852149685566223E-6</v>
          </cell>
          <cell r="X2369">
            <v>3</v>
          </cell>
          <cell r="Y2369" t="str">
            <v>Potenciar</v>
          </cell>
        </row>
        <row r="2370">
          <cell r="A2370" t="str">
            <v>B191</v>
          </cell>
          <cell r="B2370" t="str">
            <v>B191 - FARMATEM FARMACIA SANTA ROSALIA,C.A.</v>
          </cell>
          <cell r="C2370" t="str">
            <v>INDEPENDIENTE</v>
          </cell>
          <cell r="D2370">
            <v>0</v>
          </cell>
          <cell r="E2370"/>
          <cell r="F2370" t="str">
            <v>MARACAIBO</v>
          </cell>
          <cell r="G2370" t="str">
            <v>JOEL JIMENEZ</v>
          </cell>
          <cell r="H2370"/>
          <cell r="I2370" t="str">
            <v>D</v>
          </cell>
          <cell r="J2370" t="str">
            <v>Bloqueado</v>
          </cell>
          <cell r="K2370">
            <v>537.70889999999997</v>
          </cell>
          <cell r="L2370">
            <v>179.2363</v>
          </cell>
          <cell r="M2370">
            <v>0</v>
          </cell>
          <cell r="N2370" t="str">
            <v>No Compra</v>
          </cell>
          <cell r="O2370">
            <v>3</v>
          </cell>
          <cell r="P2370">
            <v>1095.4754</v>
          </cell>
          <cell r="Q2370">
            <v>365.1584666666667</v>
          </cell>
          <cell r="R2370">
            <v>0</v>
          </cell>
          <cell r="T2370"/>
          <cell r="U2370"/>
          <cell r="V2370">
            <v>0.49084525312024346</v>
          </cell>
          <cell r="W2370">
            <v>6.8439346683446922E-6</v>
          </cell>
          <cell r="X2370">
            <v>3</v>
          </cell>
          <cell r="Y2370" t="str">
            <v>Potenciar</v>
          </cell>
        </row>
        <row r="2371">
          <cell r="A2371" t="str">
            <v>A719</v>
          </cell>
          <cell r="B2371" t="str">
            <v>A719 - GLOBAL PHARMACY, C.A</v>
          </cell>
          <cell r="C2371" t="e">
            <v>#N/A</v>
          </cell>
          <cell r="D2371">
            <v>1</v>
          </cell>
          <cell r="E2371"/>
          <cell r="F2371" t="str">
            <v>ESTE</v>
          </cell>
          <cell r="G2371" t="str">
            <v>ALEXMAR CASTILLO</v>
          </cell>
          <cell r="H2371"/>
          <cell r="I2371" t="str">
            <v>A1</v>
          </cell>
          <cell r="J2371" t="str">
            <v>Bloqueado</v>
          </cell>
          <cell r="K2371">
            <v>537.0471</v>
          </cell>
          <cell r="L2371">
            <v>537.0471</v>
          </cell>
          <cell r="M2371">
            <v>537.0471</v>
          </cell>
          <cell r="N2371" t="str">
            <v>Si Compra</v>
          </cell>
          <cell r="O2371">
            <v>1</v>
          </cell>
          <cell r="P2371">
            <v>2536.5243999999998</v>
          </cell>
          <cell r="Q2371">
            <v>2536.5243999999998</v>
          </cell>
          <cell r="R2371">
            <v>2536.5243999999998</v>
          </cell>
          <cell r="T2371"/>
          <cell r="U2371"/>
          <cell r="V2371">
            <v>0.21172558008903838</v>
          </cell>
          <cell r="W2371">
            <v>2.05065339232286E-5</v>
          </cell>
          <cell r="X2371">
            <v>1</v>
          </cell>
          <cell r="Y2371" t="str">
            <v>Potenciar</v>
          </cell>
        </row>
        <row r="2372">
          <cell r="A2372" t="str">
            <v>9010</v>
          </cell>
          <cell r="B2372" t="str">
            <v>9010 - FARMACIA AV II LORA C.A</v>
          </cell>
          <cell r="C2372" t="str">
            <v>INDEPENDIENTE</v>
          </cell>
          <cell r="D2372">
            <v>0</v>
          </cell>
          <cell r="E2372"/>
          <cell r="F2372" t="str">
            <v>ANDES</v>
          </cell>
          <cell r="G2372" t="str">
            <v>MILAGRO BRICEñO</v>
          </cell>
          <cell r="H2372"/>
          <cell r="I2372" t="str">
            <v>G</v>
          </cell>
          <cell r="J2372" t="str">
            <v>Bloqueado</v>
          </cell>
          <cell r="K2372">
            <v>532.60550000000001</v>
          </cell>
          <cell r="L2372">
            <v>532.60550000000001</v>
          </cell>
          <cell r="M2372">
            <v>0</v>
          </cell>
          <cell r="N2372" t="str">
            <v>No Compra</v>
          </cell>
          <cell r="O2372">
            <v>1</v>
          </cell>
          <cell r="P2372">
            <v>892.6771</v>
          </cell>
          <cell r="Q2372">
            <v>892.6771</v>
          </cell>
          <cell r="R2372">
            <v>0</v>
          </cell>
          <cell r="T2372"/>
          <cell r="U2372"/>
          <cell r="V2372">
            <v>0.59663847095439104</v>
          </cell>
          <cell r="W2372">
            <v>2.0336936468790412E-5</v>
          </cell>
          <cell r="X2372">
            <v>1</v>
          </cell>
          <cell r="Y2372" t="str">
            <v>Potenciar</v>
          </cell>
        </row>
        <row r="2373">
          <cell r="A2373" t="str">
            <v>526</v>
          </cell>
          <cell r="B2373" t="str">
            <v>526 - FARMACIA SANTA RITA S.R.L.</v>
          </cell>
          <cell r="C2373" t="e">
            <v>#N/A</v>
          </cell>
          <cell r="D2373">
            <v>2</v>
          </cell>
          <cell r="E2373"/>
          <cell r="F2373" t="str">
            <v>ANDES</v>
          </cell>
          <cell r="G2373" t="str">
            <v>LUCIA DUGARTE</v>
          </cell>
          <cell r="H2373"/>
          <cell r="I2373" t="str">
            <v>6</v>
          </cell>
          <cell r="J2373" t="str">
            <v>Activo</v>
          </cell>
          <cell r="K2373">
            <v>526.41920000000005</v>
          </cell>
          <cell r="L2373">
            <v>263.20960000000002</v>
          </cell>
          <cell r="M2373">
            <v>263.20960000000002</v>
          </cell>
          <cell r="N2373" t="str">
            <v>Si Compra</v>
          </cell>
          <cell r="O2373">
            <v>2</v>
          </cell>
          <cell r="P2373">
            <v>5526.4305000000004</v>
          </cell>
          <cell r="Q2373">
            <v>2763.2152500000002</v>
          </cell>
          <cell r="R2373">
            <v>2763.2152500000002</v>
          </cell>
          <cell r="T2373"/>
          <cell r="U2373"/>
          <cell r="V2373">
            <v>9.5254830400925153E-2</v>
          </cell>
          <cell r="W2373">
            <v>1.0050359812611281E-5</v>
          </cell>
          <cell r="X2373">
            <v>2</v>
          </cell>
          <cell r="Y2373" t="str">
            <v>Conquistar</v>
          </cell>
        </row>
        <row r="2374">
          <cell r="A2374" t="str">
            <v>B218</v>
          </cell>
          <cell r="B2374" t="str">
            <v>B218 - AUTOMERCADOS EL BARATILLO, S.A.</v>
          </cell>
          <cell r="C2374" t="str">
            <v>INDEPENDIENTE</v>
          </cell>
          <cell r="D2374">
            <v>0</v>
          </cell>
          <cell r="E2374"/>
          <cell r="F2374" t="str">
            <v>MARACAIBO</v>
          </cell>
          <cell r="H2374"/>
          <cell r="I2374" t="str">
            <v>S</v>
          </cell>
          <cell r="J2374" t="str">
            <v>Bloqueado</v>
          </cell>
          <cell r="K2374">
            <v>506.69919999999996</v>
          </cell>
          <cell r="L2374">
            <v>168.89973333333333</v>
          </cell>
          <cell r="M2374">
            <v>0</v>
          </cell>
          <cell r="N2374" t="str">
            <v>No Compra</v>
          </cell>
          <cell r="O2374">
            <v>3</v>
          </cell>
          <cell r="P2374">
            <v>0</v>
          </cell>
          <cell r="Q2374">
            <v>0</v>
          </cell>
          <cell r="R2374">
            <v>0</v>
          </cell>
          <cell r="T2374"/>
          <cell r="U2374"/>
          <cell r="V2374">
            <v>0</v>
          </cell>
          <cell r="W2374">
            <v>6.4492446029859665E-6</v>
          </cell>
          <cell r="X2374">
            <v>0</v>
          </cell>
          <cell r="Y2374" t="str">
            <v>Conquistar</v>
          </cell>
        </row>
        <row r="2375">
          <cell r="A2375" t="str">
            <v>E398</v>
          </cell>
          <cell r="B2375" t="str">
            <v>E398 - EXPEND DE MEDICINA Y COSMETICOS BUENA VISTA C.A</v>
          </cell>
          <cell r="C2375" t="e">
            <v>#N/A</v>
          </cell>
          <cell r="D2375">
            <v>0</v>
          </cell>
          <cell r="F2375" t="str">
            <v>CENTRO ESTE</v>
          </cell>
          <cell r="H2375"/>
          <cell r="I2375" t="str">
            <v>AG</v>
          </cell>
          <cell r="J2375" t="str">
            <v>Inactivo</v>
          </cell>
          <cell r="K2375">
            <v>490.73669999999998</v>
          </cell>
          <cell r="L2375">
            <v>245.36834999999999</v>
          </cell>
          <cell r="M2375">
            <v>0</v>
          </cell>
          <cell r="N2375" t="str">
            <v>No Compra</v>
          </cell>
          <cell r="O2375">
            <v>2</v>
          </cell>
          <cell r="P2375">
            <v>0</v>
          </cell>
          <cell r="Q2375">
            <v>0</v>
          </cell>
          <cell r="R2375">
            <v>0</v>
          </cell>
          <cell r="V2375">
            <v>0</v>
          </cell>
          <cell r="W2375">
            <v>9.3691119325690955E-6</v>
          </cell>
          <cell r="X2375">
            <v>0</v>
          </cell>
          <cell r="Y2375" t="str">
            <v>Conquistar</v>
          </cell>
        </row>
        <row r="2376">
          <cell r="A2376" t="str">
            <v>E301</v>
          </cell>
          <cell r="B2376" t="str">
            <v>E301 - FARMA SALUD Y VIDA, C.A.</v>
          </cell>
          <cell r="C2376" t="e">
            <v>#N/A</v>
          </cell>
          <cell r="D2376">
            <v>3</v>
          </cell>
          <cell r="F2376" t="str">
            <v>CENTRO ESTE</v>
          </cell>
          <cell r="G2376">
            <v>0</v>
          </cell>
          <cell r="H2376"/>
          <cell r="I2376" t="str">
            <v>+</v>
          </cell>
          <cell r="J2376" t="str">
            <v>Activo</v>
          </cell>
          <cell r="K2376">
            <v>486.69139999999993</v>
          </cell>
          <cell r="L2376">
            <v>81.115233333333322</v>
          </cell>
          <cell r="M2376">
            <v>111.01683333333331</v>
          </cell>
          <cell r="N2376" t="str">
            <v>Si Compra</v>
          </cell>
          <cell r="O2376">
            <v>6</v>
          </cell>
          <cell r="P2376">
            <v>0</v>
          </cell>
          <cell r="Q2376">
            <v>0</v>
          </cell>
          <cell r="R2376">
            <v>0</v>
          </cell>
          <cell r="V2376">
            <v>0</v>
          </cell>
          <cell r="W2376">
            <v>3.0972931127281074E-6</v>
          </cell>
          <cell r="X2376">
            <v>0</v>
          </cell>
          <cell r="Y2376" t="str">
            <v>Conquistar</v>
          </cell>
        </row>
        <row r="2377">
          <cell r="A2377" t="str">
            <v>7142</v>
          </cell>
          <cell r="B2377" t="str">
            <v>7142 - LA NUEVA FARMACIA C.A</v>
          </cell>
          <cell r="C2377" t="str">
            <v>INDEPENDIENTE</v>
          </cell>
          <cell r="D2377">
            <v>3</v>
          </cell>
          <cell r="E2377"/>
          <cell r="F2377" t="str">
            <v>ESTE</v>
          </cell>
          <cell r="G2377" t="str">
            <v>ADOLFO GONZALEZ</v>
          </cell>
          <cell r="H2377"/>
          <cell r="I2377" t="str">
            <v>A8</v>
          </cell>
          <cell r="J2377" t="str">
            <v>Activo</v>
          </cell>
          <cell r="K2377">
            <v>463.96849999999989</v>
          </cell>
          <cell r="L2377">
            <v>46.396849999999986</v>
          </cell>
          <cell r="M2377">
            <v>41.738366666666664</v>
          </cell>
          <cell r="N2377" t="str">
            <v>Si Compra</v>
          </cell>
          <cell r="O2377">
            <v>10</v>
          </cell>
          <cell r="P2377">
            <v>187.93790000000001</v>
          </cell>
          <cell r="Q2377">
            <v>18.793790000000001</v>
          </cell>
          <cell r="R2377">
            <v>20.6435</v>
          </cell>
          <cell r="T2377"/>
          <cell r="U2377"/>
          <cell r="V2377">
            <v>2.4687330229825908</v>
          </cell>
          <cell r="W2377">
            <v>1.7716110532129281E-6</v>
          </cell>
          <cell r="X2377">
            <v>2</v>
          </cell>
          <cell r="Y2377" t="str">
            <v>Proteger</v>
          </cell>
        </row>
        <row r="2378">
          <cell r="A2378" t="str">
            <v>D249</v>
          </cell>
          <cell r="B2378" t="str">
            <v>D249 - FARMACIA SALUD Y FUTURO, C.A.</v>
          </cell>
          <cell r="C2378" t="str">
            <v>INDEPENDIENTE</v>
          </cell>
          <cell r="D2378">
            <v>0</v>
          </cell>
          <cell r="E2378"/>
          <cell r="F2378" t="str">
            <v>ANDES</v>
          </cell>
          <cell r="G2378" t="str">
            <v>ZULAY PARRA</v>
          </cell>
          <cell r="H2378"/>
          <cell r="I2378" t="str">
            <v>5</v>
          </cell>
          <cell r="J2378" t="str">
            <v>Activo</v>
          </cell>
          <cell r="K2378">
            <v>459.11559999999997</v>
          </cell>
          <cell r="L2378">
            <v>229.55779999999999</v>
          </cell>
          <cell r="M2378">
            <v>0</v>
          </cell>
          <cell r="N2378" t="str">
            <v>No Compra</v>
          </cell>
          <cell r="O2378">
            <v>2</v>
          </cell>
          <cell r="P2378">
            <v>3846.3045000000002</v>
          </cell>
          <cell r="Q2378">
            <v>1923.1522500000001</v>
          </cell>
          <cell r="R2378">
            <v>0</v>
          </cell>
          <cell r="T2378"/>
          <cell r="U2378"/>
          <cell r="V2378">
            <v>0.11936538045804744</v>
          </cell>
          <cell r="W2378">
            <v>8.7654040270243084E-6</v>
          </cell>
          <cell r="X2378">
            <v>2</v>
          </cell>
          <cell r="Y2378" t="str">
            <v>Conquistar</v>
          </cell>
        </row>
        <row r="2379">
          <cell r="A2379" t="str">
            <v>B868</v>
          </cell>
          <cell r="B2379" t="str">
            <v>B868 - FARMACIA HOSPIMEDIC MV, C.A.</v>
          </cell>
          <cell r="C2379" t="str">
            <v>INDEPENDIENTE</v>
          </cell>
          <cell r="D2379">
            <v>0</v>
          </cell>
          <cell r="E2379"/>
          <cell r="F2379" t="str">
            <v>ESTE</v>
          </cell>
          <cell r="G2379" t="str">
            <v>CARMEN ALCALA</v>
          </cell>
          <cell r="H2379"/>
          <cell r="I2379" t="str">
            <v>A6</v>
          </cell>
          <cell r="J2379" t="str">
            <v>Bloqueado</v>
          </cell>
          <cell r="K2379">
            <v>457.56840218340193</v>
          </cell>
          <cell r="L2379">
            <v>114.39210054585048</v>
          </cell>
          <cell r="M2379">
            <v>0</v>
          </cell>
          <cell r="N2379" t="str">
            <v>No Compra</v>
          </cell>
          <cell r="O2379">
            <v>3</v>
          </cell>
          <cell r="P2379">
            <v>40953.216515125263</v>
          </cell>
          <cell r="Q2379">
            <v>10238.304128781316</v>
          </cell>
          <cell r="R2379">
            <v>0</v>
          </cell>
          <cell r="T2379"/>
          <cell r="U2379"/>
          <cell r="V2379">
            <v>1.1172953948914075E-2</v>
          </cell>
          <cell r="W2379">
            <v>4.367932515402951E-6</v>
          </cell>
          <cell r="X2379">
            <v>4</v>
          </cell>
          <cell r="Y2379" t="str">
            <v>Conquistar</v>
          </cell>
        </row>
        <row r="2380">
          <cell r="A2380" t="str">
            <v>4971</v>
          </cell>
          <cell r="B2380" t="str">
            <v>4971 - FARMACIA CENTRO COMERCIAL PALO VERDE PLAZA, C.A.</v>
          </cell>
          <cell r="C2380" t="str">
            <v>INDEPENDIENTE</v>
          </cell>
          <cell r="D2380">
            <v>0</v>
          </cell>
          <cell r="E2380"/>
          <cell r="F2380" t="str">
            <v>CARACAS</v>
          </cell>
          <cell r="H2380"/>
          <cell r="I2380" t="str">
            <v>C1</v>
          </cell>
          <cell r="J2380" t="str">
            <v>Activo</v>
          </cell>
          <cell r="K2380">
            <v>453.56830000000002</v>
          </cell>
          <cell r="L2380">
            <v>226.78415000000001</v>
          </cell>
          <cell r="M2380">
            <v>0</v>
          </cell>
          <cell r="N2380" t="str">
            <v>No Compra</v>
          </cell>
          <cell r="O2380">
            <v>2</v>
          </cell>
          <cell r="P2380">
            <v>0</v>
          </cell>
          <cell r="Q2380">
            <v>0</v>
          </cell>
          <cell r="R2380">
            <v>0</v>
          </cell>
          <cell r="T2380"/>
          <cell r="U2380"/>
          <cell r="V2380">
            <v>0</v>
          </cell>
          <cell r="W2380">
            <v>8.6594953500830068E-6</v>
          </cell>
          <cell r="X2380">
            <v>0</v>
          </cell>
          <cell r="Y2380" t="str">
            <v>Conquistar</v>
          </cell>
        </row>
        <row r="2381">
          <cell r="A2381" t="str">
            <v>1900</v>
          </cell>
          <cell r="B2381" t="str">
            <v>SAN GREGORIO</v>
          </cell>
          <cell r="C2381" t="str">
            <v>CADENA</v>
          </cell>
          <cell r="D2381">
            <v>9</v>
          </cell>
          <cell r="E2381"/>
          <cell r="F2381" t="str">
            <v>CENTRO OESTE</v>
          </cell>
          <cell r="G2381" t="str">
            <v>SORALI SILVA</v>
          </cell>
          <cell r="H2381"/>
          <cell r="I2381" t="str">
            <v>C</v>
          </cell>
          <cell r="J2381" t="str">
            <v>Bloqueado</v>
          </cell>
          <cell r="K2381">
            <v>436.82580000000002</v>
          </cell>
          <cell r="L2381">
            <v>436.82580000000002</v>
          </cell>
          <cell r="M2381">
            <v>0</v>
          </cell>
          <cell r="N2381" t="str">
            <v>No Compra</v>
          </cell>
          <cell r="O2381">
            <v>1</v>
          </cell>
          <cell r="P2381">
            <v>1740.1232</v>
          </cell>
          <cell r="Q2381">
            <v>1740.1232</v>
          </cell>
          <cell r="R2381">
            <v>0</v>
          </cell>
          <cell r="T2381"/>
          <cell r="U2381"/>
          <cell r="V2381">
            <v>0.25103153615789964</v>
          </cell>
          <cell r="W2381">
            <v>1.6679697341707037E-5</v>
          </cell>
          <cell r="X2381">
            <v>1</v>
          </cell>
          <cell r="Y2381" t="str">
            <v>Potenciar</v>
          </cell>
        </row>
        <row r="2382">
          <cell r="A2382" t="str">
            <v>5890</v>
          </cell>
          <cell r="B2382" t="str">
            <v>5890 - FARMACIA LA FE, C.A</v>
          </cell>
          <cell r="C2382" t="str">
            <v>INDEPENDIENTE</v>
          </cell>
          <cell r="D2382">
            <v>0</v>
          </cell>
          <cell r="E2382"/>
          <cell r="F2382" t="str">
            <v>MARACAIBO</v>
          </cell>
          <cell r="G2382" t="str">
            <v>MARIA FUSELLA</v>
          </cell>
          <cell r="H2382"/>
          <cell r="I2382" t="str">
            <v>Z</v>
          </cell>
          <cell r="J2382" t="str">
            <v>Bloqueado</v>
          </cell>
          <cell r="K2382">
            <v>429.79829999999998</v>
          </cell>
          <cell r="L2382">
            <v>429.79829999999998</v>
          </cell>
          <cell r="M2382">
            <v>0</v>
          </cell>
          <cell r="N2382" t="str">
            <v>No Compra</v>
          </cell>
          <cell r="O2382">
            <v>1</v>
          </cell>
          <cell r="P2382">
            <v>928.00239999999997</v>
          </cell>
          <cell r="Q2382">
            <v>928.00239999999997</v>
          </cell>
          <cell r="R2382">
            <v>0</v>
          </cell>
          <cell r="T2382"/>
          <cell r="U2382"/>
          <cell r="V2382">
            <v>0.46314352204261539</v>
          </cell>
          <cell r="W2382">
            <v>1.6411360230966675E-5</v>
          </cell>
          <cell r="X2382">
            <v>1</v>
          </cell>
          <cell r="Y2382" t="str">
            <v>Potenciar</v>
          </cell>
        </row>
        <row r="2383">
          <cell r="A2383" t="str">
            <v>C723</v>
          </cell>
          <cell r="B2383" t="str">
            <v>C723 - FARMACIA LOS ANDES 89, C.A.</v>
          </cell>
          <cell r="C2383" t="str">
            <v>INDEPENDIENTE</v>
          </cell>
          <cell r="D2383">
            <v>0</v>
          </cell>
          <cell r="E2383"/>
          <cell r="F2383" t="str">
            <v>ESTE</v>
          </cell>
          <cell r="G2383" t="str">
            <v>CARMEN ALCALA</v>
          </cell>
          <cell r="H2383"/>
          <cell r="I2383" t="str">
            <v>A6</v>
          </cell>
          <cell r="J2383" t="str">
            <v>Bloqueado</v>
          </cell>
          <cell r="K2383">
            <v>420.0324</v>
          </cell>
          <cell r="L2383">
            <v>140.01079999999999</v>
          </cell>
          <cell r="M2383">
            <v>0</v>
          </cell>
          <cell r="N2383" t="str">
            <v>No Compra</v>
          </cell>
          <cell r="O2383">
            <v>3</v>
          </cell>
          <cell r="P2383">
            <v>3245.886</v>
          </cell>
          <cell r="Q2383">
            <v>1081.962</v>
          </cell>
          <cell r="R2383">
            <v>0</v>
          </cell>
          <cell r="T2383"/>
          <cell r="U2383"/>
          <cell r="V2383">
            <v>0.1294045447067457</v>
          </cell>
          <cell r="W2383">
            <v>5.3461534748411733E-6</v>
          </cell>
          <cell r="X2383">
            <v>3</v>
          </cell>
          <cell r="Y2383" t="str">
            <v>Conquistar</v>
          </cell>
        </row>
        <row r="2384">
          <cell r="A2384" t="str">
            <v>E059</v>
          </cell>
          <cell r="B2384" t="str">
            <v>E059 - MATERIALES MEDICOS DESCARTABLES BQTO, C.A</v>
          </cell>
          <cell r="C2384" t="str">
            <v>INDEPENDIENTE</v>
          </cell>
          <cell r="D2384">
            <v>2</v>
          </cell>
          <cell r="F2384" t="str">
            <v>CENTRO OESTE</v>
          </cell>
          <cell r="G2384">
            <v>0</v>
          </cell>
          <cell r="H2384"/>
          <cell r="I2384" t="str">
            <v>Y</v>
          </cell>
          <cell r="J2384" t="str">
            <v>Bloqueado</v>
          </cell>
          <cell r="K2384">
            <v>410.65155855306807</v>
          </cell>
          <cell r="L2384">
            <v>68.44192642551134</v>
          </cell>
          <cell r="M2384">
            <v>84.569289048660721</v>
          </cell>
          <cell r="N2384" t="str">
            <v>Si Compra</v>
          </cell>
          <cell r="O2384">
            <v>5</v>
          </cell>
          <cell r="P2384">
            <v>0</v>
          </cell>
          <cell r="Q2384">
            <v>0</v>
          </cell>
          <cell r="R2384">
            <v>0</v>
          </cell>
          <cell r="V2384">
            <v>0</v>
          </cell>
          <cell r="W2384">
            <v>2.6133772736429716E-6</v>
          </cell>
          <cell r="X2384">
            <v>0</v>
          </cell>
          <cell r="Y2384" t="str">
            <v>Conquistar</v>
          </cell>
        </row>
        <row r="2385">
          <cell r="A2385" t="str">
            <v>B538</v>
          </cell>
          <cell r="B2385" t="str">
            <v>B538 - FARMAGRUPO SANTA RITA C.A.</v>
          </cell>
          <cell r="C2385" t="str">
            <v>INDEPENDIENTE</v>
          </cell>
          <cell r="D2385">
            <v>3</v>
          </cell>
          <cell r="E2385"/>
          <cell r="F2385" t="str">
            <v>ANDES</v>
          </cell>
          <cell r="G2385" t="str">
            <v>JESUS CONTRERAS</v>
          </cell>
          <cell r="H2385"/>
          <cell r="I2385" t="str">
            <v>G2</v>
          </cell>
          <cell r="J2385" t="str">
            <v>Activo</v>
          </cell>
          <cell r="K2385">
            <v>399.07305300651376</v>
          </cell>
          <cell r="L2385">
            <v>57.010436143787679</v>
          </cell>
          <cell r="M2385">
            <v>53.709900000000005</v>
          </cell>
          <cell r="N2385" t="str">
            <v>Si Compra</v>
          </cell>
          <cell r="O2385">
            <v>7</v>
          </cell>
          <cell r="P2385">
            <v>3537.527673108435</v>
          </cell>
          <cell r="Q2385">
            <v>505.36109615834783</v>
          </cell>
          <cell r="R2385">
            <v>558.24046666666675</v>
          </cell>
          <cell r="T2385"/>
          <cell r="U2385"/>
          <cell r="V2385">
            <v>0.1128112879625468</v>
          </cell>
          <cell r="W2385">
            <v>2.1768787928668455E-6</v>
          </cell>
          <cell r="X2385">
            <v>7</v>
          </cell>
          <cell r="Y2385" t="str">
            <v>Conquistar</v>
          </cell>
        </row>
        <row r="2386">
          <cell r="A2386" t="str">
            <v>9342</v>
          </cell>
          <cell r="B2386" t="str">
            <v>9342 - FARMACIA SAN GABRIELE DELLA ADDOLORATA. BCG., C.A.</v>
          </cell>
          <cell r="C2386" t="str">
            <v>INDEPENDIENTE</v>
          </cell>
          <cell r="D2386">
            <v>0</v>
          </cell>
          <cell r="E2386"/>
          <cell r="F2386" t="str">
            <v>CARACAS</v>
          </cell>
          <cell r="G2386" t="str">
            <v>RAMON SERRANO</v>
          </cell>
          <cell r="H2386"/>
          <cell r="I2386" t="str">
            <v>CB</v>
          </cell>
          <cell r="J2386" t="str">
            <v>Bloqueado</v>
          </cell>
          <cell r="K2386">
            <v>382.88749999999999</v>
          </cell>
          <cell r="L2386">
            <v>382.88749999999999</v>
          </cell>
          <cell r="M2386">
            <v>0</v>
          </cell>
          <cell r="N2386" t="str">
            <v>No Compra</v>
          </cell>
          <cell r="O2386">
            <v>1</v>
          </cell>
          <cell r="P2386">
            <v>8774.5259999999998</v>
          </cell>
          <cell r="Q2386">
            <v>8774.5259999999998</v>
          </cell>
          <cell r="R2386">
            <v>0</v>
          </cell>
          <cell r="T2386"/>
          <cell r="U2386"/>
          <cell r="V2386">
            <v>4.3636260237874959E-2</v>
          </cell>
          <cell r="W2386">
            <v>1.4620124580377012E-5</v>
          </cell>
          <cell r="X2386">
            <v>1</v>
          </cell>
          <cell r="Y2386" t="str">
            <v>Conquistar</v>
          </cell>
        </row>
        <row r="2387">
          <cell r="A2387" t="str">
            <v>7226</v>
          </cell>
          <cell r="B2387" t="str">
            <v>7226 - FARMACIA LA ROSA, S.R.L</v>
          </cell>
          <cell r="C2387" t="str">
            <v>INDEPENDIENTE</v>
          </cell>
          <cell r="D2387">
            <v>0</v>
          </cell>
          <cell r="E2387"/>
          <cell r="F2387" t="str">
            <v>CARACAS</v>
          </cell>
          <cell r="G2387" t="str">
            <v>MAIRE ACOSTA FERNANDEZ</v>
          </cell>
          <cell r="H2387"/>
          <cell r="I2387" t="str">
            <v>C9</v>
          </cell>
          <cell r="J2387" t="str">
            <v>Bloqueado</v>
          </cell>
          <cell r="K2387">
            <v>375.98750000000001</v>
          </cell>
          <cell r="L2387">
            <v>93.996875000000003</v>
          </cell>
          <cell r="M2387">
            <v>0</v>
          </cell>
          <cell r="N2387" t="str">
            <v>No Compra</v>
          </cell>
          <cell r="O2387">
            <v>4</v>
          </cell>
          <cell r="P2387">
            <v>0</v>
          </cell>
          <cell r="Q2387">
            <v>0</v>
          </cell>
          <cell r="R2387">
            <v>0</v>
          </cell>
          <cell r="T2387"/>
          <cell r="U2387"/>
          <cell r="V2387">
            <v>0</v>
          </cell>
          <cell r="W2387">
            <v>3.5891639781035564E-6</v>
          </cell>
          <cell r="X2387">
            <v>0</v>
          </cell>
          <cell r="Y2387" t="str">
            <v>Conquistar</v>
          </cell>
        </row>
        <row r="2388">
          <cell r="A2388" t="str">
            <v>E721</v>
          </cell>
          <cell r="B2388" t="str">
            <v>E721 - NATURAL MEDICA C.A</v>
          </cell>
          <cell r="C2388" t="e">
            <v>#N/A</v>
          </cell>
          <cell r="D2388">
            <v>1</v>
          </cell>
          <cell r="F2388" t="str">
            <v>ANDES</v>
          </cell>
          <cell r="G2388">
            <v>0</v>
          </cell>
          <cell r="H2388"/>
          <cell r="I2388" t="str">
            <v>G2</v>
          </cell>
          <cell r="J2388" t="str">
            <v>Inactivo</v>
          </cell>
          <cell r="K2388">
            <v>373.88920000000002</v>
          </cell>
          <cell r="L2388">
            <v>373.88920000000002</v>
          </cell>
          <cell r="M2388">
            <v>373.88920000000002</v>
          </cell>
          <cell r="N2388" t="str">
            <v>Si Compra</v>
          </cell>
          <cell r="O2388">
            <v>1</v>
          </cell>
          <cell r="P2388">
            <v>0</v>
          </cell>
          <cell r="Q2388">
            <v>0</v>
          </cell>
          <cell r="R2388">
            <v>0</v>
          </cell>
          <cell r="V2388">
            <v>0</v>
          </cell>
          <cell r="W2388">
            <v>1.4276534708648093E-5</v>
          </cell>
          <cell r="X2388">
            <v>0</v>
          </cell>
          <cell r="Y2388" t="str">
            <v>Conquistar</v>
          </cell>
        </row>
        <row r="2389">
          <cell r="A2389" t="str">
            <v>E578</v>
          </cell>
          <cell r="B2389" t="str">
            <v>E578 - FARMASALUD MARA, C.A</v>
          </cell>
          <cell r="C2389" t="e">
            <v>#N/A</v>
          </cell>
          <cell r="D2389">
            <v>1</v>
          </cell>
          <cell r="F2389" t="str">
            <v>MARACAIBO</v>
          </cell>
          <cell r="G2389">
            <v>0</v>
          </cell>
          <cell r="H2389"/>
          <cell r="I2389" t="str">
            <v>D</v>
          </cell>
          <cell r="J2389" t="str">
            <v>Activo</v>
          </cell>
          <cell r="K2389">
            <v>371.78820000000002</v>
          </cell>
          <cell r="L2389">
            <v>371.78820000000002</v>
          </cell>
          <cell r="M2389">
            <v>371.78820000000002</v>
          </cell>
          <cell r="N2389" t="str">
            <v>Si Compra</v>
          </cell>
          <cell r="O2389">
            <v>1</v>
          </cell>
          <cell r="P2389">
            <v>0</v>
          </cell>
          <cell r="Q2389">
            <v>0</v>
          </cell>
          <cell r="R2389">
            <v>0</v>
          </cell>
          <cell r="V2389">
            <v>0</v>
          </cell>
          <cell r="W2389">
            <v>1.4196310408446672E-5</v>
          </cell>
          <cell r="X2389">
            <v>0</v>
          </cell>
          <cell r="Y2389" t="str">
            <v>Conquistar</v>
          </cell>
        </row>
        <row r="2390">
          <cell r="A2390" t="str">
            <v>E390</v>
          </cell>
          <cell r="B2390" t="str">
            <v>E390 - INVERSIONES MABELYS LAMEDA, F.P</v>
          </cell>
          <cell r="C2390" t="e">
            <v>#N/A</v>
          </cell>
          <cell r="D2390">
            <v>3</v>
          </cell>
          <cell r="F2390" t="str">
            <v>CENTRO ESTE</v>
          </cell>
          <cell r="G2390">
            <v>0</v>
          </cell>
          <cell r="H2390"/>
          <cell r="I2390" t="str">
            <v>I</v>
          </cell>
          <cell r="J2390" t="str">
            <v>Activo</v>
          </cell>
          <cell r="K2390">
            <v>359.94409999999999</v>
          </cell>
          <cell r="L2390">
            <v>71.988820000000004</v>
          </cell>
          <cell r="M2390">
            <v>47.064066666666669</v>
          </cell>
          <cell r="N2390" t="str">
            <v>Si Compra</v>
          </cell>
          <cell r="O2390">
            <v>5</v>
          </cell>
          <cell r="P2390">
            <v>0</v>
          </cell>
          <cell r="Q2390">
            <v>0</v>
          </cell>
          <cell r="R2390">
            <v>0</v>
          </cell>
          <cell r="V2390">
            <v>0</v>
          </cell>
          <cell r="W2390">
            <v>2.7488113787844637E-6</v>
          </cell>
          <cell r="X2390">
            <v>0</v>
          </cell>
          <cell r="Y2390" t="str">
            <v>Conquistar</v>
          </cell>
        </row>
        <row r="2391">
          <cell r="A2391" t="str">
            <v>A645</v>
          </cell>
          <cell r="B2391" t="str">
            <v>A645 - FARMASOL 2020,C.A</v>
          </cell>
          <cell r="C2391" t="e">
            <v>#N/A</v>
          </cell>
          <cell r="D2391">
            <v>1</v>
          </cell>
          <cell r="E2391"/>
          <cell r="F2391" t="str">
            <v>ESTE</v>
          </cell>
          <cell r="G2391" t="str">
            <v>ADOLFO GONZALEZ</v>
          </cell>
          <cell r="H2391"/>
          <cell r="I2391" t="str">
            <v>A8</v>
          </cell>
          <cell r="J2391" t="str">
            <v>Activo</v>
          </cell>
          <cell r="K2391">
            <v>343.39279999999997</v>
          </cell>
          <cell r="L2391">
            <v>114.46426666666666</v>
          </cell>
          <cell r="M2391">
            <v>7.1387</v>
          </cell>
          <cell r="N2391" t="str">
            <v>Si Compra</v>
          </cell>
          <cell r="O2391">
            <v>3</v>
          </cell>
          <cell r="P2391">
            <v>1184.8256000000001</v>
          </cell>
          <cell r="Q2391">
            <v>394.94186666666673</v>
          </cell>
          <cell r="R2391">
            <v>157.0104</v>
          </cell>
          <cell r="T2391"/>
          <cell r="U2391"/>
          <cell r="V2391">
            <v>0.28982560808949431</v>
          </cell>
          <cell r="W2391">
            <v>4.3706880968121508E-6</v>
          </cell>
          <cell r="X2391">
            <v>3</v>
          </cell>
          <cell r="Y2391" t="str">
            <v>Potenciar</v>
          </cell>
        </row>
        <row r="2392">
          <cell r="A2392" t="str">
            <v>C736</v>
          </cell>
          <cell r="B2392" t="str">
            <v>C736 - INVERSIONES FARMAX 2032, C.A</v>
          </cell>
          <cell r="C2392" t="e">
            <v>#N/A</v>
          </cell>
          <cell r="D2392">
            <v>0</v>
          </cell>
          <cell r="E2392"/>
          <cell r="F2392" t="str">
            <v>CARACAS</v>
          </cell>
          <cell r="H2392"/>
          <cell r="I2392" t="str">
            <v>C7</v>
          </cell>
          <cell r="J2392" t="str">
            <v>Bloqueado</v>
          </cell>
          <cell r="K2392">
            <v>332.21469999999999</v>
          </cell>
          <cell r="L2392">
            <v>332.21469999999999</v>
          </cell>
          <cell r="M2392">
            <v>0</v>
          </cell>
          <cell r="N2392" t="str">
            <v>No Compra</v>
          </cell>
          <cell r="O2392">
            <v>1</v>
          </cell>
          <cell r="P2392">
            <v>0</v>
          </cell>
          <cell r="Q2392">
            <v>0</v>
          </cell>
          <cell r="R2392">
            <v>0</v>
          </cell>
          <cell r="T2392"/>
          <cell r="U2392"/>
          <cell r="V2392">
            <v>0</v>
          </cell>
          <cell r="W2392">
            <v>1.2685241229950247E-5</v>
          </cell>
          <cell r="X2392">
            <v>0</v>
          </cell>
          <cell r="Y2392" t="str">
            <v>Conquistar</v>
          </cell>
        </row>
        <row r="2393">
          <cell r="A2393" t="str">
            <v>D015</v>
          </cell>
          <cell r="B2393" t="str">
            <v>D015 - FARMACOFFEL, C.A</v>
          </cell>
          <cell r="C2393" t="str">
            <v>INDEPENDIENTE</v>
          </cell>
          <cell r="D2393">
            <v>0</v>
          </cell>
          <cell r="E2393"/>
          <cell r="F2393" t="str">
            <v>ESTE</v>
          </cell>
          <cell r="G2393" t="str">
            <v>CARMEN ALCALA</v>
          </cell>
          <cell r="H2393"/>
          <cell r="I2393" t="str">
            <v>A6</v>
          </cell>
          <cell r="J2393" t="str">
            <v>Bloqueado</v>
          </cell>
          <cell r="K2393">
            <v>310.05770000000001</v>
          </cell>
          <cell r="L2393">
            <v>310.05770000000001</v>
          </cell>
          <cell r="M2393">
            <v>0</v>
          </cell>
          <cell r="N2393" t="str">
            <v>No Compra</v>
          </cell>
          <cell r="O2393">
            <v>1</v>
          </cell>
          <cell r="P2393">
            <v>1072.9401</v>
          </cell>
          <cell r="Q2393">
            <v>1072.9401</v>
          </cell>
          <cell r="R2393">
            <v>0</v>
          </cell>
          <cell r="T2393"/>
          <cell r="U2393"/>
          <cell r="V2393">
            <v>0.28897950593886834</v>
          </cell>
          <cell r="W2393">
            <v>1.1839201334870325E-5</v>
          </cell>
          <cell r="X2393">
            <v>1</v>
          </cell>
          <cell r="Y2393" t="str">
            <v>Potenciar</v>
          </cell>
        </row>
        <row r="2394">
          <cell r="A2394" t="str">
            <v>C966</v>
          </cell>
          <cell r="B2394" t="str">
            <v>C966 - UDEFARMA C.A.</v>
          </cell>
          <cell r="C2394" t="str">
            <v>INDEPENDIENTE</v>
          </cell>
          <cell r="D2394">
            <v>0</v>
          </cell>
          <cell r="E2394"/>
          <cell r="F2394" t="str">
            <v>ESTE</v>
          </cell>
          <cell r="H2394"/>
          <cell r="I2394" t="str">
            <v>A7</v>
          </cell>
          <cell r="J2394" t="str">
            <v>Bloqueado</v>
          </cell>
          <cell r="K2394">
            <v>309.59059999999999</v>
          </cell>
          <cell r="L2394">
            <v>309.59059999999999</v>
          </cell>
          <cell r="M2394">
            <v>0</v>
          </cell>
          <cell r="N2394" t="str">
            <v>No Compra</v>
          </cell>
          <cell r="O2394">
            <v>1</v>
          </cell>
          <cell r="P2394">
            <v>0</v>
          </cell>
          <cell r="Q2394">
            <v>0</v>
          </cell>
          <cell r="R2394">
            <v>0</v>
          </cell>
          <cell r="T2394"/>
          <cell r="U2394"/>
          <cell r="V2394">
            <v>0</v>
          </cell>
          <cell r="W2394">
            <v>1.1821365651565191E-5</v>
          </cell>
          <cell r="X2394">
            <v>0</v>
          </cell>
          <cell r="Y2394" t="str">
            <v>Conquistar</v>
          </cell>
        </row>
        <row r="2395">
          <cell r="A2395" t="str">
            <v>D003</v>
          </cell>
          <cell r="B2395" t="str">
            <v>D003 - EXPENDIO DE MEDICINAS MEDISALUD,C.A</v>
          </cell>
          <cell r="C2395" t="str">
            <v>INDEPENDIENTE</v>
          </cell>
          <cell r="D2395">
            <v>0</v>
          </cell>
          <cell r="E2395"/>
          <cell r="F2395" t="str">
            <v>CENTRO OESTE</v>
          </cell>
          <cell r="H2395"/>
          <cell r="I2395" t="str">
            <v xml:space="preserve">A </v>
          </cell>
          <cell r="J2395" t="str">
            <v>Bloqueado</v>
          </cell>
          <cell r="K2395">
            <v>299.75075534375571</v>
          </cell>
          <cell r="L2395">
            <v>99.916918447918576</v>
          </cell>
          <cell r="M2395">
            <v>0</v>
          </cell>
          <cell r="N2395" t="str">
            <v>No Compra</v>
          </cell>
          <cell r="O2395">
            <v>3</v>
          </cell>
          <cell r="P2395">
            <v>0</v>
          </cell>
          <cell r="Q2395">
            <v>0</v>
          </cell>
          <cell r="R2395">
            <v>0</v>
          </cell>
          <cell r="T2395"/>
          <cell r="U2395"/>
          <cell r="V2395">
            <v>0</v>
          </cell>
          <cell r="W2395">
            <v>3.8152141174520968E-6</v>
          </cell>
          <cell r="X2395">
            <v>0</v>
          </cell>
          <cell r="Y2395" t="str">
            <v>Conquistar</v>
          </cell>
        </row>
        <row r="2396">
          <cell r="A2396" t="str">
            <v>D932</v>
          </cell>
          <cell r="B2396" t="str">
            <v>D932 - BARUC FARMA C.A.</v>
          </cell>
          <cell r="C2396" t="str">
            <v>INDEPENDIENTE</v>
          </cell>
          <cell r="D2396">
            <v>1</v>
          </cell>
          <cell r="E2396"/>
          <cell r="F2396" t="str">
            <v>ESTE</v>
          </cell>
          <cell r="G2396" t="str">
            <v>CARMEN ALCALA</v>
          </cell>
          <cell r="H2396"/>
          <cell r="I2396" t="str">
            <v>A6</v>
          </cell>
          <cell r="J2396" t="str">
            <v>Activo</v>
          </cell>
          <cell r="K2396">
            <v>293.37819999999999</v>
          </cell>
          <cell r="L2396">
            <v>97.792733333333331</v>
          </cell>
          <cell r="M2396">
            <v>24.694299999999998</v>
          </cell>
          <cell r="N2396" t="str">
            <v>Si Compra</v>
          </cell>
          <cell r="O2396">
            <v>3</v>
          </cell>
          <cell r="P2396">
            <v>67762.486399999994</v>
          </cell>
          <cell r="Q2396">
            <v>22587.495466666664</v>
          </cell>
          <cell r="R2396">
            <v>45060.0265</v>
          </cell>
          <cell r="T2396"/>
          <cell r="U2396"/>
          <cell r="V2396">
            <v>4.3295076020114873E-3</v>
          </cell>
          <cell r="W2396">
            <v>3.7341045199671472E-6</v>
          </cell>
          <cell r="X2396">
            <v>3</v>
          </cell>
          <cell r="Y2396" t="str">
            <v>Conquistar</v>
          </cell>
        </row>
        <row r="2397">
          <cell r="A2397" t="str">
            <v>D331</v>
          </cell>
          <cell r="B2397" t="str">
            <v>D331 - TU FAR+CIA, C.A.</v>
          </cell>
          <cell r="C2397" t="str">
            <v>INDEPENDIENTE</v>
          </cell>
          <cell r="D2397">
            <v>0</v>
          </cell>
          <cell r="E2397"/>
          <cell r="F2397" t="str">
            <v>ANDES</v>
          </cell>
          <cell r="G2397" t="str">
            <v>MARIA GABRIELA FORTUL</v>
          </cell>
          <cell r="H2397"/>
          <cell r="I2397" t="str">
            <v>3</v>
          </cell>
          <cell r="J2397" t="str">
            <v>Bloqueado</v>
          </cell>
          <cell r="K2397">
            <v>286.65589999999997</v>
          </cell>
          <cell r="L2397">
            <v>286.65589999999997</v>
          </cell>
          <cell r="M2397">
            <v>0</v>
          </cell>
          <cell r="N2397" t="str">
            <v>No Compra</v>
          </cell>
          <cell r="O2397">
            <v>1</v>
          </cell>
          <cell r="P2397">
            <v>1919.7548999999999</v>
          </cell>
          <cell r="Q2397">
            <v>1919.7548999999999</v>
          </cell>
          <cell r="R2397">
            <v>0</v>
          </cell>
          <cell r="T2397"/>
          <cell r="U2397"/>
          <cell r="V2397">
            <v>0.14931900942146312</v>
          </cell>
          <cell r="W2397">
            <v>1.0945630164735319E-5</v>
          </cell>
          <cell r="X2397">
            <v>1</v>
          </cell>
          <cell r="Y2397" t="str">
            <v>Conquistar</v>
          </cell>
        </row>
        <row r="2398">
          <cell r="A2398" t="str">
            <v>1</v>
          </cell>
          <cell r="B2398" t="str">
            <v>GRUPO FARMALIANZA</v>
          </cell>
          <cell r="C2398" t="str">
            <v>CADENA</v>
          </cell>
          <cell r="D2398">
            <v>10</v>
          </cell>
          <cell r="E2398"/>
          <cell r="F2398" t="str">
            <v>CENTRO OESTE</v>
          </cell>
          <cell r="H2398"/>
          <cell r="I2398" t="str">
            <v>C</v>
          </cell>
          <cell r="J2398" t="str">
            <v>Bloqueado</v>
          </cell>
          <cell r="K2398">
            <v>283.89800000000002</v>
          </cell>
          <cell r="L2398">
            <v>283.89800000000002</v>
          </cell>
          <cell r="M2398">
            <v>0</v>
          </cell>
          <cell r="N2398" t="str">
            <v>No Compra</v>
          </cell>
          <cell r="O2398">
            <v>1</v>
          </cell>
          <cell r="P2398">
            <v>0</v>
          </cell>
          <cell r="Q2398">
            <v>0</v>
          </cell>
          <cell r="R2398">
            <v>0</v>
          </cell>
          <cell r="T2398"/>
          <cell r="U2398"/>
          <cell r="V2398">
            <v>0</v>
          </cell>
          <cell r="W2398">
            <v>1.0840322883666543E-5</v>
          </cell>
          <cell r="X2398">
            <v>0</v>
          </cell>
          <cell r="Y2398" t="str">
            <v>Conquistar</v>
          </cell>
        </row>
        <row r="2399">
          <cell r="A2399" t="str">
            <v>7983</v>
          </cell>
          <cell r="B2399" t="str">
            <v>7983 - FARMACIA PAEZ BEJUMA, C.A.</v>
          </cell>
          <cell r="C2399" t="str">
            <v>INDEPENDIENTE</v>
          </cell>
          <cell r="D2399">
            <v>0</v>
          </cell>
          <cell r="E2399"/>
          <cell r="F2399" t="str">
            <v>CENTRO ESTE</v>
          </cell>
          <cell r="G2399" t="str">
            <v>KARLA SALAZAR</v>
          </cell>
          <cell r="H2399"/>
          <cell r="I2399" t="str">
            <v>H</v>
          </cell>
          <cell r="J2399" t="str">
            <v>Activo</v>
          </cell>
          <cell r="K2399">
            <v>271.5838</v>
          </cell>
          <cell r="L2399">
            <v>90.527933333333337</v>
          </cell>
          <cell r="M2399">
            <v>0</v>
          </cell>
          <cell r="N2399" t="str">
            <v>No Compra</v>
          </cell>
          <cell r="O2399">
            <v>3</v>
          </cell>
          <cell r="P2399">
            <v>405.57100000000003</v>
          </cell>
          <cell r="Q2399">
            <v>135.19033333333334</v>
          </cell>
          <cell r="R2399">
            <v>0</v>
          </cell>
          <cell r="T2399"/>
          <cell r="U2399"/>
          <cell r="V2399">
            <v>0.66963318383217729</v>
          </cell>
          <cell r="W2399">
            <v>3.4567063780807632E-6</v>
          </cell>
          <cell r="X2399">
            <v>1</v>
          </cell>
          <cell r="Y2399" t="str">
            <v>Proteger</v>
          </cell>
        </row>
        <row r="2400">
          <cell r="A2400" t="str">
            <v>B433</v>
          </cell>
          <cell r="B2400" t="str">
            <v>B433 - FARMALISTO, C.A.</v>
          </cell>
          <cell r="C2400" t="str">
            <v>INDEPENDIENTE</v>
          </cell>
          <cell r="D2400">
            <v>1</v>
          </cell>
          <cell r="E2400"/>
          <cell r="F2400" t="str">
            <v>ESTE</v>
          </cell>
          <cell r="G2400" t="str">
            <v>CARMEN ALCALA</v>
          </cell>
          <cell r="H2400"/>
          <cell r="I2400" t="str">
            <v>A6</v>
          </cell>
          <cell r="J2400" t="str">
            <v>Activo</v>
          </cell>
          <cell r="K2400">
            <v>264.81901041586468</v>
          </cell>
          <cell r="L2400">
            <v>132.40950520793234</v>
          </cell>
          <cell r="M2400">
            <v>9.1619104158646429</v>
          </cell>
          <cell r="N2400" t="str">
            <v>Si Compra</v>
          </cell>
          <cell r="O2400">
            <v>2</v>
          </cell>
          <cell r="P2400">
            <v>1583.1891071415566</v>
          </cell>
          <cell r="Q2400">
            <v>791.59455357077832</v>
          </cell>
          <cell r="R2400">
            <v>273.15800714155677</v>
          </cell>
          <cell r="T2400"/>
          <cell r="U2400"/>
          <cell r="V2400">
            <v>0.16726934844441588</v>
          </cell>
          <cell r="W2400">
            <v>5.0559066612674732E-6</v>
          </cell>
          <cell r="X2400">
            <v>2</v>
          </cell>
          <cell r="Y2400" t="str">
            <v>Conquistar</v>
          </cell>
        </row>
        <row r="2401">
          <cell r="A2401" t="str">
            <v>B305</v>
          </cell>
          <cell r="B2401" t="str">
            <v>B305 - FARMACIA SANITAS, C.A.</v>
          </cell>
          <cell r="C2401" t="str">
            <v>INDEPENDIENTE</v>
          </cell>
          <cell r="D2401">
            <v>1</v>
          </cell>
          <cell r="E2401"/>
          <cell r="F2401" t="str">
            <v>ANDES</v>
          </cell>
          <cell r="G2401" t="str">
            <v>LUCIA DUGARTE</v>
          </cell>
          <cell r="H2401"/>
          <cell r="I2401" t="str">
            <v>6</v>
          </cell>
          <cell r="J2401" t="str">
            <v>Activo</v>
          </cell>
          <cell r="K2401">
            <v>260.18149999999997</v>
          </cell>
          <cell r="L2401">
            <v>32.522687499999996</v>
          </cell>
          <cell r="M2401">
            <v>7.1787000000000001</v>
          </cell>
          <cell r="N2401" t="str">
            <v>Si Compra</v>
          </cell>
          <cell r="O2401">
            <v>8</v>
          </cell>
          <cell r="P2401">
            <v>8573.3758999999991</v>
          </cell>
          <cell r="Q2401">
            <v>1071.6719874999999</v>
          </cell>
          <cell r="R2401">
            <v>947.34079999999994</v>
          </cell>
          <cell r="T2401"/>
          <cell r="U2401"/>
          <cell r="V2401">
            <v>3.0347613709554015E-2</v>
          </cell>
          <cell r="W2401">
            <v>1.2418419064050671E-6</v>
          </cell>
          <cell r="X2401">
            <v>3</v>
          </cell>
          <cell r="Y2401" t="str">
            <v>Conquistar</v>
          </cell>
        </row>
        <row r="2402">
          <cell r="A2402" t="str">
            <v>E652</v>
          </cell>
          <cell r="B2402" t="str">
            <v>E652 - GLOBAL SALUD SS, C.A</v>
          </cell>
          <cell r="C2402" t="e">
            <v>#N/A</v>
          </cell>
          <cell r="D2402">
            <v>1</v>
          </cell>
          <cell r="F2402" t="str">
            <v>CENTRO ESTE</v>
          </cell>
          <cell r="G2402">
            <v>0</v>
          </cell>
          <cell r="H2402"/>
          <cell r="I2402" t="str">
            <v>AV</v>
          </cell>
          <cell r="J2402" t="str">
            <v>Activo</v>
          </cell>
          <cell r="K2402">
            <v>223.5891</v>
          </cell>
          <cell r="L2402">
            <v>223.5891</v>
          </cell>
          <cell r="M2402">
            <v>223.5891</v>
          </cell>
          <cell r="N2402" t="str">
            <v>Si Compra</v>
          </cell>
          <cell r="O2402">
            <v>1</v>
          </cell>
          <cell r="P2402">
            <v>0</v>
          </cell>
          <cell r="Q2402">
            <v>0</v>
          </cell>
          <cell r="R2402">
            <v>0</v>
          </cell>
          <cell r="V2402">
            <v>0</v>
          </cell>
          <cell r="W2402">
            <v>8.5374959924635141E-6</v>
          </cell>
          <cell r="X2402">
            <v>0</v>
          </cell>
          <cell r="Y2402" t="str">
            <v>Conquistar</v>
          </cell>
        </row>
        <row r="2403">
          <cell r="A2403" t="str">
            <v>595</v>
          </cell>
          <cell r="B2403" t="str">
            <v>595 - FARMACIA SAN MARCUS, C.A</v>
          </cell>
          <cell r="C2403" t="e">
            <v>#N/A</v>
          </cell>
          <cell r="D2403">
            <v>1</v>
          </cell>
          <cell r="E2403"/>
          <cell r="F2403" t="str">
            <v>ANDES</v>
          </cell>
          <cell r="G2403" t="str">
            <v>ZULAY PARRA</v>
          </cell>
          <cell r="H2403"/>
          <cell r="I2403" t="str">
            <v>5</v>
          </cell>
          <cell r="J2403" t="str">
            <v>Activo</v>
          </cell>
          <cell r="K2403">
            <v>212.49270000000001</v>
          </cell>
          <cell r="L2403">
            <v>212.49270000000001</v>
          </cell>
          <cell r="M2403">
            <v>212.49270000000001</v>
          </cell>
          <cell r="N2403" t="str">
            <v>Si Compra</v>
          </cell>
          <cell r="O2403">
            <v>1</v>
          </cell>
          <cell r="P2403">
            <v>1246.2911999999999</v>
          </cell>
          <cell r="Q2403">
            <v>1246.2911999999999</v>
          </cell>
          <cell r="R2403">
            <v>1246.2911999999999</v>
          </cell>
          <cell r="T2403"/>
          <cell r="U2403"/>
          <cell r="V2403">
            <v>0.17050004043998709</v>
          </cell>
          <cell r="W2403">
            <v>8.1137925537414483E-6</v>
          </cell>
          <cell r="X2403">
            <v>1</v>
          </cell>
          <cell r="Y2403" t="str">
            <v>Conquistar</v>
          </cell>
        </row>
        <row r="2404">
          <cell r="A2404" t="str">
            <v>D751</v>
          </cell>
          <cell r="B2404" t="str">
            <v>D751 - FARMA SALUD M&amp;J, C.A.</v>
          </cell>
          <cell r="C2404" t="e">
            <v>#N/A</v>
          </cell>
          <cell r="D2404">
            <v>3</v>
          </cell>
          <cell r="E2404"/>
          <cell r="F2404" t="str">
            <v>MARACAIBO</v>
          </cell>
          <cell r="G2404" t="str">
            <v>MARIA FUSELLA</v>
          </cell>
          <cell r="H2404"/>
          <cell r="I2404" t="str">
            <v>BZ</v>
          </cell>
          <cell r="J2404" t="str">
            <v>Activo</v>
          </cell>
          <cell r="K2404">
            <v>196.7192</v>
          </cell>
          <cell r="L2404">
            <v>65.573066666666662</v>
          </cell>
          <cell r="M2404">
            <v>65.573066666666662</v>
          </cell>
          <cell r="N2404" t="str">
            <v>Si Compra</v>
          </cell>
          <cell r="O2404">
            <v>3</v>
          </cell>
          <cell r="P2404">
            <v>339088.99410000001</v>
          </cell>
          <cell r="Q2404">
            <v>113029.66470000001</v>
          </cell>
          <cell r="R2404">
            <v>113029.66470000001</v>
          </cell>
          <cell r="T2404"/>
          <cell r="U2404"/>
          <cell r="V2404">
            <v>5.8014032723806405E-4</v>
          </cell>
          <cell r="W2404">
            <v>2.5038331201306751E-6</v>
          </cell>
          <cell r="X2404">
            <v>3</v>
          </cell>
          <cell r="Y2404" t="str">
            <v>Conquistar</v>
          </cell>
        </row>
        <row r="2405">
          <cell r="A2405" t="str">
            <v>E656</v>
          </cell>
          <cell r="B2405" t="str">
            <v>E656 - FARMACIA AV 15 FUERZAS ARMADAS, C.A</v>
          </cell>
          <cell r="C2405" t="e">
            <v>#N/A</v>
          </cell>
          <cell r="D2405">
            <v>1</v>
          </cell>
          <cell r="F2405" t="str">
            <v>MARACAIBO</v>
          </cell>
          <cell r="G2405">
            <v>0</v>
          </cell>
          <cell r="H2405"/>
          <cell r="I2405" t="str">
            <v>D</v>
          </cell>
          <cell r="J2405" t="str">
            <v>Activo</v>
          </cell>
          <cell r="K2405">
            <v>181.45140000000001</v>
          </cell>
          <cell r="L2405">
            <v>181.45140000000001</v>
          </cell>
          <cell r="M2405">
            <v>181.45140000000001</v>
          </cell>
          <cell r="N2405" t="str">
            <v>Si Compra</v>
          </cell>
          <cell r="O2405">
            <v>1</v>
          </cell>
          <cell r="P2405">
            <v>0</v>
          </cell>
          <cell r="Q2405">
            <v>0</v>
          </cell>
          <cell r="R2405">
            <v>0</v>
          </cell>
          <cell r="V2405">
            <v>0</v>
          </cell>
          <cell r="W2405">
            <v>6.928515747533731E-6</v>
          </cell>
          <cell r="X2405">
            <v>0</v>
          </cell>
          <cell r="Y2405" t="str">
            <v>Conquistar</v>
          </cell>
        </row>
        <row r="2406">
          <cell r="A2406" t="str">
            <v>D528</v>
          </cell>
          <cell r="B2406" t="str">
            <v>D528 - FARMAMARKET, C.A.</v>
          </cell>
          <cell r="C2406" t="str">
            <v>INDEPENDIENTE</v>
          </cell>
          <cell r="D2406">
            <v>0</v>
          </cell>
          <cell r="E2406"/>
          <cell r="F2406" t="str">
            <v>CENTRO ESTE</v>
          </cell>
          <cell r="G2406" t="str">
            <v>ELIANA PERAZA</v>
          </cell>
          <cell r="H2406"/>
          <cell r="I2406" t="str">
            <v>I</v>
          </cell>
          <cell r="J2406" t="str">
            <v>Bloqueado</v>
          </cell>
          <cell r="K2406">
            <v>180.75920000000002</v>
          </cell>
          <cell r="L2406">
            <v>90.379600000000011</v>
          </cell>
          <cell r="M2406">
            <v>0</v>
          </cell>
          <cell r="N2406" t="str">
            <v>No Compra</v>
          </cell>
          <cell r="O2406">
            <v>2</v>
          </cell>
          <cell r="P2406">
            <v>3325.0027</v>
          </cell>
          <cell r="Q2406">
            <v>1662.50135</v>
          </cell>
          <cell r="R2406">
            <v>0</v>
          </cell>
          <cell r="T2406"/>
          <cell r="U2406"/>
          <cell r="V2406">
            <v>5.4363625028033817E-2</v>
          </cell>
          <cell r="W2406">
            <v>3.451042438117312E-6</v>
          </cell>
          <cell r="X2406">
            <v>2</v>
          </cell>
          <cell r="Y2406" t="str">
            <v>Conquistar</v>
          </cell>
        </row>
        <row r="2407">
          <cell r="A2407" t="str">
            <v>A922</v>
          </cell>
          <cell r="B2407" t="str">
            <v>A922 - DISTRIBUCIONES ARA C.A</v>
          </cell>
          <cell r="C2407" t="e">
            <v>#N/A</v>
          </cell>
          <cell r="D2407">
            <v>1</v>
          </cell>
          <cell r="E2407"/>
          <cell r="F2407" t="str">
            <v>ESTE</v>
          </cell>
          <cell r="G2407">
            <v>0</v>
          </cell>
          <cell r="H2407"/>
          <cell r="I2407" t="str">
            <v>A1</v>
          </cell>
          <cell r="J2407" t="str">
            <v>Activo</v>
          </cell>
          <cell r="K2407">
            <v>170.5318</v>
          </cell>
          <cell r="L2407">
            <v>170.5318</v>
          </cell>
          <cell r="M2407">
            <v>170.5318</v>
          </cell>
          <cell r="N2407" t="str">
            <v>Si Compra</v>
          </cell>
          <cell r="O2407">
            <v>1</v>
          </cell>
          <cell r="P2407">
            <v>0</v>
          </cell>
          <cell r="Q2407">
            <v>0</v>
          </cell>
          <cell r="R2407">
            <v>0</v>
          </cell>
          <cell r="T2407"/>
          <cell r="U2407"/>
          <cell r="V2407">
            <v>0</v>
          </cell>
          <cell r="W2407">
            <v>6.5115632161298985E-6</v>
          </cell>
          <cell r="X2407">
            <v>0</v>
          </cell>
          <cell r="Y2407" t="str">
            <v>Conquistar</v>
          </cell>
        </row>
        <row r="2408">
          <cell r="A2408" t="str">
            <v>B150</v>
          </cell>
          <cell r="B2408" t="str">
            <v>B150 - FARMACIA ECHETO ABISSI N° 10, C.A</v>
          </cell>
          <cell r="C2408" t="e">
            <v>#N/A</v>
          </cell>
          <cell r="D2408">
            <v>1</v>
          </cell>
          <cell r="E2408"/>
          <cell r="F2408" t="str">
            <v>MARACAIBO</v>
          </cell>
          <cell r="G2408" t="str">
            <v>ADRIANA ALBORNOZ</v>
          </cell>
          <cell r="H2408"/>
          <cell r="I2408" t="str">
            <v>BD</v>
          </cell>
          <cell r="J2408" t="str">
            <v>Inactivo</v>
          </cell>
          <cell r="K2408">
            <v>164.12209999999999</v>
          </cell>
          <cell r="L2408">
            <v>164.12209999999999</v>
          </cell>
          <cell r="M2408">
            <v>164.12209999999999</v>
          </cell>
          <cell r="N2408" t="str">
            <v>Si Compra</v>
          </cell>
          <cell r="O2408">
            <v>1</v>
          </cell>
          <cell r="P2408">
            <v>0</v>
          </cell>
          <cell r="Q2408">
            <v>0</v>
          </cell>
          <cell r="R2408">
            <v>0</v>
          </cell>
          <cell r="T2408"/>
          <cell r="U2408"/>
          <cell r="V2408">
            <v>0</v>
          </cell>
          <cell r="W2408">
            <v>6.2668160971384383E-6</v>
          </cell>
          <cell r="X2408">
            <v>0</v>
          </cell>
          <cell r="Y2408" t="str">
            <v>Conquistar</v>
          </cell>
        </row>
        <row r="2409">
          <cell r="A2409" t="str">
            <v>B888</v>
          </cell>
          <cell r="B2409" t="str">
            <v>B888 - FAR MAS FOOD, C.A.</v>
          </cell>
          <cell r="C2409" t="str">
            <v>INDEPENDIENTE</v>
          </cell>
          <cell r="D2409">
            <v>0</v>
          </cell>
          <cell r="E2409"/>
          <cell r="F2409" t="str">
            <v>ESTE</v>
          </cell>
          <cell r="G2409" t="str">
            <v>JOSE RAMIREZ</v>
          </cell>
          <cell r="H2409"/>
          <cell r="I2409" t="str">
            <v>A2</v>
          </cell>
          <cell r="J2409" t="str">
            <v>Bloqueado</v>
          </cell>
          <cell r="K2409">
            <v>158.74459999999999</v>
          </cell>
          <cell r="L2409">
            <v>158.74459999999999</v>
          </cell>
          <cell r="M2409">
            <v>0</v>
          </cell>
          <cell r="N2409" t="str">
            <v>No Compra</v>
          </cell>
          <cell r="O2409">
            <v>1</v>
          </cell>
          <cell r="P2409">
            <v>4943.9039000000002</v>
          </cell>
          <cell r="Q2409">
            <v>4943.9039000000002</v>
          </cell>
          <cell r="R2409">
            <v>0</v>
          </cell>
          <cell r="T2409"/>
          <cell r="U2409"/>
          <cell r="V2409">
            <v>3.2109159726992263E-2</v>
          </cell>
          <cell r="W2409">
            <v>6.0614823635196149E-6</v>
          </cell>
          <cell r="X2409">
            <v>1</v>
          </cell>
          <cell r="Y2409" t="str">
            <v>Conquistar</v>
          </cell>
        </row>
        <row r="2410">
          <cell r="A2410" t="str">
            <v>E454</v>
          </cell>
          <cell r="B2410" t="str">
            <v>E454 - TODO UTIL, C.A.</v>
          </cell>
          <cell r="C2410" t="e">
            <v>#N/A</v>
          </cell>
          <cell r="D2410">
            <v>0</v>
          </cell>
          <cell r="F2410" t="str">
            <v>CENTRO OESTE</v>
          </cell>
          <cell r="H2410"/>
          <cell r="I2410" t="str">
            <v>Y1</v>
          </cell>
          <cell r="J2410" t="str">
            <v>Bloqueado</v>
          </cell>
          <cell r="K2410">
            <v>156.2743767118869</v>
          </cell>
          <cell r="L2410">
            <v>156.2743767118869</v>
          </cell>
          <cell r="M2410">
            <v>0</v>
          </cell>
          <cell r="N2410" t="str">
            <v>No Compra</v>
          </cell>
          <cell r="O2410">
            <v>1</v>
          </cell>
          <cell r="P2410">
            <v>0</v>
          </cell>
          <cell r="Q2410">
            <v>0</v>
          </cell>
          <cell r="R2410">
            <v>0</v>
          </cell>
          <cell r="V2410">
            <v>0</v>
          </cell>
          <cell r="W2410">
            <v>5.9671596911587727E-6</v>
          </cell>
          <cell r="X2410">
            <v>0</v>
          </cell>
          <cell r="Y2410" t="str">
            <v>Conquistar</v>
          </cell>
        </row>
        <row r="2411">
          <cell r="A2411" t="str">
            <v>+165</v>
          </cell>
          <cell r="B2411" t="str">
            <v>+165 - FARMACIA CAPITAL C.A</v>
          </cell>
          <cell r="C2411" t="str">
            <v>INDEPENDIENTE</v>
          </cell>
          <cell r="D2411">
            <v>0</v>
          </cell>
          <cell r="E2411"/>
          <cell r="F2411" t="str">
            <v>CENTRO ESTE</v>
          </cell>
          <cell r="H2411"/>
          <cell r="I2411" t="str">
            <v>AV</v>
          </cell>
          <cell r="J2411" t="str">
            <v>Bloqueado</v>
          </cell>
          <cell r="K2411">
            <v>146.08510000000001</v>
          </cell>
          <cell r="L2411">
            <v>146.08510000000001</v>
          </cell>
          <cell r="M2411">
            <v>0</v>
          </cell>
          <cell r="N2411" t="str">
            <v>No Compra</v>
          </cell>
          <cell r="O2411">
            <v>1</v>
          </cell>
          <cell r="P2411">
            <v>0</v>
          </cell>
          <cell r="Q2411">
            <v>0</v>
          </cell>
          <cell r="R2411">
            <v>0</v>
          </cell>
          <cell r="T2411"/>
          <cell r="U2411"/>
          <cell r="V2411">
            <v>0</v>
          </cell>
          <cell r="W2411">
            <v>5.5780937255377465E-6</v>
          </cell>
          <cell r="X2411">
            <v>0</v>
          </cell>
          <cell r="Y2411" t="str">
            <v>Conquistar</v>
          </cell>
        </row>
        <row r="2412">
          <cell r="A2412" t="str">
            <v>B220</v>
          </cell>
          <cell r="B2412" t="str">
            <v>B220 - FARMAWORLD SAN GERARDO, C.A</v>
          </cell>
          <cell r="C2412" t="e">
            <v>#N/A</v>
          </cell>
          <cell r="D2412">
            <v>1</v>
          </cell>
          <cell r="E2412"/>
          <cell r="F2412" t="str">
            <v>ANDES</v>
          </cell>
          <cell r="G2412" t="str">
            <v>JESUS CONTRERAS</v>
          </cell>
          <cell r="H2412"/>
          <cell r="I2412" t="str">
            <v>G2</v>
          </cell>
          <cell r="J2412" t="str">
            <v>Activo</v>
          </cell>
          <cell r="K2412">
            <v>145.19499999999999</v>
          </cell>
          <cell r="L2412">
            <v>145.19499999999999</v>
          </cell>
          <cell r="M2412">
            <v>145.19499999999999</v>
          </cell>
          <cell r="N2412" t="str">
            <v>Si Compra</v>
          </cell>
          <cell r="O2412">
            <v>1</v>
          </cell>
          <cell r="P2412">
            <v>0</v>
          </cell>
          <cell r="Q2412">
            <v>0</v>
          </cell>
          <cell r="R2412">
            <v>0</v>
          </cell>
          <cell r="T2412"/>
          <cell r="U2412"/>
          <cell r="V2412">
            <v>0</v>
          </cell>
          <cell r="W2412">
            <v>5.5441062673705464E-6</v>
          </cell>
          <cell r="X2412">
            <v>0</v>
          </cell>
          <cell r="Y2412" t="str">
            <v>Conquistar</v>
          </cell>
        </row>
        <row r="2413">
          <cell r="A2413" t="str">
            <v>D517</v>
          </cell>
          <cell r="B2413" t="str">
            <v>FARMA VIDA (ZARAZA)</v>
          </cell>
          <cell r="C2413" t="str">
            <v>GRUPO</v>
          </cell>
          <cell r="D2413">
            <v>3</v>
          </cell>
          <cell r="E2413"/>
          <cell r="F2413" t="str">
            <v>ESTE</v>
          </cell>
          <cell r="G2413" t="str">
            <v>PEDRO VIRE</v>
          </cell>
          <cell r="H2413"/>
          <cell r="I2413" t="str">
            <v>A7</v>
          </cell>
          <cell r="J2413" t="str">
            <v>Activo</v>
          </cell>
          <cell r="K2413">
            <v>137.0864</v>
          </cell>
          <cell r="L2413">
            <v>137.0864</v>
          </cell>
          <cell r="M2413">
            <v>0</v>
          </cell>
          <cell r="N2413" t="str">
            <v>No Compra</v>
          </cell>
          <cell r="O2413">
            <v>1</v>
          </cell>
          <cell r="P2413">
            <v>1524.8187</v>
          </cell>
          <cell r="Q2413">
            <v>1524.8187</v>
          </cell>
          <cell r="R2413">
            <v>0</v>
          </cell>
          <cell r="T2413"/>
          <cell r="U2413"/>
          <cell r="V2413">
            <v>8.9903409500421264E-2</v>
          </cell>
          <cell r="W2413">
            <v>5.2344885802628581E-6</v>
          </cell>
          <cell r="X2413">
            <v>1</v>
          </cell>
          <cell r="Y2413" t="str">
            <v>Conquistar</v>
          </cell>
        </row>
        <row r="2414">
          <cell r="A2414" t="str">
            <v>D460</v>
          </cell>
          <cell r="B2414" t="str">
            <v>D460 - LARED FARMACIA C.A.</v>
          </cell>
          <cell r="C2414" t="str">
            <v>INDEPENDIENTE</v>
          </cell>
          <cell r="D2414">
            <v>0</v>
          </cell>
          <cell r="E2414"/>
          <cell r="F2414" t="str">
            <v>ESTE</v>
          </cell>
          <cell r="G2414" t="str">
            <v>CARMEN ALCALA</v>
          </cell>
          <cell r="H2414"/>
          <cell r="I2414" t="str">
            <v>A6</v>
          </cell>
          <cell r="J2414" t="str">
            <v>Bloqueado</v>
          </cell>
          <cell r="K2414">
            <v>130.9778</v>
          </cell>
          <cell r="L2414">
            <v>65.488900000000001</v>
          </cell>
          <cell r="M2414">
            <v>0</v>
          </cell>
          <cell r="N2414" t="str">
            <v>No Compra</v>
          </cell>
          <cell r="O2414">
            <v>2</v>
          </cell>
          <cell r="P2414">
            <v>798.63679999999999</v>
          </cell>
          <cell r="Q2414">
            <v>399.3184</v>
          </cell>
          <cell r="R2414">
            <v>0</v>
          </cell>
          <cell r="T2414"/>
          <cell r="U2414"/>
          <cell r="V2414">
            <v>0.16400170891198604</v>
          </cell>
          <cell r="W2414">
            <v>2.5006193114997279E-6</v>
          </cell>
          <cell r="X2414">
            <v>2</v>
          </cell>
          <cell r="Y2414" t="str">
            <v>Conquistar</v>
          </cell>
        </row>
        <row r="2415">
          <cell r="A2415" t="str">
            <v>C731</v>
          </cell>
          <cell r="B2415" t="str">
            <v>JOSE G. HERNANDEZ</v>
          </cell>
          <cell r="C2415" t="e">
            <v>#N/A</v>
          </cell>
          <cell r="D2415">
            <v>0</v>
          </cell>
          <cell r="E2415"/>
          <cell r="F2415" t="str">
            <v>CENTRO ESTE</v>
          </cell>
          <cell r="H2415"/>
          <cell r="I2415"/>
          <cell r="J2415" t="str">
            <v>Activo</v>
          </cell>
          <cell r="K2415">
            <v>117.7303</v>
          </cell>
          <cell r="L2415">
            <v>117.7303</v>
          </cell>
          <cell r="M2415">
            <v>0</v>
          </cell>
          <cell r="N2415" t="str">
            <v>No Compra</v>
          </cell>
          <cell r="O2415">
            <v>1</v>
          </cell>
          <cell r="P2415">
            <v>1119.231</v>
          </cell>
          <cell r="Q2415">
            <v>1119.231</v>
          </cell>
          <cell r="R2415">
            <v>0</v>
          </cell>
          <cell r="S2415"/>
          <cell r="T2415"/>
          <cell r="U2415"/>
          <cell r="V2415">
            <v>0.10518856250407646</v>
          </cell>
          <cell r="W2415">
            <v>4.4953978724433668E-6</v>
          </cell>
          <cell r="X2415">
            <v>1</v>
          </cell>
          <cell r="Y2415" t="str">
            <v>Conquistar</v>
          </cell>
        </row>
        <row r="2416">
          <cell r="A2416" t="str">
            <v>D096</v>
          </cell>
          <cell r="B2416" t="str">
            <v>D096 - FARMADESCUENTO O.J., C.A.</v>
          </cell>
          <cell r="C2416" t="str">
            <v>INDEPENDIENTE</v>
          </cell>
          <cell r="D2416">
            <v>0</v>
          </cell>
          <cell r="E2416"/>
          <cell r="F2416" t="str">
            <v>ANDES</v>
          </cell>
          <cell r="G2416" t="str">
            <v>ANYERSSON TORRES</v>
          </cell>
          <cell r="H2416"/>
          <cell r="I2416" t="str">
            <v>4</v>
          </cell>
          <cell r="J2416" t="str">
            <v>Bloqueado</v>
          </cell>
          <cell r="K2416">
            <v>109.95841442271124</v>
          </cell>
          <cell r="L2416">
            <v>36.652804807570412</v>
          </cell>
          <cell r="M2416">
            <v>0</v>
          </cell>
          <cell r="N2416" t="str">
            <v>No Compra</v>
          </cell>
          <cell r="O2416">
            <v>1</v>
          </cell>
          <cell r="P2416">
            <v>1392.8844999999999</v>
          </cell>
          <cell r="Q2416">
            <v>464.29483333333332</v>
          </cell>
          <cell r="R2416">
            <v>0</v>
          </cell>
          <cell r="T2416"/>
          <cell r="U2416"/>
          <cell r="V2416">
            <v>7.8942952141912159E-2</v>
          </cell>
          <cell r="W2416">
            <v>1.3995457477899407E-6</v>
          </cell>
          <cell r="X2416">
            <v>1</v>
          </cell>
          <cell r="Y2416" t="str">
            <v>Conquistar</v>
          </cell>
        </row>
        <row r="2417">
          <cell r="A2417" t="str">
            <v>B292</v>
          </cell>
          <cell r="B2417" t="str">
            <v>B292 - FARMACORT, C.A.</v>
          </cell>
          <cell r="C2417" t="str">
            <v>INDEPENDIENTE</v>
          </cell>
          <cell r="D2417">
            <v>0</v>
          </cell>
          <cell r="E2417"/>
          <cell r="F2417" t="str">
            <v>CENTRO OESTE</v>
          </cell>
          <cell r="G2417" t="str">
            <v>DIEGO TORI</v>
          </cell>
          <cell r="H2417"/>
          <cell r="I2417" t="str">
            <v xml:space="preserve">A </v>
          </cell>
          <cell r="J2417" t="str">
            <v>Bloqueado</v>
          </cell>
          <cell r="K2417">
            <v>103.98869999999999</v>
          </cell>
          <cell r="L2417">
            <v>103.98869999999999</v>
          </cell>
          <cell r="M2417">
            <v>0</v>
          </cell>
          <cell r="N2417" t="str">
            <v>No Compra</v>
          </cell>
          <cell r="O2417">
            <v>1</v>
          </cell>
          <cell r="P2417">
            <v>147.51679999999999</v>
          </cell>
          <cell r="Q2417">
            <v>147.51679999999999</v>
          </cell>
          <cell r="R2417">
            <v>0</v>
          </cell>
          <cell r="T2417"/>
          <cell r="U2417"/>
          <cell r="V2417">
            <v>0.70492784550641008</v>
          </cell>
          <cell r="W2417">
            <v>3.9706904742292477E-6</v>
          </cell>
          <cell r="X2417">
            <v>1</v>
          </cell>
          <cell r="Y2417" t="str">
            <v>Proteger</v>
          </cell>
        </row>
        <row r="2418">
          <cell r="A2418" t="str">
            <v>D808</v>
          </cell>
          <cell r="B2418" t="str">
            <v>D808 - FARMA COSMETICOS FLOR C.A.</v>
          </cell>
          <cell r="C2418" t="e">
            <v>#N/A</v>
          </cell>
          <cell r="D2418">
            <v>1</v>
          </cell>
          <cell r="E2418"/>
          <cell r="F2418" t="str">
            <v>ESTE</v>
          </cell>
          <cell r="G2418">
            <v>0</v>
          </cell>
          <cell r="H2418"/>
          <cell r="I2418" t="str">
            <v>A3</v>
          </cell>
          <cell r="J2418" t="str">
            <v>Activo</v>
          </cell>
          <cell r="K2418">
            <v>103.2183</v>
          </cell>
          <cell r="L2418">
            <v>51.60915</v>
          </cell>
          <cell r="M2418">
            <v>11.055899999999999</v>
          </cell>
          <cell r="N2418" t="str">
            <v>Si Compra</v>
          </cell>
          <cell r="O2418">
            <v>2</v>
          </cell>
          <cell r="P2418">
            <v>0</v>
          </cell>
          <cell r="Q2418">
            <v>0</v>
          </cell>
          <cell r="R2418">
            <v>0</v>
          </cell>
          <cell r="T2418"/>
          <cell r="U2418"/>
          <cell r="V2418">
            <v>0</v>
          </cell>
          <cell r="W2418">
            <v>1.9706368123466143E-6</v>
          </cell>
          <cell r="X2418">
            <v>0</v>
          </cell>
          <cell r="Y2418" t="str">
            <v>Conquistar</v>
          </cell>
        </row>
        <row r="2419">
          <cell r="A2419" t="str">
            <v>B348</v>
          </cell>
          <cell r="B2419" t="str">
            <v>GRUPO PANTEON</v>
          </cell>
          <cell r="C2419" t="e">
            <v>#N/A</v>
          </cell>
          <cell r="D2419">
            <v>0</v>
          </cell>
          <cell r="E2419"/>
          <cell r="F2419" t="str">
            <v>CENTRO OESTE</v>
          </cell>
          <cell r="H2419"/>
          <cell r="I2419"/>
          <cell r="J2419" t="str">
            <v>Suspendido</v>
          </cell>
          <cell r="K2419">
            <v>102.37430000000001</v>
          </cell>
          <cell r="L2419">
            <v>102.37430000000001</v>
          </cell>
          <cell r="M2419">
            <v>0</v>
          </cell>
          <cell r="N2419" t="str">
            <v>No Compra</v>
          </cell>
          <cell r="O2419">
            <v>1</v>
          </cell>
          <cell r="P2419">
            <v>347651.99609999999</v>
          </cell>
          <cell r="Q2419">
            <v>347651.99609999999</v>
          </cell>
          <cell r="R2419">
            <v>0</v>
          </cell>
          <cell r="S2419"/>
          <cell r="T2419"/>
          <cell r="U2419"/>
          <cell r="V2419">
            <v>2.9447349978842827E-4</v>
          </cell>
          <cell r="W2419">
            <v>3.9090464426989401E-6</v>
          </cell>
          <cell r="X2419">
            <v>1</v>
          </cell>
          <cell r="Y2419" t="str">
            <v>Conquistar</v>
          </cell>
        </row>
        <row r="2420">
          <cell r="A2420" t="str">
            <v>B616</v>
          </cell>
          <cell r="B2420" t="str">
            <v>B616 - FARMEDIK PLUS, C.A.</v>
          </cell>
          <cell r="C2420" t="e">
            <v>#N/A</v>
          </cell>
          <cell r="D2420">
            <v>1</v>
          </cell>
          <cell r="E2420"/>
          <cell r="F2420" t="str">
            <v>CENTRO ESTE</v>
          </cell>
          <cell r="G2420" t="str">
            <v>LAURA FLORES</v>
          </cell>
          <cell r="H2420"/>
          <cell r="I2420" t="str">
            <v>+</v>
          </cell>
          <cell r="J2420" t="str">
            <v>Activo</v>
          </cell>
          <cell r="K2420">
            <v>91.057000000000002</v>
          </cell>
          <cell r="L2420">
            <v>91.057000000000002</v>
          </cell>
          <cell r="M2420">
            <v>91.057000000000002</v>
          </cell>
          <cell r="N2420" t="str">
            <v>Si Compra</v>
          </cell>
          <cell r="O2420">
            <v>1</v>
          </cell>
          <cell r="P2420">
            <v>2571.3768</v>
          </cell>
          <cell r="Q2420">
            <v>2571.3768</v>
          </cell>
          <cell r="R2420">
            <v>2571.3768</v>
          </cell>
          <cell r="T2420"/>
          <cell r="U2420"/>
          <cell r="V2420">
            <v>3.5411768512494939E-2</v>
          </cell>
          <cell r="W2420">
            <v>3.4769081882155713E-6</v>
          </cell>
          <cell r="X2420">
            <v>1</v>
          </cell>
          <cell r="Y2420" t="str">
            <v>Conquistar</v>
          </cell>
        </row>
        <row r="2421">
          <cell r="A2421" t="str">
            <v>A796</v>
          </cell>
          <cell r="B2421" t="str">
            <v>A796 - FARMACIA CASAALTA C.A.</v>
          </cell>
          <cell r="C2421" t="str">
            <v>INDEPENDIENTE</v>
          </cell>
          <cell r="D2421">
            <v>0</v>
          </cell>
          <cell r="E2421"/>
          <cell r="F2421" t="str">
            <v>CENTRO ESTE</v>
          </cell>
          <cell r="G2421" t="str">
            <v>ELIANA PERAZA</v>
          </cell>
          <cell r="H2421"/>
          <cell r="I2421" t="str">
            <v>M</v>
          </cell>
          <cell r="J2421" t="str">
            <v>Bloqueado</v>
          </cell>
          <cell r="K2421">
            <v>89.074299999999994</v>
          </cell>
          <cell r="L2421">
            <v>89.074299999999994</v>
          </cell>
          <cell r="M2421">
            <v>0</v>
          </cell>
          <cell r="N2421" t="str">
            <v>No Compra</v>
          </cell>
          <cell r="O2421">
            <v>1</v>
          </cell>
          <cell r="P2421">
            <v>136.2311</v>
          </cell>
          <cell r="Q2421">
            <v>136.2311</v>
          </cell>
          <cell r="R2421">
            <v>0</v>
          </cell>
          <cell r="T2421"/>
          <cell r="U2421"/>
          <cell r="V2421">
            <v>0.65384702905577352</v>
          </cell>
          <cell r="W2421">
            <v>3.4012010392344382E-6</v>
          </cell>
          <cell r="X2421">
            <v>1</v>
          </cell>
          <cell r="Y2421" t="str">
            <v>Proteger</v>
          </cell>
        </row>
        <row r="2422">
          <cell r="A2422" t="str">
            <v>B420</v>
          </cell>
          <cell r="B2422" t="str">
            <v>B420 - MULTI FARMACIA CELESTE, C.A</v>
          </cell>
          <cell r="C2422" t="e">
            <v>#N/A</v>
          </cell>
          <cell r="D2422">
            <v>1</v>
          </cell>
          <cell r="E2422"/>
          <cell r="F2422" t="str">
            <v>CENTRO OESTE</v>
          </cell>
          <cell r="G2422" t="str">
            <v>YAMILEX LAMEDA</v>
          </cell>
          <cell r="H2422"/>
          <cell r="I2422" t="str">
            <v>Y1</v>
          </cell>
          <cell r="J2422" t="str">
            <v>Activo</v>
          </cell>
          <cell r="K2422">
            <v>88.877399999999994</v>
          </cell>
          <cell r="L2422">
            <v>29.625799999999998</v>
          </cell>
          <cell r="M2422">
            <v>82.2226</v>
          </cell>
          <cell r="N2422" t="str">
            <v>Si Compra</v>
          </cell>
          <cell r="O2422">
            <v>3</v>
          </cell>
          <cell r="P2422">
            <v>4756.3600000000006</v>
          </cell>
          <cell r="Q2422">
            <v>1585.4533333333336</v>
          </cell>
          <cell r="R2422">
            <v>2441.3806</v>
          </cell>
          <cell r="T2422"/>
          <cell r="U2422"/>
          <cell r="V2422">
            <v>1.8686011992363905E-2</v>
          </cell>
          <cell r="W2422">
            <v>1.1312275454104228E-6</v>
          </cell>
          <cell r="X2422">
            <v>3</v>
          </cell>
          <cell r="Y2422" t="str">
            <v>Conquistar</v>
          </cell>
        </row>
        <row r="2423">
          <cell r="A2423" t="str">
            <v>B679</v>
          </cell>
          <cell r="B2423" t="str">
            <v>B679 - SANO&amp;CLEAN DE VENEZUELA, C.A</v>
          </cell>
          <cell r="C2423" t="str">
            <v>INDEPENDIENTE</v>
          </cell>
          <cell r="D2423">
            <v>0</v>
          </cell>
          <cell r="E2423"/>
          <cell r="F2423" t="str">
            <v>CENTRO OESTE</v>
          </cell>
          <cell r="H2423"/>
          <cell r="I2423" t="str">
            <v>C</v>
          </cell>
          <cell r="J2423" t="str">
            <v>Bloqueado</v>
          </cell>
          <cell r="K2423">
            <v>68.620500000000007</v>
          </cell>
          <cell r="L2423">
            <v>34.310250000000003</v>
          </cell>
          <cell r="M2423">
            <v>0</v>
          </cell>
          <cell r="N2423" t="str">
            <v>No Compra</v>
          </cell>
          <cell r="O2423">
            <v>2</v>
          </cell>
          <cell r="P2423">
            <v>0</v>
          </cell>
          <cell r="Q2423">
            <v>0</v>
          </cell>
          <cell r="R2423">
            <v>0</v>
          </cell>
          <cell r="T2423"/>
          <cell r="U2423"/>
          <cell r="V2423">
            <v>0</v>
          </cell>
          <cell r="W2423">
            <v>1.3100979514449556E-6</v>
          </cell>
          <cell r="X2423">
            <v>0</v>
          </cell>
          <cell r="Y2423" t="str">
            <v>Conquistar</v>
          </cell>
        </row>
        <row r="2424">
          <cell r="A2424" t="str">
            <v>N91</v>
          </cell>
          <cell r="B2424" t="str">
            <v>N91 - FARMACIA POPULAR  FUNDAROSA</v>
          </cell>
          <cell r="C2424" t="str">
            <v>INDEPENDIENTE</v>
          </cell>
          <cell r="D2424">
            <v>0</v>
          </cell>
          <cell r="F2424" t="str">
            <v>CENTRO OESTE</v>
          </cell>
          <cell r="G2424" t="str">
            <v>DIEGO TORI</v>
          </cell>
          <cell r="H2424"/>
          <cell r="I2424" t="str">
            <v xml:space="preserve">A </v>
          </cell>
          <cell r="J2424" t="str">
            <v>Bloqueado</v>
          </cell>
          <cell r="K2424">
            <v>67.490399999999994</v>
          </cell>
          <cell r="L2424">
            <v>67.490399999999994</v>
          </cell>
          <cell r="M2424">
            <v>0</v>
          </cell>
          <cell r="N2424" t="str">
            <v>No Compra</v>
          </cell>
          <cell r="O2424">
            <v>1</v>
          </cell>
          <cell r="P2424">
            <v>235.93299999999999</v>
          </cell>
          <cell r="Q2424">
            <v>235.93299999999999</v>
          </cell>
          <cell r="R2424">
            <v>0</v>
          </cell>
          <cell r="V2424">
            <v>0.28605748242085677</v>
          </cell>
          <cell r="W2424">
            <v>2.5770443171413971E-6</v>
          </cell>
          <cell r="X2424">
            <v>1</v>
          </cell>
          <cell r="Y2424" t="str">
            <v>Potenciar</v>
          </cell>
        </row>
        <row r="2425">
          <cell r="A2425" t="str">
            <v>D520</v>
          </cell>
          <cell r="B2425" t="str">
            <v>D520 - OPTIFARMA C.A.</v>
          </cell>
          <cell r="C2425" t="str">
            <v>INDEPENDIENTE</v>
          </cell>
          <cell r="D2425">
            <v>0</v>
          </cell>
          <cell r="E2425"/>
          <cell r="F2425" t="str">
            <v>ESTE</v>
          </cell>
          <cell r="G2425" t="str">
            <v>CARMEN ALCALA</v>
          </cell>
          <cell r="H2425"/>
          <cell r="I2425" t="str">
            <v>A6</v>
          </cell>
          <cell r="J2425" t="str">
            <v>Bloqueado</v>
          </cell>
          <cell r="K2425">
            <v>66.953837563931515</v>
          </cell>
          <cell r="L2425">
            <v>22.317945854643838</v>
          </cell>
          <cell r="M2425">
            <v>0</v>
          </cell>
          <cell r="N2425" t="str">
            <v>No Compra</v>
          </cell>
          <cell r="O2425">
            <v>2</v>
          </cell>
          <cell r="P2425">
            <v>-621.55436469627318</v>
          </cell>
          <cell r="Q2425">
            <v>-207.18478823209105</v>
          </cell>
          <cell r="R2425">
            <v>0</v>
          </cell>
          <cell r="T2425"/>
          <cell r="U2425"/>
          <cell r="V2425">
            <v>-0.10772000225056576</v>
          </cell>
          <cell r="W2425">
            <v>8.5218542985342069E-7</v>
          </cell>
          <cell r="X2425">
            <v>0</v>
          </cell>
          <cell r="Y2425" t="str">
            <v>Fuera de rango</v>
          </cell>
        </row>
        <row r="2426">
          <cell r="A2426" t="str">
            <v>E748</v>
          </cell>
          <cell r="B2426" t="str">
            <v>E748 - SALUDVITAL PHARMA C.A</v>
          </cell>
          <cell r="C2426" t="e">
            <v>#N/A</v>
          </cell>
          <cell r="D2426">
            <v>1</v>
          </cell>
          <cell r="F2426" t="str">
            <v>ESTE</v>
          </cell>
          <cell r="G2426">
            <v>0</v>
          </cell>
          <cell r="H2426"/>
          <cell r="I2426" t="str">
            <v>A1</v>
          </cell>
          <cell r="J2426" t="str">
            <v>Activo</v>
          </cell>
          <cell r="K2426">
            <v>43.524000000000001</v>
          </cell>
          <cell r="L2426">
            <v>43.524000000000001</v>
          </cell>
          <cell r="M2426">
            <v>43.524000000000001</v>
          </cell>
          <cell r="N2426" t="str">
            <v>Si Compra</v>
          </cell>
          <cell r="O2426">
            <v>1</v>
          </cell>
          <cell r="P2426">
            <v>0</v>
          </cell>
          <cell r="Q2426">
            <v>0</v>
          </cell>
          <cell r="R2426">
            <v>0</v>
          </cell>
          <cell r="V2426">
            <v>0</v>
          </cell>
          <cell r="W2426">
            <v>1.6619145368713501E-6</v>
          </cell>
          <cell r="X2426">
            <v>0</v>
          </cell>
          <cell r="Y2426" t="str">
            <v>Conquistar</v>
          </cell>
        </row>
        <row r="2427">
          <cell r="A2427" t="str">
            <v>C491</v>
          </cell>
          <cell r="B2427" t="str">
            <v>C491 - INVERSIONES LOS COSPES, C.A</v>
          </cell>
          <cell r="C2427" t="str">
            <v>INDEPENDIENTE</v>
          </cell>
          <cell r="D2427">
            <v>0</v>
          </cell>
          <cell r="E2427"/>
          <cell r="F2427" t="str">
            <v>CENTRO ESTE</v>
          </cell>
          <cell r="H2427"/>
          <cell r="I2427" t="str">
            <v>AV</v>
          </cell>
          <cell r="J2427" t="str">
            <v>Activo</v>
          </cell>
          <cell r="K2427">
            <v>32.985900000000001</v>
          </cell>
          <cell r="L2427">
            <v>32.985900000000001</v>
          </cell>
          <cell r="M2427">
            <v>0</v>
          </cell>
          <cell r="N2427" t="str">
            <v>No Compra</v>
          </cell>
          <cell r="O2427">
            <v>1</v>
          </cell>
          <cell r="P2427">
            <v>0</v>
          </cell>
          <cell r="Q2427">
            <v>0</v>
          </cell>
          <cell r="R2427">
            <v>0</v>
          </cell>
          <cell r="T2427"/>
          <cell r="U2427"/>
          <cell r="V2427">
            <v>0</v>
          </cell>
          <cell r="W2427">
            <v>1.2595291499353155E-6</v>
          </cell>
          <cell r="X2427">
            <v>0</v>
          </cell>
          <cell r="Y2427" t="str">
            <v>Conquistar</v>
          </cell>
        </row>
        <row r="2428">
          <cell r="A2428" t="str">
            <v>A164</v>
          </cell>
          <cell r="B2428" t="str">
            <v>A164 - MEDI TAWIL FARMACIA 4 DE MAYO, C.A.</v>
          </cell>
          <cell r="C2428" t="str">
            <v>INDEPENDIENTE</v>
          </cell>
          <cell r="D2428">
            <v>0</v>
          </cell>
          <cell r="E2428"/>
          <cell r="F2428" t="str">
            <v>ESTE</v>
          </cell>
          <cell r="G2428" t="str">
            <v>ADOLFO GONZALEZ</v>
          </cell>
          <cell r="H2428"/>
          <cell r="I2428" t="str">
            <v>A8</v>
          </cell>
          <cell r="J2428" t="str">
            <v>Activo</v>
          </cell>
          <cell r="K2428">
            <v>32.385399999999997</v>
          </cell>
          <cell r="L2428">
            <v>16.192699999999999</v>
          </cell>
          <cell r="M2428">
            <v>0</v>
          </cell>
          <cell r="N2428" t="str">
            <v>No Compra</v>
          </cell>
          <cell r="O2428">
            <v>2</v>
          </cell>
          <cell r="P2428">
            <v>449.875</v>
          </cell>
          <cell r="Q2428">
            <v>224.9375</v>
          </cell>
          <cell r="R2428">
            <v>0</v>
          </cell>
          <cell r="T2428"/>
          <cell r="U2428"/>
          <cell r="V2428">
            <v>7.1987552097804941E-2</v>
          </cell>
          <cell r="W2428">
            <v>6.1829986952478426E-7</v>
          </cell>
          <cell r="X2428">
            <v>2</v>
          </cell>
          <cell r="Y2428" t="str">
            <v>Conquistar</v>
          </cell>
        </row>
        <row r="2429">
          <cell r="A2429" t="str">
            <v>A412</v>
          </cell>
          <cell r="B2429" t="str">
            <v>A412 - FARMACIA TELEFARMA,C.A.</v>
          </cell>
          <cell r="C2429" t="str">
            <v>INDEPENDIENTE</v>
          </cell>
          <cell r="D2429">
            <v>0</v>
          </cell>
          <cell r="E2429"/>
          <cell r="F2429" t="str">
            <v>ESTE</v>
          </cell>
          <cell r="G2429" t="str">
            <v>CARLOS BLONDELL</v>
          </cell>
          <cell r="H2429"/>
          <cell r="I2429" t="str">
            <v>A3</v>
          </cell>
          <cell r="J2429" t="str">
            <v>Bloqueado</v>
          </cell>
          <cell r="K2429">
            <v>31.265999999999998</v>
          </cell>
          <cell r="L2429">
            <v>31.265999999999998</v>
          </cell>
          <cell r="M2429">
            <v>0</v>
          </cell>
          <cell r="N2429" t="str">
            <v>No Compra</v>
          </cell>
          <cell r="O2429">
            <v>1</v>
          </cell>
          <cell r="P2429">
            <v>32.9621</v>
          </cell>
          <cell r="Q2429">
            <v>32.9621</v>
          </cell>
          <cell r="R2429">
            <v>0</v>
          </cell>
          <cell r="T2429"/>
          <cell r="U2429"/>
          <cell r="V2429">
            <v>0.94854393379062618</v>
          </cell>
          <cell r="W2429">
            <v>1.1938567206557217E-6</v>
          </cell>
          <cell r="X2429">
            <v>1</v>
          </cell>
          <cell r="Y2429" t="str">
            <v>Proteger</v>
          </cell>
        </row>
        <row r="2430">
          <cell r="A2430" t="str">
            <v>-115</v>
          </cell>
          <cell r="B2430" t="str">
            <v>-115 - FARMACIA COLINAS DE CARRIZAL,C.A.</v>
          </cell>
          <cell r="C2430" t="str">
            <v>INDEPENDIENTE</v>
          </cell>
          <cell r="D2430">
            <v>0</v>
          </cell>
          <cell r="E2430"/>
          <cell r="F2430" t="str">
            <v>CARACAS</v>
          </cell>
          <cell r="G2430" t="str">
            <v>RAMON SERRANO</v>
          </cell>
          <cell r="H2430"/>
          <cell r="I2430" t="str">
            <v>CB</v>
          </cell>
          <cell r="J2430" t="str">
            <v>Activo</v>
          </cell>
          <cell r="K2430">
            <v>30.508700000000001</v>
          </cell>
          <cell r="L2430">
            <v>30.508700000000001</v>
          </cell>
          <cell r="M2430">
            <v>0</v>
          </cell>
          <cell r="N2430" t="str">
            <v>No Compra</v>
          </cell>
          <cell r="O2430">
            <v>1</v>
          </cell>
          <cell r="P2430">
            <v>45.295299999999997</v>
          </cell>
          <cell r="Q2430">
            <v>45.295299999999997</v>
          </cell>
          <cell r="R2430">
            <v>0</v>
          </cell>
          <cell r="T2430"/>
          <cell r="U2430"/>
          <cell r="V2430">
            <v>0.67355111899027054</v>
          </cell>
          <cell r="W2430">
            <v>1.1649400797501829E-6</v>
          </cell>
          <cell r="X2430">
            <v>1</v>
          </cell>
          <cell r="Y2430" t="str">
            <v>Proteger</v>
          </cell>
        </row>
        <row r="2431">
          <cell r="A2431" t="str">
            <v>G159</v>
          </cell>
          <cell r="B2431" t="str">
            <v>G159 - FARMACIA ALDEA DE LOS MUCHACHOS, C.A.</v>
          </cell>
          <cell r="C2431" t="e">
            <v>#N/A</v>
          </cell>
          <cell r="D2431">
            <v>1</v>
          </cell>
          <cell r="F2431" t="str">
            <v>ANDES</v>
          </cell>
          <cell r="G2431">
            <v>0</v>
          </cell>
          <cell r="H2431"/>
          <cell r="I2431" t="str">
            <v>G</v>
          </cell>
          <cell r="J2431" t="str">
            <v>Activo</v>
          </cell>
          <cell r="K2431">
            <v>18.448899999999998</v>
          </cell>
          <cell r="L2431">
            <v>18.448899999999998</v>
          </cell>
          <cell r="M2431">
            <v>18.448899999999998</v>
          </cell>
          <cell r="N2431" t="str">
            <v>Si Compra</v>
          </cell>
          <cell r="O2431">
            <v>1</v>
          </cell>
          <cell r="P2431">
            <v>0</v>
          </cell>
          <cell r="Q2431">
            <v>0</v>
          </cell>
          <cell r="R2431">
            <v>0</v>
          </cell>
          <cell r="V2431">
            <v>0</v>
          </cell>
          <cell r="W2431">
            <v>7.0445030556212318E-7</v>
          </cell>
          <cell r="X2431">
            <v>0</v>
          </cell>
          <cell r="Y2431" t="str">
            <v>Conquistar</v>
          </cell>
        </row>
        <row r="2432">
          <cell r="A2432" t="str">
            <v>D342</v>
          </cell>
          <cell r="B2432" t="str">
            <v>D342 - FARMACIA LOS TOROMAIMA, C.A.</v>
          </cell>
          <cell r="C2432" t="str">
            <v>INDEPENDIENTE</v>
          </cell>
          <cell r="D2432">
            <v>0</v>
          </cell>
          <cell r="E2432"/>
          <cell r="F2432" t="str">
            <v>CARACAS</v>
          </cell>
          <cell r="H2432"/>
          <cell r="I2432" t="str">
            <v>C3</v>
          </cell>
          <cell r="J2432" t="str">
            <v>Bloqueado</v>
          </cell>
          <cell r="K2432">
            <v>12.168900000000001</v>
          </cell>
          <cell r="L2432">
            <v>6.0844500000000004</v>
          </cell>
          <cell r="M2432">
            <v>0</v>
          </cell>
          <cell r="N2432" t="str">
            <v>No Compra</v>
          </cell>
          <cell r="O2432">
            <v>2</v>
          </cell>
          <cell r="P2432">
            <v>0</v>
          </cell>
          <cell r="Q2432">
            <v>0</v>
          </cell>
          <cell r="R2432">
            <v>0</v>
          </cell>
          <cell r="T2432"/>
          <cell r="U2432"/>
          <cell r="V2432">
            <v>0</v>
          </cell>
          <cell r="W2432">
            <v>2.3232781692553274E-7</v>
          </cell>
          <cell r="X2432">
            <v>0</v>
          </cell>
          <cell r="Y2432" t="str">
            <v>Conquistar</v>
          </cell>
        </row>
        <row r="2433">
          <cell r="A2433" t="str">
            <v>A696</v>
          </cell>
          <cell r="B2433" t="str">
            <v>A696 - FARMACIA FARMAREAL, C.A.</v>
          </cell>
          <cell r="C2433" t="e">
            <v>#N/A</v>
          </cell>
          <cell r="D2433">
            <v>1</v>
          </cell>
          <cell r="E2433"/>
          <cell r="F2433" t="str">
            <v>ESTE</v>
          </cell>
          <cell r="G2433" t="str">
            <v>PEDRO VIRE</v>
          </cell>
          <cell r="H2433"/>
          <cell r="I2433" t="str">
            <v>A7</v>
          </cell>
          <cell r="J2433" t="str">
            <v>Inactivo</v>
          </cell>
          <cell r="K2433">
            <v>11.026694431151491</v>
          </cell>
          <cell r="L2433">
            <v>3.6755648103838303</v>
          </cell>
          <cell r="M2433">
            <v>7.680210562059905</v>
          </cell>
          <cell r="N2433" t="str">
            <v>Si Compra</v>
          </cell>
          <cell r="O2433">
            <v>2</v>
          </cell>
          <cell r="P2433">
            <v>0</v>
          </cell>
          <cell r="Q2433">
            <v>0</v>
          </cell>
          <cell r="R2433">
            <v>0</v>
          </cell>
          <cell r="T2433"/>
          <cell r="U2433"/>
          <cell r="V2433">
            <v>0</v>
          </cell>
          <cell r="W2433">
            <v>1.4034727023227817E-7</v>
          </cell>
          <cell r="X2433">
            <v>0</v>
          </cell>
          <cell r="Y2433" t="str">
            <v>Conquistar</v>
          </cell>
        </row>
        <row r="2434">
          <cell r="A2434" t="str">
            <v>8372</v>
          </cell>
          <cell r="B2434" t="str">
            <v>8372 - FARMACIA URAOARENAS C.A</v>
          </cell>
          <cell r="C2434" t="str">
            <v>INDEPENDIENTE</v>
          </cell>
          <cell r="D2434">
            <v>0</v>
          </cell>
          <cell r="E2434"/>
          <cell r="F2434" t="str">
            <v>ANDES</v>
          </cell>
          <cell r="H2434"/>
          <cell r="I2434" t="str">
            <v>5</v>
          </cell>
          <cell r="J2434" t="str">
            <v>Bloqueado</v>
          </cell>
          <cell r="K2434">
            <v>4.5780782313384751</v>
          </cell>
          <cell r="L2434">
            <v>2.2890391156692376</v>
          </cell>
          <cell r="M2434">
            <v>0</v>
          </cell>
          <cell r="N2434" t="str">
            <v>No Compra</v>
          </cell>
          <cell r="O2434">
            <v>2</v>
          </cell>
          <cell r="P2434">
            <v>0</v>
          </cell>
          <cell r="Q2434">
            <v>0</v>
          </cell>
          <cell r="R2434">
            <v>0</v>
          </cell>
          <cell r="T2434"/>
          <cell r="U2434"/>
          <cell r="V2434">
            <v>0</v>
          </cell>
          <cell r="W2434">
            <v>8.740436039421574E-8</v>
          </cell>
          <cell r="X2434">
            <v>0</v>
          </cell>
          <cell r="Y2434" t="str">
            <v>Conquistar</v>
          </cell>
        </row>
        <row r="2435">
          <cell r="A2435" t="str">
            <v>7038</v>
          </cell>
          <cell r="B2435" t="str">
            <v>7038 - FARMACIA LA POPULAR DE CAUCAGUA 1, C.A</v>
          </cell>
          <cell r="C2435" t="str">
            <v>INDEPENDIENTE</v>
          </cell>
          <cell r="D2435">
            <v>0</v>
          </cell>
          <cell r="E2435"/>
          <cell r="F2435" t="str">
            <v>CARACAS</v>
          </cell>
          <cell r="H2435"/>
          <cell r="I2435" t="str">
            <v>C7</v>
          </cell>
          <cell r="J2435" t="str">
            <v>Bloqueado</v>
          </cell>
          <cell r="K2435">
            <v>4.0336608390553295</v>
          </cell>
          <cell r="L2435">
            <v>4.0336608390553295</v>
          </cell>
          <cell r="M2435">
            <v>0</v>
          </cell>
          <cell r="N2435" t="str">
            <v>No Compra</v>
          </cell>
          <cell r="O2435">
            <v>1</v>
          </cell>
          <cell r="P2435">
            <v>0</v>
          </cell>
          <cell r="Q2435">
            <v>0</v>
          </cell>
          <cell r="R2435">
            <v>0</v>
          </cell>
          <cell r="T2435"/>
          <cell r="U2435"/>
          <cell r="V2435">
            <v>0</v>
          </cell>
          <cell r="W2435">
            <v>1.5402076062022654E-7</v>
          </cell>
          <cell r="X2435">
            <v>0</v>
          </cell>
          <cell r="Y2435" t="str">
            <v>Conquistar</v>
          </cell>
        </row>
        <row r="2436">
          <cell r="A2436" t="str">
            <v>B249</v>
          </cell>
          <cell r="B2436" t="str">
            <v>B249 - FARMACIA ORINOKIA 2021, C.A.</v>
          </cell>
          <cell r="C2436" t="e">
            <v>#N/A</v>
          </cell>
          <cell r="D2436">
            <v>1</v>
          </cell>
          <cell r="E2436"/>
          <cell r="F2436" t="str">
            <v>ESTE</v>
          </cell>
          <cell r="G2436" t="str">
            <v>ALEXMAR CASTILLO</v>
          </cell>
          <cell r="H2436"/>
          <cell r="I2436" t="str">
            <v>A1</v>
          </cell>
          <cell r="J2436" t="str">
            <v>Bloqueado</v>
          </cell>
          <cell r="K2436">
            <v>-2.5380734223080861</v>
          </cell>
          <cell r="L2436">
            <v>-1.269036711154043</v>
          </cell>
          <cell r="M2436">
            <v>3.2679392134144507</v>
          </cell>
          <cell r="N2436" t="str">
            <v>Si Compra</v>
          </cell>
          <cell r="O2436">
            <v>1</v>
          </cell>
          <cell r="P2436">
            <v>2273.1992365455699</v>
          </cell>
          <cell r="Q2436">
            <v>2273.1992365455699</v>
          </cell>
          <cell r="R2436">
            <v>0</v>
          </cell>
          <cell r="T2436"/>
          <cell r="U2436"/>
          <cell r="V2436">
            <v>-5.5826022231228358E-4</v>
          </cell>
          <cell r="W2436">
            <v>-4.8456726359946532E-8</v>
          </cell>
          <cell r="X2436">
            <v>1</v>
          </cell>
          <cell r="Y2436" t="str">
            <v>Conquistar</v>
          </cell>
        </row>
        <row r="2437">
          <cell r="A2437" t="str">
            <v>A059</v>
          </cell>
          <cell r="B2437" t="str">
            <v>A059 - FARMACIA GRUPO MEDICAL SALUD, C.A.</v>
          </cell>
          <cell r="C2437" t="str">
            <v>INDEPENDIENTE</v>
          </cell>
          <cell r="D2437">
            <v>0</v>
          </cell>
          <cell r="E2437"/>
          <cell r="F2437" t="str">
            <v>CENTRO ESTE</v>
          </cell>
          <cell r="G2437" t="str">
            <v>LAURA FLORES</v>
          </cell>
          <cell r="H2437"/>
          <cell r="I2437" t="str">
            <v>+</v>
          </cell>
          <cell r="J2437" t="str">
            <v>Bloqueado</v>
          </cell>
          <cell r="K2437">
            <v>-59.300076850619284</v>
          </cell>
          <cell r="L2437">
            <v>-29.650038425309642</v>
          </cell>
          <cell r="M2437">
            <v>0</v>
          </cell>
          <cell r="N2437" t="str">
            <v>No Compra</v>
          </cell>
          <cell r="O2437">
            <v>0</v>
          </cell>
          <cell r="P2437">
            <v>1836.0606748795055</v>
          </cell>
          <cell r="Q2437">
            <v>918.03033743975277</v>
          </cell>
          <cell r="R2437">
            <v>0</v>
          </cell>
          <cell r="T2437"/>
          <cell r="U2437"/>
          <cell r="V2437">
            <v>-3.229744945902234E-2</v>
          </cell>
          <cell r="W2437">
            <v>-1.1321530621683716E-6</v>
          </cell>
          <cell r="X2437">
            <v>1</v>
          </cell>
          <cell r="Y2437" t="str">
            <v>Fuera de rango</v>
          </cell>
        </row>
        <row r="2438">
          <cell r="A2438" t="str">
            <v>B225</v>
          </cell>
          <cell r="B2438" t="str">
            <v>B225 - FARMACIA TOROSAN, C.A.</v>
          </cell>
          <cell r="C2438" t="str">
            <v>INDEPENDIENTE</v>
          </cell>
          <cell r="D2438">
            <v>0</v>
          </cell>
          <cell r="E2438"/>
          <cell r="F2438" t="str">
            <v>ANDES</v>
          </cell>
          <cell r="G2438" t="str">
            <v>JESUS CONTRERAS</v>
          </cell>
          <cell r="H2438"/>
          <cell r="I2438" t="str">
            <v>G2</v>
          </cell>
          <cell r="J2438" t="str">
            <v>Bloqueado</v>
          </cell>
          <cell r="K2438">
            <v>-65.736545670984128</v>
          </cell>
          <cell r="L2438">
            <v>-65.736545670984128</v>
          </cell>
          <cell r="M2438">
            <v>0</v>
          </cell>
          <cell r="N2438" t="str">
            <v>No Compra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T2438"/>
          <cell r="U2438"/>
          <cell r="V2438">
            <v>0</v>
          </cell>
          <cell r="W2438">
            <v>-2.5100753803491393E-6</v>
          </cell>
          <cell r="X2438">
            <v>0</v>
          </cell>
          <cell r="Y2438" t="str">
            <v>Conquistar</v>
          </cell>
        </row>
        <row r="2439">
          <cell r="A2439" t="str">
            <v>B487</v>
          </cell>
          <cell r="B2439" t="str">
            <v>B487 - FARMA TAJ, C.A.</v>
          </cell>
          <cell r="C2439" t="e">
            <v>#N/A</v>
          </cell>
          <cell r="D2439">
            <v>0</v>
          </cell>
          <cell r="E2439"/>
          <cell r="F2439" t="str">
            <v>CARACAS</v>
          </cell>
          <cell r="H2439"/>
          <cell r="I2439" t="str">
            <v>C4</v>
          </cell>
          <cell r="J2439" t="str">
            <v>Bloqueado</v>
          </cell>
          <cell r="K2439">
            <v>-106.4274772661754</v>
          </cell>
          <cell r="L2439">
            <v>-106.4274772661754</v>
          </cell>
          <cell r="M2439">
            <v>0</v>
          </cell>
          <cell r="N2439" t="str">
            <v>No Compra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T2439"/>
          <cell r="U2439"/>
          <cell r="V2439">
            <v>0</v>
          </cell>
          <cell r="W2439">
            <v>-4.0638124159360821E-6</v>
          </cell>
          <cell r="X2439">
            <v>0</v>
          </cell>
          <cell r="Y2439" t="str">
            <v>Conquistar</v>
          </cell>
        </row>
        <row r="2440">
          <cell r="F2440"/>
          <cell r="J2440"/>
          <cell r="O2440"/>
          <cell r="W2440"/>
          <cell r="X2440"/>
          <cell r="Y2440"/>
        </row>
        <row r="2441">
          <cell r="F2441"/>
          <cell r="J2441"/>
          <cell r="O2441"/>
          <cell r="W2441"/>
          <cell r="X2441"/>
          <cell r="Y2441"/>
        </row>
        <row r="2442">
          <cell r="F2442"/>
          <cell r="J2442"/>
          <cell r="O2442"/>
          <cell r="W2442"/>
          <cell r="X2442"/>
          <cell r="Y2442"/>
        </row>
        <row r="2443">
          <cell r="F2443"/>
          <cell r="J2443"/>
          <cell r="O2443"/>
          <cell r="W2443"/>
          <cell r="X2443"/>
          <cell r="Y2443"/>
        </row>
        <row r="2444">
          <cell r="F2444"/>
          <cell r="J2444"/>
          <cell r="O2444"/>
          <cell r="W2444"/>
          <cell r="X2444"/>
          <cell r="Y2444"/>
        </row>
        <row r="2445">
          <cell r="F2445"/>
          <cell r="J2445"/>
          <cell r="O2445"/>
          <cell r="W2445"/>
          <cell r="X2445"/>
          <cell r="Y2445"/>
        </row>
        <row r="2446">
          <cell r="F2446"/>
          <cell r="J2446"/>
          <cell r="O2446"/>
          <cell r="W2446"/>
          <cell r="X2446"/>
          <cell r="Y2446"/>
        </row>
        <row r="2447">
          <cell r="F2447"/>
          <cell r="J2447"/>
          <cell r="O2447"/>
          <cell r="W2447"/>
          <cell r="X2447"/>
          <cell r="Y2447"/>
        </row>
        <row r="2448">
          <cell r="F2448"/>
          <cell r="J2448"/>
          <cell r="O2448"/>
          <cell r="W2448"/>
          <cell r="X2448"/>
          <cell r="Y2448"/>
        </row>
        <row r="2449">
          <cell r="F2449"/>
          <cell r="J2449"/>
          <cell r="O2449"/>
          <cell r="W2449"/>
          <cell r="X2449"/>
          <cell r="Y2449"/>
        </row>
        <row r="2450">
          <cell r="F2450"/>
          <cell r="J2450"/>
          <cell r="O2450"/>
          <cell r="W2450"/>
          <cell r="X2450"/>
          <cell r="Y2450"/>
        </row>
        <row r="2451">
          <cell r="F2451"/>
          <cell r="J2451"/>
          <cell r="O2451"/>
          <cell r="W2451"/>
          <cell r="X2451"/>
          <cell r="Y2451"/>
        </row>
        <row r="2452">
          <cell r="F2452"/>
          <cell r="J2452"/>
          <cell r="O2452"/>
          <cell r="W2452"/>
          <cell r="X2452"/>
          <cell r="Y2452"/>
        </row>
        <row r="2453">
          <cell r="F2453"/>
          <cell r="J2453"/>
          <cell r="O2453"/>
          <cell r="W2453"/>
          <cell r="X2453"/>
          <cell r="Y2453"/>
        </row>
        <row r="2454">
          <cell r="F2454"/>
          <cell r="J2454"/>
          <cell r="O2454"/>
          <cell r="W2454"/>
          <cell r="X2454"/>
          <cell r="Y2454"/>
        </row>
        <row r="2455">
          <cell r="F2455"/>
          <cell r="J2455"/>
          <cell r="O2455"/>
          <cell r="W2455"/>
          <cell r="X2455"/>
          <cell r="Y2455"/>
        </row>
        <row r="2456">
          <cell r="F2456"/>
          <cell r="J2456"/>
          <cell r="O2456"/>
          <cell r="W2456"/>
          <cell r="X2456"/>
          <cell r="Y2456"/>
        </row>
        <row r="2457">
          <cell r="F2457"/>
          <cell r="J2457"/>
          <cell r="O2457"/>
          <cell r="W2457"/>
          <cell r="X2457"/>
          <cell r="Y2457"/>
        </row>
        <row r="2458">
          <cell r="F2458"/>
          <cell r="J2458"/>
          <cell r="O2458"/>
          <cell r="W2458"/>
          <cell r="X2458"/>
          <cell r="Y2458"/>
        </row>
        <row r="2459">
          <cell r="F2459"/>
          <cell r="J2459"/>
          <cell r="O2459"/>
          <cell r="W2459"/>
          <cell r="X2459"/>
          <cell r="Y2459"/>
        </row>
        <row r="2460">
          <cell r="F2460"/>
          <cell r="J2460"/>
          <cell r="O2460"/>
          <cell r="W2460"/>
          <cell r="X2460"/>
          <cell r="Y2460"/>
        </row>
        <row r="2461">
          <cell r="F2461"/>
          <cell r="J2461"/>
          <cell r="O2461"/>
          <cell r="W2461"/>
          <cell r="X2461"/>
          <cell r="Y2461"/>
        </row>
        <row r="2462">
          <cell r="F2462"/>
          <cell r="J2462"/>
          <cell r="O2462"/>
          <cell r="W2462"/>
          <cell r="X2462"/>
          <cell r="Y2462"/>
        </row>
        <row r="2463">
          <cell r="F2463"/>
          <cell r="J2463"/>
          <cell r="O2463"/>
          <cell r="W2463"/>
          <cell r="X2463"/>
          <cell r="Y2463"/>
        </row>
        <row r="2464">
          <cell r="F2464"/>
          <cell r="J2464"/>
          <cell r="O2464"/>
          <cell r="W2464"/>
          <cell r="X2464"/>
          <cell r="Y2464"/>
        </row>
        <row r="2465">
          <cell r="F2465"/>
          <cell r="J2465"/>
          <cell r="O2465"/>
          <cell r="W2465"/>
          <cell r="X2465"/>
          <cell r="Y2465"/>
        </row>
        <row r="2466">
          <cell r="F2466"/>
          <cell r="J2466"/>
          <cell r="O2466"/>
          <cell r="W2466"/>
          <cell r="X2466"/>
          <cell r="Y2466"/>
        </row>
        <row r="2467">
          <cell r="F2467"/>
          <cell r="J2467"/>
          <cell r="O2467"/>
          <cell r="W2467"/>
          <cell r="X2467"/>
          <cell r="Y2467"/>
        </row>
        <row r="2468">
          <cell r="F2468"/>
          <cell r="J2468"/>
          <cell r="O2468"/>
          <cell r="W2468"/>
          <cell r="X2468"/>
          <cell r="Y2468"/>
        </row>
        <row r="2469">
          <cell r="F2469"/>
          <cell r="J2469"/>
          <cell r="O2469"/>
          <cell r="W2469"/>
          <cell r="X2469"/>
          <cell r="Y2469"/>
        </row>
        <row r="2470">
          <cell r="F2470"/>
          <cell r="J2470"/>
          <cell r="O2470"/>
          <cell r="W2470"/>
          <cell r="X2470"/>
          <cell r="Y2470"/>
        </row>
        <row r="2471">
          <cell r="F2471"/>
          <cell r="J2471"/>
          <cell r="O2471"/>
          <cell r="W2471"/>
          <cell r="X2471"/>
          <cell r="Y2471"/>
        </row>
        <row r="2472">
          <cell r="F2472"/>
          <cell r="J2472"/>
          <cell r="O2472"/>
          <cell r="W2472"/>
          <cell r="X2472"/>
          <cell r="Y2472"/>
        </row>
        <row r="2473">
          <cell r="F2473"/>
          <cell r="J2473"/>
          <cell r="O2473"/>
          <cell r="W2473"/>
          <cell r="X2473"/>
          <cell r="Y2473"/>
        </row>
        <row r="2474">
          <cell r="F2474"/>
          <cell r="J2474"/>
          <cell r="O2474"/>
          <cell r="W2474"/>
          <cell r="X2474"/>
          <cell r="Y2474"/>
        </row>
        <row r="2475">
          <cell r="F2475"/>
          <cell r="J2475"/>
          <cell r="O2475"/>
          <cell r="W2475"/>
          <cell r="X2475"/>
          <cell r="Y2475"/>
        </row>
        <row r="2476">
          <cell r="F2476"/>
          <cell r="J2476"/>
          <cell r="O2476"/>
          <cell r="W2476"/>
          <cell r="X2476"/>
          <cell r="Y2476"/>
        </row>
        <row r="2477">
          <cell r="F2477"/>
          <cell r="J2477"/>
          <cell r="O2477"/>
          <cell r="W2477"/>
          <cell r="X2477"/>
          <cell r="Y2477"/>
        </row>
        <row r="2478">
          <cell r="F2478"/>
          <cell r="J2478"/>
          <cell r="O2478"/>
          <cell r="W2478"/>
          <cell r="X2478"/>
          <cell r="Y2478"/>
        </row>
        <row r="2479">
          <cell r="F2479"/>
          <cell r="J2479"/>
          <cell r="O2479"/>
          <cell r="W2479"/>
          <cell r="X2479"/>
          <cell r="Y2479"/>
        </row>
        <row r="2480">
          <cell r="F2480"/>
          <cell r="J2480"/>
          <cell r="O2480"/>
          <cell r="W2480"/>
          <cell r="X2480"/>
          <cell r="Y2480"/>
        </row>
        <row r="2481">
          <cell r="F2481"/>
          <cell r="J2481"/>
          <cell r="O2481"/>
          <cell r="W2481"/>
          <cell r="X2481"/>
          <cell r="Y2481"/>
        </row>
        <row r="2482">
          <cell r="F2482"/>
          <cell r="J2482"/>
          <cell r="O2482"/>
          <cell r="W2482"/>
          <cell r="X2482"/>
          <cell r="Y2482"/>
        </row>
        <row r="2483">
          <cell r="F2483"/>
          <cell r="J2483"/>
          <cell r="O2483"/>
          <cell r="W2483"/>
          <cell r="X2483"/>
          <cell r="Y2483"/>
        </row>
        <row r="2484">
          <cell r="F2484"/>
          <cell r="J2484"/>
          <cell r="O2484"/>
          <cell r="W2484"/>
          <cell r="X2484"/>
          <cell r="Y2484"/>
        </row>
        <row r="2485">
          <cell r="F2485"/>
          <cell r="J2485"/>
          <cell r="O2485"/>
          <cell r="W2485"/>
          <cell r="X2485"/>
          <cell r="Y2485"/>
        </row>
        <row r="2486">
          <cell r="F2486"/>
          <cell r="J2486"/>
          <cell r="O2486"/>
          <cell r="W2486"/>
          <cell r="X2486"/>
          <cell r="Y2486"/>
        </row>
        <row r="2487">
          <cell r="F2487"/>
          <cell r="J2487"/>
          <cell r="O2487"/>
          <cell r="W2487"/>
          <cell r="X2487"/>
          <cell r="Y2487"/>
        </row>
        <row r="2488">
          <cell r="F2488"/>
          <cell r="J2488"/>
          <cell r="O2488"/>
          <cell r="W2488"/>
          <cell r="X2488"/>
          <cell r="Y2488"/>
        </row>
        <row r="2489">
          <cell r="F2489"/>
          <cell r="J2489"/>
          <cell r="O2489"/>
          <cell r="W2489"/>
          <cell r="X2489"/>
          <cell r="Y2489"/>
        </row>
        <row r="2490">
          <cell r="F2490"/>
          <cell r="J2490"/>
          <cell r="O2490"/>
          <cell r="W2490"/>
          <cell r="X2490"/>
          <cell r="Y2490"/>
        </row>
        <row r="2491">
          <cell r="F2491"/>
          <cell r="J2491"/>
          <cell r="O2491"/>
          <cell r="W2491"/>
          <cell r="X2491"/>
          <cell r="Y2491"/>
        </row>
        <row r="2492">
          <cell r="F2492"/>
          <cell r="J2492"/>
          <cell r="O2492"/>
          <cell r="W2492"/>
          <cell r="X2492"/>
          <cell r="Y2492"/>
        </row>
        <row r="2493">
          <cell r="F2493"/>
          <cell r="J2493"/>
          <cell r="O2493"/>
          <cell r="W2493"/>
          <cell r="X2493"/>
          <cell r="Y2493"/>
        </row>
        <row r="2494">
          <cell r="F2494"/>
          <cell r="J2494"/>
          <cell r="O2494"/>
          <cell r="W2494"/>
          <cell r="X2494"/>
          <cell r="Y2494"/>
        </row>
        <row r="2495">
          <cell r="F2495"/>
          <cell r="J2495"/>
          <cell r="O2495"/>
          <cell r="W2495"/>
          <cell r="X2495"/>
          <cell r="Y2495"/>
        </row>
        <row r="2496">
          <cell r="F2496"/>
          <cell r="J2496"/>
          <cell r="O2496"/>
          <cell r="W2496"/>
          <cell r="X2496"/>
          <cell r="Y2496"/>
        </row>
        <row r="2497">
          <cell r="F2497"/>
          <cell r="J2497"/>
          <cell r="O2497"/>
          <cell r="W2497"/>
          <cell r="X2497"/>
          <cell r="Y2497"/>
        </row>
        <row r="2498">
          <cell r="F2498"/>
          <cell r="J2498"/>
          <cell r="O2498"/>
          <cell r="W2498"/>
          <cell r="X2498"/>
          <cell r="Y2498"/>
        </row>
        <row r="2499">
          <cell r="F2499"/>
          <cell r="J2499"/>
          <cell r="O2499"/>
          <cell r="W2499"/>
          <cell r="X2499"/>
          <cell r="Y2499"/>
        </row>
        <row r="2500">
          <cell r="F2500"/>
          <cell r="J2500"/>
          <cell r="O2500"/>
          <cell r="W2500"/>
          <cell r="X2500"/>
          <cell r="Y2500"/>
        </row>
        <row r="2501">
          <cell r="F2501"/>
          <cell r="J2501"/>
          <cell r="O2501"/>
          <cell r="W2501"/>
          <cell r="X2501"/>
          <cell r="Y2501"/>
        </row>
        <row r="2502">
          <cell r="F2502"/>
          <cell r="J2502"/>
          <cell r="O2502"/>
          <cell r="W2502"/>
          <cell r="X2502"/>
          <cell r="Y2502"/>
        </row>
        <row r="2503">
          <cell r="F2503"/>
          <cell r="J2503"/>
          <cell r="O2503"/>
          <cell r="W2503"/>
          <cell r="X2503"/>
          <cell r="Y2503"/>
        </row>
        <row r="2504">
          <cell r="F2504"/>
          <cell r="J2504"/>
          <cell r="O2504"/>
          <cell r="W2504"/>
          <cell r="X2504"/>
          <cell r="Y2504"/>
        </row>
        <row r="2505">
          <cell r="F2505"/>
          <cell r="J2505"/>
          <cell r="O2505"/>
          <cell r="W2505"/>
          <cell r="X2505"/>
          <cell r="Y2505"/>
        </row>
        <row r="2506">
          <cell r="F2506"/>
          <cell r="J2506"/>
          <cell r="O2506"/>
          <cell r="W2506"/>
          <cell r="X2506"/>
          <cell r="Y2506"/>
        </row>
        <row r="2507">
          <cell r="F2507"/>
          <cell r="J2507"/>
          <cell r="O2507"/>
          <cell r="W2507"/>
          <cell r="X2507"/>
          <cell r="Y2507"/>
        </row>
        <row r="2508">
          <cell r="F2508"/>
          <cell r="J2508"/>
          <cell r="O2508"/>
          <cell r="W2508"/>
          <cell r="X2508"/>
          <cell r="Y2508"/>
        </row>
        <row r="2509">
          <cell r="F2509"/>
          <cell r="J2509"/>
          <cell r="O2509"/>
          <cell r="W2509"/>
          <cell r="X2509"/>
          <cell r="Y2509"/>
        </row>
        <row r="2510">
          <cell r="F2510"/>
          <cell r="J2510"/>
          <cell r="O2510"/>
          <cell r="W2510"/>
          <cell r="X2510"/>
          <cell r="Y2510"/>
        </row>
        <row r="2511">
          <cell r="F2511"/>
          <cell r="J2511"/>
          <cell r="O2511"/>
          <cell r="W2511"/>
          <cell r="X2511"/>
          <cell r="Y2511"/>
        </row>
        <row r="2512">
          <cell r="F2512"/>
          <cell r="J2512"/>
          <cell r="O2512"/>
          <cell r="W2512"/>
          <cell r="X2512"/>
          <cell r="Y2512"/>
        </row>
        <row r="2513">
          <cell r="F2513"/>
          <cell r="J2513"/>
          <cell r="O2513"/>
          <cell r="W2513"/>
          <cell r="X2513"/>
          <cell r="Y2513"/>
        </row>
        <row r="2514">
          <cell r="F2514"/>
          <cell r="J2514"/>
          <cell r="O2514"/>
          <cell r="W2514"/>
          <cell r="X2514"/>
          <cell r="Y2514"/>
        </row>
        <row r="2515">
          <cell r="F2515"/>
          <cell r="J2515"/>
          <cell r="O2515"/>
          <cell r="W2515"/>
          <cell r="X2515"/>
          <cell r="Y2515"/>
        </row>
        <row r="2516">
          <cell r="F2516"/>
          <cell r="J2516"/>
          <cell r="O2516"/>
          <cell r="W2516"/>
          <cell r="X2516"/>
          <cell r="Y2516"/>
        </row>
        <row r="2517">
          <cell r="F2517"/>
          <cell r="J2517"/>
          <cell r="O2517"/>
          <cell r="W2517"/>
          <cell r="X2517"/>
          <cell r="Y2517"/>
        </row>
        <row r="2518">
          <cell r="F2518"/>
          <cell r="J2518"/>
          <cell r="O2518"/>
          <cell r="W2518"/>
          <cell r="X2518"/>
          <cell r="Y2518"/>
        </row>
        <row r="2519">
          <cell r="F2519"/>
          <cell r="J2519"/>
          <cell r="O2519"/>
          <cell r="W2519"/>
          <cell r="X2519"/>
          <cell r="Y2519"/>
        </row>
        <row r="2520">
          <cell r="F2520"/>
          <cell r="J2520"/>
          <cell r="O2520"/>
          <cell r="W2520"/>
          <cell r="X2520"/>
          <cell r="Y2520"/>
        </row>
        <row r="2521">
          <cell r="F2521"/>
          <cell r="J2521"/>
          <cell r="O2521"/>
          <cell r="W2521"/>
          <cell r="X2521"/>
          <cell r="Y2521"/>
        </row>
        <row r="2522">
          <cell r="F2522"/>
          <cell r="J2522"/>
          <cell r="O2522"/>
          <cell r="W2522"/>
          <cell r="X2522"/>
          <cell r="Y2522"/>
        </row>
        <row r="2523">
          <cell r="F2523"/>
          <cell r="J2523"/>
          <cell r="O2523"/>
          <cell r="W2523"/>
          <cell r="X2523"/>
          <cell r="Y2523"/>
        </row>
        <row r="2524">
          <cell r="F2524"/>
          <cell r="J2524"/>
          <cell r="O2524"/>
          <cell r="W2524"/>
          <cell r="X2524"/>
          <cell r="Y2524"/>
        </row>
        <row r="2525">
          <cell r="F2525"/>
          <cell r="J2525"/>
          <cell r="O2525"/>
          <cell r="W2525"/>
          <cell r="X2525"/>
          <cell r="Y2525"/>
        </row>
        <row r="2526">
          <cell r="F2526"/>
          <cell r="J2526"/>
          <cell r="O2526"/>
          <cell r="W2526"/>
          <cell r="X2526"/>
          <cell r="Y2526"/>
        </row>
        <row r="2527">
          <cell r="F2527"/>
          <cell r="J2527"/>
          <cell r="O2527"/>
          <cell r="W2527"/>
          <cell r="X2527"/>
          <cell r="Y2527"/>
        </row>
        <row r="2528">
          <cell r="F2528"/>
          <cell r="J2528"/>
          <cell r="O2528"/>
          <cell r="W2528"/>
          <cell r="X2528"/>
          <cell r="Y2528"/>
        </row>
        <row r="2529">
          <cell r="F2529"/>
          <cell r="J2529"/>
          <cell r="O2529"/>
          <cell r="W2529"/>
          <cell r="X2529"/>
          <cell r="Y2529"/>
        </row>
        <row r="2530">
          <cell r="F2530"/>
          <cell r="J2530"/>
          <cell r="O2530"/>
          <cell r="W2530"/>
          <cell r="X2530"/>
          <cell r="Y2530"/>
        </row>
        <row r="2531">
          <cell r="F2531"/>
          <cell r="J2531"/>
          <cell r="O2531"/>
          <cell r="W2531"/>
          <cell r="X2531"/>
          <cell r="Y2531"/>
        </row>
        <row r="2532">
          <cell r="F2532"/>
          <cell r="J2532"/>
          <cell r="O2532"/>
          <cell r="W2532"/>
          <cell r="X2532"/>
          <cell r="Y2532"/>
        </row>
        <row r="2533">
          <cell r="F2533"/>
          <cell r="J2533"/>
          <cell r="O2533"/>
          <cell r="W2533"/>
          <cell r="X2533"/>
          <cell r="Y2533"/>
        </row>
        <row r="2534">
          <cell r="F2534"/>
          <cell r="J2534"/>
          <cell r="O2534"/>
          <cell r="W2534"/>
          <cell r="X2534"/>
          <cell r="Y2534"/>
        </row>
        <row r="2535">
          <cell r="F2535"/>
          <cell r="J2535"/>
          <cell r="O2535"/>
          <cell r="W2535"/>
          <cell r="X2535"/>
          <cell r="Y2535"/>
        </row>
        <row r="2536">
          <cell r="F2536"/>
          <cell r="J2536"/>
          <cell r="O2536"/>
          <cell r="W2536"/>
          <cell r="X2536"/>
          <cell r="Y2536"/>
        </row>
        <row r="2537">
          <cell r="F2537"/>
          <cell r="J2537"/>
          <cell r="O2537"/>
          <cell r="W2537"/>
          <cell r="X2537"/>
          <cell r="Y2537"/>
        </row>
        <row r="2538">
          <cell r="F2538"/>
          <cell r="J2538"/>
          <cell r="O2538"/>
          <cell r="W2538"/>
          <cell r="X2538"/>
          <cell r="Y2538"/>
        </row>
        <row r="2539">
          <cell r="F2539"/>
          <cell r="J2539"/>
          <cell r="O2539"/>
          <cell r="W2539"/>
          <cell r="X2539"/>
          <cell r="Y2539"/>
        </row>
        <row r="2540">
          <cell r="F2540"/>
          <cell r="J2540"/>
          <cell r="O2540"/>
          <cell r="W2540"/>
          <cell r="X2540"/>
          <cell r="Y2540"/>
        </row>
        <row r="2541">
          <cell r="F2541"/>
          <cell r="J2541"/>
          <cell r="O2541"/>
          <cell r="W2541"/>
          <cell r="X2541"/>
          <cell r="Y2541"/>
        </row>
        <row r="2542">
          <cell r="F2542"/>
          <cell r="J2542"/>
          <cell r="O2542"/>
          <cell r="W2542"/>
          <cell r="X2542"/>
          <cell r="Y2542"/>
        </row>
        <row r="2543">
          <cell r="F2543"/>
          <cell r="J2543"/>
          <cell r="O2543"/>
          <cell r="W2543"/>
          <cell r="X2543"/>
          <cell r="Y2543"/>
        </row>
        <row r="2544">
          <cell r="F2544"/>
          <cell r="J2544"/>
          <cell r="O2544"/>
          <cell r="W2544"/>
          <cell r="X2544"/>
          <cell r="Y2544"/>
        </row>
        <row r="2545">
          <cell r="F2545"/>
          <cell r="J2545"/>
          <cell r="O2545"/>
          <cell r="W2545"/>
          <cell r="X2545"/>
          <cell r="Y2545"/>
        </row>
        <row r="2546">
          <cell r="F2546"/>
          <cell r="J2546"/>
          <cell r="O2546"/>
          <cell r="W2546"/>
          <cell r="X2546"/>
          <cell r="Y2546"/>
        </row>
        <row r="2547">
          <cell r="F2547"/>
          <cell r="J2547"/>
          <cell r="O2547"/>
          <cell r="W2547"/>
          <cell r="X2547"/>
          <cell r="Y2547"/>
        </row>
        <row r="2548">
          <cell r="F2548"/>
          <cell r="J2548"/>
          <cell r="O2548"/>
          <cell r="W2548"/>
          <cell r="X2548"/>
          <cell r="Y2548"/>
        </row>
        <row r="2549">
          <cell r="F2549"/>
          <cell r="J2549"/>
          <cell r="O2549"/>
          <cell r="W2549"/>
          <cell r="X2549"/>
          <cell r="Y2549"/>
        </row>
        <row r="2550">
          <cell r="F2550"/>
          <cell r="J2550"/>
          <cell r="O2550"/>
          <cell r="W2550"/>
          <cell r="X2550"/>
          <cell r="Y2550"/>
        </row>
        <row r="2551">
          <cell r="F2551"/>
          <cell r="J2551"/>
          <cell r="O2551"/>
          <cell r="W2551"/>
          <cell r="X2551"/>
          <cell r="Y2551"/>
        </row>
        <row r="2552">
          <cell r="F2552"/>
          <cell r="J2552"/>
          <cell r="O2552"/>
          <cell r="W2552"/>
          <cell r="X2552"/>
          <cell r="Y2552"/>
        </row>
        <row r="2553">
          <cell r="F2553"/>
          <cell r="J2553"/>
          <cell r="O2553"/>
          <cell r="W2553"/>
          <cell r="X2553"/>
          <cell r="Y2553"/>
        </row>
        <row r="2554">
          <cell r="F2554"/>
          <cell r="J2554"/>
          <cell r="O2554"/>
          <cell r="W2554"/>
          <cell r="X2554"/>
          <cell r="Y2554"/>
        </row>
        <row r="2555">
          <cell r="F2555"/>
          <cell r="J2555"/>
          <cell r="O2555"/>
          <cell r="W2555"/>
          <cell r="X2555"/>
          <cell r="Y2555"/>
        </row>
        <row r="2556">
          <cell r="F2556"/>
          <cell r="J2556"/>
          <cell r="O2556"/>
          <cell r="W2556"/>
          <cell r="X2556"/>
          <cell r="Y2556"/>
        </row>
        <row r="2557">
          <cell r="F2557"/>
          <cell r="J2557"/>
          <cell r="O2557"/>
          <cell r="W2557"/>
          <cell r="X2557"/>
          <cell r="Y2557"/>
        </row>
        <row r="2558">
          <cell r="F2558"/>
          <cell r="J2558"/>
          <cell r="O2558"/>
          <cell r="W2558"/>
          <cell r="X2558"/>
          <cell r="Y2558"/>
        </row>
        <row r="2559">
          <cell r="F2559"/>
          <cell r="J2559"/>
          <cell r="O2559"/>
          <cell r="W2559"/>
          <cell r="X2559"/>
          <cell r="Y2559"/>
        </row>
        <row r="2560">
          <cell r="F2560"/>
          <cell r="J2560"/>
          <cell r="O2560"/>
          <cell r="W2560"/>
          <cell r="X2560"/>
          <cell r="Y2560"/>
        </row>
        <row r="2561">
          <cell r="F2561"/>
          <cell r="J2561"/>
          <cell r="O2561"/>
          <cell r="W2561"/>
          <cell r="X2561"/>
          <cell r="Y2561"/>
        </row>
        <row r="2562">
          <cell r="F2562"/>
          <cell r="J2562"/>
          <cell r="O2562"/>
          <cell r="W2562"/>
          <cell r="X2562"/>
          <cell r="Y2562"/>
        </row>
        <row r="2563">
          <cell r="F2563"/>
          <cell r="J2563"/>
          <cell r="O2563"/>
          <cell r="W2563"/>
          <cell r="X2563"/>
          <cell r="Y2563"/>
        </row>
        <row r="2564">
          <cell r="F2564"/>
          <cell r="J2564"/>
          <cell r="O2564"/>
          <cell r="W2564"/>
          <cell r="X2564"/>
          <cell r="Y2564"/>
        </row>
        <row r="2565">
          <cell r="F2565"/>
          <cell r="J2565"/>
          <cell r="O2565"/>
          <cell r="W2565"/>
          <cell r="X2565"/>
          <cell r="Y2565"/>
        </row>
        <row r="2566">
          <cell r="F2566"/>
          <cell r="J2566"/>
          <cell r="O2566"/>
          <cell r="W2566"/>
          <cell r="X2566"/>
          <cell r="Y2566"/>
        </row>
        <row r="2567">
          <cell r="F2567"/>
          <cell r="J2567"/>
          <cell r="O2567"/>
          <cell r="W2567"/>
          <cell r="X2567"/>
          <cell r="Y2567"/>
        </row>
        <row r="2568">
          <cell r="F2568"/>
          <cell r="J2568"/>
          <cell r="O2568"/>
          <cell r="W2568"/>
          <cell r="X2568"/>
          <cell r="Y2568"/>
        </row>
        <row r="2569">
          <cell r="F2569"/>
          <cell r="J2569"/>
          <cell r="O2569"/>
          <cell r="W2569"/>
          <cell r="X2569"/>
          <cell r="Y2569"/>
        </row>
        <row r="2570">
          <cell r="F2570"/>
          <cell r="J2570"/>
          <cell r="O2570"/>
          <cell r="W2570"/>
          <cell r="X2570"/>
          <cell r="Y2570"/>
        </row>
        <row r="2571">
          <cell r="F2571"/>
          <cell r="J2571"/>
          <cell r="O2571"/>
          <cell r="W2571"/>
          <cell r="X2571"/>
          <cell r="Y2571"/>
        </row>
        <row r="2572">
          <cell r="F2572"/>
          <cell r="J2572"/>
          <cell r="O2572"/>
          <cell r="W2572"/>
          <cell r="X2572"/>
          <cell r="Y2572"/>
        </row>
        <row r="2573">
          <cell r="F2573"/>
          <cell r="J2573"/>
          <cell r="O2573"/>
          <cell r="W2573"/>
          <cell r="X2573"/>
          <cell r="Y2573"/>
        </row>
        <row r="2574">
          <cell r="F2574"/>
          <cell r="J2574"/>
          <cell r="O2574"/>
          <cell r="W2574"/>
          <cell r="X2574"/>
          <cell r="Y2574"/>
        </row>
        <row r="2575">
          <cell r="F2575"/>
          <cell r="J2575"/>
          <cell r="O2575"/>
          <cell r="W2575"/>
          <cell r="X2575"/>
          <cell r="Y2575"/>
        </row>
        <row r="2576">
          <cell r="F2576"/>
          <cell r="J2576"/>
          <cell r="O2576"/>
          <cell r="W2576"/>
          <cell r="X2576"/>
          <cell r="Y2576"/>
        </row>
        <row r="2577">
          <cell r="F2577"/>
          <cell r="J2577"/>
          <cell r="O2577"/>
          <cell r="W2577"/>
          <cell r="X2577"/>
          <cell r="Y2577"/>
        </row>
        <row r="2578">
          <cell r="F2578"/>
          <cell r="J2578"/>
          <cell r="O2578"/>
          <cell r="W2578"/>
          <cell r="X2578"/>
          <cell r="Y2578"/>
        </row>
        <row r="2579">
          <cell r="F2579"/>
          <cell r="J2579"/>
          <cell r="O2579"/>
          <cell r="W2579"/>
          <cell r="X2579"/>
          <cell r="Y2579"/>
        </row>
        <row r="2580">
          <cell r="F2580"/>
          <cell r="J2580"/>
          <cell r="O2580"/>
          <cell r="W2580"/>
          <cell r="X2580"/>
          <cell r="Y2580"/>
        </row>
        <row r="2581">
          <cell r="F2581"/>
          <cell r="J2581"/>
          <cell r="O2581"/>
          <cell r="W2581"/>
          <cell r="X2581"/>
          <cell r="Y2581"/>
        </row>
        <row r="2582">
          <cell r="F2582"/>
          <cell r="J2582"/>
          <cell r="O2582"/>
          <cell r="W2582"/>
          <cell r="X2582"/>
          <cell r="Y2582"/>
        </row>
        <row r="2583">
          <cell r="F2583"/>
          <cell r="J2583"/>
          <cell r="O2583"/>
          <cell r="W2583"/>
          <cell r="X2583"/>
          <cell r="Y2583"/>
        </row>
        <row r="2584">
          <cell r="F2584"/>
          <cell r="J2584"/>
          <cell r="O2584"/>
          <cell r="W2584"/>
          <cell r="X2584"/>
          <cell r="Y2584"/>
        </row>
        <row r="2585">
          <cell r="F2585"/>
          <cell r="J2585"/>
          <cell r="O2585"/>
          <cell r="W2585"/>
          <cell r="X2585"/>
          <cell r="Y2585"/>
        </row>
        <row r="2586">
          <cell r="F2586"/>
          <cell r="J2586"/>
          <cell r="O2586"/>
          <cell r="W2586"/>
          <cell r="X2586"/>
          <cell r="Y2586"/>
        </row>
        <row r="2587">
          <cell r="F2587"/>
          <cell r="J2587"/>
          <cell r="O2587"/>
          <cell r="W2587"/>
          <cell r="X2587"/>
          <cell r="Y2587"/>
        </row>
        <row r="2588">
          <cell r="F2588"/>
          <cell r="J2588"/>
          <cell r="O2588"/>
          <cell r="W2588"/>
          <cell r="X2588"/>
          <cell r="Y2588"/>
        </row>
        <row r="2589">
          <cell r="F2589"/>
          <cell r="J2589"/>
          <cell r="O2589"/>
          <cell r="W2589"/>
          <cell r="X2589"/>
          <cell r="Y2589"/>
        </row>
        <row r="2590">
          <cell r="F2590"/>
          <cell r="J2590"/>
          <cell r="O2590"/>
          <cell r="W2590"/>
          <cell r="X2590"/>
          <cell r="Y2590"/>
        </row>
        <row r="2591">
          <cell r="F2591"/>
          <cell r="J2591"/>
          <cell r="O2591"/>
          <cell r="W2591"/>
          <cell r="X2591"/>
          <cell r="Y2591"/>
        </row>
        <row r="2592">
          <cell r="F2592"/>
          <cell r="J2592"/>
          <cell r="O2592"/>
          <cell r="W2592"/>
          <cell r="X2592"/>
          <cell r="Y2592"/>
        </row>
        <row r="2593">
          <cell r="F2593"/>
          <cell r="J2593"/>
          <cell r="O2593"/>
          <cell r="W2593"/>
          <cell r="X2593"/>
          <cell r="Y2593"/>
        </row>
        <row r="2594">
          <cell r="F2594"/>
          <cell r="J2594"/>
          <cell r="O2594"/>
          <cell r="W2594"/>
          <cell r="X2594"/>
          <cell r="Y2594"/>
        </row>
        <row r="2595">
          <cell r="F2595"/>
          <cell r="J2595"/>
          <cell r="O2595"/>
          <cell r="W2595"/>
          <cell r="X2595"/>
          <cell r="Y2595"/>
        </row>
        <row r="2596">
          <cell r="F2596"/>
          <cell r="J2596"/>
          <cell r="O2596"/>
          <cell r="W2596"/>
          <cell r="X2596"/>
          <cell r="Y2596"/>
        </row>
        <row r="2597">
          <cell r="F2597"/>
          <cell r="J2597"/>
          <cell r="O2597"/>
          <cell r="W2597"/>
          <cell r="X2597"/>
          <cell r="Y2597"/>
        </row>
        <row r="2598">
          <cell r="F2598"/>
          <cell r="J2598"/>
          <cell r="O2598"/>
          <cell r="W2598"/>
          <cell r="X2598"/>
          <cell r="Y2598"/>
        </row>
        <row r="2599">
          <cell r="F2599"/>
          <cell r="J2599"/>
          <cell r="O2599"/>
          <cell r="W2599"/>
          <cell r="X2599"/>
          <cell r="Y2599"/>
        </row>
        <row r="2600">
          <cell r="F2600"/>
          <cell r="J2600"/>
          <cell r="O2600"/>
          <cell r="W2600"/>
          <cell r="X2600"/>
          <cell r="Y2600"/>
        </row>
        <row r="2601">
          <cell r="F2601"/>
          <cell r="J2601"/>
          <cell r="O2601"/>
          <cell r="W2601"/>
          <cell r="X2601"/>
          <cell r="Y2601"/>
        </row>
        <row r="2602">
          <cell r="F2602"/>
          <cell r="J2602"/>
          <cell r="O2602"/>
          <cell r="W2602"/>
          <cell r="X2602"/>
          <cell r="Y2602"/>
        </row>
        <row r="2603">
          <cell r="F2603"/>
          <cell r="J2603"/>
          <cell r="O2603"/>
          <cell r="W2603"/>
          <cell r="X2603"/>
          <cell r="Y2603"/>
        </row>
        <row r="2604">
          <cell r="F2604"/>
          <cell r="J2604"/>
          <cell r="O2604"/>
          <cell r="W2604"/>
          <cell r="X2604"/>
          <cell r="Y2604"/>
        </row>
        <row r="2605">
          <cell r="F2605"/>
          <cell r="J2605"/>
          <cell r="O2605"/>
          <cell r="W2605"/>
          <cell r="X2605"/>
          <cell r="Y2605"/>
        </row>
        <row r="2606">
          <cell r="F2606"/>
          <cell r="J2606"/>
          <cell r="O2606"/>
          <cell r="W2606"/>
          <cell r="X2606"/>
          <cell r="Y2606"/>
        </row>
        <row r="2607">
          <cell r="F2607"/>
          <cell r="J2607"/>
          <cell r="O2607"/>
          <cell r="W2607"/>
          <cell r="X2607"/>
          <cell r="Y2607"/>
        </row>
        <row r="2608">
          <cell r="F2608"/>
          <cell r="J2608"/>
          <cell r="O2608"/>
          <cell r="W2608"/>
          <cell r="X2608"/>
          <cell r="Y2608"/>
        </row>
        <row r="2609">
          <cell r="F2609"/>
          <cell r="J2609"/>
          <cell r="O2609"/>
          <cell r="W2609"/>
          <cell r="X2609"/>
          <cell r="Y2609"/>
        </row>
        <row r="2610">
          <cell r="F2610"/>
          <cell r="J2610"/>
          <cell r="O2610"/>
          <cell r="W2610"/>
          <cell r="X2610"/>
          <cell r="Y2610"/>
        </row>
        <row r="2611">
          <cell r="F2611"/>
          <cell r="J2611"/>
          <cell r="O2611"/>
          <cell r="W2611"/>
          <cell r="X2611"/>
          <cell r="Y2611"/>
        </row>
        <row r="2612">
          <cell r="F2612"/>
          <cell r="J2612"/>
          <cell r="O2612"/>
          <cell r="W2612"/>
          <cell r="X2612"/>
          <cell r="Y2612"/>
        </row>
        <row r="2613">
          <cell r="F2613"/>
          <cell r="J2613"/>
          <cell r="O2613"/>
          <cell r="W2613"/>
          <cell r="X2613"/>
          <cell r="Y2613"/>
        </row>
        <row r="2614">
          <cell r="F2614"/>
          <cell r="J2614"/>
          <cell r="O2614"/>
          <cell r="W2614"/>
          <cell r="X2614"/>
          <cell r="Y2614"/>
        </row>
        <row r="2615">
          <cell r="F2615"/>
          <cell r="J2615"/>
          <cell r="O2615"/>
          <cell r="W2615"/>
          <cell r="X2615"/>
          <cell r="Y2615"/>
        </row>
        <row r="2616">
          <cell r="F2616"/>
          <cell r="J2616"/>
          <cell r="O2616"/>
          <cell r="W2616"/>
          <cell r="X2616"/>
          <cell r="Y2616"/>
        </row>
        <row r="2617">
          <cell r="F2617"/>
          <cell r="J2617"/>
          <cell r="O2617"/>
          <cell r="W2617"/>
          <cell r="X2617"/>
          <cell r="Y2617"/>
        </row>
        <row r="2618">
          <cell r="F2618"/>
          <cell r="J2618"/>
          <cell r="O2618"/>
          <cell r="W2618"/>
          <cell r="X2618"/>
          <cell r="Y2618"/>
        </row>
        <row r="2619">
          <cell r="F2619"/>
          <cell r="J2619"/>
          <cell r="O2619"/>
          <cell r="W2619"/>
          <cell r="X2619"/>
          <cell r="Y2619"/>
        </row>
        <row r="2620">
          <cell r="F2620"/>
          <cell r="J2620"/>
          <cell r="O2620"/>
          <cell r="W2620"/>
          <cell r="X2620"/>
          <cell r="Y2620"/>
        </row>
        <row r="2621">
          <cell r="F2621"/>
          <cell r="J2621"/>
          <cell r="O2621"/>
          <cell r="W2621"/>
          <cell r="X2621"/>
          <cell r="Y2621"/>
        </row>
        <row r="2622">
          <cell r="F2622"/>
          <cell r="J2622"/>
          <cell r="O2622"/>
          <cell r="W2622"/>
          <cell r="X2622"/>
          <cell r="Y2622"/>
        </row>
        <row r="2623">
          <cell r="F2623"/>
          <cell r="J2623"/>
          <cell r="O2623"/>
          <cell r="W2623"/>
          <cell r="X2623"/>
          <cell r="Y2623"/>
        </row>
        <row r="2624">
          <cell r="F2624"/>
          <cell r="J2624"/>
          <cell r="O2624"/>
          <cell r="W2624"/>
          <cell r="X2624"/>
          <cell r="Y2624"/>
        </row>
        <row r="2625">
          <cell r="F2625"/>
          <cell r="J2625"/>
          <cell r="O2625"/>
          <cell r="W2625"/>
          <cell r="X2625"/>
          <cell r="Y2625"/>
        </row>
        <row r="2626">
          <cell r="F2626"/>
          <cell r="J2626"/>
          <cell r="O2626"/>
          <cell r="W2626"/>
          <cell r="X2626"/>
          <cell r="Y2626"/>
        </row>
        <row r="2627">
          <cell r="F2627"/>
          <cell r="J2627"/>
          <cell r="O2627"/>
          <cell r="W2627"/>
          <cell r="X2627"/>
          <cell r="Y2627"/>
        </row>
        <row r="2628">
          <cell r="F2628"/>
          <cell r="J2628"/>
          <cell r="O2628"/>
          <cell r="W2628"/>
          <cell r="X2628"/>
          <cell r="Y2628"/>
        </row>
        <row r="2629">
          <cell r="F2629"/>
          <cell r="J2629"/>
          <cell r="O2629"/>
          <cell r="W2629"/>
          <cell r="X2629"/>
          <cell r="Y2629"/>
        </row>
        <row r="2630">
          <cell r="F2630"/>
          <cell r="J2630"/>
          <cell r="O2630"/>
          <cell r="W2630"/>
          <cell r="X2630"/>
          <cell r="Y2630"/>
        </row>
        <row r="2631">
          <cell r="F2631"/>
          <cell r="J2631"/>
          <cell r="O2631"/>
          <cell r="W2631"/>
          <cell r="X2631"/>
          <cell r="Y2631"/>
        </row>
        <row r="2632">
          <cell r="F2632"/>
          <cell r="J2632"/>
          <cell r="O2632"/>
          <cell r="W2632"/>
          <cell r="X2632"/>
          <cell r="Y2632"/>
        </row>
        <row r="2633">
          <cell r="F2633"/>
          <cell r="J2633"/>
          <cell r="O2633"/>
          <cell r="W2633"/>
          <cell r="X2633"/>
          <cell r="Y2633"/>
        </row>
        <row r="2634">
          <cell r="F2634"/>
          <cell r="J2634"/>
          <cell r="O2634"/>
          <cell r="W2634"/>
          <cell r="X2634"/>
          <cell r="Y2634"/>
        </row>
        <row r="2635">
          <cell r="F2635"/>
          <cell r="J2635"/>
          <cell r="O2635"/>
          <cell r="W2635"/>
          <cell r="X2635"/>
          <cell r="Y2635"/>
        </row>
        <row r="2636">
          <cell r="F2636"/>
          <cell r="J2636"/>
          <cell r="O2636"/>
          <cell r="W2636"/>
          <cell r="X2636"/>
          <cell r="Y2636"/>
        </row>
        <row r="2637">
          <cell r="F2637"/>
          <cell r="J2637"/>
          <cell r="O2637"/>
          <cell r="W2637"/>
          <cell r="X2637"/>
          <cell r="Y2637"/>
        </row>
        <row r="2638">
          <cell r="F2638"/>
          <cell r="J2638"/>
          <cell r="O2638"/>
          <cell r="W2638"/>
          <cell r="X2638"/>
          <cell r="Y2638"/>
        </row>
        <row r="2639">
          <cell r="F2639"/>
          <cell r="J2639"/>
          <cell r="O2639"/>
          <cell r="W2639"/>
          <cell r="X2639"/>
          <cell r="Y2639"/>
        </row>
        <row r="2640">
          <cell r="F2640"/>
          <cell r="J2640"/>
          <cell r="O2640"/>
          <cell r="W2640"/>
          <cell r="X2640"/>
          <cell r="Y2640"/>
        </row>
        <row r="2641">
          <cell r="F2641"/>
          <cell r="J2641"/>
          <cell r="O2641"/>
          <cell r="W2641"/>
          <cell r="X2641"/>
          <cell r="Y2641"/>
        </row>
        <row r="2642">
          <cell r="F2642"/>
          <cell r="J2642"/>
          <cell r="O2642"/>
          <cell r="W2642"/>
          <cell r="X2642"/>
          <cell r="Y2642"/>
        </row>
        <row r="2643">
          <cell r="F2643"/>
          <cell r="J2643"/>
          <cell r="O2643"/>
          <cell r="W2643"/>
          <cell r="X2643"/>
          <cell r="Y2643"/>
        </row>
        <row r="2644">
          <cell r="F2644"/>
          <cell r="J2644"/>
          <cell r="O2644"/>
          <cell r="W2644"/>
          <cell r="X2644"/>
          <cell r="Y2644"/>
        </row>
        <row r="2645">
          <cell r="F2645"/>
          <cell r="J2645"/>
          <cell r="O2645"/>
          <cell r="W2645"/>
          <cell r="X2645"/>
          <cell r="Y2645"/>
        </row>
        <row r="2646">
          <cell r="F2646"/>
          <cell r="J2646"/>
          <cell r="O2646"/>
          <cell r="W2646"/>
          <cell r="X2646"/>
          <cell r="Y2646"/>
        </row>
        <row r="2647">
          <cell r="F2647"/>
          <cell r="J2647"/>
          <cell r="O2647"/>
          <cell r="W2647"/>
          <cell r="X2647"/>
          <cell r="Y2647"/>
        </row>
        <row r="2648">
          <cell r="F2648"/>
          <cell r="J2648"/>
          <cell r="O2648"/>
          <cell r="W2648"/>
          <cell r="X2648"/>
          <cell r="Y2648"/>
        </row>
        <row r="2649">
          <cell r="F2649"/>
          <cell r="J2649"/>
          <cell r="O2649"/>
          <cell r="W2649"/>
          <cell r="X2649"/>
          <cell r="Y2649"/>
        </row>
        <row r="2650">
          <cell r="F2650"/>
          <cell r="J2650"/>
          <cell r="O2650"/>
          <cell r="W2650"/>
          <cell r="X2650"/>
          <cell r="Y2650"/>
        </row>
        <row r="2651">
          <cell r="F2651"/>
          <cell r="J2651"/>
          <cell r="O2651"/>
          <cell r="W2651"/>
          <cell r="X2651"/>
          <cell r="Y2651"/>
        </row>
        <row r="2652">
          <cell r="F2652"/>
          <cell r="J2652"/>
          <cell r="O2652"/>
          <cell r="W2652"/>
          <cell r="X2652"/>
          <cell r="Y2652"/>
        </row>
        <row r="2653">
          <cell r="F2653"/>
          <cell r="J2653"/>
          <cell r="O2653"/>
          <cell r="W2653"/>
          <cell r="X2653"/>
          <cell r="Y2653"/>
        </row>
        <row r="2654">
          <cell r="F2654"/>
          <cell r="J2654"/>
          <cell r="O2654"/>
          <cell r="W2654"/>
          <cell r="X2654"/>
          <cell r="Y2654"/>
        </row>
        <row r="2655">
          <cell r="F2655"/>
          <cell r="J2655"/>
          <cell r="O2655"/>
          <cell r="W2655"/>
          <cell r="X2655"/>
          <cell r="Y2655"/>
        </row>
        <row r="2656">
          <cell r="F2656"/>
          <cell r="J2656"/>
          <cell r="O2656"/>
          <cell r="W2656"/>
          <cell r="X2656"/>
          <cell r="Y2656"/>
        </row>
        <row r="2657">
          <cell r="F2657"/>
          <cell r="J2657"/>
          <cell r="O2657"/>
          <cell r="W2657"/>
          <cell r="X2657"/>
          <cell r="Y2657"/>
        </row>
        <row r="2658">
          <cell r="F2658"/>
          <cell r="J2658"/>
          <cell r="O2658"/>
          <cell r="W2658"/>
          <cell r="X2658"/>
          <cell r="Y2658"/>
        </row>
        <row r="2659">
          <cell r="F2659"/>
          <cell r="J2659"/>
          <cell r="O2659"/>
          <cell r="W2659"/>
          <cell r="X2659"/>
          <cell r="Y2659"/>
        </row>
        <row r="2660">
          <cell r="F2660"/>
          <cell r="J2660"/>
          <cell r="O2660"/>
          <cell r="W2660"/>
          <cell r="X2660"/>
          <cell r="Y2660"/>
        </row>
        <row r="2661">
          <cell r="F2661"/>
          <cell r="J2661"/>
          <cell r="O2661"/>
          <cell r="W2661"/>
          <cell r="X2661"/>
          <cell r="Y2661"/>
        </row>
        <row r="2662">
          <cell r="F2662"/>
          <cell r="J2662"/>
          <cell r="O2662"/>
          <cell r="W2662"/>
          <cell r="X2662"/>
          <cell r="Y2662"/>
        </row>
        <row r="2663">
          <cell r="F2663"/>
          <cell r="J2663"/>
          <cell r="O2663"/>
          <cell r="W2663"/>
          <cell r="X2663"/>
          <cell r="Y2663"/>
        </row>
        <row r="2664">
          <cell r="F2664"/>
          <cell r="J2664"/>
          <cell r="O2664"/>
          <cell r="W2664"/>
          <cell r="X2664"/>
          <cell r="Y2664"/>
        </row>
        <row r="2665">
          <cell r="F2665"/>
          <cell r="J2665"/>
          <cell r="O2665"/>
          <cell r="W2665"/>
          <cell r="X2665"/>
          <cell r="Y2665"/>
        </row>
        <row r="2666">
          <cell r="F2666"/>
          <cell r="J2666"/>
          <cell r="O2666"/>
          <cell r="W2666"/>
          <cell r="X2666"/>
          <cell r="Y2666"/>
        </row>
        <row r="2667">
          <cell r="F2667"/>
          <cell r="J2667"/>
          <cell r="O2667"/>
          <cell r="W2667"/>
          <cell r="X2667"/>
          <cell r="Y2667"/>
        </row>
        <row r="2668">
          <cell r="F2668"/>
          <cell r="J2668"/>
          <cell r="O2668"/>
          <cell r="W2668"/>
          <cell r="X2668"/>
          <cell r="Y2668"/>
        </row>
        <row r="2669">
          <cell r="F2669"/>
          <cell r="J2669"/>
          <cell r="O2669"/>
          <cell r="W2669"/>
          <cell r="X2669"/>
          <cell r="Y2669"/>
        </row>
        <row r="2670">
          <cell r="F2670"/>
          <cell r="J2670"/>
          <cell r="O2670"/>
          <cell r="W2670"/>
          <cell r="X2670"/>
          <cell r="Y2670"/>
        </row>
        <row r="2671">
          <cell r="F2671"/>
          <cell r="J2671"/>
          <cell r="O2671"/>
          <cell r="W2671"/>
          <cell r="X2671"/>
          <cell r="Y2671"/>
        </row>
        <row r="2672">
          <cell r="F2672"/>
          <cell r="J2672"/>
          <cell r="O2672"/>
          <cell r="W2672"/>
          <cell r="X2672"/>
          <cell r="Y2672"/>
        </row>
        <row r="2673">
          <cell r="F2673"/>
          <cell r="J2673"/>
          <cell r="O2673"/>
          <cell r="W2673"/>
          <cell r="X2673"/>
          <cell r="Y2673"/>
        </row>
        <row r="2674">
          <cell r="F2674"/>
          <cell r="J2674"/>
          <cell r="O2674"/>
          <cell r="W2674"/>
          <cell r="X2674"/>
          <cell r="Y2674"/>
        </row>
        <row r="2675">
          <cell r="F2675"/>
          <cell r="J2675"/>
          <cell r="O2675"/>
          <cell r="W2675"/>
          <cell r="X2675"/>
          <cell r="Y2675"/>
        </row>
        <row r="2676">
          <cell r="F2676"/>
          <cell r="J2676"/>
          <cell r="O2676"/>
          <cell r="W2676"/>
          <cell r="X2676"/>
          <cell r="Y2676"/>
        </row>
        <row r="2677">
          <cell r="F2677"/>
          <cell r="J2677"/>
          <cell r="O2677"/>
          <cell r="W2677"/>
          <cell r="X2677"/>
          <cell r="Y2677"/>
        </row>
        <row r="2678">
          <cell r="F2678"/>
          <cell r="J2678"/>
          <cell r="O2678"/>
          <cell r="W2678"/>
          <cell r="X2678"/>
          <cell r="Y2678"/>
        </row>
        <row r="2679">
          <cell r="F2679"/>
          <cell r="J2679"/>
          <cell r="O2679"/>
          <cell r="W2679"/>
          <cell r="X2679"/>
          <cell r="Y2679"/>
        </row>
        <row r="2680">
          <cell r="F2680"/>
          <cell r="J2680"/>
          <cell r="O2680"/>
          <cell r="W2680"/>
          <cell r="X2680"/>
          <cell r="Y2680"/>
        </row>
        <row r="2681">
          <cell r="F2681"/>
          <cell r="J2681"/>
          <cell r="O2681"/>
          <cell r="W2681"/>
          <cell r="X2681"/>
          <cell r="Y2681"/>
        </row>
        <row r="2682">
          <cell r="F2682"/>
          <cell r="J2682"/>
          <cell r="O2682"/>
          <cell r="W2682"/>
          <cell r="X2682"/>
          <cell r="Y2682"/>
        </row>
        <row r="2683">
          <cell r="F2683"/>
          <cell r="J2683"/>
          <cell r="O2683"/>
          <cell r="W2683"/>
          <cell r="X2683"/>
          <cell r="Y2683"/>
        </row>
        <row r="2684">
          <cell r="F2684"/>
          <cell r="J2684"/>
          <cell r="O2684"/>
          <cell r="W2684"/>
          <cell r="X2684"/>
          <cell r="Y2684"/>
        </row>
        <row r="2685">
          <cell r="F2685"/>
          <cell r="J2685"/>
          <cell r="O2685"/>
          <cell r="W2685"/>
          <cell r="X2685"/>
          <cell r="Y2685"/>
        </row>
        <row r="2686">
          <cell r="F2686"/>
          <cell r="J2686"/>
          <cell r="O2686"/>
          <cell r="W2686"/>
          <cell r="X2686"/>
          <cell r="Y2686"/>
        </row>
        <row r="2687">
          <cell r="F2687"/>
          <cell r="J2687"/>
          <cell r="O2687"/>
          <cell r="W2687"/>
          <cell r="X2687"/>
          <cell r="Y2687"/>
        </row>
        <row r="2688">
          <cell r="F2688"/>
          <cell r="J2688"/>
          <cell r="O2688"/>
          <cell r="W2688"/>
          <cell r="X2688"/>
          <cell r="Y2688"/>
        </row>
        <row r="2689">
          <cell r="F2689"/>
          <cell r="J2689"/>
          <cell r="O2689"/>
          <cell r="W2689"/>
          <cell r="X2689"/>
          <cell r="Y2689"/>
        </row>
        <row r="2690">
          <cell r="F2690"/>
          <cell r="J2690"/>
          <cell r="O2690"/>
          <cell r="W2690"/>
          <cell r="X2690"/>
          <cell r="Y2690"/>
        </row>
        <row r="2691">
          <cell r="F2691"/>
          <cell r="J2691"/>
          <cell r="O2691"/>
          <cell r="W2691"/>
          <cell r="X2691"/>
          <cell r="Y2691"/>
        </row>
        <row r="2692">
          <cell r="F2692"/>
          <cell r="J2692"/>
          <cell r="O2692"/>
          <cell r="W2692"/>
          <cell r="X2692"/>
          <cell r="Y2692"/>
        </row>
        <row r="2693">
          <cell r="F2693"/>
          <cell r="J2693"/>
          <cell r="O2693"/>
          <cell r="W2693"/>
          <cell r="X2693"/>
          <cell r="Y2693"/>
        </row>
        <row r="2694">
          <cell r="F2694"/>
          <cell r="J2694"/>
          <cell r="O2694"/>
          <cell r="W2694"/>
          <cell r="X2694"/>
          <cell r="Y2694"/>
        </row>
        <row r="2695">
          <cell r="F2695"/>
          <cell r="J2695"/>
          <cell r="O2695"/>
          <cell r="W2695"/>
          <cell r="X2695"/>
          <cell r="Y2695"/>
        </row>
        <row r="2696">
          <cell r="F2696"/>
          <cell r="J2696"/>
          <cell r="O2696"/>
          <cell r="W2696"/>
          <cell r="X2696"/>
          <cell r="Y2696"/>
        </row>
        <row r="2697">
          <cell r="F2697"/>
          <cell r="J2697"/>
          <cell r="O2697"/>
          <cell r="W2697"/>
          <cell r="X2697"/>
          <cell r="Y2697"/>
        </row>
        <row r="2698">
          <cell r="F2698"/>
          <cell r="J2698"/>
          <cell r="O2698"/>
          <cell r="W2698"/>
          <cell r="X2698"/>
          <cell r="Y2698"/>
        </row>
        <row r="2699">
          <cell r="F2699"/>
          <cell r="J2699"/>
          <cell r="O2699"/>
          <cell r="W2699"/>
          <cell r="X2699"/>
          <cell r="Y2699"/>
        </row>
        <row r="2700">
          <cell r="F2700"/>
          <cell r="J2700"/>
          <cell r="O2700"/>
          <cell r="W2700"/>
          <cell r="X2700"/>
          <cell r="Y2700"/>
        </row>
        <row r="2701">
          <cell r="F2701"/>
          <cell r="J2701"/>
          <cell r="O2701"/>
          <cell r="W2701"/>
          <cell r="X2701"/>
          <cell r="Y2701"/>
        </row>
        <row r="2702">
          <cell r="F2702"/>
          <cell r="J2702"/>
          <cell r="O2702"/>
          <cell r="W2702"/>
          <cell r="X2702"/>
          <cell r="Y2702"/>
        </row>
        <row r="2703">
          <cell r="F2703"/>
          <cell r="J2703"/>
          <cell r="O2703"/>
          <cell r="W2703"/>
          <cell r="X2703"/>
          <cell r="Y2703"/>
        </row>
        <row r="2704">
          <cell r="F2704"/>
          <cell r="J2704"/>
          <cell r="O2704"/>
          <cell r="W2704"/>
          <cell r="X2704"/>
          <cell r="Y2704"/>
        </row>
        <row r="2705">
          <cell r="F2705"/>
          <cell r="J2705"/>
          <cell r="O2705"/>
          <cell r="W2705"/>
          <cell r="X2705"/>
          <cell r="Y2705"/>
        </row>
        <row r="2706">
          <cell r="F2706"/>
          <cell r="J2706"/>
          <cell r="O2706"/>
          <cell r="W2706"/>
          <cell r="X2706"/>
          <cell r="Y2706"/>
        </row>
        <row r="2707">
          <cell r="F2707"/>
          <cell r="J2707"/>
          <cell r="O2707"/>
          <cell r="W2707"/>
          <cell r="X2707"/>
          <cell r="Y2707"/>
        </row>
        <row r="2708">
          <cell r="F2708"/>
          <cell r="J2708"/>
          <cell r="O2708"/>
          <cell r="W2708"/>
          <cell r="X2708"/>
          <cell r="Y2708"/>
        </row>
        <row r="2709">
          <cell r="F2709"/>
          <cell r="J2709"/>
          <cell r="O2709"/>
          <cell r="W2709"/>
          <cell r="X2709"/>
          <cell r="Y2709"/>
        </row>
        <row r="2710">
          <cell r="F2710"/>
          <cell r="J2710"/>
          <cell r="O2710"/>
          <cell r="W2710"/>
          <cell r="X2710"/>
          <cell r="Y2710"/>
        </row>
        <row r="2711">
          <cell r="F2711"/>
          <cell r="J2711"/>
          <cell r="O2711"/>
          <cell r="W2711"/>
          <cell r="X2711"/>
          <cell r="Y2711"/>
        </row>
        <row r="2712">
          <cell r="F2712"/>
          <cell r="J2712"/>
          <cell r="O2712"/>
          <cell r="W2712"/>
          <cell r="X2712"/>
          <cell r="Y2712"/>
        </row>
        <row r="2713">
          <cell r="F2713"/>
          <cell r="J2713"/>
          <cell r="O2713"/>
          <cell r="W2713"/>
          <cell r="X2713"/>
          <cell r="Y2713"/>
        </row>
        <row r="2714">
          <cell r="F2714"/>
          <cell r="J2714"/>
          <cell r="O2714"/>
          <cell r="W2714"/>
          <cell r="X2714"/>
          <cell r="Y2714"/>
        </row>
        <row r="2715">
          <cell r="F2715"/>
          <cell r="J2715"/>
          <cell r="O2715"/>
          <cell r="W2715"/>
          <cell r="X2715"/>
          <cell r="Y2715"/>
        </row>
        <row r="2716">
          <cell r="F2716"/>
          <cell r="J2716"/>
          <cell r="O2716"/>
          <cell r="W2716"/>
          <cell r="X2716"/>
          <cell r="Y2716"/>
        </row>
        <row r="2717">
          <cell r="F2717"/>
          <cell r="J2717"/>
          <cell r="O2717"/>
          <cell r="W2717"/>
          <cell r="X2717"/>
          <cell r="Y2717"/>
        </row>
        <row r="2718">
          <cell r="F2718"/>
          <cell r="J2718"/>
          <cell r="O2718"/>
          <cell r="W2718"/>
          <cell r="X2718"/>
          <cell r="Y2718"/>
        </row>
        <row r="2719">
          <cell r="F2719"/>
          <cell r="J2719"/>
          <cell r="O2719"/>
          <cell r="W2719"/>
          <cell r="X2719"/>
          <cell r="Y2719"/>
        </row>
        <row r="2720">
          <cell r="F2720"/>
          <cell r="J2720"/>
          <cell r="O2720"/>
          <cell r="W2720"/>
          <cell r="X2720"/>
          <cell r="Y2720"/>
        </row>
        <row r="2721">
          <cell r="F2721"/>
          <cell r="J2721"/>
          <cell r="O2721"/>
          <cell r="W2721"/>
          <cell r="X2721"/>
          <cell r="Y2721"/>
        </row>
        <row r="2722">
          <cell r="F2722"/>
          <cell r="J2722"/>
          <cell r="O2722"/>
          <cell r="W2722"/>
          <cell r="X2722"/>
          <cell r="Y2722"/>
        </row>
        <row r="2723">
          <cell r="F2723"/>
          <cell r="J2723"/>
          <cell r="O2723"/>
          <cell r="W2723"/>
          <cell r="X2723"/>
          <cell r="Y2723"/>
        </row>
        <row r="2724">
          <cell r="F2724"/>
          <cell r="J2724"/>
          <cell r="O2724"/>
          <cell r="W2724"/>
          <cell r="X2724"/>
          <cell r="Y2724"/>
        </row>
        <row r="2725">
          <cell r="F2725"/>
          <cell r="J2725"/>
          <cell r="O2725"/>
          <cell r="W2725"/>
          <cell r="X2725"/>
          <cell r="Y2725"/>
        </row>
        <row r="2726">
          <cell r="F2726"/>
          <cell r="J2726"/>
          <cell r="O2726"/>
          <cell r="W2726"/>
          <cell r="X2726"/>
          <cell r="Y2726"/>
        </row>
        <row r="2727">
          <cell r="F2727"/>
          <cell r="J2727"/>
          <cell r="O2727"/>
          <cell r="W2727"/>
          <cell r="X2727"/>
          <cell r="Y2727"/>
        </row>
        <row r="2728">
          <cell r="F2728"/>
          <cell r="J2728"/>
          <cell r="O2728"/>
          <cell r="W2728"/>
          <cell r="X2728"/>
          <cell r="Y2728"/>
        </row>
        <row r="2729">
          <cell r="F2729"/>
          <cell r="J2729"/>
          <cell r="O2729"/>
          <cell r="W2729"/>
          <cell r="X2729"/>
          <cell r="Y2729"/>
        </row>
        <row r="2730">
          <cell r="F2730"/>
          <cell r="J2730"/>
          <cell r="O2730"/>
          <cell r="W2730"/>
          <cell r="X2730"/>
          <cell r="Y2730"/>
        </row>
        <row r="2731">
          <cell r="F2731"/>
          <cell r="J2731"/>
          <cell r="O2731"/>
          <cell r="W2731"/>
          <cell r="X2731"/>
          <cell r="Y2731"/>
        </row>
        <row r="2732">
          <cell r="F2732"/>
          <cell r="J2732"/>
          <cell r="O2732"/>
          <cell r="W2732"/>
          <cell r="X2732"/>
          <cell r="Y2732"/>
        </row>
        <row r="2733">
          <cell r="F2733"/>
          <cell r="J2733"/>
          <cell r="O2733"/>
          <cell r="W2733"/>
          <cell r="X2733"/>
          <cell r="Y2733"/>
        </row>
        <row r="2734">
          <cell r="F2734"/>
          <cell r="J2734"/>
          <cell r="O2734"/>
          <cell r="W2734"/>
          <cell r="X2734"/>
          <cell r="Y2734"/>
        </row>
        <row r="2735">
          <cell r="F2735"/>
          <cell r="J2735"/>
          <cell r="O2735"/>
          <cell r="W2735"/>
          <cell r="X2735"/>
          <cell r="Y2735"/>
        </row>
        <row r="2736">
          <cell r="F2736"/>
          <cell r="J2736"/>
          <cell r="O2736"/>
          <cell r="W2736"/>
          <cell r="X2736"/>
          <cell r="Y2736"/>
        </row>
        <row r="2737">
          <cell r="F2737"/>
          <cell r="J2737"/>
          <cell r="O2737"/>
          <cell r="W2737"/>
          <cell r="X2737"/>
          <cell r="Y2737"/>
        </row>
        <row r="2738">
          <cell r="F2738"/>
          <cell r="J2738"/>
          <cell r="O2738"/>
          <cell r="W2738"/>
          <cell r="X2738"/>
          <cell r="Y2738"/>
        </row>
        <row r="2739">
          <cell r="F2739"/>
          <cell r="J2739"/>
          <cell r="O2739"/>
          <cell r="W2739"/>
          <cell r="X2739"/>
          <cell r="Y2739"/>
        </row>
        <row r="2740">
          <cell r="F2740"/>
          <cell r="J2740"/>
          <cell r="O2740"/>
          <cell r="W2740"/>
          <cell r="X2740"/>
          <cell r="Y2740"/>
        </row>
        <row r="2741">
          <cell r="F2741"/>
          <cell r="J2741"/>
          <cell r="O2741"/>
          <cell r="W2741"/>
          <cell r="X2741"/>
          <cell r="Y2741"/>
        </row>
        <row r="2742">
          <cell r="F2742"/>
          <cell r="J2742"/>
          <cell r="O2742"/>
          <cell r="W2742"/>
          <cell r="X2742"/>
          <cell r="Y2742"/>
        </row>
        <row r="2743">
          <cell r="F2743"/>
          <cell r="J2743"/>
          <cell r="O2743"/>
          <cell r="W2743"/>
          <cell r="X2743"/>
          <cell r="Y2743"/>
        </row>
        <row r="2744">
          <cell r="F2744"/>
          <cell r="J2744"/>
          <cell r="O2744"/>
          <cell r="W2744"/>
          <cell r="X2744"/>
          <cell r="Y2744"/>
        </row>
        <row r="2745">
          <cell r="F2745"/>
          <cell r="J2745"/>
          <cell r="O2745"/>
          <cell r="W2745"/>
          <cell r="X2745"/>
          <cell r="Y2745"/>
        </row>
        <row r="2746">
          <cell r="F2746"/>
          <cell r="J2746"/>
          <cell r="O2746"/>
          <cell r="W2746"/>
          <cell r="X2746"/>
          <cell r="Y2746"/>
        </row>
        <row r="2747">
          <cell r="F2747"/>
          <cell r="J2747"/>
          <cell r="O2747"/>
          <cell r="W2747"/>
          <cell r="X2747"/>
          <cell r="Y2747"/>
        </row>
        <row r="2748">
          <cell r="F2748"/>
          <cell r="J2748"/>
          <cell r="O2748"/>
          <cell r="W2748"/>
          <cell r="X2748"/>
          <cell r="Y2748"/>
        </row>
        <row r="2749">
          <cell r="F2749"/>
          <cell r="J2749"/>
          <cell r="O2749"/>
          <cell r="W2749"/>
          <cell r="X2749"/>
          <cell r="Y2749"/>
        </row>
        <row r="2750">
          <cell r="F2750"/>
          <cell r="J2750"/>
          <cell r="O2750"/>
          <cell r="W2750"/>
          <cell r="X2750"/>
          <cell r="Y2750"/>
        </row>
        <row r="2751">
          <cell r="F2751"/>
          <cell r="J2751"/>
          <cell r="O2751"/>
          <cell r="W2751"/>
          <cell r="X2751"/>
          <cell r="Y2751"/>
        </row>
        <row r="2752">
          <cell r="F2752"/>
          <cell r="J2752"/>
          <cell r="O2752"/>
          <cell r="W2752"/>
          <cell r="X2752"/>
          <cell r="Y2752"/>
        </row>
        <row r="2753">
          <cell r="F2753"/>
          <cell r="J2753"/>
          <cell r="O2753"/>
          <cell r="W2753"/>
          <cell r="X2753"/>
          <cell r="Y2753"/>
        </row>
        <row r="2754">
          <cell r="F2754"/>
          <cell r="J2754"/>
          <cell r="O2754"/>
          <cell r="W2754"/>
          <cell r="X2754"/>
          <cell r="Y2754"/>
        </row>
        <row r="2755">
          <cell r="F2755"/>
          <cell r="J2755"/>
          <cell r="O2755"/>
          <cell r="W2755"/>
          <cell r="X2755"/>
          <cell r="Y2755"/>
        </row>
        <row r="2756">
          <cell r="F2756"/>
          <cell r="J2756"/>
          <cell r="O2756"/>
          <cell r="W2756"/>
          <cell r="X2756"/>
          <cell r="Y2756"/>
        </row>
        <row r="2757">
          <cell r="F2757"/>
          <cell r="J2757"/>
          <cell r="O2757"/>
          <cell r="W2757"/>
          <cell r="X2757"/>
          <cell r="Y2757"/>
        </row>
        <row r="2758">
          <cell r="F2758"/>
          <cell r="J2758"/>
          <cell r="O2758"/>
          <cell r="W2758"/>
          <cell r="X2758"/>
          <cell r="Y2758"/>
        </row>
        <row r="2759">
          <cell r="F2759"/>
          <cell r="J2759"/>
          <cell r="O2759"/>
          <cell r="W2759"/>
          <cell r="X2759"/>
          <cell r="Y2759"/>
        </row>
        <row r="2760">
          <cell r="F2760"/>
          <cell r="J2760"/>
          <cell r="O2760"/>
          <cell r="W2760"/>
          <cell r="X2760"/>
          <cell r="Y2760"/>
        </row>
        <row r="2761">
          <cell r="F2761"/>
          <cell r="J2761"/>
          <cell r="O2761"/>
          <cell r="W2761"/>
          <cell r="X2761"/>
          <cell r="Y2761"/>
        </row>
        <row r="2762">
          <cell r="F2762"/>
          <cell r="J2762"/>
          <cell r="O2762"/>
          <cell r="W2762"/>
          <cell r="X2762"/>
          <cell r="Y2762"/>
        </row>
        <row r="2763">
          <cell r="F2763"/>
          <cell r="J2763"/>
          <cell r="O2763"/>
          <cell r="W2763"/>
          <cell r="X2763"/>
          <cell r="Y2763"/>
        </row>
        <row r="2764">
          <cell r="F2764"/>
          <cell r="J2764"/>
          <cell r="O2764"/>
          <cell r="W2764"/>
          <cell r="X2764"/>
          <cell r="Y2764"/>
        </row>
        <row r="2765">
          <cell r="F2765"/>
          <cell r="J2765"/>
          <cell r="O2765"/>
          <cell r="W2765"/>
          <cell r="X2765"/>
          <cell r="Y2765"/>
        </row>
        <row r="2766">
          <cell r="F2766"/>
          <cell r="J2766"/>
          <cell r="O2766"/>
          <cell r="W2766"/>
          <cell r="X2766"/>
          <cell r="Y2766"/>
        </row>
        <row r="2767">
          <cell r="F2767"/>
          <cell r="J2767"/>
          <cell r="O2767"/>
          <cell r="W2767"/>
          <cell r="X2767"/>
          <cell r="Y2767"/>
        </row>
        <row r="2768">
          <cell r="F2768"/>
          <cell r="J2768"/>
          <cell r="O2768"/>
          <cell r="W2768"/>
          <cell r="X2768"/>
          <cell r="Y2768"/>
        </row>
        <row r="2769">
          <cell r="F2769"/>
          <cell r="J2769"/>
          <cell r="O2769"/>
          <cell r="W2769"/>
          <cell r="X2769"/>
          <cell r="Y2769"/>
        </row>
        <row r="2770">
          <cell r="F2770"/>
          <cell r="J2770"/>
          <cell r="O2770"/>
          <cell r="W2770"/>
          <cell r="X2770"/>
          <cell r="Y2770"/>
        </row>
        <row r="2771">
          <cell r="F2771"/>
          <cell r="J2771"/>
          <cell r="O2771"/>
          <cell r="W2771"/>
          <cell r="X2771"/>
          <cell r="Y2771"/>
        </row>
        <row r="2772">
          <cell r="F2772"/>
          <cell r="J2772"/>
          <cell r="O2772"/>
          <cell r="W2772"/>
          <cell r="X2772"/>
          <cell r="Y2772"/>
        </row>
        <row r="2773">
          <cell r="F2773"/>
          <cell r="J2773"/>
          <cell r="O2773"/>
          <cell r="W2773"/>
          <cell r="X2773"/>
          <cell r="Y2773"/>
        </row>
        <row r="2774">
          <cell r="F2774"/>
          <cell r="J2774"/>
          <cell r="O2774"/>
          <cell r="W2774"/>
          <cell r="X2774"/>
          <cell r="Y2774"/>
        </row>
        <row r="2775">
          <cell r="F2775"/>
          <cell r="J2775"/>
          <cell r="O2775"/>
          <cell r="W2775"/>
          <cell r="X2775"/>
          <cell r="Y2775"/>
        </row>
        <row r="2776">
          <cell r="F2776"/>
          <cell r="J2776"/>
          <cell r="O2776"/>
          <cell r="W2776"/>
          <cell r="X2776"/>
          <cell r="Y2776"/>
        </row>
        <row r="2777">
          <cell r="F2777"/>
          <cell r="J2777"/>
          <cell r="O2777"/>
          <cell r="W2777"/>
          <cell r="X2777"/>
          <cell r="Y2777"/>
        </row>
        <row r="2778">
          <cell r="F2778"/>
          <cell r="J2778"/>
          <cell r="O2778"/>
          <cell r="W2778"/>
          <cell r="X2778"/>
          <cell r="Y2778"/>
        </row>
        <row r="2779">
          <cell r="F2779"/>
          <cell r="J2779"/>
          <cell r="O2779"/>
          <cell r="W2779"/>
          <cell r="X2779"/>
          <cell r="Y2779"/>
        </row>
        <row r="2780">
          <cell r="F2780"/>
          <cell r="J2780"/>
          <cell r="O2780"/>
          <cell r="W2780"/>
          <cell r="X2780"/>
          <cell r="Y2780"/>
        </row>
        <row r="2781">
          <cell r="F2781"/>
          <cell r="J2781"/>
          <cell r="O2781"/>
          <cell r="W2781"/>
          <cell r="X2781"/>
          <cell r="Y2781"/>
        </row>
        <row r="2782">
          <cell r="F2782"/>
          <cell r="J2782"/>
          <cell r="O2782"/>
          <cell r="W2782"/>
          <cell r="X2782"/>
          <cell r="Y2782"/>
        </row>
        <row r="2783">
          <cell r="F2783"/>
          <cell r="J2783"/>
          <cell r="O2783"/>
          <cell r="W2783"/>
          <cell r="X2783"/>
          <cell r="Y2783"/>
        </row>
        <row r="2784">
          <cell r="F2784"/>
          <cell r="J2784"/>
          <cell r="O2784"/>
          <cell r="W2784"/>
          <cell r="X2784"/>
          <cell r="Y2784"/>
        </row>
        <row r="2785">
          <cell r="F2785"/>
          <cell r="J2785"/>
          <cell r="O2785"/>
          <cell r="W2785"/>
          <cell r="X2785"/>
          <cell r="Y2785"/>
        </row>
        <row r="2786">
          <cell r="F2786"/>
          <cell r="J2786"/>
          <cell r="O2786"/>
          <cell r="W2786"/>
          <cell r="X2786"/>
          <cell r="Y2786"/>
        </row>
        <row r="2787">
          <cell r="F2787"/>
          <cell r="J2787"/>
          <cell r="O2787"/>
          <cell r="W2787"/>
          <cell r="X2787"/>
          <cell r="Y2787"/>
        </row>
        <row r="2788">
          <cell r="F2788"/>
          <cell r="J2788"/>
          <cell r="O2788"/>
          <cell r="W2788"/>
          <cell r="X2788"/>
          <cell r="Y2788"/>
        </row>
        <row r="2789">
          <cell r="F2789"/>
          <cell r="J2789"/>
          <cell r="O2789"/>
          <cell r="W2789"/>
          <cell r="X2789"/>
          <cell r="Y2789"/>
        </row>
        <row r="2790">
          <cell r="F2790"/>
          <cell r="J2790"/>
          <cell r="O2790"/>
          <cell r="W2790"/>
          <cell r="X2790"/>
          <cell r="Y2790"/>
        </row>
        <row r="2791">
          <cell r="F2791"/>
          <cell r="J2791"/>
          <cell r="O2791"/>
          <cell r="W2791"/>
          <cell r="X2791"/>
          <cell r="Y2791"/>
        </row>
        <row r="2792">
          <cell r="F2792"/>
          <cell r="J2792"/>
          <cell r="O2792"/>
          <cell r="W2792"/>
          <cell r="X2792"/>
          <cell r="Y2792"/>
        </row>
        <row r="2793">
          <cell r="F2793"/>
          <cell r="J2793"/>
          <cell r="O2793"/>
          <cell r="W2793"/>
          <cell r="X2793"/>
          <cell r="Y2793"/>
        </row>
        <row r="2794">
          <cell r="F2794"/>
          <cell r="J2794"/>
          <cell r="O2794"/>
          <cell r="W2794"/>
          <cell r="X2794"/>
          <cell r="Y2794"/>
        </row>
        <row r="2795">
          <cell r="F2795"/>
          <cell r="J2795"/>
          <cell r="O2795"/>
          <cell r="W2795"/>
          <cell r="X2795"/>
          <cell r="Y2795"/>
        </row>
        <row r="2796">
          <cell r="F2796"/>
          <cell r="J2796"/>
          <cell r="O2796"/>
          <cell r="W2796"/>
          <cell r="X2796"/>
          <cell r="Y2796"/>
        </row>
        <row r="2797">
          <cell r="F2797"/>
          <cell r="J2797"/>
          <cell r="O2797"/>
          <cell r="W2797"/>
          <cell r="X2797"/>
          <cell r="Y2797"/>
        </row>
        <row r="2798">
          <cell r="F2798"/>
          <cell r="J2798"/>
          <cell r="O2798"/>
          <cell r="W2798"/>
          <cell r="X2798"/>
          <cell r="Y2798"/>
        </row>
        <row r="2799">
          <cell r="F2799"/>
          <cell r="J2799"/>
          <cell r="O2799"/>
          <cell r="W2799"/>
          <cell r="X2799"/>
          <cell r="Y2799"/>
        </row>
        <row r="2800">
          <cell r="F2800"/>
          <cell r="J2800"/>
          <cell r="O2800"/>
          <cell r="W2800"/>
          <cell r="X2800"/>
          <cell r="Y2800"/>
        </row>
        <row r="2801">
          <cell r="F2801"/>
          <cell r="J2801"/>
          <cell r="O2801"/>
          <cell r="W2801"/>
          <cell r="X2801"/>
          <cell r="Y2801"/>
        </row>
        <row r="2802">
          <cell r="F2802"/>
          <cell r="J2802"/>
          <cell r="O2802"/>
          <cell r="W2802"/>
          <cell r="X2802"/>
          <cell r="Y2802"/>
        </row>
        <row r="2803">
          <cell r="F2803"/>
          <cell r="J2803"/>
          <cell r="O2803"/>
          <cell r="W2803"/>
          <cell r="X2803"/>
          <cell r="Y2803"/>
        </row>
        <row r="2804">
          <cell r="F2804"/>
          <cell r="J2804"/>
          <cell r="O2804"/>
          <cell r="W2804"/>
          <cell r="X2804"/>
          <cell r="Y2804"/>
        </row>
        <row r="2805">
          <cell r="F2805"/>
          <cell r="J2805"/>
          <cell r="O2805"/>
          <cell r="W2805"/>
          <cell r="X2805"/>
          <cell r="Y2805"/>
        </row>
        <row r="2806">
          <cell r="F2806"/>
          <cell r="J2806"/>
          <cell r="O2806"/>
          <cell r="W2806"/>
          <cell r="X2806"/>
          <cell r="Y2806"/>
        </row>
        <row r="2807">
          <cell r="F2807"/>
          <cell r="J2807"/>
          <cell r="O2807"/>
          <cell r="W2807"/>
          <cell r="X2807"/>
          <cell r="Y2807"/>
        </row>
        <row r="2808">
          <cell r="F2808"/>
          <cell r="J2808"/>
          <cell r="O2808"/>
          <cell r="W2808"/>
          <cell r="X2808"/>
          <cell r="Y2808"/>
        </row>
        <row r="2809">
          <cell r="F2809"/>
          <cell r="J2809"/>
          <cell r="O2809"/>
          <cell r="W2809"/>
          <cell r="X2809"/>
          <cell r="Y2809"/>
        </row>
        <row r="2810">
          <cell r="F2810"/>
          <cell r="J2810"/>
          <cell r="O2810"/>
          <cell r="W2810"/>
          <cell r="X2810"/>
          <cell r="Y2810"/>
        </row>
        <row r="2811">
          <cell r="F2811"/>
          <cell r="J2811"/>
          <cell r="O2811"/>
          <cell r="W2811"/>
          <cell r="X2811"/>
          <cell r="Y2811"/>
        </row>
        <row r="2812">
          <cell r="F2812"/>
          <cell r="J2812"/>
          <cell r="O2812"/>
          <cell r="W2812"/>
          <cell r="X2812"/>
          <cell r="Y2812"/>
        </row>
        <row r="2813">
          <cell r="F2813"/>
          <cell r="J2813"/>
          <cell r="O2813"/>
          <cell r="W2813"/>
          <cell r="X2813"/>
          <cell r="Y2813"/>
        </row>
        <row r="2814">
          <cell r="F2814"/>
          <cell r="J2814"/>
          <cell r="O2814"/>
          <cell r="W2814"/>
          <cell r="X2814"/>
          <cell r="Y2814"/>
        </row>
        <row r="2815">
          <cell r="F2815"/>
          <cell r="J2815"/>
          <cell r="O2815"/>
          <cell r="W2815"/>
          <cell r="X2815"/>
          <cell r="Y2815"/>
        </row>
        <row r="2816">
          <cell r="F2816"/>
          <cell r="J2816"/>
          <cell r="O2816"/>
          <cell r="W2816"/>
          <cell r="X2816"/>
          <cell r="Y2816"/>
        </row>
        <row r="2817">
          <cell r="F2817"/>
          <cell r="J2817"/>
          <cell r="O2817"/>
          <cell r="W2817"/>
          <cell r="X2817"/>
          <cell r="Y2817"/>
        </row>
        <row r="2818">
          <cell r="F2818"/>
          <cell r="J2818"/>
          <cell r="O2818"/>
          <cell r="W2818"/>
          <cell r="X2818"/>
          <cell r="Y2818"/>
        </row>
        <row r="2819">
          <cell r="F2819"/>
          <cell r="J2819"/>
          <cell r="O2819"/>
          <cell r="W2819"/>
          <cell r="X2819"/>
          <cell r="Y2819"/>
        </row>
        <row r="2820">
          <cell r="F2820"/>
          <cell r="J2820"/>
          <cell r="O2820"/>
          <cell r="W2820"/>
          <cell r="X2820"/>
          <cell r="Y2820"/>
        </row>
        <row r="2821">
          <cell r="F2821"/>
          <cell r="J2821"/>
          <cell r="O2821"/>
          <cell r="W2821"/>
          <cell r="X2821"/>
          <cell r="Y2821"/>
        </row>
        <row r="2822">
          <cell r="F2822"/>
          <cell r="J2822"/>
          <cell r="O2822"/>
          <cell r="W2822"/>
          <cell r="X2822"/>
          <cell r="Y2822"/>
        </row>
        <row r="2823">
          <cell r="F2823"/>
          <cell r="J2823"/>
          <cell r="O2823"/>
          <cell r="W2823"/>
          <cell r="X2823"/>
          <cell r="Y2823"/>
        </row>
        <row r="2824">
          <cell r="F2824"/>
          <cell r="J2824"/>
          <cell r="O2824"/>
          <cell r="W2824"/>
          <cell r="X2824"/>
          <cell r="Y2824"/>
        </row>
        <row r="2825">
          <cell r="F2825"/>
          <cell r="J2825"/>
          <cell r="O2825"/>
          <cell r="W2825"/>
          <cell r="X2825"/>
          <cell r="Y2825"/>
        </row>
        <row r="2826">
          <cell r="F2826"/>
          <cell r="J2826"/>
          <cell r="O2826"/>
          <cell r="W2826"/>
          <cell r="X2826"/>
          <cell r="Y2826"/>
        </row>
        <row r="2827">
          <cell r="F2827"/>
          <cell r="J2827"/>
          <cell r="O2827"/>
          <cell r="W2827"/>
          <cell r="X2827"/>
          <cell r="Y2827"/>
        </row>
        <row r="2828">
          <cell r="F2828"/>
          <cell r="J2828"/>
          <cell r="O2828"/>
          <cell r="W2828"/>
          <cell r="X2828"/>
          <cell r="Y2828"/>
        </row>
        <row r="2829">
          <cell r="F2829"/>
          <cell r="J2829"/>
          <cell r="O2829"/>
          <cell r="W2829"/>
          <cell r="X2829"/>
          <cell r="Y2829"/>
        </row>
        <row r="2830">
          <cell r="F2830"/>
          <cell r="J2830"/>
          <cell r="O2830"/>
          <cell r="W2830"/>
          <cell r="X2830"/>
          <cell r="Y2830"/>
        </row>
        <row r="2831">
          <cell r="F2831"/>
          <cell r="J2831"/>
          <cell r="O2831"/>
          <cell r="W2831"/>
          <cell r="X2831"/>
          <cell r="Y2831"/>
        </row>
        <row r="2832">
          <cell r="F2832"/>
          <cell r="J2832"/>
          <cell r="O2832"/>
          <cell r="W2832"/>
          <cell r="X2832"/>
          <cell r="Y2832"/>
        </row>
        <row r="2833">
          <cell r="F2833"/>
          <cell r="J2833"/>
          <cell r="O2833"/>
          <cell r="W2833"/>
          <cell r="X2833"/>
          <cell r="Y2833"/>
        </row>
        <row r="2834">
          <cell r="F2834"/>
          <cell r="J2834"/>
          <cell r="O2834"/>
          <cell r="W2834"/>
          <cell r="X2834"/>
          <cell r="Y2834"/>
        </row>
        <row r="2835">
          <cell r="F2835"/>
          <cell r="J2835"/>
          <cell r="O2835"/>
          <cell r="W2835"/>
          <cell r="X2835"/>
          <cell r="Y2835"/>
        </row>
        <row r="2836">
          <cell r="F2836"/>
          <cell r="J2836"/>
          <cell r="O2836"/>
          <cell r="W2836"/>
          <cell r="X2836"/>
          <cell r="Y2836"/>
        </row>
        <row r="2837">
          <cell r="F2837"/>
          <cell r="J2837"/>
          <cell r="O2837"/>
          <cell r="W2837"/>
          <cell r="X2837"/>
          <cell r="Y2837"/>
        </row>
        <row r="2838">
          <cell r="F2838"/>
          <cell r="J2838"/>
          <cell r="O2838"/>
          <cell r="W2838"/>
          <cell r="X2838"/>
          <cell r="Y2838"/>
        </row>
        <row r="2839">
          <cell r="F2839"/>
          <cell r="J2839"/>
          <cell r="O2839"/>
          <cell r="W2839"/>
          <cell r="X2839"/>
          <cell r="Y2839"/>
        </row>
        <row r="2840">
          <cell r="F2840"/>
          <cell r="J2840"/>
          <cell r="O2840"/>
          <cell r="W2840"/>
          <cell r="X2840"/>
          <cell r="Y2840"/>
        </row>
        <row r="2841">
          <cell r="F2841"/>
          <cell r="J2841"/>
          <cell r="O2841"/>
          <cell r="W2841"/>
          <cell r="X2841"/>
          <cell r="Y2841"/>
        </row>
        <row r="2842">
          <cell r="F2842"/>
          <cell r="J2842"/>
          <cell r="O2842"/>
          <cell r="W2842"/>
          <cell r="X2842"/>
          <cell r="Y2842"/>
        </row>
        <row r="2843">
          <cell r="F2843"/>
          <cell r="J2843"/>
          <cell r="O2843"/>
          <cell r="W2843"/>
          <cell r="X2843"/>
          <cell r="Y2843"/>
        </row>
        <row r="2844">
          <cell r="F2844"/>
          <cell r="J2844"/>
          <cell r="O2844"/>
          <cell r="W2844"/>
          <cell r="X2844"/>
          <cell r="Y2844"/>
        </row>
        <row r="2845">
          <cell r="F2845"/>
          <cell r="J2845"/>
          <cell r="O2845"/>
          <cell r="W2845"/>
          <cell r="X2845"/>
          <cell r="Y2845"/>
        </row>
        <row r="2846">
          <cell r="F2846"/>
          <cell r="J2846"/>
          <cell r="O2846"/>
          <cell r="W2846"/>
          <cell r="X2846"/>
          <cell r="Y2846"/>
        </row>
        <row r="2847">
          <cell r="F2847"/>
          <cell r="J2847"/>
          <cell r="O2847"/>
          <cell r="W2847"/>
          <cell r="X2847"/>
          <cell r="Y2847"/>
        </row>
        <row r="2848">
          <cell r="F2848"/>
          <cell r="J2848"/>
          <cell r="O2848"/>
          <cell r="W2848"/>
          <cell r="X2848"/>
          <cell r="Y2848"/>
        </row>
        <row r="2849">
          <cell r="F2849"/>
          <cell r="J2849"/>
          <cell r="O2849"/>
          <cell r="W2849"/>
          <cell r="X2849"/>
          <cell r="Y2849"/>
        </row>
        <row r="2850">
          <cell r="F2850"/>
          <cell r="J2850"/>
          <cell r="O2850"/>
          <cell r="W2850"/>
          <cell r="X2850"/>
          <cell r="Y2850"/>
        </row>
        <row r="2851">
          <cell r="F2851"/>
          <cell r="J2851"/>
          <cell r="O2851"/>
          <cell r="W2851"/>
          <cell r="X2851"/>
          <cell r="Y2851"/>
        </row>
        <row r="2852">
          <cell r="F2852"/>
          <cell r="J2852"/>
          <cell r="O2852"/>
          <cell r="W2852"/>
          <cell r="X2852"/>
          <cell r="Y2852"/>
        </row>
        <row r="2853">
          <cell r="F2853"/>
          <cell r="J2853"/>
          <cell r="O2853"/>
          <cell r="W2853"/>
          <cell r="X2853"/>
          <cell r="Y2853"/>
        </row>
        <row r="2854">
          <cell r="F2854"/>
          <cell r="J2854"/>
          <cell r="O2854"/>
          <cell r="W2854"/>
          <cell r="X2854"/>
          <cell r="Y2854"/>
        </row>
        <row r="2855">
          <cell r="F2855"/>
          <cell r="J2855"/>
          <cell r="O2855"/>
          <cell r="W2855"/>
          <cell r="X2855"/>
          <cell r="Y2855"/>
        </row>
        <row r="2856">
          <cell r="F2856"/>
          <cell r="J2856"/>
          <cell r="O2856"/>
          <cell r="W2856"/>
          <cell r="X2856"/>
          <cell r="Y2856"/>
        </row>
        <row r="2857">
          <cell r="F2857"/>
          <cell r="J2857"/>
          <cell r="O2857"/>
          <cell r="W2857"/>
          <cell r="X2857"/>
          <cell r="Y2857"/>
        </row>
        <row r="2858">
          <cell r="F2858"/>
          <cell r="J2858"/>
          <cell r="O2858"/>
          <cell r="W2858"/>
          <cell r="X2858"/>
          <cell r="Y2858"/>
        </row>
        <row r="2859">
          <cell r="F2859"/>
          <cell r="J2859"/>
          <cell r="O2859"/>
          <cell r="W2859"/>
          <cell r="X2859"/>
          <cell r="Y2859"/>
        </row>
        <row r="2860">
          <cell r="F2860"/>
          <cell r="J2860"/>
          <cell r="O2860"/>
          <cell r="W2860"/>
          <cell r="X2860"/>
          <cell r="Y2860"/>
        </row>
        <row r="2861">
          <cell r="F2861"/>
          <cell r="J2861"/>
          <cell r="O2861"/>
          <cell r="W2861"/>
          <cell r="X2861"/>
          <cell r="Y2861"/>
        </row>
        <row r="2862">
          <cell r="F2862"/>
          <cell r="J2862"/>
          <cell r="O2862"/>
          <cell r="W2862"/>
          <cell r="X2862"/>
          <cell r="Y2862"/>
        </row>
        <row r="2863">
          <cell r="F2863"/>
          <cell r="J2863"/>
          <cell r="O2863"/>
          <cell r="W2863"/>
          <cell r="X2863"/>
          <cell r="Y2863"/>
        </row>
        <row r="2864">
          <cell r="F2864"/>
          <cell r="J2864"/>
          <cell r="O2864"/>
          <cell r="W2864"/>
          <cell r="X2864"/>
          <cell r="Y2864"/>
        </row>
        <row r="2865">
          <cell r="F2865"/>
          <cell r="J2865"/>
          <cell r="O2865"/>
          <cell r="W2865"/>
          <cell r="X2865"/>
          <cell r="Y2865"/>
        </row>
        <row r="2866">
          <cell r="F2866"/>
          <cell r="J2866"/>
          <cell r="O2866"/>
          <cell r="W2866"/>
          <cell r="X2866"/>
          <cell r="Y2866"/>
        </row>
        <row r="2867">
          <cell r="F2867"/>
          <cell r="J2867"/>
          <cell r="O2867"/>
          <cell r="W2867"/>
          <cell r="X2867"/>
          <cell r="Y2867"/>
        </row>
        <row r="2868">
          <cell r="F2868"/>
          <cell r="J2868"/>
          <cell r="O2868"/>
          <cell r="W2868"/>
          <cell r="X2868"/>
          <cell r="Y2868"/>
        </row>
        <row r="2869">
          <cell r="F2869"/>
          <cell r="J2869"/>
          <cell r="O2869"/>
          <cell r="W2869"/>
          <cell r="X2869"/>
          <cell r="Y2869"/>
        </row>
        <row r="2870">
          <cell r="F2870"/>
          <cell r="J2870"/>
          <cell r="O2870"/>
          <cell r="W2870"/>
          <cell r="X2870"/>
          <cell r="Y2870"/>
        </row>
        <row r="2871">
          <cell r="F2871"/>
          <cell r="J2871"/>
          <cell r="O2871"/>
          <cell r="W2871"/>
          <cell r="X2871"/>
          <cell r="Y2871"/>
        </row>
        <row r="2872">
          <cell r="F2872"/>
          <cell r="J2872"/>
          <cell r="O2872"/>
          <cell r="W2872"/>
          <cell r="X2872"/>
          <cell r="Y2872"/>
        </row>
        <row r="2873">
          <cell r="F2873"/>
          <cell r="J2873"/>
          <cell r="O2873"/>
          <cell r="W2873"/>
          <cell r="X2873"/>
          <cell r="Y2873"/>
        </row>
        <row r="2874">
          <cell r="F2874"/>
          <cell r="J2874"/>
          <cell r="O2874"/>
          <cell r="W2874"/>
          <cell r="X2874"/>
          <cell r="Y2874"/>
        </row>
        <row r="2875">
          <cell r="F2875"/>
          <cell r="J2875"/>
          <cell r="O2875"/>
          <cell r="W2875"/>
          <cell r="X2875"/>
          <cell r="Y2875"/>
        </row>
        <row r="2876">
          <cell r="F2876"/>
          <cell r="J2876"/>
          <cell r="O2876"/>
          <cell r="W2876"/>
          <cell r="X2876"/>
          <cell r="Y2876"/>
        </row>
        <row r="2877">
          <cell r="F2877"/>
          <cell r="J2877"/>
          <cell r="O2877"/>
          <cell r="W2877"/>
          <cell r="X2877"/>
          <cell r="Y2877"/>
        </row>
        <row r="2878">
          <cell r="F2878"/>
          <cell r="J2878"/>
          <cell r="O2878"/>
          <cell r="W2878"/>
          <cell r="X2878"/>
          <cell r="Y2878"/>
        </row>
        <row r="2879">
          <cell r="F2879"/>
          <cell r="J2879"/>
          <cell r="O2879"/>
          <cell r="W2879"/>
          <cell r="X2879"/>
          <cell r="Y2879"/>
        </row>
        <row r="2880">
          <cell r="F2880"/>
          <cell r="J2880"/>
          <cell r="O2880"/>
          <cell r="W2880"/>
          <cell r="X2880"/>
          <cell r="Y2880"/>
        </row>
        <row r="2881">
          <cell r="F2881"/>
          <cell r="J2881"/>
          <cell r="O2881"/>
          <cell r="W2881"/>
          <cell r="X2881"/>
          <cell r="Y2881"/>
        </row>
        <row r="2882">
          <cell r="F2882"/>
          <cell r="J2882"/>
          <cell r="O2882"/>
          <cell r="W2882"/>
          <cell r="X2882"/>
          <cell r="Y2882"/>
        </row>
        <row r="2883">
          <cell r="F2883"/>
          <cell r="J2883"/>
          <cell r="O2883"/>
          <cell r="W2883"/>
          <cell r="X2883"/>
          <cell r="Y2883"/>
        </row>
        <row r="2884">
          <cell r="F2884"/>
          <cell r="J2884"/>
          <cell r="O2884"/>
          <cell r="W2884"/>
          <cell r="X2884"/>
          <cell r="Y2884"/>
        </row>
        <row r="2885">
          <cell r="F2885"/>
          <cell r="J2885"/>
          <cell r="O2885"/>
          <cell r="W2885"/>
          <cell r="X2885"/>
          <cell r="Y2885"/>
        </row>
        <row r="2886">
          <cell r="F2886"/>
          <cell r="J2886"/>
          <cell r="O2886"/>
          <cell r="W2886"/>
          <cell r="X2886"/>
          <cell r="Y2886"/>
        </row>
        <row r="2887">
          <cell r="F2887"/>
          <cell r="J2887"/>
          <cell r="O2887"/>
          <cell r="W2887"/>
          <cell r="X2887"/>
          <cell r="Y2887"/>
        </row>
        <row r="2888">
          <cell r="F2888"/>
          <cell r="J2888"/>
          <cell r="O2888"/>
          <cell r="W2888"/>
          <cell r="X2888"/>
          <cell r="Y2888"/>
        </row>
        <row r="2889">
          <cell r="F2889"/>
          <cell r="J2889"/>
          <cell r="O2889"/>
          <cell r="W2889"/>
          <cell r="X2889"/>
          <cell r="Y2889"/>
        </row>
        <row r="2890">
          <cell r="F2890"/>
          <cell r="J2890"/>
          <cell r="O2890"/>
          <cell r="W2890"/>
          <cell r="X2890"/>
          <cell r="Y2890"/>
        </row>
        <row r="2891">
          <cell r="F2891"/>
          <cell r="J2891"/>
          <cell r="O2891"/>
          <cell r="W2891"/>
          <cell r="X2891"/>
          <cell r="Y2891"/>
        </row>
        <row r="2892">
          <cell r="F2892"/>
          <cell r="J2892"/>
          <cell r="O2892"/>
          <cell r="W2892"/>
          <cell r="X2892"/>
          <cell r="Y2892"/>
        </row>
        <row r="2893">
          <cell r="F2893"/>
          <cell r="J2893"/>
          <cell r="O2893"/>
          <cell r="W2893"/>
          <cell r="X2893"/>
          <cell r="Y2893"/>
        </row>
        <row r="2894">
          <cell r="F2894"/>
          <cell r="J2894"/>
          <cell r="O2894"/>
          <cell r="W2894"/>
          <cell r="X2894"/>
          <cell r="Y2894"/>
        </row>
        <row r="2895">
          <cell r="F2895"/>
          <cell r="J2895"/>
          <cell r="O2895"/>
          <cell r="W2895"/>
          <cell r="X2895"/>
          <cell r="Y2895"/>
        </row>
        <row r="2896">
          <cell r="F2896"/>
          <cell r="J2896"/>
          <cell r="O2896"/>
          <cell r="W2896"/>
          <cell r="X2896"/>
          <cell r="Y2896"/>
        </row>
        <row r="2897">
          <cell r="F2897"/>
          <cell r="J2897"/>
          <cell r="O2897"/>
          <cell r="W2897"/>
          <cell r="X2897"/>
          <cell r="Y2897"/>
        </row>
        <row r="2898">
          <cell r="F2898"/>
          <cell r="J2898"/>
          <cell r="O2898"/>
          <cell r="W2898"/>
          <cell r="X2898"/>
          <cell r="Y2898"/>
        </row>
        <row r="2899">
          <cell r="F2899"/>
          <cell r="J2899"/>
          <cell r="O2899"/>
          <cell r="W2899"/>
          <cell r="X2899"/>
          <cell r="Y2899"/>
        </row>
        <row r="2900">
          <cell r="F2900"/>
          <cell r="J2900"/>
          <cell r="O2900"/>
          <cell r="W2900"/>
          <cell r="X2900"/>
          <cell r="Y2900"/>
        </row>
        <row r="2901">
          <cell r="F2901"/>
          <cell r="J2901"/>
          <cell r="O2901"/>
          <cell r="W2901"/>
          <cell r="X2901"/>
          <cell r="Y2901"/>
        </row>
        <row r="2902">
          <cell r="F2902"/>
          <cell r="J2902"/>
          <cell r="O2902"/>
          <cell r="W2902"/>
          <cell r="X2902"/>
          <cell r="Y2902"/>
        </row>
        <row r="2903">
          <cell r="F2903"/>
          <cell r="J2903"/>
          <cell r="O2903"/>
          <cell r="W2903"/>
          <cell r="X2903"/>
          <cell r="Y2903"/>
        </row>
        <row r="2904">
          <cell r="F2904"/>
          <cell r="J2904"/>
          <cell r="O2904"/>
          <cell r="W2904"/>
          <cell r="X2904"/>
          <cell r="Y2904"/>
        </row>
        <row r="2905">
          <cell r="F2905"/>
          <cell r="J2905"/>
          <cell r="O2905"/>
          <cell r="W2905"/>
          <cell r="X2905"/>
          <cell r="Y2905"/>
        </row>
        <row r="2906">
          <cell r="F2906"/>
          <cell r="J2906"/>
          <cell r="O2906"/>
          <cell r="W2906"/>
          <cell r="X2906"/>
          <cell r="Y2906"/>
        </row>
        <row r="2907">
          <cell r="F2907"/>
          <cell r="J2907"/>
          <cell r="O2907"/>
          <cell r="W2907"/>
          <cell r="X2907"/>
          <cell r="Y2907"/>
        </row>
        <row r="2908">
          <cell r="F2908"/>
          <cell r="J2908"/>
          <cell r="O2908"/>
          <cell r="W2908"/>
          <cell r="X2908"/>
          <cell r="Y2908"/>
        </row>
        <row r="2909">
          <cell r="F2909"/>
          <cell r="J2909"/>
          <cell r="O2909"/>
          <cell r="W2909"/>
          <cell r="X2909"/>
          <cell r="Y2909"/>
        </row>
        <row r="2910">
          <cell r="F2910"/>
          <cell r="J2910"/>
          <cell r="O2910"/>
          <cell r="W2910"/>
          <cell r="X2910"/>
          <cell r="Y2910"/>
        </row>
        <row r="2911">
          <cell r="F2911"/>
          <cell r="J2911"/>
          <cell r="O2911"/>
          <cell r="W2911"/>
          <cell r="X2911"/>
          <cell r="Y2911"/>
        </row>
        <row r="2912">
          <cell r="F2912"/>
          <cell r="J2912"/>
          <cell r="O2912"/>
          <cell r="W2912"/>
          <cell r="X2912"/>
          <cell r="Y2912"/>
        </row>
        <row r="2913">
          <cell r="F2913"/>
          <cell r="J2913"/>
          <cell r="O2913"/>
          <cell r="W2913"/>
          <cell r="X2913"/>
          <cell r="Y2913"/>
        </row>
        <row r="2914">
          <cell r="F2914"/>
          <cell r="J2914"/>
          <cell r="O2914"/>
          <cell r="W2914"/>
          <cell r="X2914"/>
          <cell r="Y2914"/>
        </row>
        <row r="2915">
          <cell r="F2915"/>
          <cell r="J2915"/>
          <cell r="O2915"/>
          <cell r="W2915"/>
          <cell r="X2915"/>
          <cell r="Y2915"/>
        </row>
        <row r="2916">
          <cell r="F2916"/>
          <cell r="J2916"/>
          <cell r="O2916"/>
          <cell r="W2916"/>
          <cell r="X2916"/>
          <cell r="Y2916"/>
        </row>
        <row r="2917">
          <cell r="F2917"/>
          <cell r="J2917"/>
          <cell r="O2917"/>
          <cell r="W2917"/>
          <cell r="X2917"/>
          <cell r="Y2917"/>
        </row>
        <row r="2918">
          <cell r="F2918"/>
          <cell r="J2918"/>
          <cell r="O2918"/>
          <cell r="W2918"/>
          <cell r="X2918"/>
          <cell r="Y2918"/>
        </row>
        <row r="2919">
          <cell r="F2919"/>
          <cell r="J2919"/>
          <cell r="O2919"/>
          <cell r="W2919"/>
          <cell r="X2919"/>
          <cell r="Y2919"/>
        </row>
        <row r="2920">
          <cell r="F2920"/>
          <cell r="J2920"/>
          <cell r="O2920"/>
          <cell r="W2920"/>
          <cell r="X2920"/>
          <cell r="Y2920"/>
        </row>
        <row r="2921">
          <cell r="F2921"/>
          <cell r="J2921"/>
          <cell r="O2921"/>
          <cell r="W2921"/>
          <cell r="X2921"/>
          <cell r="Y2921"/>
        </row>
        <row r="2922">
          <cell r="F2922"/>
          <cell r="J2922"/>
          <cell r="O2922"/>
          <cell r="W2922"/>
          <cell r="X2922"/>
          <cell r="Y2922"/>
        </row>
        <row r="2923">
          <cell r="F2923"/>
          <cell r="J2923"/>
          <cell r="O2923"/>
          <cell r="W2923"/>
          <cell r="X2923"/>
          <cell r="Y2923"/>
        </row>
        <row r="2924">
          <cell r="F2924"/>
          <cell r="J2924"/>
          <cell r="O2924"/>
          <cell r="W2924"/>
          <cell r="X2924"/>
          <cell r="Y2924"/>
        </row>
        <row r="2925">
          <cell r="F2925"/>
          <cell r="J2925"/>
          <cell r="O2925"/>
          <cell r="W2925"/>
          <cell r="X2925"/>
          <cell r="Y2925"/>
        </row>
        <row r="2926">
          <cell r="F2926"/>
          <cell r="J2926"/>
          <cell r="O2926"/>
          <cell r="W2926"/>
          <cell r="X2926"/>
          <cell r="Y2926"/>
        </row>
        <row r="2927">
          <cell r="F2927"/>
          <cell r="J2927"/>
          <cell r="O2927"/>
          <cell r="W2927"/>
          <cell r="X2927"/>
          <cell r="Y2927"/>
        </row>
        <row r="2928">
          <cell r="F2928"/>
          <cell r="J2928"/>
          <cell r="O2928"/>
          <cell r="W2928"/>
          <cell r="X2928"/>
          <cell r="Y2928"/>
        </row>
        <row r="2929">
          <cell r="F2929"/>
          <cell r="J2929"/>
          <cell r="O2929"/>
          <cell r="W2929"/>
          <cell r="X2929"/>
          <cell r="Y2929"/>
        </row>
        <row r="2930">
          <cell r="F2930"/>
          <cell r="J2930"/>
          <cell r="O2930"/>
          <cell r="W2930"/>
          <cell r="X2930"/>
          <cell r="Y2930"/>
        </row>
        <row r="2931">
          <cell r="F2931"/>
          <cell r="J2931"/>
          <cell r="O2931"/>
          <cell r="W2931"/>
          <cell r="X2931"/>
          <cell r="Y2931"/>
        </row>
        <row r="2932">
          <cell r="F2932"/>
          <cell r="J2932"/>
          <cell r="O2932"/>
          <cell r="W2932"/>
          <cell r="X2932"/>
          <cell r="Y2932"/>
        </row>
        <row r="2933">
          <cell r="F2933"/>
          <cell r="J2933"/>
          <cell r="O2933"/>
          <cell r="W2933"/>
          <cell r="X2933"/>
          <cell r="Y2933"/>
        </row>
        <row r="2934">
          <cell r="F2934"/>
          <cell r="J2934"/>
          <cell r="O2934"/>
          <cell r="W2934"/>
          <cell r="X2934"/>
          <cell r="Y2934"/>
        </row>
        <row r="2935">
          <cell r="F2935"/>
          <cell r="J2935"/>
          <cell r="O2935"/>
          <cell r="W2935"/>
          <cell r="X2935"/>
          <cell r="Y2935"/>
        </row>
        <row r="2936">
          <cell r="F2936"/>
          <cell r="J2936"/>
          <cell r="O2936"/>
          <cell r="W2936"/>
          <cell r="X2936"/>
          <cell r="Y2936"/>
        </row>
        <row r="2937">
          <cell r="F2937"/>
          <cell r="J2937"/>
          <cell r="O2937"/>
          <cell r="W2937"/>
          <cell r="X2937"/>
          <cell r="Y2937"/>
        </row>
        <row r="2938">
          <cell r="F2938"/>
          <cell r="J2938"/>
          <cell r="O2938"/>
          <cell r="W2938"/>
          <cell r="X2938"/>
          <cell r="Y2938"/>
        </row>
        <row r="2939">
          <cell r="F2939"/>
          <cell r="J2939"/>
          <cell r="O2939"/>
          <cell r="W2939"/>
          <cell r="X2939"/>
          <cell r="Y2939"/>
        </row>
        <row r="2940">
          <cell r="F2940"/>
          <cell r="J2940"/>
          <cell r="O2940"/>
          <cell r="W2940"/>
          <cell r="X2940"/>
          <cell r="Y2940"/>
        </row>
        <row r="2941">
          <cell r="F2941"/>
          <cell r="J2941"/>
          <cell r="O2941"/>
          <cell r="W2941"/>
          <cell r="X2941"/>
          <cell r="Y2941"/>
        </row>
        <row r="2942">
          <cell r="F2942"/>
          <cell r="J2942"/>
          <cell r="O2942"/>
          <cell r="W2942"/>
          <cell r="X2942"/>
          <cell r="Y2942"/>
        </row>
        <row r="2943">
          <cell r="F2943"/>
          <cell r="J2943"/>
          <cell r="O2943"/>
          <cell r="W2943"/>
          <cell r="X2943"/>
          <cell r="Y2943"/>
        </row>
        <row r="2944">
          <cell r="F2944"/>
          <cell r="J2944"/>
          <cell r="O2944"/>
          <cell r="W2944"/>
          <cell r="X2944"/>
          <cell r="Y2944"/>
        </row>
        <row r="2945">
          <cell r="F2945"/>
          <cell r="J2945"/>
          <cell r="O2945"/>
          <cell r="W2945"/>
          <cell r="X2945"/>
          <cell r="Y2945"/>
        </row>
        <row r="2946">
          <cell r="F2946"/>
          <cell r="J2946"/>
          <cell r="O2946"/>
          <cell r="W2946"/>
          <cell r="X2946"/>
          <cell r="Y2946"/>
        </row>
        <row r="2947">
          <cell r="F2947"/>
          <cell r="J2947"/>
          <cell r="O2947"/>
          <cell r="W2947"/>
          <cell r="X2947"/>
          <cell r="Y2947"/>
        </row>
        <row r="2948">
          <cell r="F2948"/>
          <cell r="J2948"/>
          <cell r="O2948"/>
          <cell r="W2948"/>
          <cell r="X2948"/>
          <cell r="Y2948"/>
        </row>
        <row r="2949">
          <cell r="F2949"/>
          <cell r="J2949"/>
          <cell r="O2949"/>
          <cell r="W2949"/>
          <cell r="X2949"/>
          <cell r="Y2949"/>
        </row>
        <row r="2950">
          <cell r="F2950"/>
          <cell r="J2950"/>
          <cell r="O2950"/>
          <cell r="W2950"/>
          <cell r="X2950"/>
          <cell r="Y2950"/>
        </row>
        <row r="2951">
          <cell r="F2951"/>
          <cell r="J2951"/>
          <cell r="O2951"/>
          <cell r="W2951"/>
          <cell r="X2951"/>
          <cell r="Y2951"/>
        </row>
        <row r="2952">
          <cell r="F2952"/>
          <cell r="J2952"/>
          <cell r="O2952"/>
          <cell r="W2952"/>
          <cell r="X2952"/>
          <cell r="Y2952"/>
        </row>
        <row r="2953">
          <cell r="F2953"/>
          <cell r="J2953"/>
          <cell r="O2953"/>
          <cell r="W2953"/>
          <cell r="X2953"/>
          <cell r="Y2953"/>
        </row>
        <row r="2954">
          <cell r="F2954"/>
          <cell r="J2954"/>
          <cell r="O2954"/>
          <cell r="W2954"/>
          <cell r="X2954"/>
          <cell r="Y2954"/>
        </row>
        <row r="2955">
          <cell r="F2955"/>
          <cell r="J2955"/>
          <cell r="O2955"/>
          <cell r="W2955"/>
          <cell r="X2955"/>
          <cell r="Y2955"/>
        </row>
        <row r="2956">
          <cell r="F2956"/>
          <cell r="J2956"/>
          <cell r="O2956"/>
          <cell r="W2956"/>
          <cell r="X2956"/>
          <cell r="Y2956"/>
        </row>
        <row r="2957">
          <cell r="F2957"/>
          <cell r="J2957"/>
          <cell r="O2957"/>
          <cell r="W2957"/>
          <cell r="X2957"/>
          <cell r="Y2957"/>
        </row>
        <row r="2958">
          <cell r="F2958"/>
          <cell r="J2958"/>
          <cell r="O2958"/>
          <cell r="W2958"/>
          <cell r="X2958"/>
          <cell r="Y2958"/>
        </row>
        <row r="2959">
          <cell r="F2959"/>
          <cell r="J2959"/>
          <cell r="O2959"/>
          <cell r="W2959"/>
          <cell r="X2959"/>
          <cell r="Y2959"/>
        </row>
        <row r="2960">
          <cell r="F2960"/>
          <cell r="J2960"/>
          <cell r="O2960"/>
          <cell r="W2960"/>
          <cell r="X2960"/>
          <cell r="Y2960"/>
        </row>
        <row r="2961">
          <cell r="F2961"/>
          <cell r="J2961"/>
          <cell r="O2961"/>
          <cell r="W2961"/>
          <cell r="X2961"/>
          <cell r="Y2961"/>
        </row>
        <row r="2962">
          <cell r="F2962"/>
          <cell r="J2962"/>
          <cell r="O2962"/>
          <cell r="W2962"/>
          <cell r="X2962"/>
          <cell r="Y2962"/>
        </row>
        <row r="2963">
          <cell r="F2963"/>
          <cell r="J2963"/>
          <cell r="O2963"/>
          <cell r="W2963"/>
          <cell r="X2963"/>
          <cell r="Y2963"/>
        </row>
        <row r="2964">
          <cell r="F2964"/>
          <cell r="J2964"/>
          <cell r="O2964"/>
          <cell r="W2964"/>
          <cell r="X2964"/>
          <cell r="Y2964"/>
        </row>
        <row r="2965">
          <cell r="F2965"/>
          <cell r="J2965"/>
          <cell r="O2965"/>
          <cell r="W2965"/>
          <cell r="X2965"/>
          <cell r="Y2965"/>
        </row>
        <row r="2966">
          <cell r="F2966"/>
          <cell r="J2966"/>
          <cell r="O2966"/>
          <cell r="W2966"/>
          <cell r="X2966"/>
          <cell r="Y2966"/>
        </row>
        <row r="2967">
          <cell r="F2967"/>
          <cell r="J2967"/>
          <cell r="O2967"/>
          <cell r="W2967"/>
          <cell r="X2967"/>
          <cell r="Y2967"/>
        </row>
        <row r="2968">
          <cell r="F2968"/>
          <cell r="J2968"/>
          <cell r="O2968"/>
          <cell r="W2968"/>
          <cell r="X2968"/>
          <cell r="Y2968"/>
        </row>
        <row r="2969">
          <cell r="F2969"/>
          <cell r="J2969"/>
          <cell r="O2969"/>
          <cell r="W2969"/>
          <cell r="X2969"/>
          <cell r="Y2969"/>
        </row>
        <row r="2970">
          <cell r="F2970"/>
          <cell r="J2970"/>
          <cell r="O2970"/>
          <cell r="W2970"/>
          <cell r="X2970"/>
          <cell r="Y2970"/>
        </row>
        <row r="2971">
          <cell r="F2971"/>
          <cell r="J2971"/>
          <cell r="O2971"/>
          <cell r="W2971"/>
          <cell r="X2971"/>
          <cell r="Y2971"/>
        </row>
        <row r="2972">
          <cell r="F2972"/>
          <cell r="J2972"/>
          <cell r="O2972"/>
          <cell r="W2972"/>
          <cell r="X2972"/>
          <cell r="Y2972"/>
        </row>
        <row r="2973">
          <cell r="F2973"/>
          <cell r="J2973"/>
          <cell r="O2973"/>
          <cell r="W2973"/>
          <cell r="X2973"/>
          <cell r="Y2973"/>
        </row>
        <row r="2974">
          <cell r="F2974"/>
          <cell r="J2974"/>
          <cell r="O2974"/>
          <cell r="W2974"/>
          <cell r="X2974"/>
          <cell r="Y2974"/>
        </row>
        <row r="2975">
          <cell r="F2975"/>
          <cell r="J2975"/>
          <cell r="O2975"/>
          <cell r="W2975"/>
          <cell r="X2975"/>
          <cell r="Y2975"/>
        </row>
        <row r="2976">
          <cell r="F2976"/>
          <cell r="J2976"/>
          <cell r="O2976"/>
          <cell r="W2976"/>
          <cell r="X2976"/>
          <cell r="Y2976"/>
        </row>
        <row r="2977">
          <cell r="F2977"/>
          <cell r="J2977"/>
          <cell r="O2977"/>
          <cell r="W2977"/>
          <cell r="X2977"/>
          <cell r="Y2977"/>
        </row>
        <row r="2978">
          <cell r="F2978"/>
          <cell r="J2978"/>
          <cell r="O2978"/>
          <cell r="W2978"/>
          <cell r="X2978"/>
          <cell r="Y2978"/>
        </row>
        <row r="2979">
          <cell r="F2979"/>
          <cell r="J2979"/>
          <cell r="O2979"/>
          <cell r="W2979"/>
          <cell r="X2979"/>
          <cell r="Y2979"/>
        </row>
        <row r="2980">
          <cell r="F2980"/>
          <cell r="J2980"/>
          <cell r="O2980"/>
          <cell r="W2980"/>
          <cell r="X2980"/>
          <cell r="Y2980"/>
        </row>
        <row r="2981">
          <cell r="F2981"/>
          <cell r="J2981"/>
          <cell r="O2981"/>
          <cell r="W2981"/>
          <cell r="X2981"/>
          <cell r="Y2981"/>
        </row>
        <row r="2982">
          <cell r="F2982"/>
          <cell r="J2982"/>
          <cell r="O2982"/>
          <cell r="W2982"/>
          <cell r="X2982"/>
          <cell r="Y2982"/>
        </row>
        <row r="2983">
          <cell r="F2983"/>
          <cell r="J2983"/>
          <cell r="O2983"/>
          <cell r="W2983"/>
          <cell r="X2983"/>
          <cell r="Y2983"/>
        </row>
        <row r="2984">
          <cell r="F2984"/>
          <cell r="J2984"/>
          <cell r="O2984"/>
          <cell r="W2984"/>
          <cell r="X2984"/>
          <cell r="Y2984"/>
        </row>
        <row r="2985">
          <cell r="F2985"/>
          <cell r="J2985"/>
          <cell r="O2985"/>
          <cell r="W2985"/>
          <cell r="X2985"/>
          <cell r="Y2985"/>
        </row>
        <row r="2986">
          <cell r="F2986"/>
          <cell r="J2986"/>
          <cell r="O2986"/>
          <cell r="W2986"/>
          <cell r="X2986"/>
          <cell r="Y2986"/>
        </row>
        <row r="2987">
          <cell r="F2987"/>
          <cell r="J2987"/>
          <cell r="O2987"/>
          <cell r="W2987"/>
          <cell r="X2987"/>
          <cell r="Y2987"/>
        </row>
        <row r="2988">
          <cell r="F2988"/>
          <cell r="J2988"/>
          <cell r="O2988"/>
          <cell r="W2988"/>
          <cell r="X2988"/>
          <cell r="Y2988"/>
        </row>
        <row r="2989">
          <cell r="F2989"/>
          <cell r="J2989"/>
          <cell r="O2989"/>
          <cell r="W2989"/>
          <cell r="X2989"/>
          <cell r="Y2989"/>
        </row>
        <row r="2990">
          <cell r="F2990"/>
          <cell r="J2990"/>
          <cell r="O2990"/>
          <cell r="W2990"/>
          <cell r="X2990"/>
          <cell r="Y2990"/>
        </row>
        <row r="2991">
          <cell r="F2991"/>
          <cell r="J2991"/>
          <cell r="O2991"/>
          <cell r="W2991"/>
          <cell r="X2991"/>
          <cell r="Y2991"/>
        </row>
        <row r="2992">
          <cell r="F2992"/>
          <cell r="J2992"/>
          <cell r="O2992"/>
          <cell r="W2992"/>
          <cell r="X2992"/>
          <cell r="Y2992"/>
        </row>
        <row r="2993">
          <cell r="F2993"/>
          <cell r="J2993"/>
          <cell r="O2993"/>
          <cell r="W2993"/>
          <cell r="X2993"/>
          <cell r="Y2993"/>
        </row>
        <row r="2994">
          <cell r="F2994"/>
          <cell r="J2994"/>
          <cell r="O2994"/>
          <cell r="W2994"/>
          <cell r="X2994"/>
          <cell r="Y2994"/>
        </row>
        <row r="2995">
          <cell r="F2995"/>
          <cell r="J2995"/>
          <cell r="O2995"/>
          <cell r="W2995"/>
          <cell r="X2995"/>
          <cell r="Y2995"/>
        </row>
        <row r="2996">
          <cell r="F2996"/>
          <cell r="J2996"/>
          <cell r="O2996"/>
          <cell r="W2996"/>
          <cell r="X2996"/>
          <cell r="Y2996"/>
        </row>
        <row r="2997">
          <cell r="F2997"/>
          <cell r="J2997"/>
          <cell r="O2997"/>
          <cell r="W2997"/>
          <cell r="X2997"/>
          <cell r="Y2997"/>
        </row>
        <row r="2998">
          <cell r="F2998"/>
          <cell r="J2998"/>
          <cell r="O2998"/>
          <cell r="W2998"/>
          <cell r="X2998"/>
          <cell r="Y2998"/>
        </row>
        <row r="2999">
          <cell r="F2999"/>
          <cell r="J2999"/>
          <cell r="O2999"/>
          <cell r="W2999"/>
          <cell r="X2999"/>
          <cell r="Y2999"/>
        </row>
        <row r="3000">
          <cell r="F3000"/>
          <cell r="J3000"/>
          <cell r="O3000"/>
          <cell r="W3000"/>
          <cell r="X3000"/>
          <cell r="Y3000"/>
        </row>
        <row r="3001">
          <cell r="F3001"/>
          <cell r="J3001"/>
          <cell r="O3001"/>
          <cell r="W3001"/>
          <cell r="X3001"/>
          <cell r="Y3001"/>
        </row>
        <row r="3002">
          <cell r="F3002"/>
          <cell r="J3002"/>
          <cell r="O3002"/>
          <cell r="W3002"/>
          <cell r="X3002"/>
          <cell r="Y3002"/>
        </row>
        <row r="3003">
          <cell r="F3003"/>
          <cell r="J3003"/>
          <cell r="O3003"/>
          <cell r="W3003"/>
          <cell r="X3003"/>
          <cell r="Y3003"/>
        </row>
        <row r="3004">
          <cell r="F3004"/>
          <cell r="J3004"/>
          <cell r="O3004"/>
          <cell r="W3004"/>
          <cell r="X3004"/>
          <cell r="Y3004"/>
        </row>
        <row r="3005">
          <cell r="F3005"/>
          <cell r="J3005"/>
          <cell r="O3005"/>
          <cell r="W3005"/>
          <cell r="X3005"/>
          <cell r="Y3005"/>
        </row>
        <row r="3006">
          <cell r="F3006"/>
          <cell r="J3006"/>
          <cell r="O3006"/>
          <cell r="W3006"/>
          <cell r="X3006"/>
          <cell r="Y3006"/>
        </row>
        <row r="3007">
          <cell r="F3007"/>
          <cell r="J3007"/>
          <cell r="O3007"/>
          <cell r="W3007"/>
          <cell r="X3007"/>
          <cell r="Y3007"/>
        </row>
        <row r="3008">
          <cell r="F3008"/>
          <cell r="J3008"/>
          <cell r="O3008"/>
          <cell r="W3008"/>
          <cell r="X3008"/>
          <cell r="Y3008"/>
        </row>
        <row r="3009">
          <cell r="F3009"/>
          <cell r="J3009"/>
          <cell r="O3009"/>
          <cell r="W3009"/>
          <cell r="X3009"/>
          <cell r="Y3009"/>
        </row>
        <row r="3010">
          <cell r="F3010"/>
          <cell r="J3010"/>
          <cell r="O3010"/>
          <cell r="W3010"/>
          <cell r="X3010"/>
          <cell r="Y3010"/>
        </row>
        <row r="3011">
          <cell r="F3011"/>
          <cell r="J3011"/>
          <cell r="O3011"/>
          <cell r="W3011"/>
          <cell r="X3011"/>
          <cell r="Y3011"/>
        </row>
        <row r="3012">
          <cell r="F3012"/>
          <cell r="J3012"/>
          <cell r="O3012"/>
          <cell r="W3012"/>
          <cell r="X3012"/>
          <cell r="Y3012"/>
        </row>
        <row r="3013">
          <cell r="F3013"/>
          <cell r="J3013"/>
          <cell r="O3013"/>
          <cell r="W3013"/>
          <cell r="X3013"/>
          <cell r="Y3013"/>
        </row>
        <row r="3014">
          <cell r="F3014"/>
          <cell r="J3014"/>
          <cell r="O3014"/>
          <cell r="W3014"/>
          <cell r="X3014"/>
          <cell r="Y3014"/>
        </row>
        <row r="3015">
          <cell r="F3015"/>
          <cell r="J3015"/>
          <cell r="O3015"/>
          <cell r="W3015"/>
          <cell r="X3015"/>
          <cell r="Y3015"/>
        </row>
        <row r="3016">
          <cell r="F3016"/>
          <cell r="J3016"/>
          <cell r="O3016"/>
          <cell r="W3016"/>
          <cell r="X3016"/>
          <cell r="Y3016"/>
        </row>
        <row r="3017">
          <cell r="F3017"/>
          <cell r="J3017"/>
          <cell r="O3017"/>
          <cell r="W3017"/>
          <cell r="X3017"/>
          <cell r="Y3017"/>
        </row>
        <row r="3018">
          <cell r="F3018"/>
          <cell r="J3018"/>
          <cell r="O3018"/>
          <cell r="W3018"/>
          <cell r="X3018"/>
          <cell r="Y3018"/>
        </row>
        <row r="3019">
          <cell r="F3019"/>
          <cell r="J3019"/>
          <cell r="O3019"/>
          <cell r="W3019"/>
          <cell r="X3019"/>
          <cell r="Y3019"/>
        </row>
        <row r="3020">
          <cell r="F3020"/>
          <cell r="J3020"/>
          <cell r="O3020"/>
          <cell r="W3020"/>
          <cell r="X3020"/>
          <cell r="Y3020"/>
        </row>
        <row r="3021">
          <cell r="F3021"/>
          <cell r="J3021"/>
          <cell r="O3021"/>
          <cell r="W3021"/>
          <cell r="X3021"/>
          <cell r="Y3021"/>
        </row>
        <row r="3022">
          <cell r="F3022"/>
          <cell r="J3022"/>
          <cell r="O3022"/>
          <cell r="W3022"/>
          <cell r="X3022"/>
          <cell r="Y3022"/>
        </row>
        <row r="3023">
          <cell r="F3023"/>
          <cell r="J3023"/>
          <cell r="O3023"/>
          <cell r="W3023"/>
          <cell r="X3023"/>
          <cell r="Y3023"/>
        </row>
        <row r="3024">
          <cell r="F3024"/>
          <cell r="J3024"/>
          <cell r="O3024"/>
          <cell r="W3024"/>
          <cell r="X3024"/>
          <cell r="Y3024"/>
        </row>
        <row r="3025">
          <cell r="F3025"/>
          <cell r="J3025"/>
          <cell r="O3025"/>
          <cell r="W3025"/>
          <cell r="X3025"/>
          <cell r="Y3025"/>
        </row>
        <row r="3026">
          <cell r="F3026"/>
          <cell r="J3026"/>
          <cell r="O3026"/>
          <cell r="W3026"/>
          <cell r="X3026"/>
          <cell r="Y3026"/>
        </row>
        <row r="3027">
          <cell r="F3027"/>
          <cell r="J3027"/>
          <cell r="O3027"/>
          <cell r="W3027"/>
          <cell r="X3027"/>
          <cell r="Y3027"/>
        </row>
        <row r="3028">
          <cell r="F3028"/>
          <cell r="J3028"/>
          <cell r="O3028"/>
          <cell r="W3028"/>
          <cell r="X3028"/>
          <cell r="Y3028"/>
        </row>
        <row r="3029">
          <cell r="F3029"/>
          <cell r="J3029"/>
          <cell r="O3029"/>
          <cell r="W3029"/>
          <cell r="X3029"/>
          <cell r="Y3029"/>
        </row>
        <row r="3030">
          <cell r="F3030"/>
          <cell r="J3030"/>
          <cell r="O3030"/>
          <cell r="W3030"/>
          <cell r="X3030"/>
          <cell r="Y3030"/>
        </row>
        <row r="3031">
          <cell r="F3031"/>
          <cell r="J3031"/>
          <cell r="O3031"/>
          <cell r="W3031"/>
          <cell r="X3031"/>
          <cell r="Y3031"/>
        </row>
        <row r="3032">
          <cell r="F3032"/>
          <cell r="J3032"/>
          <cell r="O3032"/>
          <cell r="W3032"/>
          <cell r="X3032"/>
          <cell r="Y3032"/>
        </row>
        <row r="3033">
          <cell r="F3033"/>
          <cell r="J3033"/>
          <cell r="O3033"/>
          <cell r="W3033"/>
          <cell r="X3033"/>
          <cell r="Y3033"/>
        </row>
        <row r="3034">
          <cell r="F3034"/>
          <cell r="J3034"/>
          <cell r="O3034"/>
          <cell r="W3034"/>
          <cell r="X3034"/>
          <cell r="Y3034"/>
        </row>
        <row r="3035">
          <cell r="F3035"/>
          <cell r="J3035"/>
          <cell r="O3035"/>
          <cell r="W3035"/>
          <cell r="X3035"/>
          <cell r="Y3035"/>
        </row>
        <row r="3036">
          <cell r="F3036"/>
          <cell r="J3036"/>
          <cell r="O3036"/>
          <cell r="W3036"/>
          <cell r="X3036"/>
          <cell r="Y3036"/>
        </row>
        <row r="3037">
          <cell r="F3037"/>
          <cell r="J3037"/>
          <cell r="O3037"/>
          <cell r="W3037"/>
          <cell r="X3037"/>
          <cell r="Y3037"/>
        </row>
        <row r="3038">
          <cell r="F3038"/>
          <cell r="J3038"/>
          <cell r="O3038"/>
          <cell r="W3038"/>
          <cell r="X3038"/>
          <cell r="Y3038"/>
        </row>
        <row r="3039">
          <cell r="F3039"/>
          <cell r="J3039"/>
          <cell r="O3039"/>
          <cell r="W3039"/>
          <cell r="X3039"/>
          <cell r="Y3039"/>
        </row>
        <row r="3040">
          <cell r="F3040"/>
          <cell r="J3040"/>
          <cell r="O3040"/>
          <cell r="W3040"/>
          <cell r="X3040"/>
          <cell r="Y3040"/>
        </row>
        <row r="3041">
          <cell r="F3041"/>
          <cell r="J3041"/>
          <cell r="O3041"/>
          <cell r="W3041"/>
          <cell r="X3041"/>
          <cell r="Y3041"/>
        </row>
        <row r="3042">
          <cell r="F3042"/>
          <cell r="J3042"/>
          <cell r="O3042"/>
          <cell r="W3042"/>
          <cell r="X3042"/>
          <cell r="Y3042"/>
        </row>
        <row r="3043">
          <cell r="F3043"/>
          <cell r="J3043"/>
          <cell r="O3043"/>
          <cell r="W3043"/>
          <cell r="X3043"/>
          <cell r="Y3043"/>
        </row>
        <row r="3044">
          <cell r="F3044"/>
          <cell r="J3044"/>
          <cell r="O3044"/>
          <cell r="W3044"/>
          <cell r="X3044"/>
          <cell r="Y3044"/>
        </row>
        <row r="3045">
          <cell r="F3045"/>
          <cell r="J3045"/>
          <cell r="O3045"/>
          <cell r="W3045"/>
          <cell r="X3045"/>
          <cell r="Y3045"/>
        </row>
        <row r="3046">
          <cell r="F3046"/>
          <cell r="J3046"/>
          <cell r="O3046"/>
          <cell r="W3046"/>
          <cell r="X3046"/>
          <cell r="Y3046"/>
        </row>
        <row r="3047">
          <cell r="F3047"/>
          <cell r="J3047"/>
          <cell r="O3047"/>
          <cell r="W3047"/>
          <cell r="X3047"/>
          <cell r="Y3047"/>
        </row>
        <row r="3048">
          <cell r="F3048"/>
          <cell r="J3048"/>
          <cell r="O3048"/>
          <cell r="W3048"/>
          <cell r="X3048"/>
          <cell r="Y3048"/>
        </row>
        <row r="3049">
          <cell r="F3049"/>
          <cell r="J3049"/>
          <cell r="O3049"/>
          <cell r="W3049"/>
          <cell r="X3049"/>
          <cell r="Y3049"/>
        </row>
        <row r="3050">
          <cell r="F3050"/>
          <cell r="J3050"/>
          <cell r="O3050"/>
          <cell r="W3050"/>
          <cell r="X3050"/>
          <cell r="Y3050"/>
        </row>
        <row r="3051">
          <cell r="F3051"/>
          <cell r="J3051"/>
          <cell r="O3051"/>
          <cell r="W3051"/>
          <cell r="X3051"/>
          <cell r="Y3051"/>
        </row>
        <row r="3052">
          <cell r="F3052"/>
          <cell r="J3052"/>
          <cell r="O3052"/>
          <cell r="W3052"/>
          <cell r="X3052"/>
          <cell r="Y3052"/>
        </row>
        <row r="3053">
          <cell r="F3053"/>
          <cell r="J3053"/>
          <cell r="O3053"/>
          <cell r="W3053"/>
          <cell r="X3053"/>
          <cell r="Y3053"/>
        </row>
        <row r="3054">
          <cell r="F3054"/>
          <cell r="J3054"/>
          <cell r="O3054"/>
          <cell r="W3054"/>
          <cell r="X3054"/>
          <cell r="Y3054"/>
        </row>
        <row r="3055">
          <cell r="F3055"/>
          <cell r="J3055"/>
          <cell r="O3055"/>
          <cell r="W3055"/>
          <cell r="X3055"/>
          <cell r="Y3055"/>
        </row>
        <row r="3056">
          <cell r="F3056"/>
          <cell r="J3056"/>
          <cell r="O3056"/>
          <cell r="W3056"/>
          <cell r="X3056"/>
          <cell r="Y3056"/>
        </row>
        <row r="3057">
          <cell r="F3057"/>
          <cell r="J3057"/>
          <cell r="O3057"/>
          <cell r="W3057"/>
          <cell r="X3057"/>
          <cell r="Y3057"/>
        </row>
        <row r="3058">
          <cell r="F3058"/>
          <cell r="J3058"/>
          <cell r="O3058"/>
          <cell r="W3058"/>
          <cell r="X3058"/>
          <cell r="Y3058"/>
        </row>
        <row r="3059">
          <cell r="F3059"/>
          <cell r="J3059"/>
          <cell r="O3059"/>
          <cell r="W3059"/>
          <cell r="X3059"/>
          <cell r="Y3059"/>
        </row>
        <row r="3060">
          <cell r="F3060"/>
          <cell r="J3060"/>
          <cell r="O3060"/>
          <cell r="W3060"/>
          <cell r="X3060"/>
          <cell r="Y3060"/>
        </row>
        <row r="3061">
          <cell r="F3061"/>
          <cell r="J3061"/>
          <cell r="O3061"/>
          <cell r="W3061"/>
          <cell r="X3061"/>
          <cell r="Y3061"/>
        </row>
        <row r="3062">
          <cell r="F3062"/>
          <cell r="J3062"/>
          <cell r="O3062"/>
          <cell r="W3062"/>
          <cell r="X3062"/>
          <cell r="Y3062"/>
        </row>
        <row r="3063">
          <cell r="F3063"/>
          <cell r="J3063"/>
          <cell r="O3063"/>
          <cell r="W3063"/>
          <cell r="X3063"/>
          <cell r="Y3063"/>
        </row>
        <row r="3064">
          <cell r="F3064"/>
          <cell r="J3064"/>
          <cell r="O3064"/>
          <cell r="W3064"/>
          <cell r="X3064"/>
          <cell r="Y3064"/>
        </row>
        <row r="3065">
          <cell r="F3065"/>
          <cell r="J3065"/>
          <cell r="O3065"/>
          <cell r="W3065"/>
          <cell r="X3065"/>
          <cell r="Y3065"/>
        </row>
        <row r="3066">
          <cell r="F3066"/>
          <cell r="J3066"/>
          <cell r="O3066"/>
          <cell r="W3066"/>
          <cell r="X3066"/>
          <cell r="Y3066"/>
        </row>
        <row r="3067">
          <cell r="F3067"/>
          <cell r="J3067"/>
          <cell r="O3067"/>
          <cell r="W3067"/>
          <cell r="X3067"/>
          <cell r="Y3067"/>
        </row>
        <row r="3068">
          <cell r="F3068"/>
          <cell r="J3068"/>
          <cell r="O3068"/>
          <cell r="W3068"/>
          <cell r="X3068"/>
          <cell r="Y3068"/>
        </row>
        <row r="3069">
          <cell r="F3069"/>
          <cell r="J3069"/>
          <cell r="O3069"/>
          <cell r="W3069"/>
          <cell r="X3069"/>
          <cell r="Y3069"/>
        </row>
        <row r="3070">
          <cell r="F3070"/>
          <cell r="J3070"/>
          <cell r="O3070"/>
          <cell r="W3070"/>
          <cell r="X3070"/>
          <cell r="Y3070"/>
        </row>
        <row r="3071">
          <cell r="F3071"/>
          <cell r="J3071"/>
          <cell r="O3071"/>
          <cell r="W3071"/>
          <cell r="X3071"/>
          <cell r="Y3071"/>
        </row>
        <row r="3072">
          <cell r="F3072"/>
          <cell r="J3072"/>
          <cell r="O3072"/>
          <cell r="W3072"/>
          <cell r="X3072"/>
          <cell r="Y3072"/>
        </row>
        <row r="3073">
          <cell r="F3073"/>
          <cell r="J3073"/>
          <cell r="O3073"/>
          <cell r="W3073"/>
          <cell r="X3073"/>
          <cell r="Y3073"/>
        </row>
        <row r="3074">
          <cell r="F3074"/>
          <cell r="J3074"/>
          <cell r="O3074"/>
          <cell r="W3074"/>
          <cell r="X3074"/>
          <cell r="Y3074"/>
        </row>
        <row r="3075">
          <cell r="F3075"/>
          <cell r="J3075"/>
          <cell r="O3075"/>
          <cell r="W3075"/>
          <cell r="X3075"/>
          <cell r="Y3075"/>
        </row>
        <row r="3076">
          <cell r="F3076"/>
          <cell r="J3076"/>
          <cell r="O3076"/>
          <cell r="W3076"/>
          <cell r="X3076"/>
          <cell r="Y3076"/>
        </row>
        <row r="3077">
          <cell r="F3077"/>
          <cell r="J3077"/>
          <cell r="O3077"/>
          <cell r="W3077"/>
          <cell r="X3077"/>
          <cell r="Y3077"/>
        </row>
        <row r="3078">
          <cell r="F3078"/>
          <cell r="J3078"/>
          <cell r="O3078"/>
          <cell r="W3078"/>
          <cell r="X3078"/>
          <cell r="Y3078"/>
        </row>
        <row r="3079">
          <cell r="F3079"/>
          <cell r="J3079"/>
          <cell r="O3079"/>
          <cell r="W3079"/>
          <cell r="X3079"/>
          <cell r="Y3079"/>
        </row>
        <row r="3080">
          <cell r="F3080"/>
          <cell r="J3080"/>
          <cell r="O3080"/>
          <cell r="W3080"/>
          <cell r="X3080"/>
          <cell r="Y3080"/>
        </row>
        <row r="3081">
          <cell r="F3081"/>
          <cell r="J3081"/>
          <cell r="O3081"/>
          <cell r="W3081"/>
          <cell r="X3081"/>
          <cell r="Y3081"/>
        </row>
        <row r="3082">
          <cell r="F3082"/>
          <cell r="J3082"/>
          <cell r="O3082"/>
          <cell r="W3082"/>
          <cell r="X3082"/>
          <cell r="Y3082"/>
        </row>
        <row r="3083">
          <cell r="F3083"/>
          <cell r="J3083"/>
          <cell r="O3083"/>
          <cell r="W3083"/>
          <cell r="X3083"/>
          <cell r="Y3083"/>
        </row>
        <row r="3084">
          <cell r="F3084"/>
          <cell r="J3084"/>
          <cell r="O3084"/>
          <cell r="W3084"/>
          <cell r="X3084"/>
          <cell r="Y3084"/>
        </row>
        <row r="3085">
          <cell r="F3085"/>
          <cell r="J3085"/>
          <cell r="O3085"/>
          <cell r="W3085"/>
          <cell r="X3085"/>
          <cell r="Y3085"/>
        </row>
        <row r="3086">
          <cell r="F3086"/>
          <cell r="J3086"/>
          <cell r="O3086"/>
          <cell r="W3086"/>
          <cell r="X3086"/>
          <cell r="Y3086"/>
        </row>
        <row r="3087">
          <cell r="F3087"/>
          <cell r="J3087"/>
          <cell r="O3087"/>
          <cell r="W3087"/>
          <cell r="X3087"/>
          <cell r="Y3087"/>
        </row>
        <row r="3088">
          <cell r="F3088"/>
          <cell r="J3088"/>
          <cell r="O3088"/>
          <cell r="W3088"/>
          <cell r="X3088"/>
          <cell r="Y3088"/>
        </row>
        <row r="3089">
          <cell r="F3089"/>
          <cell r="J3089"/>
          <cell r="O3089"/>
          <cell r="W3089"/>
          <cell r="X3089"/>
          <cell r="Y3089"/>
        </row>
        <row r="3090">
          <cell r="F3090"/>
          <cell r="J3090"/>
          <cell r="O3090"/>
          <cell r="W3090"/>
          <cell r="X3090"/>
          <cell r="Y3090"/>
        </row>
        <row r="3091">
          <cell r="F3091"/>
          <cell r="J3091"/>
          <cell r="O3091"/>
          <cell r="W3091"/>
          <cell r="X3091"/>
          <cell r="Y3091"/>
        </row>
        <row r="3092">
          <cell r="F3092"/>
          <cell r="J3092"/>
          <cell r="O3092"/>
          <cell r="W3092"/>
          <cell r="X3092"/>
          <cell r="Y3092"/>
        </row>
        <row r="3093">
          <cell r="F3093"/>
          <cell r="J3093"/>
          <cell r="O3093"/>
          <cell r="W3093"/>
          <cell r="X3093"/>
          <cell r="Y3093"/>
        </row>
        <row r="3094">
          <cell r="F3094"/>
          <cell r="J3094"/>
          <cell r="O3094"/>
          <cell r="W3094"/>
          <cell r="X3094"/>
          <cell r="Y3094"/>
        </row>
        <row r="3095">
          <cell r="F3095"/>
          <cell r="J3095"/>
          <cell r="O3095"/>
          <cell r="W3095"/>
          <cell r="X3095"/>
          <cell r="Y3095"/>
        </row>
        <row r="3096">
          <cell r="F3096"/>
          <cell r="J3096"/>
          <cell r="O3096"/>
          <cell r="W3096"/>
          <cell r="X3096"/>
          <cell r="Y3096"/>
        </row>
        <row r="3097">
          <cell r="F3097"/>
          <cell r="J3097"/>
          <cell r="O3097"/>
          <cell r="W3097"/>
          <cell r="X3097"/>
          <cell r="Y3097"/>
        </row>
        <row r="3098">
          <cell r="F3098"/>
          <cell r="J3098"/>
          <cell r="O3098"/>
          <cell r="W3098"/>
          <cell r="X3098"/>
          <cell r="Y3098"/>
        </row>
        <row r="3099">
          <cell r="F3099"/>
          <cell r="J3099"/>
          <cell r="O3099"/>
          <cell r="W3099"/>
          <cell r="X3099"/>
          <cell r="Y3099"/>
        </row>
        <row r="3100">
          <cell r="F3100"/>
          <cell r="J3100"/>
          <cell r="O3100"/>
          <cell r="W3100"/>
          <cell r="X3100"/>
          <cell r="Y3100"/>
        </row>
        <row r="3101">
          <cell r="F3101"/>
          <cell r="J3101"/>
          <cell r="O3101"/>
          <cell r="W3101"/>
          <cell r="X3101"/>
          <cell r="Y3101"/>
        </row>
        <row r="3102">
          <cell r="F3102"/>
          <cell r="J3102"/>
          <cell r="O3102"/>
          <cell r="W3102"/>
          <cell r="X3102"/>
          <cell r="Y3102"/>
        </row>
        <row r="3103">
          <cell r="F3103"/>
          <cell r="J3103"/>
          <cell r="O3103"/>
          <cell r="W3103"/>
          <cell r="X3103"/>
          <cell r="Y3103"/>
        </row>
        <row r="3104">
          <cell r="F3104"/>
          <cell r="J3104"/>
          <cell r="O3104"/>
          <cell r="W3104"/>
          <cell r="X3104"/>
          <cell r="Y3104"/>
        </row>
        <row r="3105">
          <cell r="F3105"/>
          <cell r="J3105"/>
          <cell r="O3105"/>
          <cell r="W3105"/>
          <cell r="X3105"/>
          <cell r="Y3105"/>
        </row>
        <row r="3106">
          <cell r="F3106"/>
          <cell r="J3106"/>
          <cell r="O3106"/>
          <cell r="W3106"/>
          <cell r="X3106"/>
          <cell r="Y3106"/>
        </row>
        <row r="3107">
          <cell r="F3107"/>
          <cell r="J3107"/>
          <cell r="O3107"/>
          <cell r="W3107"/>
          <cell r="X3107"/>
          <cell r="Y3107"/>
        </row>
        <row r="3108">
          <cell r="F3108"/>
          <cell r="J3108"/>
          <cell r="O3108"/>
          <cell r="W3108"/>
          <cell r="X3108"/>
          <cell r="Y3108"/>
        </row>
        <row r="3109">
          <cell r="F3109"/>
          <cell r="J3109"/>
          <cell r="O3109"/>
          <cell r="W3109"/>
          <cell r="X3109"/>
          <cell r="Y3109"/>
        </row>
        <row r="3110">
          <cell r="F3110"/>
          <cell r="J3110"/>
          <cell r="O3110"/>
          <cell r="W3110"/>
          <cell r="X3110"/>
          <cell r="Y3110"/>
        </row>
        <row r="3111">
          <cell r="F3111"/>
          <cell r="J3111"/>
          <cell r="O3111"/>
          <cell r="W3111"/>
          <cell r="X3111"/>
          <cell r="Y3111"/>
        </row>
        <row r="3112">
          <cell r="F3112"/>
          <cell r="J3112"/>
          <cell r="O3112"/>
          <cell r="W3112"/>
          <cell r="X3112"/>
          <cell r="Y3112"/>
        </row>
        <row r="3113">
          <cell r="F3113"/>
          <cell r="J3113"/>
          <cell r="O3113"/>
          <cell r="W3113"/>
          <cell r="X3113"/>
          <cell r="Y3113"/>
        </row>
        <row r="3114">
          <cell r="F3114"/>
          <cell r="J3114"/>
          <cell r="O3114"/>
          <cell r="W3114"/>
          <cell r="X3114"/>
          <cell r="Y3114"/>
        </row>
        <row r="3115">
          <cell r="F3115"/>
          <cell r="J3115"/>
          <cell r="O3115"/>
          <cell r="W3115"/>
          <cell r="X3115"/>
          <cell r="Y3115"/>
        </row>
        <row r="3116">
          <cell r="F3116"/>
          <cell r="J3116"/>
          <cell r="O3116"/>
          <cell r="W3116"/>
          <cell r="X3116"/>
          <cell r="Y3116"/>
        </row>
        <row r="3117">
          <cell r="F3117"/>
          <cell r="J3117"/>
          <cell r="O3117"/>
          <cell r="W3117"/>
          <cell r="X3117"/>
          <cell r="Y3117"/>
        </row>
        <row r="3118">
          <cell r="F3118"/>
          <cell r="J3118"/>
          <cell r="O3118"/>
          <cell r="W3118"/>
          <cell r="X3118"/>
          <cell r="Y3118"/>
        </row>
        <row r="3119">
          <cell r="F3119"/>
          <cell r="J3119"/>
          <cell r="O3119"/>
          <cell r="W3119"/>
          <cell r="X3119"/>
          <cell r="Y3119"/>
        </row>
        <row r="3120">
          <cell r="F3120"/>
          <cell r="J3120"/>
          <cell r="O3120"/>
          <cell r="W3120"/>
          <cell r="X3120"/>
          <cell r="Y3120"/>
        </row>
        <row r="3121">
          <cell r="F3121"/>
          <cell r="J3121"/>
          <cell r="O3121"/>
          <cell r="W3121"/>
          <cell r="X3121"/>
          <cell r="Y3121"/>
        </row>
        <row r="3122">
          <cell r="F3122"/>
          <cell r="J3122"/>
          <cell r="O3122"/>
          <cell r="W3122"/>
          <cell r="X3122"/>
          <cell r="Y3122"/>
        </row>
        <row r="3123">
          <cell r="F3123"/>
          <cell r="J3123"/>
          <cell r="O3123"/>
          <cell r="W3123"/>
          <cell r="X3123"/>
          <cell r="Y3123"/>
        </row>
        <row r="3124">
          <cell r="F3124"/>
          <cell r="J3124"/>
          <cell r="O3124"/>
          <cell r="W3124"/>
          <cell r="X3124"/>
          <cell r="Y3124"/>
        </row>
        <row r="3125">
          <cell r="F3125"/>
          <cell r="J3125"/>
          <cell r="O3125"/>
          <cell r="W3125"/>
          <cell r="X3125"/>
          <cell r="Y3125"/>
        </row>
        <row r="3126">
          <cell r="F3126"/>
          <cell r="J3126"/>
          <cell r="O3126"/>
          <cell r="W3126"/>
          <cell r="X3126"/>
          <cell r="Y3126"/>
        </row>
        <row r="3127">
          <cell r="F3127"/>
          <cell r="J3127"/>
          <cell r="O3127"/>
          <cell r="W3127"/>
          <cell r="X3127"/>
          <cell r="Y3127"/>
        </row>
        <row r="3128">
          <cell r="F3128"/>
          <cell r="J3128"/>
          <cell r="O3128"/>
          <cell r="W3128"/>
          <cell r="X3128"/>
          <cell r="Y3128"/>
        </row>
        <row r="3129">
          <cell r="F3129"/>
          <cell r="J3129"/>
          <cell r="O3129"/>
          <cell r="W3129"/>
          <cell r="X3129"/>
          <cell r="Y3129"/>
        </row>
        <row r="3130">
          <cell r="F3130"/>
          <cell r="J3130"/>
          <cell r="O3130"/>
          <cell r="W3130"/>
          <cell r="X3130"/>
          <cell r="Y3130"/>
        </row>
        <row r="3131">
          <cell r="F3131"/>
          <cell r="J3131"/>
          <cell r="O3131"/>
          <cell r="W3131"/>
          <cell r="X3131"/>
          <cell r="Y3131"/>
        </row>
        <row r="3132">
          <cell r="F3132"/>
          <cell r="J3132"/>
          <cell r="O3132"/>
          <cell r="W3132"/>
          <cell r="X3132"/>
          <cell r="Y3132"/>
        </row>
        <row r="3133">
          <cell r="F3133"/>
          <cell r="J3133"/>
          <cell r="O3133"/>
          <cell r="W3133"/>
          <cell r="X3133"/>
          <cell r="Y3133"/>
        </row>
        <row r="3134">
          <cell r="F3134"/>
          <cell r="J3134"/>
          <cell r="O3134"/>
          <cell r="W3134"/>
          <cell r="X3134"/>
          <cell r="Y3134"/>
        </row>
        <row r="3135">
          <cell r="F3135"/>
          <cell r="J3135"/>
          <cell r="O3135"/>
          <cell r="W3135"/>
          <cell r="X3135"/>
          <cell r="Y3135"/>
        </row>
        <row r="3136">
          <cell r="F3136"/>
          <cell r="J3136"/>
          <cell r="O3136"/>
          <cell r="W3136"/>
          <cell r="X3136"/>
          <cell r="Y3136"/>
        </row>
        <row r="3137">
          <cell r="F3137"/>
          <cell r="J3137"/>
          <cell r="O3137"/>
          <cell r="W3137"/>
          <cell r="X3137"/>
          <cell r="Y3137"/>
        </row>
        <row r="3138">
          <cell r="F3138"/>
          <cell r="J3138"/>
          <cell r="O3138"/>
          <cell r="W3138"/>
          <cell r="X3138"/>
          <cell r="Y3138"/>
        </row>
        <row r="3139">
          <cell r="F3139"/>
          <cell r="J3139"/>
          <cell r="O3139"/>
          <cell r="W3139"/>
          <cell r="X3139"/>
          <cell r="Y3139"/>
        </row>
        <row r="3140">
          <cell r="F3140"/>
          <cell r="J3140"/>
          <cell r="O3140"/>
          <cell r="W3140"/>
          <cell r="X3140"/>
          <cell r="Y3140"/>
        </row>
        <row r="3141">
          <cell r="F3141"/>
          <cell r="J3141"/>
          <cell r="O3141"/>
          <cell r="W3141"/>
          <cell r="X3141"/>
          <cell r="Y3141"/>
        </row>
        <row r="3142">
          <cell r="F3142"/>
          <cell r="J3142"/>
          <cell r="O3142"/>
          <cell r="W3142"/>
          <cell r="X3142"/>
          <cell r="Y3142"/>
        </row>
        <row r="3143">
          <cell r="F3143"/>
          <cell r="J3143"/>
          <cell r="O3143"/>
          <cell r="W3143"/>
          <cell r="X3143"/>
          <cell r="Y3143"/>
        </row>
        <row r="3144">
          <cell r="F3144"/>
          <cell r="J3144"/>
          <cell r="O3144"/>
          <cell r="W3144"/>
          <cell r="X3144"/>
          <cell r="Y3144"/>
        </row>
        <row r="3145">
          <cell r="F3145"/>
          <cell r="J3145"/>
          <cell r="O3145"/>
          <cell r="W3145"/>
          <cell r="X3145"/>
          <cell r="Y3145"/>
        </row>
        <row r="3146">
          <cell r="F3146"/>
          <cell r="J3146"/>
          <cell r="O3146"/>
          <cell r="W3146"/>
          <cell r="X3146"/>
          <cell r="Y3146"/>
        </row>
        <row r="3147">
          <cell r="F3147"/>
          <cell r="J3147"/>
          <cell r="O3147"/>
          <cell r="W3147"/>
          <cell r="X3147"/>
          <cell r="Y3147"/>
        </row>
        <row r="3148">
          <cell r="F3148"/>
          <cell r="J3148"/>
          <cell r="O3148"/>
          <cell r="W3148"/>
          <cell r="X3148"/>
          <cell r="Y3148"/>
        </row>
        <row r="3149">
          <cell r="F3149"/>
          <cell r="J3149"/>
          <cell r="O3149"/>
          <cell r="W3149"/>
          <cell r="X3149"/>
          <cell r="Y3149"/>
        </row>
        <row r="3150">
          <cell r="F3150"/>
          <cell r="J3150"/>
          <cell r="O3150"/>
          <cell r="W3150"/>
          <cell r="X3150"/>
          <cell r="Y3150"/>
        </row>
        <row r="3151">
          <cell r="F3151"/>
          <cell r="J3151"/>
          <cell r="O3151"/>
          <cell r="W3151"/>
          <cell r="X3151"/>
          <cell r="Y3151"/>
        </row>
        <row r="3152">
          <cell r="F3152"/>
          <cell r="J3152"/>
          <cell r="O3152"/>
          <cell r="W3152"/>
          <cell r="X3152"/>
          <cell r="Y3152"/>
        </row>
        <row r="3153">
          <cell r="F3153"/>
          <cell r="J3153"/>
          <cell r="O3153"/>
          <cell r="W3153"/>
          <cell r="X3153"/>
          <cell r="Y3153"/>
        </row>
        <row r="3154">
          <cell r="F3154"/>
          <cell r="J3154"/>
          <cell r="O3154"/>
          <cell r="W3154"/>
          <cell r="X3154"/>
          <cell r="Y3154"/>
        </row>
        <row r="3155">
          <cell r="F3155"/>
          <cell r="J3155"/>
          <cell r="O3155"/>
          <cell r="W3155"/>
          <cell r="X3155"/>
          <cell r="Y3155"/>
        </row>
        <row r="3156">
          <cell r="F3156"/>
          <cell r="J3156"/>
          <cell r="O3156"/>
          <cell r="W3156"/>
          <cell r="X3156"/>
          <cell r="Y3156"/>
        </row>
        <row r="3157">
          <cell r="F3157"/>
          <cell r="J3157"/>
          <cell r="O3157"/>
          <cell r="W3157"/>
          <cell r="X3157"/>
          <cell r="Y3157"/>
        </row>
        <row r="3158">
          <cell r="F3158"/>
          <cell r="J3158"/>
          <cell r="O3158"/>
          <cell r="W3158"/>
          <cell r="X3158"/>
          <cell r="Y3158"/>
        </row>
        <row r="3159">
          <cell r="F3159"/>
          <cell r="J3159"/>
          <cell r="O3159"/>
          <cell r="W3159"/>
          <cell r="X3159"/>
          <cell r="Y3159"/>
        </row>
        <row r="3160">
          <cell r="F3160"/>
          <cell r="J3160"/>
          <cell r="O3160"/>
          <cell r="W3160"/>
          <cell r="X3160"/>
          <cell r="Y3160"/>
        </row>
        <row r="3161">
          <cell r="F3161"/>
          <cell r="J3161"/>
          <cell r="O3161"/>
          <cell r="W3161"/>
          <cell r="X3161"/>
          <cell r="Y3161"/>
        </row>
        <row r="3162">
          <cell r="F3162"/>
          <cell r="J3162"/>
          <cell r="O3162"/>
          <cell r="W3162"/>
          <cell r="X3162"/>
          <cell r="Y3162"/>
        </row>
        <row r="3163">
          <cell r="F3163"/>
          <cell r="J3163"/>
          <cell r="O3163"/>
          <cell r="W3163"/>
          <cell r="X3163"/>
          <cell r="Y3163"/>
        </row>
        <row r="3164">
          <cell r="F3164"/>
          <cell r="J3164"/>
          <cell r="O3164"/>
          <cell r="W3164"/>
          <cell r="X3164"/>
          <cell r="Y3164"/>
        </row>
        <row r="3165">
          <cell r="F3165"/>
          <cell r="J3165"/>
          <cell r="O3165"/>
          <cell r="W3165"/>
          <cell r="X3165"/>
          <cell r="Y3165"/>
        </row>
        <row r="3166">
          <cell r="F3166"/>
          <cell r="J3166"/>
          <cell r="O3166"/>
          <cell r="W3166"/>
          <cell r="X3166"/>
          <cell r="Y3166"/>
        </row>
        <row r="3167">
          <cell r="F3167"/>
          <cell r="J3167"/>
          <cell r="O3167"/>
          <cell r="W3167"/>
          <cell r="X3167"/>
          <cell r="Y3167"/>
        </row>
        <row r="3168">
          <cell r="F3168"/>
          <cell r="J3168"/>
          <cell r="O3168"/>
          <cell r="W3168"/>
          <cell r="X3168"/>
          <cell r="Y3168"/>
        </row>
        <row r="3169">
          <cell r="F3169"/>
          <cell r="J3169"/>
          <cell r="O3169"/>
          <cell r="W3169"/>
          <cell r="X3169"/>
          <cell r="Y3169"/>
        </row>
        <row r="3170">
          <cell r="F3170"/>
          <cell r="J3170"/>
          <cell r="O3170"/>
          <cell r="W3170"/>
          <cell r="X3170"/>
          <cell r="Y3170"/>
        </row>
        <row r="3171">
          <cell r="F3171"/>
          <cell r="J3171"/>
          <cell r="O3171"/>
          <cell r="W3171"/>
          <cell r="X3171"/>
          <cell r="Y3171"/>
        </row>
        <row r="3172">
          <cell r="F3172"/>
          <cell r="J3172"/>
          <cell r="O3172"/>
          <cell r="W3172"/>
          <cell r="X3172"/>
          <cell r="Y3172"/>
        </row>
        <row r="3173">
          <cell r="F3173"/>
          <cell r="J3173"/>
          <cell r="O3173"/>
          <cell r="W3173"/>
          <cell r="X3173"/>
          <cell r="Y3173"/>
        </row>
        <row r="3174">
          <cell r="F3174"/>
          <cell r="J3174"/>
          <cell r="O3174"/>
          <cell r="W3174"/>
          <cell r="X3174"/>
          <cell r="Y3174"/>
        </row>
        <row r="3175">
          <cell r="F3175"/>
          <cell r="J3175"/>
          <cell r="O3175"/>
          <cell r="W3175"/>
          <cell r="X3175"/>
          <cell r="Y3175"/>
        </row>
        <row r="3176">
          <cell r="F3176"/>
          <cell r="J3176"/>
          <cell r="O3176"/>
          <cell r="W3176"/>
          <cell r="X3176"/>
          <cell r="Y3176"/>
        </row>
        <row r="3177">
          <cell r="F3177"/>
          <cell r="J3177"/>
          <cell r="O3177"/>
          <cell r="W3177"/>
          <cell r="X3177"/>
          <cell r="Y3177"/>
        </row>
        <row r="3178">
          <cell r="F3178"/>
          <cell r="J3178"/>
          <cell r="O3178"/>
          <cell r="W3178"/>
          <cell r="X3178"/>
          <cell r="Y3178"/>
        </row>
        <row r="3179">
          <cell r="F3179"/>
          <cell r="J3179"/>
          <cell r="O3179"/>
          <cell r="W3179"/>
          <cell r="X3179"/>
          <cell r="Y3179"/>
        </row>
        <row r="3180">
          <cell r="F3180"/>
          <cell r="J3180"/>
          <cell r="O3180"/>
          <cell r="W3180"/>
          <cell r="X3180"/>
          <cell r="Y3180"/>
        </row>
        <row r="3181">
          <cell r="F3181"/>
          <cell r="J3181"/>
          <cell r="O3181"/>
          <cell r="W3181"/>
          <cell r="X3181"/>
          <cell r="Y3181"/>
        </row>
        <row r="3182">
          <cell r="F3182"/>
          <cell r="J3182"/>
          <cell r="O3182"/>
          <cell r="W3182"/>
          <cell r="X3182"/>
          <cell r="Y3182"/>
        </row>
        <row r="3183">
          <cell r="F3183"/>
          <cell r="J3183"/>
          <cell r="O3183"/>
          <cell r="W3183"/>
          <cell r="X3183"/>
          <cell r="Y3183"/>
        </row>
        <row r="3184">
          <cell r="F3184"/>
          <cell r="J3184"/>
          <cell r="O3184"/>
          <cell r="W3184"/>
          <cell r="X3184"/>
          <cell r="Y3184"/>
        </row>
        <row r="3185">
          <cell r="F3185"/>
          <cell r="J3185"/>
          <cell r="O3185"/>
          <cell r="W3185"/>
          <cell r="X3185"/>
          <cell r="Y3185"/>
        </row>
        <row r="3186">
          <cell r="F3186"/>
          <cell r="J3186"/>
          <cell r="O3186"/>
          <cell r="W3186"/>
          <cell r="X3186"/>
          <cell r="Y3186"/>
        </row>
        <row r="3187">
          <cell r="F3187"/>
          <cell r="J3187"/>
          <cell r="O3187"/>
          <cell r="W3187"/>
          <cell r="X3187"/>
          <cell r="Y3187"/>
        </row>
        <row r="3188">
          <cell r="F3188"/>
          <cell r="J3188"/>
          <cell r="O3188"/>
          <cell r="W3188"/>
          <cell r="X3188"/>
          <cell r="Y3188"/>
        </row>
        <row r="3189">
          <cell r="F3189"/>
          <cell r="J3189"/>
          <cell r="O3189"/>
          <cell r="W3189"/>
          <cell r="X3189"/>
          <cell r="Y3189"/>
        </row>
        <row r="3190">
          <cell r="F3190"/>
          <cell r="J3190"/>
          <cell r="O3190"/>
          <cell r="W3190"/>
          <cell r="X3190"/>
          <cell r="Y3190"/>
        </row>
        <row r="3191">
          <cell r="F3191"/>
          <cell r="J3191"/>
          <cell r="O3191"/>
          <cell r="W3191"/>
          <cell r="X3191"/>
          <cell r="Y3191"/>
        </row>
        <row r="3192">
          <cell r="F3192"/>
          <cell r="J3192"/>
          <cell r="O3192"/>
          <cell r="W3192"/>
          <cell r="X3192"/>
          <cell r="Y3192"/>
        </row>
        <row r="3193">
          <cell r="F3193"/>
          <cell r="J3193"/>
          <cell r="O3193"/>
          <cell r="W3193"/>
          <cell r="X3193"/>
          <cell r="Y3193"/>
        </row>
        <row r="3194">
          <cell r="F3194"/>
          <cell r="J3194"/>
          <cell r="O3194"/>
          <cell r="W3194"/>
          <cell r="X3194"/>
          <cell r="Y3194"/>
        </row>
        <row r="3195">
          <cell r="F3195"/>
          <cell r="J3195"/>
          <cell r="O3195"/>
          <cell r="W3195"/>
          <cell r="X3195"/>
          <cell r="Y3195"/>
        </row>
        <row r="3196">
          <cell r="F3196"/>
          <cell r="J3196"/>
          <cell r="O3196"/>
          <cell r="W3196"/>
          <cell r="X3196"/>
          <cell r="Y3196"/>
        </row>
        <row r="3197">
          <cell r="F3197"/>
          <cell r="J3197"/>
          <cell r="O3197"/>
          <cell r="W3197"/>
          <cell r="X3197"/>
          <cell r="Y3197"/>
        </row>
        <row r="3198">
          <cell r="F3198"/>
          <cell r="J3198"/>
          <cell r="O3198"/>
          <cell r="W3198"/>
          <cell r="X3198"/>
          <cell r="Y3198"/>
        </row>
        <row r="3199">
          <cell r="F3199"/>
          <cell r="J3199"/>
          <cell r="O3199"/>
          <cell r="W3199"/>
          <cell r="X3199"/>
          <cell r="Y3199"/>
        </row>
        <row r="3200">
          <cell r="F3200"/>
          <cell r="J3200"/>
          <cell r="O3200"/>
          <cell r="W3200"/>
          <cell r="X3200"/>
          <cell r="Y3200"/>
        </row>
        <row r="3201">
          <cell r="F3201"/>
          <cell r="J3201"/>
          <cell r="O3201"/>
          <cell r="W3201"/>
          <cell r="X3201"/>
          <cell r="Y3201"/>
        </row>
        <row r="3202">
          <cell r="F3202"/>
          <cell r="J3202"/>
          <cell r="O3202"/>
          <cell r="W3202"/>
          <cell r="X3202"/>
          <cell r="Y3202"/>
        </row>
        <row r="3203">
          <cell r="F3203"/>
          <cell r="J3203"/>
          <cell r="O3203"/>
          <cell r="W3203"/>
          <cell r="X3203"/>
          <cell r="Y3203"/>
        </row>
        <row r="3204">
          <cell r="F3204"/>
          <cell r="J3204"/>
          <cell r="O3204"/>
          <cell r="W3204"/>
          <cell r="X3204"/>
          <cell r="Y3204"/>
        </row>
        <row r="3205">
          <cell r="F3205"/>
          <cell r="J3205"/>
          <cell r="O3205"/>
          <cell r="W3205"/>
          <cell r="X3205"/>
          <cell r="Y3205"/>
        </row>
        <row r="3206">
          <cell r="F3206"/>
          <cell r="J3206"/>
          <cell r="O3206"/>
          <cell r="W3206"/>
          <cell r="X3206"/>
          <cell r="Y3206"/>
        </row>
        <row r="3207">
          <cell r="F3207"/>
          <cell r="J3207"/>
          <cell r="O3207"/>
          <cell r="W3207"/>
          <cell r="X3207"/>
          <cell r="Y3207"/>
        </row>
        <row r="3208">
          <cell r="F3208"/>
          <cell r="J3208"/>
          <cell r="O3208"/>
          <cell r="W3208"/>
          <cell r="X3208"/>
          <cell r="Y3208"/>
        </row>
        <row r="3209">
          <cell r="F3209"/>
          <cell r="J3209"/>
          <cell r="O3209"/>
          <cell r="W3209"/>
          <cell r="X3209"/>
          <cell r="Y3209"/>
        </row>
        <row r="3210">
          <cell r="F3210"/>
          <cell r="J3210"/>
          <cell r="O3210"/>
          <cell r="W3210"/>
          <cell r="X3210"/>
          <cell r="Y3210"/>
        </row>
        <row r="3211">
          <cell r="F3211"/>
          <cell r="J3211"/>
          <cell r="O3211"/>
          <cell r="W3211"/>
          <cell r="X3211"/>
          <cell r="Y3211"/>
        </row>
        <row r="3212">
          <cell r="F3212"/>
          <cell r="J3212"/>
          <cell r="O3212"/>
          <cell r="W3212"/>
          <cell r="X3212"/>
          <cell r="Y3212"/>
        </row>
        <row r="3213">
          <cell r="F3213"/>
          <cell r="J3213"/>
          <cell r="O3213"/>
          <cell r="W3213"/>
          <cell r="X3213"/>
          <cell r="Y3213"/>
        </row>
        <row r="3214">
          <cell r="F3214"/>
          <cell r="J3214"/>
          <cell r="O3214"/>
          <cell r="W3214"/>
          <cell r="X3214"/>
          <cell r="Y3214"/>
        </row>
        <row r="3215">
          <cell r="F3215"/>
          <cell r="J3215"/>
          <cell r="O3215"/>
          <cell r="W3215"/>
          <cell r="X3215"/>
          <cell r="Y3215"/>
        </row>
        <row r="3216">
          <cell r="F3216"/>
          <cell r="J3216"/>
          <cell r="O3216"/>
          <cell r="W3216"/>
          <cell r="X3216"/>
          <cell r="Y3216"/>
        </row>
        <row r="3217">
          <cell r="F3217"/>
          <cell r="J3217"/>
          <cell r="O3217"/>
          <cell r="W3217"/>
          <cell r="X3217"/>
          <cell r="Y3217"/>
        </row>
        <row r="3218">
          <cell r="F3218"/>
          <cell r="J3218"/>
          <cell r="O3218"/>
          <cell r="W3218"/>
          <cell r="X3218"/>
          <cell r="Y3218"/>
        </row>
        <row r="3219">
          <cell r="F3219"/>
          <cell r="J3219"/>
          <cell r="O3219"/>
          <cell r="W3219"/>
          <cell r="X3219"/>
          <cell r="Y3219"/>
        </row>
        <row r="3220">
          <cell r="F3220"/>
          <cell r="J3220"/>
          <cell r="O3220"/>
          <cell r="W3220"/>
          <cell r="X3220"/>
          <cell r="Y3220"/>
        </row>
        <row r="3221">
          <cell r="F3221"/>
          <cell r="J3221"/>
          <cell r="O3221"/>
          <cell r="W3221"/>
          <cell r="X3221"/>
          <cell r="Y3221"/>
        </row>
        <row r="3222">
          <cell r="F3222"/>
          <cell r="J3222"/>
          <cell r="O3222"/>
          <cell r="W3222"/>
          <cell r="X3222"/>
          <cell r="Y3222"/>
        </row>
        <row r="3223">
          <cell r="F3223"/>
          <cell r="J3223"/>
          <cell r="O3223"/>
          <cell r="W3223"/>
          <cell r="X3223"/>
          <cell r="Y3223"/>
        </row>
        <row r="3224">
          <cell r="F3224"/>
          <cell r="J3224"/>
          <cell r="O3224"/>
          <cell r="W3224"/>
          <cell r="X3224"/>
          <cell r="Y3224"/>
        </row>
        <row r="3225">
          <cell r="F3225"/>
          <cell r="J3225"/>
          <cell r="O3225"/>
          <cell r="W3225"/>
          <cell r="X3225"/>
          <cell r="Y3225"/>
        </row>
        <row r="3226">
          <cell r="F3226"/>
          <cell r="J3226"/>
          <cell r="O3226"/>
          <cell r="W3226"/>
          <cell r="X3226"/>
          <cell r="Y3226"/>
        </row>
        <row r="3227">
          <cell r="F3227"/>
          <cell r="J3227"/>
          <cell r="O3227"/>
          <cell r="W3227"/>
          <cell r="X3227"/>
          <cell r="Y3227"/>
        </row>
        <row r="3228">
          <cell r="F3228"/>
          <cell r="J3228"/>
          <cell r="O3228"/>
          <cell r="W3228"/>
          <cell r="X3228"/>
          <cell r="Y3228"/>
        </row>
        <row r="3229">
          <cell r="F3229"/>
          <cell r="J3229"/>
          <cell r="O3229"/>
          <cell r="W3229"/>
          <cell r="X3229"/>
          <cell r="Y3229"/>
        </row>
        <row r="3230">
          <cell r="F3230"/>
          <cell r="J3230"/>
          <cell r="O3230"/>
          <cell r="W3230"/>
          <cell r="X3230"/>
          <cell r="Y3230"/>
        </row>
        <row r="3231">
          <cell r="F3231"/>
          <cell r="J3231"/>
          <cell r="O3231"/>
          <cell r="W3231"/>
          <cell r="X3231"/>
          <cell r="Y3231"/>
        </row>
        <row r="3232">
          <cell r="F3232"/>
          <cell r="J3232"/>
          <cell r="O3232"/>
          <cell r="W3232"/>
          <cell r="X3232"/>
          <cell r="Y3232"/>
        </row>
        <row r="3233">
          <cell r="F3233"/>
          <cell r="J3233"/>
          <cell r="O3233"/>
          <cell r="W3233"/>
          <cell r="X3233"/>
          <cell r="Y3233"/>
        </row>
        <row r="3234">
          <cell r="F3234"/>
          <cell r="J3234"/>
          <cell r="O3234"/>
          <cell r="W3234"/>
          <cell r="X3234"/>
          <cell r="Y3234"/>
        </row>
        <row r="3235">
          <cell r="F3235"/>
          <cell r="J3235"/>
          <cell r="O3235"/>
          <cell r="W3235"/>
          <cell r="X3235"/>
          <cell r="Y3235"/>
        </row>
        <row r="3236">
          <cell r="F3236"/>
          <cell r="J3236"/>
          <cell r="O3236"/>
          <cell r="W3236"/>
          <cell r="X3236"/>
          <cell r="Y3236"/>
        </row>
        <row r="3237">
          <cell r="F3237"/>
          <cell r="J3237"/>
          <cell r="O3237"/>
          <cell r="W3237"/>
          <cell r="X3237"/>
          <cell r="Y3237"/>
        </row>
        <row r="3238">
          <cell r="F3238"/>
          <cell r="J3238"/>
          <cell r="O3238"/>
          <cell r="W3238"/>
          <cell r="X3238"/>
          <cell r="Y3238"/>
        </row>
        <row r="3239">
          <cell r="F3239"/>
          <cell r="J3239"/>
          <cell r="O3239"/>
          <cell r="W3239"/>
          <cell r="X3239"/>
          <cell r="Y3239"/>
        </row>
        <row r="3240">
          <cell r="F3240"/>
          <cell r="J3240"/>
          <cell r="O3240"/>
          <cell r="W3240"/>
          <cell r="X3240"/>
          <cell r="Y3240"/>
        </row>
        <row r="3241">
          <cell r="F3241"/>
          <cell r="J3241"/>
          <cell r="O3241"/>
          <cell r="W3241"/>
          <cell r="X3241"/>
          <cell r="Y3241"/>
        </row>
        <row r="3242">
          <cell r="F3242"/>
          <cell r="J3242"/>
          <cell r="O3242"/>
          <cell r="W3242"/>
          <cell r="X3242"/>
          <cell r="Y3242"/>
        </row>
        <row r="3243">
          <cell r="F3243"/>
          <cell r="J3243"/>
          <cell r="O3243"/>
          <cell r="W3243"/>
          <cell r="X3243"/>
          <cell r="Y3243"/>
        </row>
        <row r="3244">
          <cell r="F3244"/>
          <cell r="J3244"/>
          <cell r="O3244"/>
          <cell r="W3244"/>
          <cell r="X3244"/>
          <cell r="Y3244"/>
        </row>
        <row r="3245">
          <cell r="F3245"/>
          <cell r="J3245"/>
          <cell r="O3245"/>
          <cell r="W3245"/>
          <cell r="X3245"/>
          <cell r="Y3245"/>
        </row>
        <row r="3246">
          <cell r="F3246"/>
          <cell r="J3246"/>
          <cell r="O3246"/>
          <cell r="W3246"/>
          <cell r="X3246"/>
          <cell r="Y3246"/>
        </row>
        <row r="3247">
          <cell r="F3247"/>
          <cell r="J3247"/>
          <cell r="O3247"/>
          <cell r="W3247"/>
          <cell r="X3247"/>
          <cell r="Y3247"/>
        </row>
        <row r="3248">
          <cell r="F3248"/>
          <cell r="J3248"/>
          <cell r="O3248"/>
          <cell r="W3248"/>
          <cell r="X3248"/>
          <cell r="Y3248"/>
        </row>
        <row r="3249">
          <cell r="F3249"/>
          <cell r="J3249"/>
          <cell r="O3249"/>
          <cell r="W3249"/>
          <cell r="X3249"/>
          <cell r="Y3249"/>
        </row>
        <row r="3250">
          <cell r="F3250"/>
          <cell r="J3250"/>
          <cell r="O3250"/>
          <cell r="W3250"/>
          <cell r="X3250"/>
          <cell r="Y3250"/>
        </row>
        <row r="3251">
          <cell r="F3251"/>
          <cell r="J3251"/>
          <cell r="O3251"/>
          <cell r="W3251"/>
          <cell r="X3251"/>
          <cell r="Y3251"/>
        </row>
        <row r="3252">
          <cell r="F3252"/>
          <cell r="J3252"/>
          <cell r="O3252"/>
          <cell r="W3252"/>
          <cell r="X3252"/>
          <cell r="Y3252"/>
        </row>
        <row r="3253">
          <cell r="F3253"/>
          <cell r="J3253"/>
          <cell r="O3253"/>
          <cell r="W3253"/>
          <cell r="X3253"/>
          <cell r="Y3253"/>
        </row>
        <row r="3254">
          <cell r="F3254"/>
          <cell r="J3254"/>
          <cell r="O3254"/>
          <cell r="W3254"/>
          <cell r="X3254"/>
          <cell r="Y3254"/>
        </row>
        <row r="3255">
          <cell r="F3255"/>
          <cell r="J3255"/>
          <cell r="O3255"/>
          <cell r="W3255"/>
          <cell r="X3255"/>
          <cell r="Y3255"/>
        </row>
        <row r="3256">
          <cell r="F3256"/>
          <cell r="J3256"/>
          <cell r="O3256"/>
          <cell r="W3256"/>
          <cell r="X3256"/>
          <cell r="Y3256"/>
        </row>
        <row r="3257">
          <cell r="F3257"/>
          <cell r="J3257"/>
          <cell r="O3257"/>
          <cell r="W3257"/>
          <cell r="X3257"/>
          <cell r="Y3257"/>
        </row>
        <row r="3258">
          <cell r="F3258"/>
          <cell r="J3258"/>
          <cell r="O3258"/>
          <cell r="W3258"/>
          <cell r="X3258"/>
          <cell r="Y3258"/>
        </row>
        <row r="3259">
          <cell r="F3259"/>
          <cell r="J3259"/>
          <cell r="O3259"/>
          <cell r="W3259"/>
          <cell r="X3259"/>
          <cell r="Y3259"/>
        </row>
        <row r="3260">
          <cell r="F3260"/>
          <cell r="J3260"/>
          <cell r="O3260"/>
          <cell r="W3260"/>
          <cell r="X3260"/>
          <cell r="Y3260"/>
        </row>
        <row r="3261">
          <cell r="F3261"/>
          <cell r="J3261"/>
          <cell r="O3261"/>
          <cell r="W3261"/>
          <cell r="X3261"/>
          <cell r="Y3261"/>
        </row>
        <row r="3262">
          <cell r="F3262"/>
          <cell r="J3262"/>
          <cell r="O3262"/>
          <cell r="W3262"/>
          <cell r="X3262"/>
          <cell r="Y3262"/>
        </row>
        <row r="3263">
          <cell r="F3263"/>
          <cell r="J3263"/>
          <cell r="O3263"/>
          <cell r="W3263"/>
          <cell r="X3263"/>
          <cell r="Y3263"/>
        </row>
        <row r="3264">
          <cell r="F3264"/>
          <cell r="J3264"/>
          <cell r="O3264"/>
          <cell r="W3264"/>
          <cell r="X3264"/>
          <cell r="Y3264"/>
        </row>
        <row r="3265">
          <cell r="F3265"/>
          <cell r="J3265"/>
          <cell r="O3265"/>
          <cell r="W3265"/>
          <cell r="X3265"/>
          <cell r="Y3265"/>
        </row>
        <row r="3266">
          <cell r="F3266"/>
          <cell r="J3266"/>
          <cell r="O3266"/>
          <cell r="W3266"/>
          <cell r="X3266"/>
          <cell r="Y3266"/>
        </row>
        <row r="3267">
          <cell r="F3267"/>
          <cell r="J3267"/>
          <cell r="O3267"/>
          <cell r="W3267"/>
          <cell r="X3267"/>
          <cell r="Y3267"/>
        </row>
        <row r="3268">
          <cell r="F3268"/>
          <cell r="J3268"/>
          <cell r="O3268"/>
          <cell r="W3268"/>
          <cell r="X3268"/>
          <cell r="Y3268"/>
        </row>
        <row r="3269">
          <cell r="F3269"/>
          <cell r="J3269"/>
          <cell r="O3269"/>
          <cell r="W3269"/>
          <cell r="X3269"/>
          <cell r="Y3269"/>
        </row>
        <row r="3270">
          <cell r="F3270"/>
          <cell r="J3270"/>
          <cell r="O3270"/>
          <cell r="W3270"/>
          <cell r="X3270"/>
          <cell r="Y3270"/>
        </row>
        <row r="3271">
          <cell r="F3271"/>
          <cell r="J3271"/>
          <cell r="O3271"/>
          <cell r="W3271"/>
          <cell r="X3271"/>
          <cell r="Y3271"/>
        </row>
        <row r="3272">
          <cell r="F3272"/>
          <cell r="J3272"/>
          <cell r="O3272"/>
          <cell r="W3272"/>
          <cell r="X3272"/>
          <cell r="Y3272"/>
        </row>
        <row r="3273">
          <cell r="F3273"/>
          <cell r="J3273"/>
          <cell r="O3273"/>
          <cell r="W3273"/>
          <cell r="X3273"/>
          <cell r="Y3273"/>
        </row>
        <row r="3274">
          <cell r="F3274"/>
          <cell r="J3274"/>
          <cell r="O3274"/>
          <cell r="W3274"/>
          <cell r="X3274"/>
          <cell r="Y3274"/>
        </row>
        <row r="3275">
          <cell r="F3275"/>
          <cell r="J3275"/>
          <cell r="O3275"/>
          <cell r="W3275"/>
          <cell r="X3275"/>
          <cell r="Y3275"/>
        </row>
        <row r="3276">
          <cell r="F3276"/>
          <cell r="J3276"/>
          <cell r="O3276"/>
          <cell r="W3276"/>
          <cell r="X3276"/>
          <cell r="Y3276"/>
        </row>
        <row r="3277">
          <cell r="F3277"/>
          <cell r="J3277"/>
          <cell r="O3277"/>
          <cell r="W3277"/>
          <cell r="X3277"/>
          <cell r="Y3277"/>
        </row>
        <row r="3278">
          <cell r="F3278"/>
          <cell r="J3278"/>
          <cell r="O3278"/>
          <cell r="W3278"/>
          <cell r="X3278"/>
          <cell r="Y3278"/>
        </row>
        <row r="3279">
          <cell r="F3279"/>
          <cell r="J3279"/>
          <cell r="O3279"/>
          <cell r="W3279"/>
          <cell r="X3279"/>
          <cell r="Y3279"/>
        </row>
        <row r="3280">
          <cell r="F3280"/>
          <cell r="J3280"/>
          <cell r="O3280"/>
          <cell r="W3280"/>
          <cell r="X3280"/>
          <cell r="Y3280"/>
        </row>
        <row r="3281">
          <cell r="F3281"/>
          <cell r="J3281"/>
          <cell r="O3281"/>
          <cell r="W3281"/>
          <cell r="X3281"/>
          <cell r="Y3281"/>
        </row>
        <row r="3282">
          <cell r="F3282"/>
          <cell r="J3282"/>
          <cell r="O3282"/>
          <cell r="W3282"/>
          <cell r="X3282"/>
          <cell r="Y3282"/>
        </row>
        <row r="3283">
          <cell r="F3283"/>
          <cell r="J3283"/>
          <cell r="O3283"/>
          <cell r="W3283"/>
          <cell r="X3283"/>
          <cell r="Y3283"/>
        </row>
        <row r="3284">
          <cell r="F3284"/>
          <cell r="J3284"/>
          <cell r="O3284"/>
          <cell r="W3284"/>
          <cell r="X3284"/>
          <cell r="Y3284"/>
        </row>
        <row r="3285">
          <cell r="F3285"/>
          <cell r="J3285"/>
          <cell r="O3285"/>
          <cell r="W3285"/>
          <cell r="X3285"/>
          <cell r="Y3285"/>
        </row>
        <row r="3286">
          <cell r="F3286"/>
          <cell r="J3286"/>
          <cell r="O3286"/>
          <cell r="W3286"/>
          <cell r="X3286"/>
          <cell r="Y3286"/>
        </row>
        <row r="3287">
          <cell r="F3287"/>
          <cell r="J3287"/>
          <cell r="O3287"/>
          <cell r="W3287"/>
          <cell r="X3287"/>
          <cell r="Y3287"/>
        </row>
        <row r="3288">
          <cell r="F3288"/>
          <cell r="J3288"/>
          <cell r="O3288"/>
          <cell r="W3288"/>
          <cell r="X3288"/>
          <cell r="Y3288"/>
        </row>
        <row r="3289">
          <cell r="F3289"/>
          <cell r="J3289"/>
          <cell r="O3289"/>
          <cell r="W3289"/>
          <cell r="X3289"/>
          <cell r="Y3289"/>
        </row>
        <row r="3290">
          <cell r="F3290"/>
          <cell r="J3290"/>
          <cell r="O3290"/>
          <cell r="W3290"/>
          <cell r="X3290"/>
          <cell r="Y3290"/>
        </row>
        <row r="3291">
          <cell r="F3291"/>
          <cell r="J3291"/>
          <cell r="O3291"/>
          <cell r="W3291"/>
          <cell r="X3291"/>
          <cell r="Y3291"/>
        </row>
        <row r="3292">
          <cell r="F3292"/>
          <cell r="J3292"/>
          <cell r="O3292"/>
          <cell r="W3292"/>
          <cell r="X3292"/>
          <cell r="Y3292"/>
        </row>
        <row r="3293">
          <cell r="F3293"/>
          <cell r="J3293"/>
          <cell r="O3293"/>
          <cell r="W3293"/>
          <cell r="X3293"/>
          <cell r="Y3293"/>
        </row>
        <row r="3294">
          <cell r="F3294"/>
          <cell r="J3294"/>
          <cell r="O3294"/>
          <cell r="W3294"/>
          <cell r="X3294"/>
          <cell r="Y3294"/>
        </row>
        <row r="3295">
          <cell r="F3295"/>
          <cell r="J3295"/>
          <cell r="O3295"/>
          <cell r="W3295"/>
          <cell r="X3295"/>
          <cell r="Y3295"/>
        </row>
        <row r="3296">
          <cell r="F3296"/>
          <cell r="J3296"/>
          <cell r="O3296"/>
          <cell r="W3296"/>
          <cell r="X3296"/>
          <cell r="Y3296"/>
        </row>
        <row r="3297">
          <cell r="F3297"/>
          <cell r="J3297"/>
          <cell r="O3297"/>
          <cell r="W3297"/>
          <cell r="X3297"/>
          <cell r="Y3297"/>
        </row>
        <row r="3298">
          <cell r="F3298"/>
          <cell r="J3298"/>
          <cell r="O3298"/>
          <cell r="W3298"/>
          <cell r="X3298"/>
          <cell r="Y3298"/>
        </row>
        <row r="3299">
          <cell r="F3299"/>
          <cell r="J3299"/>
          <cell r="O3299"/>
          <cell r="W3299"/>
          <cell r="X3299"/>
          <cell r="Y3299"/>
        </row>
        <row r="3300">
          <cell r="F3300"/>
          <cell r="J3300"/>
          <cell r="O3300"/>
          <cell r="W3300"/>
          <cell r="X3300"/>
          <cell r="Y3300"/>
        </row>
        <row r="3301">
          <cell r="F3301"/>
          <cell r="J3301"/>
          <cell r="O3301"/>
          <cell r="W3301"/>
          <cell r="X3301"/>
          <cell r="Y3301"/>
        </row>
        <row r="3302">
          <cell r="F3302"/>
          <cell r="J3302"/>
          <cell r="O3302"/>
          <cell r="W3302"/>
          <cell r="X3302"/>
          <cell r="Y3302"/>
        </row>
        <row r="3303">
          <cell r="F3303"/>
          <cell r="J3303"/>
          <cell r="O3303"/>
          <cell r="W3303"/>
          <cell r="X3303"/>
          <cell r="Y3303"/>
        </row>
        <row r="3304">
          <cell r="F3304"/>
          <cell r="J3304"/>
          <cell r="O3304"/>
          <cell r="W3304"/>
          <cell r="X3304"/>
          <cell r="Y3304"/>
        </row>
        <row r="3305">
          <cell r="F3305"/>
          <cell r="J3305"/>
          <cell r="O3305"/>
          <cell r="W3305"/>
          <cell r="X3305"/>
          <cell r="Y3305"/>
        </row>
        <row r="3306">
          <cell r="F3306"/>
          <cell r="J3306"/>
          <cell r="O3306"/>
          <cell r="W3306"/>
          <cell r="X3306"/>
          <cell r="Y3306"/>
        </row>
        <row r="3307">
          <cell r="F3307"/>
          <cell r="J3307"/>
          <cell r="O3307"/>
          <cell r="W3307"/>
          <cell r="X3307"/>
          <cell r="Y3307"/>
        </row>
        <row r="3308">
          <cell r="F3308"/>
          <cell r="J3308"/>
          <cell r="O3308"/>
          <cell r="W3308"/>
          <cell r="X3308"/>
          <cell r="Y3308"/>
        </row>
        <row r="3309">
          <cell r="F3309"/>
          <cell r="J3309"/>
          <cell r="O3309"/>
          <cell r="W3309"/>
          <cell r="X3309"/>
          <cell r="Y3309"/>
        </row>
        <row r="3310">
          <cell r="F3310"/>
          <cell r="J3310"/>
          <cell r="O3310"/>
          <cell r="W3310"/>
          <cell r="X3310"/>
          <cell r="Y3310"/>
        </row>
        <row r="3311">
          <cell r="F3311"/>
          <cell r="J3311"/>
          <cell r="O3311"/>
          <cell r="W3311"/>
          <cell r="X3311"/>
          <cell r="Y3311"/>
        </row>
        <row r="3312">
          <cell r="F3312"/>
          <cell r="J3312"/>
          <cell r="O3312"/>
          <cell r="W3312"/>
          <cell r="X3312"/>
          <cell r="Y3312"/>
        </row>
        <row r="3313">
          <cell r="F3313"/>
          <cell r="J3313"/>
          <cell r="O3313"/>
          <cell r="W3313"/>
          <cell r="X3313"/>
          <cell r="Y3313"/>
        </row>
        <row r="3314">
          <cell r="F3314"/>
          <cell r="J3314"/>
          <cell r="O3314"/>
          <cell r="W3314"/>
          <cell r="X3314"/>
          <cell r="Y3314"/>
        </row>
        <row r="3315">
          <cell r="F3315"/>
          <cell r="J3315"/>
          <cell r="O3315"/>
          <cell r="W3315"/>
          <cell r="X3315"/>
          <cell r="Y3315"/>
        </row>
        <row r="3316">
          <cell r="F3316"/>
          <cell r="J3316"/>
          <cell r="O3316"/>
          <cell r="W3316"/>
          <cell r="X3316"/>
          <cell r="Y3316"/>
        </row>
        <row r="3317">
          <cell r="F3317"/>
          <cell r="J3317"/>
          <cell r="O3317"/>
          <cell r="W3317"/>
          <cell r="X3317"/>
          <cell r="Y3317"/>
        </row>
        <row r="3318">
          <cell r="F3318"/>
          <cell r="J3318"/>
          <cell r="O3318"/>
          <cell r="W3318"/>
          <cell r="X3318"/>
          <cell r="Y3318"/>
        </row>
        <row r="3319">
          <cell r="F3319"/>
          <cell r="J3319"/>
          <cell r="O3319"/>
          <cell r="W3319"/>
          <cell r="X3319"/>
          <cell r="Y3319"/>
        </row>
        <row r="3320">
          <cell r="F3320"/>
          <cell r="J3320"/>
          <cell r="O3320"/>
          <cell r="W3320"/>
          <cell r="X3320"/>
          <cell r="Y3320"/>
        </row>
        <row r="3321">
          <cell r="F3321"/>
          <cell r="J3321"/>
          <cell r="O3321"/>
          <cell r="W3321"/>
          <cell r="X3321"/>
          <cell r="Y3321"/>
        </row>
        <row r="3322">
          <cell r="F3322"/>
          <cell r="J3322"/>
          <cell r="O3322"/>
          <cell r="W3322"/>
          <cell r="X3322"/>
          <cell r="Y3322"/>
        </row>
        <row r="3323">
          <cell r="F3323"/>
          <cell r="J3323"/>
          <cell r="O3323"/>
          <cell r="W3323"/>
          <cell r="X3323"/>
          <cell r="Y3323"/>
        </row>
        <row r="3324">
          <cell r="F3324"/>
          <cell r="J3324"/>
          <cell r="O3324"/>
          <cell r="W3324"/>
          <cell r="X3324"/>
          <cell r="Y3324"/>
        </row>
        <row r="3325">
          <cell r="F3325"/>
          <cell r="J3325"/>
          <cell r="O3325"/>
          <cell r="W3325"/>
          <cell r="X3325"/>
          <cell r="Y3325"/>
        </row>
        <row r="3326">
          <cell r="F3326"/>
          <cell r="J3326"/>
          <cell r="O3326"/>
          <cell r="W3326"/>
          <cell r="X3326"/>
          <cell r="Y3326"/>
        </row>
        <row r="3327">
          <cell r="F3327"/>
          <cell r="J3327"/>
          <cell r="O3327"/>
          <cell r="W3327"/>
          <cell r="X3327"/>
          <cell r="Y3327"/>
        </row>
        <row r="3328">
          <cell r="F3328"/>
          <cell r="J3328"/>
          <cell r="O3328"/>
          <cell r="W3328"/>
          <cell r="X3328"/>
          <cell r="Y3328"/>
        </row>
        <row r="3329">
          <cell r="F3329"/>
          <cell r="J3329"/>
          <cell r="O3329"/>
          <cell r="W3329"/>
          <cell r="X3329"/>
          <cell r="Y3329"/>
        </row>
        <row r="3330">
          <cell r="F3330"/>
          <cell r="J3330"/>
          <cell r="O3330"/>
          <cell r="W3330"/>
          <cell r="X3330"/>
          <cell r="Y3330"/>
        </row>
        <row r="3331">
          <cell r="F3331"/>
          <cell r="J3331"/>
          <cell r="O3331"/>
          <cell r="W3331"/>
          <cell r="X3331"/>
          <cell r="Y3331"/>
        </row>
        <row r="3332">
          <cell r="F3332"/>
          <cell r="J3332"/>
          <cell r="O3332"/>
          <cell r="W3332"/>
          <cell r="X3332"/>
          <cell r="Y3332"/>
        </row>
        <row r="3333">
          <cell r="F3333"/>
          <cell r="J3333"/>
          <cell r="O3333"/>
          <cell r="W3333"/>
          <cell r="X3333"/>
          <cell r="Y3333"/>
        </row>
        <row r="3334">
          <cell r="F3334"/>
          <cell r="J3334"/>
          <cell r="O3334"/>
          <cell r="W3334"/>
          <cell r="X3334"/>
          <cell r="Y3334"/>
        </row>
        <row r="3335">
          <cell r="F3335"/>
          <cell r="J3335"/>
          <cell r="O3335"/>
          <cell r="W3335"/>
          <cell r="X3335"/>
          <cell r="Y3335"/>
        </row>
        <row r="3336">
          <cell r="F3336"/>
          <cell r="J3336"/>
          <cell r="O3336"/>
          <cell r="W3336"/>
          <cell r="X3336"/>
          <cell r="Y3336"/>
        </row>
        <row r="3337">
          <cell r="F3337"/>
          <cell r="J3337"/>
          <cell r="O3337"/>
          <cell r="W3337"/>
          <cell r="X3337"/>
          <cell r="Y3337"/>
        </row>
        <row r="3338">
          <cell r="F3338"/>
          <cell r="J3338"/>
          <cell r="O3338"/>
          <cell r="W3338"/>
          <cell r="X3338"/>
          <cell r="Y3338"/>
        </row>
        <row r="3339">
          <cell r="F3339"/>
          <cell r="J3339"/>
          <cell r="O3339"/>
          <cell r="W3339"/>
          <cell r="X3339"/>
          <cell r="Y3339"/>
        </row>
        <row r="3340">
          <cell r="F3340"/>
          <cell r="J3340"/>
          <cell r="O3340"/>
          <cell r="W3340"/>
          <cell r="X3340"/>
          <cell r="Y3340"/>
        </row>
        <row r="3341">
          <cell r="F3341"/>
          <cell r="J3341"/>
          <cell r="O3341"/>
          <cell r="W3341"/>
          <cell r="X3341"/>
          <cell r="Y3341"/>
        </row>
        <row r="3342">
          <cell r="F3342"/>
          <cell r="J3342"/>
          <cell r="O3342"/>
          <cell r="W3342"/>
          <cell r="X3342"/>
          <cell r="Y3342"/>
        </row>
        <row r="3343">
          <cell r="F3343"/>
          <cell r="J3343"/>
          <cell r="O3343"/>
          <cell r="W3343"/>
          <cell r="X3343"/>
          <cell r="Y3343"/>
        </row>
        <row r="3344">
          <cell r="F3344"/>
          <cell r="J3344"/>
          <cell r="O3344"/>
          <cell r="W3344"/>
          <cell r="X3344"/>
          <cell r="Y3344"/>
        </row>
        <row r="3345">
          <cell r="F3345"/>
          <cell r="J3345"/>
          <cell r="O3345"/>
          <cell r="W3345"/>
          <cell r="X3345"/>
          <cell r="Y3345"/>
        </row>
        <row r="3346">
          <cell r="F3346"/>
          <cell r="J3346"/>
          <cell r="O3346"/>
          <cell r="W3346"/>
          <cell r="X3346"/>
          <cell r="Y3346"/>
        </row>
        <row r="3347">
          <cell r="F3347"/>
          <cell r="J3347"/>
          <cell r="O3347"/>
          <cell r="W3347"/>
          <cell r="X3347"/>
          <cell r="Y3347"/>
        </row>
        <row r="3348">
          <cell r="F3348"/>
          <cell r="J3348"/>
          <cell r="O3348"/>
          <cell r="W3348"/>
          <cell r="X3348"/>
          <cell r="Y3348"/>
        </row>
        <row r="3349">
          <cell r="F3349"/>
          <cell r="J3349"/>
          <cell r="O3349"/>
          <cell r="W3349"/>
          <cell r="X3349"/>
          <cell r="Y3349"/>
        </row>
        <row r="3350">
          <cell r="F3350"/>
          <cell r="J3350"/>
          <cell r="O3350"/>
          <cell r="W3350"/>
          <cell r="X3350"/>
          <cell r="Y3350"/>
        </row>
        <row r="3351">
          <cell r="F3351"/>
          <cell r="J3351"/>
          <cell r="O3351"/>
          <cell r="W3351"/>
          <cell r="X3351"/>
          <cell r="Y3351"/>
        </row>
        <row r="3352">
          <cell r="F3352"/>
          <cell r="J3352"/>
          <cell r="O3352"/>
          <cell r="W3352"/>
          <cell r="X3352"/>
          <cell r="Y3352"/>
        </row>
        <row r="3353">
          <cell r="F3353"/>
          <cell r="J3353"/>
          <cell r="O3353"/>
          <cell r="W3353"/>
          <cell r="X3353"/>
          <cell r="Y3353"/>
        </row>
        <row r="3354">
          <cell r="F3354"/>
          <cell r="J3354"/>
          <cell r="O3354"/>
          <cell r="W3354"/>
          <cell r="X3354"/>
          <cell r="Y3354"/>
        </row>
        <row r="3355">
          <cell r="F3355"/>
          <cell r="J3355"/>
          <cell r="O3355"/>
          <cell r="W3355"/>
          <cell r="X3355"/>
          <cell r="Y3355"/>
        </row>
        <row r="3356">
          <cell r="F3356"/>
          <cell r="J3356"/>
          <cell r="O3356"/>
          <cell r="W3356"/>
          <cell r="X3356"/>
          <cell r="Y3356"/>
        </row>
        <row r="3357">
          <cell r="F3357"/>
          <cell r="J3357"/>
          <cell r="O3357"/>
          <cell r="W3357"/>
          <cell r="X3357"/>
          <cell r="Y3357"/>
        </row>
        <row r="3358">
          <cell r="F3358"/>
          <cell r="J3358"/>
          <cell r="O3358"/>
          <cell r="W3358"/>
          <cell r="X3358"/>
          <cell r="Y3358"/>
        </row>
        <row r="3359">
          <cell r="F3359"/>
          <cell r="J3359"/>
          <cell r="O3359"/>
          <cell r="W3359"/>
          <cell r="X3359"/>
          <cell r="Y3359"/>
        </row>
        <row r="3360">
          <cell r="F3360"/>
          <cell r="J3360"/>
          <cell r="O3360"/>
          <cell r="W3360"/>
          <cell r="X3360"/>
          <cell r="Y3360"/>
        </row>
        <row r="3361">
          <cell r="F3361"/>
          <cell r="J3361"/>
          <cell r="O3361"/>
          <cell r="W3361"/>
          <cell r="X3361"/>
          <cell r="Y3361"/>
        </row>
        <row r="3362">
          <cell r="F3362"/>
          <cell r="J3362"/>
          <cell r="O3362"/>
          <cell r="W3362"/>
          <cell r="X3362"/>
          <cell r="Y3362"/>
        </row>
        <row r="3363">
          <cell r="F3363"/>
          <cell r="J3363"/>
          <cell r="O3363"/>
          <cell r="W3363"/>
          <cell r="X3363"/>
          <cell r="Y3363"/>
        </row>
        <row r="3364">
          <cell r="F3364"/>
          <cell r="J3364"/>
          <cell r="O3364"/>
          <cell r="W3364"/>
          <cell r="X3364"/>
          <cell r="Y3364"/>
        </row>
        <row r="3365">
          <cell r="F3365"/>
          <cell r="J3365"/>
          <cell r="O3365"/>
          <cell r="W3365"/>
          <cell r="X3365"/>
          <cell r="Y3365"/>
        </row>
        <row r="3366">
          <cell r="F3366"/>
          <cell r="J3366"/>
          <cell r="O3366"/>
          <cell r="W3366"/>
          <cell r="X3366"/>
          <cell r="Y3366"/>
        </row>
        <row r="3367">
          <cell r="F3367"/>
          <cell r="J3367"/>
          <cell r="O3367"/>
          <cell r="W3367"/>
          <cell r="X3367"/>
          <cell r="Y3367"/>
        </row>
        <row r="3368">
          <cell r="F3368"/>
          <cell r="J3368"/>
          <cell r="O3368"/>
          <cell r="W3368"/>
          <cell r="X3368"/>
          <cell r="Y3368"/>
        </row>
        <row r="3369">
          <cell r="F3369"/>
          <cell r="J3369"/>
          <cell r="O3369"/>
          <cell r="W3369"/>
          <cell r="X3369"/>
          <cell r="Y3369"/>
        </row>
        <row r="3370">
          <cell r="F3370"/>
          <cell r="J3370"/>
          <cell r="O3370"/>
          <cell r="W3370"/>
          <cell r="X3370"/>
          <cell r="Y3370"/>
        </row>
        <row r="3371">
          <cell r="F3371"/>
          <cell r="J3371"/>
          <cell r="O3371"/>
          <cell r="W3371"/>
          <cell r="X3371"/>
          <cell r="Y3371"/>
        </row>
        <row r="3372">
          <cell r="F3372"/>
          <cell r="J3372"/>
          <cell r="O3372"/>
          <cell r="W3372"/>
          <cell r="X3372"/>
          <cell r="Y3372"/>
        </row>
        <row r="3373">
          <cell r="F3373"/>
          <cell r="J3373"/>
          <cell r="O3373"/>
          <cell r="W3373"/>
          <cell r="X3373"/>
          <cell r="Y3373"/>
        </row>
        <row r="3374">
          <cell r="F3374"/>
          <cell r="J3374"/>
          <cell r="O3374"/>
          <cell r="W3374"/>
          <cell r="X3374"/>
          <cell r="Y3374"/>
        </row>
        <row r="3375">
          <cell r="F3375"/>
          <cell r="J3375"/>
          <cell r="O3375"/>
          <cell r="W3375"/>
          <cell r="X3375"/>
          <cell r="Y3375"/>
        </row>
        <row r="3376">
          <cell r="F3376"/>
          <cell r="J3376"/>
          <cell r="O3376"/>
          <cell r="W3376"/>
          <cell r="X3376"/>
          <cell r="Y3376"/>
        </row>
        <row r="3377">
          <cell r="F3377"/>
          <cell r="J3377"/>
          <cell r="O3377"/>
          <cell r="W3377"/>
          <cell r="X3377"/>
          <cell r="Y3377"/>
        </row>
        <row r="3378">
          <cell r="F3378"/>
          <cell r="J3378"/>
          <cell r="O3378"/>
          <cell r="W3378"/>
          <cell r="X3378"/>
          <cell r="Y3378"/>
        </row>
        <row r="3379">
          <cell r="F3379"/>
          <cell r="J3379"/>
          <cell r="O3379"/>
          <cell r="W3379"/>
          <cell r="X3379"/>
          <cell r="Y3379"/>
        </row>
        <row r="3380">
          <cell r="F3380"/>
          <cell r="J3380"/>
          <cell r="O3380"/>
          <cell r="W3380"/>
          <cell r="X3380"/>
          <cell r="Y3380"/>
        </row>
        <row r="3381">
          <cell r="F3381"/>
          <cell r="J3381"/>
          <cell r="O3381"/>
          <cell r="W3381"/>
          <cell r="X3381"/>
          <cell r="Y3381"/>
        </row>
        <row r="3382">
          <cell r="F3382"/>
          <cell r="J3382"/>
          <cell r="O3382"/>
          <cell r="W3382"/>
          <cell r="X3382"/>
          <cell r="Y3382"/>
        </row>
        <row r="3383">
          <cell r="F3383"/>
          <cell r="J3383"/>
          <cell r="O3383"/>
          <cell r="W3383"/>
          <cell r="X3383"/>
          <cell r="Y3383"/>
        </row>
        <row r="3384">
          <cell r="F3384"/>
          <cell r="J3384"/>
          <cell r="O3384"/>
          <cell r="W3384"/>
          <cell r="X3384"/>
          <cell r="Y3384"/>
        </row>
        <row r="3385">
          <cell r="F3385"/>
          <cell r="J3385"/>
          <cell r="O3385"/>
          <cell r="W3385"/>
          <cell r="X3385"/>
          <cell r="Y3385"/>
        </row>
        <row r="3386">
          <cell r="F3386"/>
          <cell r="J3386"/>
          <cell r="O3386"/>
          <cell r="W3386"/>
          <cell r="X3386"/>
          <cell r="Y3386"/>
        </row>
        <row r="3387">
          <cell r="F3387"/>
          <cell r="J3387"/>
          <cell r="O3387"/>
          <cell r="W3387"/>
          <cell r="X3387"/>
          <cell r="Y3387"/>
        </row>
        <row r="3388">
          <cell r="F3388"/>
          <cell r="J3388"/>
          <cell r="O3388"/>
          <cell r="W3388"/>
          <cell r="X3388"/>
          <cell r="Y3388"/>
        </row>
        <row r="3389">
          <cell r="F3389"/>
          <cell r="J3389"/>
          <cell r="O3389"/>
          <cell r="W3389"/>
          <cell r="X3389"/>
          <cell r="Y3389"/>
        </row>
        <row r="3390">
          <cell r="F3390"/>
          <cell r="J3390"/>
          <cell r="O3390"/>
          <cell r="W3390"/>
          <cell r="X3390"/>
          <cell r="Y3390"/>
        </row>
        <row r="3391">
          <cell r="F3391"/>
          <cell r="J3391"/>
          <cell r="O3391"/>
          <cell r="W3391"/>
          <cell r="X3391"/>
          <cell r="Y3391"/>
        </row>
        <row r="3392">
          <cell r="F3392"/>
          <cell r="J3392"/>
          <cell r="O3392"/>
          <cell r="W3392"/>
          <cell r="X3392"/>
          <cell r="Y3392"/>
        </row>
        <row r="3393">
          <cell r="F3393"/>
          <cell r="J3393"/>
          <cell r="O3393"/>
          <cell r="W3393"/>
          <cell r="X3393"/>
          <cell r="Y3393"/>
        </row>
        <row r="3394">
          <cell r="F3394"/>
          <cell r="J3394"/>
          <cell r="O3394"/>
          <cell r="W3394"/>
          <cell r="X3394"/>
          <cell r="Y3394"/>
        </row>
        <row r="3395">
          <cell r="F3395"/>
          <cell r="J3395"/>
          <cell r="O3395"/>
          <cell r="W3395"/>
          <cell r="X3395"/>
          <cell r="Y3395"/>
        </row>
        <row r="3396">
          <cell r="F3396"/>
          <cell r="J3396"/>
          <cell r="O3396"/>
          <cell r="W3396"/>
          <cell r="X3396"/>
          <cell r="Y3396"/>
        </row>
        <row r="3397">
          <cell r="F3397"/>
          <cell r="J3397"/>
          <cell r="O3397"/>
          <cell r="W3397"/>
          <cell r="X3397"/>
          <cell r="Y3397"/>
        </row>
        <row r="3398">
          <cell r="F3398"/>
          <cell r="J3398"/>
          <cell r="O3398"/>
          <cell r="W3398"/>
          <cell r="X3398"/>
          <cell r="Y3398"/>
        </row>
        <row r="3399">
          <cell r="F3399"/>
          <cell r="J3399"/>
          <cell r="O3399"/>
          <cell r="W3399"/>
          <cell r="X3399"/>
          <cell r="Y3399"/>
        </row>
        <row r="3400">
          <cell r="F3400"/>
          <cell r="J3400"/>
          <cell r="O3400"/>
          <cell r="W3400"/>
          <cell r="X3400"/>
          <cell r="Y3400"/>
        </row>
        <row r="3401">
          <cell r="F3401"/>
          <cell r="J3401"/>
          <cell r="O3401"/>
          <cell r="W3401"/>
          <cell r="X3401"/>
          <cell r="Y3401"/>
        </row>
        <row r="3402">
          <cell r="F3402"/>
          <cell r="J3402"/>
          <cell r="O3402"/>
          <cell r="W3402"/>
          <cell r="X3402"/>
          <cell r="Y3402"/>
        </row>
        <row r="3403">
          <cell r="F3403"/>
          <cell r="J3403"/>
          <cell r="O3403"/>
          <cell r="W3403"/>
          <cell r="X3403"/>
          <cell r="Y3403"/>
        </row>
        <row r="3404">
          <cell r="F3404"/>
          <cell r="J3404"/>
          <cell r="O3404"/>
          <cell r="W3404"/>
          <cell r="X3404"/>
          <cell r="Y3404"/>
        </row>
        <row r="3405">
          <cell r="F3405"/>
          <cell r="J3405"/>
          <cell r="O3405"/>
          <cell r="W3405"/>
          <cell r="X3405"/>
          <cell r="Y3405"/>
        </row>
        <row r="3406">
          <cell r="F3406"/>
          <cell r="J3406"/>
          <cell r="O3406"/>
          <cell r="W3406"/>
          <cell r="X3406"/>
          <cell r="Y3406"/>
        </row>
        <row r="3407">
          <cell r="F3407"/>
          <cell r="J3407"/>
          <cell r="O3407"/>
          <cell r="W3407"/>
          <cell r="X3407"/>
          <cell r="Y3407"/>
        </row>
        <row r="3408">
          <cell r="F3408"/>
          <cell r="J3408"/>
          <cell r="O3408"/>
          <cell r="W3408"/>
          <cell r="X3408"/>
          <cell r="Y3408"/>
        </row>
        <row r="3409">
          <cell r="F3409"/>
          <cell r="J3409"/>
          <cell r="O3409"/>
          <cell r="W3409"/>
          <cell r="X3409"/>
          <cell r="Y3409"/>
        </row>
        <row r="3410">
          <cell r="F3410"/>
          <cell r="J3410"/>
          <cell r="O3410"/>
          <cell r="W3410"/>
          <cell r="X3410"/>
          <cell r="Y3410"/>
        </row>
        <row r="3411">
          <cell r="F3411"/>
          <cell r="J3411"/>
          <cell r="O3411"/>
          <cell r="W3411"/>
          <cell r="X3411"/>
          <cell r="Y3411"/>
        </row>
        <row r="3412">
          <cell r="F3412"/>
          <cell r="J3412"/>
          <cell r="O3412"/>
          <cell r="W3412"/>
          <cell r="X3412"/>
          <cell r="Y3412"/>
        </row>
        <row r="3413">
          <cell r="F3413"/>
          <cell r="J3413"/>
          <cell r="O3413"/>
          <cell r="W3413"/>
          <cell r="X3413"/>
          <cell r="Y3413"/>
        </row>
        <row r="3414">
          <cell r="F3414"/>
          <cell r="J3414"/>
          <cell r="O3414"/>
          <cell r="W3414"/>
          <cell r="X3414"/>
          <cell r="Y3414"/>
        </row>
        <row r="3415">
          <cell r="F3415"/>
          <cell r="J3415"/>
          <cell r="O3415"/>
          <cell r="W3415"/>
          <cell r="X3415"/>
          <cell r="Y3415"/>
        </row>
        <row r="3416">
          <cell r="F3416"/>
          <cell r="J3416"/>
          <cell r="O3416"/>
          <cell r="W3416"/>
          <cell r="X3416"/>
          <cell r="Y3416"/>
        </row>
        <row r="3417">
          <cell r="F3417"/>
          <cell r="J3417"/>
          <cell r="O3417"/>
          <cell r="W3417"/>
          <cell r="X3417"/>
          <cell r="Y3417"/>
        </row>
        <row r="3418">
          <cell r="F3418"/>
          <cell r="J3418"/>
          <cell r="O3418"/>
          <cell r="W3418"/>
          <cell r="X3418"/>
          <cell r="Y3418"/>
        </row>
        <row r="3419">
          <cell r="F3419"/>
          <cell r="J3419"/>
          <cell r="O3419"/>
          <cell r="W3419"/>
          <cell r="X3419"/>
          <cell r="Y3419"/>
        </row>
        <row r="3420">
          <cell r="F3420"/>
          <cell r="J3420"/>
          <cell r="O3420"/>
          <cell r="W3420"/>
          <cell r="X3420"/>
          <cell r="Y3420"/>
        </row>
        <row r="3421">
          <cell r="F3421"/>
          <cell r="J3421"/>
          <cell r="O3421"/>
          <cell r="W3421"/>
          <cell r="X3421"/>
          <cell r="Y3421"/>
        </row>
        <row r="3422">
          <cell r="F3422"/>
          <cell r="J3422"/>
          <cell r="O3422"/>
          <cell r="W3422"/>
          <cell r="X3422"/>
          <cell r="Y3422"/>
        </row>
        <row r="3423">
          <cell r="F3423"/>
          <cell r="J3423"/>
          <cell r="O3423"/>
          <cell r="W3423"/>
          <cell r="X3423"/>
          <cell r="Y3423"/>
        </row>
        <row r="3424">
          <cell r="F3424"/>
          <cell r="J3424"/>
          <cell r="O3424"/>
          <cell r="W3424"/>
          <cell r="X3424"/>
          <cell r="Y3424"/>
        </row>
        <row r="3425">
          <cell r="F3425"/>
          <cell r="J3425"/>
          <cell r="O3425"/>
          <cell r="W3425"/>
          <cell r="X3425"/>
          <cell r="Y3425"/>
        </row>
        <row r="3426">
          <cell r="F3426"/>
          <cell r="J3426"/>
          <cell r="O3426"/>
          <cell r="W3426"/>
          <cell r="X3426"/>
          <cell r="Y3426"/>
        </row>
        <row r="3427">
          <cell r="F3427"/>
          <cell r="J3427"/>
          <cell r="O3427"/>
          <cell r="W3427"/>
          <cell r="X3427"/>
          <cell r="Y3427"/>
        </row>
        <row r="3428">
          <cell r="F3428"/>
          <cell r="J3428"/>
          <cell r="O3428"/>
          <cell r="W3428"/>
          <cell r="X3428"/>
          <cell r="Y3428"/>
        </row>
        <row r="3429">
          <cell r="F3429"/>
          <cell r="J3429"/>
          <cell r="O3429"/>
          <cell r="W3429"/>
          <cell r="X3429"/>
          <cell r="Y3429"/>
        </row>
        <row r="3430">
          <cell r="F3430"/>
          <cell r="J3430"/>
          <cell r="O3430"/>
          <cell r="W3430"/>
          <cell r="X3430"/>
          <cell r="Y3430"/>
        </row>
        <row r="3431">
          <cell r="F3431"/>
          <cell r="J3431"/>
          <cell r="O3431"/>
          <cell r="W3431"/>
          <cell r="X3431"/>
          <cell r="Y3431"/>
        </row>
        <row r="3432">
          <cell r="F3432"/>
          <cell r="J3432"/>
          <cell r="O3432"/>
          <cell r="W3432"/>
          <cell r="X3432"/>
          <cell r="Y3432"/>
        </row>
        <row r="3433">
          <cell r="F3433"/>
          <cell r="J3433"/>
          <cell r="O3433"/>
          <cell r="W3433"/>
          <cell r="X3433"/>
          <cell r="Y3433"/>
        </row>
        <row r="3434">
          <cell r="F3434"/>
          <cell r="J3434"/>
          <cell r="O3434"/>
          <cell r="W3434"/>
          <cell r="X3434"/>
          <cell r="Y3434"/>
        </row>
        <row r="3435">
          <cell r="F3435"/>
          <cell r="J3435"/>
          <cell r="O3435"/>
          <cell r="W3435"/>
          <cell r="X3435"/>
          <cell r="Y3435"/>
        </row>
        <row r="3436">
          <cell r="F3436"/>
          <cell r="J3436"/>
          <cell r="O3436"/>
          <cell r="W3436"/>
          <cell r="X3436"/>
          <cell r="Y3436"/>
        </row>
        <row r="3437">
          <cell r="F3437"/>
          <cell r="J3437"/>
          <cell r="O3437"/>
          <cell r="W3437"/>
          <cell r="X3437"/>
          <cell r="Y3437"/>
        </row>
        <row r="3438">
          <cell r="F3438"/>
          <cell r="J3438"/>
          <cell r="O3438"/>
          <cell r="W3438"/>
          <cell r="X3438"/>
          <cell r="Y3438"/>
        </row>
        <row r="3439">
          <cell r="F3439"/>
          <cell r="J3439"/>
          <cell r="O3439"/>
          <cell r="W3439"/>
          <cell r="X3439"/>
          <cell r="Y3439"/>
        </row>
        <row r="3440">
          <cell r="F3440"/>
          <cell r="J3440"/>
          <cell r="O3440"/>
          <cell r="W3440"/>
          <cell r="X3440"/>
          <cell r="Y3440"/>
        </row>
        <row r="3441">
          <cell r="F3441"/>
          <cell r="J3441"/>
          <cell r="O3441"/>
          <cell r="W3441"/>
          <cell r="X3441"/>
          <cell r="Y3441"/>
        </row>
        <row r="3442">
          <cell r="F3442"/>
          <cell r="J3442"/>
          <cell r="O3442"/>
          <cell r="W3442"/>
          <cell r="X3442"/>
          <cell r="Y3442"/>
        </row>
        <row r="3443">
          <cell r="F3443"/>
          <cell r="J3443"/>
          <cell r="O3443"/>
          <cell r="W3443"/>
          <cell r="X3443"/>
          <cell r="Y3443"/>
        </row>
        <row r="3444">
          <cell r="F3444"/>
          <cell r="J3444"/>
          <cell r="O3444"/>
          <cell r="W3444"/>
          <cell r="X3444"/>
          <cell r="Y3444"/>
        </row>
        <row r="3445">
          <cell r="F3445"/>
          <cell r="J3445"/>
          <cell r="O3445"/>
          <cell r="W3445"/>
          <cell r="X3445"/>
          <cell r="Y3445"/>
        </row>
        <row r="3446">
          <cell r="F3446"/>
          <cell r="J3446"/>
          <cell r="O3446"/>
          <cell r="W3446"/>
          <cell r="X3446"/>
          <cell r="Y3446"/>
        </row>
        <row r="3447">
          <cell r="F3447"/>
          <cell r="J3447"/>
          <cell r="O3447"/>
          <cell r="W3447"/>
          <cell r="X3447"/>
          <cell r="Y3447"/>
        </row>
        <row r="3448">
          <cell r="F3448"/>
          <cell r="J3448"/>
          <cell r="O3448"/>
          <cell r="W3448"/>
          <cell r="X3448"/>
          <cell r="Y3448"/>
        </row>
        <row r="3449">
          <cell r="F3449"/>
          <cell r="J3449"/>
          <cell r="O3449"/>
          <cell r="W3449"/>
          <cell r="X3449"/>
          <cell r="Y3449"/>
        </row>
        <row r="3450">
          <cell r="F3450"/>
          <cell r="J3450"/>
          <cell r="O3450"/>
          <cell r="W3450"/>
          <cell r="X3450"/>
          <cell r="Y3450"/>
        </row>
        <row r="3451">
          <cell r="F3451"/>
          <cell r="J3451"/>
          <cell r="O3451"/>
          <cell r="W3451"/>
          <cell r="X3451"/>
          <cell r="Y3451"/>
        </row>
        <row r="3452">
          <cell r="F3452"/>
          <cell r="J3452"/>
          <cell r="O3452"/>
          <cell r="W3452"/>
          <cell r="X3452"/>
          <cell r="Y3452"/>
        </row>
        <row r="3453">
          <cell r="F3453"/>
          <cell r="J3453"/>
          <cell r="O3453"/>
          <cell r="W3453"/>
          <cell r="X3453"/>
          <cell r="Y3453"/>
        </row>
        <row r="3454">
          <cell r="F3454"/>
          <cell r="J3454"/>
          <cell r="O3454"/>
          <cell r="W3454"/>
          <cell r="X3454"/>
          <cell r="Y3454"/>
        </row>
        <row r="3455">
          <cell r="F3455"/>
          <cell r="J3455"/>
          <cell r="O3455"/>
          <cell r="W3455"/>
          <cell r="X3455"/>
          <cell r="Y3455"/>
        </row>
        <row r="3456">
          <cell r="F3456"/>
          <cell r="J3456"/>
          <cell r="O3456"/>
          <cell r="W3456"/>
          <cell r="X3456"/>
          <cell r="Y3456"/>
        </row>
        <row r="3457">
          <cell r="F3457"/>
          <cell r="J3457"/>
          <cell r="O3457"/>
          <cell r="W3457"/>
          <cell r="X3457"/>
          <cell r="Y3457"/>
        </row>
        <row r="3458">
          <cell r="F3458"/>
          <cell r="J3458"/>
          <cell r="O3458"/>
          <cell r="W3458"/>
          <cell r="X3458"/>
          <cell r="Y3458"/>
        </row>
        <row r="3459">
          <cell r="F3459"/>
          <cell r="J3459"/>
          <cell r="O3459"/>
          <cell r="W3459"/>
          <cell r="X3459"/>
          <cell r="Y3459"/>
        </row>
        <row r="3460">
          <cell r="F3460"/>
          <cell r="J3460"/>
          <cell r="O3460"/>
          <cell r="W3460"/>
          <cell r="X3460"/>
          <cell r="Y3460"/>
        </row>
        <row r="3461">
          <cell r="F3461"/>
          <cell r="J3461"/>
          <cell r="O3461"/>
          <cell r="W3461"/>
          <cell r="X3461"/>
          <cell r="Y3461"/>
        </row>
        <row r="3462">
          <cell r="F3462"/>
          <cell r="J3462"/>
          <cell r="O3462"/>
          <cell r="W3462"/>
          <cell r="X3462"/>
          <cell r="Y3462"/>
        </row>
        <row r="3463">
          <cell r="F3463"/>
          <cell r="J3463"/>
          <cell r="O3463"/>
          <cell r="W3463"/>
          <cell r="X3463"/>
          <cell r="Y3463"/>
        </row>
        <row r="3464">
          <cell r="F3464"/>
          <cell r="J3464"/>
          <cell r="O3464"/>
          <cell r="W3464"/>
          <cell r="X3464"/>
          <cell r="Y3464"/>
        </row>
        <row r="3465">
          <cell r="F3465"/>
          <cell r="J3465"/>
          <cell r="O3465"/>
          <cell r="W3465"/>
          <cell r="X3465"/>
          <cell r="Y3465"/>
        </row>
        <row r="3466">
          <cell r="F3466"/>
          <cell r="J3466"/>
          <cell r="O3466"/>
          <cell r="W3466"/>
          <cell r="X3466"/>
          <cell r="Y3466"/>
        </row>
        <row r="3467">
          <cell r="F3467"/>
          <cell r="J3467"/>
          <cell r="O3467"/>
          <cell r="W3467"/>
          <cell r="X3467"/>
          <cell r="Y3467"/>
        </row>
        <row r="3468">
          <cell r="F3468"/>
          <cell r="J3468"/>
          <cell r="O3468"/>
          <cell r="W3468"/>
          <cell r="X3468"/>
          <cell r="Y3468"/>
        </row>
        <row r="3469">
          <cell r="F3469"/>
          <cell r="J3469"/>
          <cell r="O3469"/>
          <cell r="W3469"/>
          <cell r="X3469"/>
          <cell r="Y3469"/>
        </row>
        <row r="3470">
          <cell r="F3470"/>
          <cell r="J3470"/>
          <cell r="O3470"/>
          <cell r="W3470"/>
          <cell r="X3470"/>
          <cell r="Y3470"/>
        </row>
        <row r="3471">
          <cell r="F3471"/>
          <cell r="J3471"/>
          <cell r="O3471"/>
          <cell r="W3471"/>
          <cell r="X3471"/>
          <cell r="Y3471"/>
        </row>
        <row r="3472">
          <cell r="F3472"/>
          <cell r="J3472"/>
          <cell r="O3472"/>
          <cell r="W3472"/>
          <cell r="X3472"/>
          <cell r="Y3472"/>
        </row>
        <row r="3473">
          <cell r="F3473"/>
          <cell r="J3473"/>
          <cell r="O3473"/>
          <cell r="W3473"/>
          <cell r="X3473"/>
          <cell r="Y3473"/>
        </row>
        <row r="3474">
          <cell r="F3474"/>
          <cell r="J3474"/>
          <cell r="O3474"/>
          <cell r="W3474"/>
          <cell r="X3474"/>
          <cell r="Y3474"/>
        </row>
        <row r="3475">
          <cell r="F3475"/>
          <cell r="J3475"/>
          <cell r="O3475"/>
          <cell r="W3475"/>
          <cell r="X3475"/>
          <cell r="Y3475"/>
        </row>
        <row r="3476">
          <cell r="F3476"/>
          <cell r="J3476"/>
          <cell r="O3476"/>
          <cell r="W3476"/>
          <cell r="X3476"/>
          <cell r="Y3476"/>
        </row>
        <row r="3477">
          <cell r="F3477"/>
          <cell r="J3477"/>
          <cell r="O3477"/>
          <cell r="W3477"/>
          <cell r="X3477"/>
          <cell r="Y3477"/>
        </row>
        <row r="3478">
          <cell r="F3478"/>
          <cell r="J3478"/>
          <cell r="O3478"/>
          <cell r="W3478"/>
          <cell r="X3478"/>
          <cell r="Y3478"/>
        </row>
        <row r="3479">
          <cell r="F3479"/>
          <cell r="J3479"/>
          <cell r="O3479"/>
          <cell r="W3479"/>
          <cell r="X3479"/>
          <cell r="Y3479"/>
        </row>
        <row r="3480">
          <cell r="F3480"/>
          <cell r="J3480"/>
          <cell r="O3480"/>
          <cell r="W3480"/>
          <cell r="X3480"/>
          <cell r="Y3480"/>
        </row>
        <row r="3481">
          <cell r="F3481"/>
          <cell r="J3481"/>
          <cell r="O3481"/>
          <cell r="W3481"/>
          <cell r="X3481"/>
          <cell r="Y3481"/>
        </row>
        <row r="3482">
          <cell r="F3482"/>
          <cell r="J3482"/>
          <cell r="O3482"/>
          <cell r="W3482"/>
          <cell r="X3482"/>
          <cell r="Y3482"/>
        </row>
        <row r="3483">
          <cell r="F3483"/>
          <cell r="J3483"/>
          <cell r="O3483"/>
          <cell r="W3483"/>
          <cell r="X3483"/>
          <cell r="Y3483"/>
        </row>
        <row r="3484">
          <cell r="F3484"/>
          <cell r="J3484"/>
          <cell r="O3484"/>
          <cell r="W3484"/>
          <cell r="X3484"/>
          <cell r="Y3484"/>
        </row>
        <row r="3485">
          <cell r="F3485"/>
          <cell r="J3485"/>
          <cell r="O3485"/>
          <cell r="W3485"/>
          <cell r="X3485"/>
          <cell r="Y3485"/>
        </row>
        <row r="3486">
          <cell r="F3486"/>
          <cell r="J3486"/>
          <cell r="O3486"/>
          <cell r="W3486"/>
          <cell r="X3486"/>
          <cell r="Y3486"/>
        </row>
        <row r="3487">
          <cell r="F3487"/>
          <cell r="J3487"/>
          <cell r="O3487"/>
          <cell r="W3487"/>
          <cell r="X3487"/>
          <cell r="Y3487"/>
        </row>
        <row r="3488">
          <cell r="F3488"/>
          <cell r="J3488"/>
          <cell r="O3488"/>
          <cell r="W3488"/>
          <cell r="X3488"/>
          <cell r="Y3488"/>
        </row>
        <row r="3489">
          <cell r="F3489"/>
          <cell r="J3489"/>
          <cell r="O3489"/>
          <cell r="W3489"/>
          <cell r="X3489"/>
          <cell r="Y3489"/>
        </row>
        <row r="3490">
          <cell r="F3490"/>
          <cell r="J3490"/>
          <cell r="O3490"/>
          <cell r="W3490"/>
          <cell r="X3490"/>
          <cell r="Y3490"/>
        </row>
        <row r="3491">
          <cell r="F3491"/>
          <cell r="J3491"/>
          <cell r="O3491"/>
          <cell r="W3491"/>
          <cell r="X3491"/>
          <cell r="Y3491"/>
        </row>
        <row r="3492">
          <cell r="F3492"/>
          <cell r="J3492"/>
          <cell r="O3492"/>
          <cell r="W3492"/>
          <cell r="X3492"/>
          <cell r="Y3492"/>
        </row>
        <row r="3493">
          <cell r="F3493"/>
          <cell r="J3493"/>
          <cell r="O3493"/>
          <cell r="W3493"/>
          <cell r="X3493"/>
          <cell r="Y3493"/>
        </row>
        <row r="3494">
          <cell r="F3494"/>
          <cell r="J3494"/>
          <cell r="O3494"/>
          <cell r="W3494"/>
          <cell r="X3494"/>
          <cell r="Y3494"/>
        </row>
        <row r="3495">
          <cell r="F3495"/>
          <cell r="J3495"/>
          <cell r="O3495"/>
          <cell r="W3495"/>
          <cell r="X3495"/>
          <cell r="Y3495"/>
        </row>
        <row r="3496">
          <cell r="F3496"/>
          <cell r="J3496"/>
          <cell r="O3496"/>
          <cell r="W3496"/>
          <cell r="X3496"/>
          <cell r="Y3496"/>
        </row>
        <row r="3497">
          <cell r="F3497"/>
          <cell r="J3497"/>
          <cell r="O3497"/>
          <cell r="W3497"/>
          <cell r="X3497"/>
          <cell r="Y3497"/>
        </row>
        <row r="3498">
          <cell r="F3498"/>
          <cell r="J3498"/>
          <cell r="O3498"/>
          <cell r="W3498"/>
          <cell r="X3498"/>
          <cell r="Y3498"/>
        </row>
        <row r="3499">
          <cell r="F3499"/>
          <cell r="J3499"/>
          <cell r="O3499"/>
          <cell r="W3499"/>
          <cell r="X3499"/>
          <cell r="Y3499"/>
        </row>
        <row r="3500">
          <cell r="F3500"/>
          <cell r="J3500"/>
          <cell r="O3500"/>
          <cell r="W3500"/>
          <cell r="X3500"/>
          <cell r="Y3500"/>
        </row>
        <row r="3501">
          <cell r="F3501"/>
          <cell r="J3501"/>
          <cell r="O3501"/>
          <cell r="W3501"/>
          <cell r="X3501"/>
          <cell r="Y3501"/>
        </row>
        <row r="3502">
          <cell r="F3502"/>
          <cell r="J3502"/>
          <cell r="O3502"/>
          <cell r="W3502"/>
          <cell r="X3502"/>
          <cell r="Y3502"/>
        </row>
        <row r="3503">
          <cell r="F3503"/>
          <cell r="J3503"/>
          <cell r="O3503"/>
          <cell r="W3503"/>
          <cell r="X3503"/>
          <cell r="Y3503"/>
        </row>
        <row r="3504">
          <cell r="F3504"/>
          <cell r="J3504"/>
          <cell r="O3504"/>
          <cell r="W3504"/>
          <cell r="X3504"/>
          <cell r="Y3504"/>
        </row>
        <row r="3505">
          <cell r="F3505"/>
          <cell r="J3505"/>
          <cell r="O3505"/>
          <cell r="W3505"/>
          <cell r="X3505"/>
          <cell r="Y3505"/>
        </row>
        <row r="3506">
          <cell r="F3506"/>
          <cell r="J3506"/>
          <cell r="O3506"/>
          <cell r="W3506"/>
          <cell r="X3506"/>
          <cell r="Y3506"/>
        </row>
        <row r="3507">
          <cell r="F3507"/>
          <cell r="J3507"/>
          <cell r="O3507"/>
          <cell r="W3507"/>
          <cell r="X3507"/>
          <cell r="Y3507"/>
        </row>
        <row r="3508">
          <cell r="F3508"/>
          <cell r="J3508"/>
          <cell r="O3508"/>
          <cell r="W3508"/>
          <cell r="X3508"/>
          <cell r="Y3508"/>
        </row>
        <row r="3509">
          <cell r="F3509"/>
          <cell r="J3509"/>
          <cell r="O3509"/>
          <cell r="W3509"/>
          <cell r="X3509"/>
          <cell r="Y3509"/>
        </row>
        <row r="3510">
          <cell r="F3510"/>
          <cell r="J3510"/>
          <cell r="O3510"/>
          <cell r="W3510"/>
          <cell r="X3510"/>
          <cell r="Y3510"/>
        </row>
        <row r="3511">
          <cell r="F3511"/>
          <cell r="J3511"/>
          <cell r="O3511"/>
          <cell r="W3511"/>
          <cell r="X3511"/>
          <cell r="Y3511"/>
        </row>
        <row r="3512">
          <cell r="F3512"/>
          <cell r="J3512"/>
          <cell r="O3512"/>
          <cell r="W3512"/>
          <cell r="X3512"/>
          <cell r="Y3512"/>
        </row>
        <row r="3513">
          <cell r="F3513"/>
          <cell r="J3513"/>
          <cell r="O3513"/>
          <cell r="W3513"/>
          <cell r="X3513"/>
          <cell r="Y3513"/>
        </row>
        <row r="3514">
          <cell r="F3514"/>
          <cell r="J3514"/>
          <cell r="O3514"/>
          <cell r="W3514"/>
          <cell r="X3514"/>
          <cell r="Y3514"/>
        </row>
        <row r="3515">
          <cell r="F3515"/>
          <cell r="J3515"/>
          <cell r="O3515"/>
          <cell r="W3515"/>
          <cell r="X3515"/>
          <cell r="Y3515"/>
        </row>
        <row r="3516">
          <cell r="F3516"/>
          <cell r="J3516"/>
          <cell r="O3516"/>
          <cell r="W3516"/>
          <cell r="X3516"/>
          <cell r="Y3516"/>
        </row>
        <row r="3517">
          <cell r="F3517"/>
          <cell r="J3517"/>
          <cell r="O3517"/>
          <cell r="W3517"/>
          <cell r="X3517"/>
          <cell r="Y3517"/>
        </row>
        <row r="3518">
          <cell r="F3518"/>
          <cell r="J3518"/>
          <cell r="O3518"/>
          <cell r="W3518"/>
          <cell r="X3518"/>
          <cell r="Y3518"/>
        </row>
        <row r="3519">
          <cell r="F3519"/>
          <cell r="J3519"/>
          <cell r="O3519"/>
          <cell r="W3519"/>
          <cell r="X3519"/>
          <cell r="Y3519"/>
        </row>
        <row r="3520">
          <cell r="F3520"/>
          <cell r="J3520"/>
          <cell r="O3520"/>
          <cell r="W3520"/>
          <cell r="X3520"/>
          <cell r="Y3520"/>
        </row>
        <row r="3521">
          <cell r="F3521"/>
          <cell r="J3521"/>
          <cell r="O3521"/>
          <cell r="W3521"/>
          <cell r="X3521"/>
          <cell r="Y3521"/>
        </row>
        <row r="3522">
          <cell r="F3522"/>
          <cell r="J3522"/>
          <cell r="O3522"/>
          <cell r="W3522"/>
          <cell r="X3522"/>
          <cell r="Y3522"/>
        </row>
        <row r="3523">
          <cell r="F3523"/>
          <cell r="J3523"/>
          <cell r="O3523"/>
          <cell r="W3523"/>
          <cell r="X3523"/>
          <cell r="Y3523"/>
        </row>
        <row r="3524">
          <cell r="F3524"/>
          <cell r="J3524"/>
          <cell r="O3524"/>
          <cell r="W3524"/>
          <cell r="X3524"/>
          <cell r="Y3524"/>
        </row>
        <row r="3525">
          <cell r="F3525"/>
          <cell r="J3525"/>
          <cell r="O3525"/>
          <cell r="W3525"/>
          <cell r="X3525"/>
          <cell r="Y3525"/>
        </row>
        <row r="3526">
          <cell r="F3526"/>
          <cell r="J3526"/>
          <cell r="O3526"/>
          <cell r="W3526"/>
          <cell r="X3526"/>
          <cell r="Y3526"/>
        </row>
        <row r="3527">
          <cell r="F3527"/>
          <cell r="J3527"/>
          <cell r="O3527"/>
          <cell r="W3527"/>
          <cell r="X3527"/>
          <cell r="Y3527"/>
        </row>
        <row r="3528">
          <cell r="F3528"/>
          <cell r="J3528"/>
          <cell r="O3528"/>
          <cell r="W3528"/>
          <cell r="X3528"/>
          <cell r="Y3528"/>
        </row>
        <row r="3529">
          <cell r="F3529"/>
          <cell r="J3529"/>
          <cell r="O3529"/>
          <cell r="W3529"/>
          <cell r="X3529"/>
          <cell r="Y3529"/>
        </row>
        <row r="3530">
          <cell r="F3530"/>
          <cell r="J3530"/>
          <cell r="O3530"/>
          <cell r="W3530"/>
          <cell r="X3530"/>
          <cell r="Y3530"/>
        </row>
        <row r="3531">
          <cell r="F3531"/>
          <cell r="J3531"/>
          <cell r="O3531"/>
          <cell r="W3531"/>
          <cell r="X3531"/>
          <cell r="Y3531"/>
        </row>
        <row r="3532">
          <cell r="F3532"/>
          <cell r="J3532"/>
          <cell r="O3532"/>
          <cell r="W3532"/>
          <cell r="X3532"/>
          <cell r="Y3532"/>
        </row>
        <row r="3533">
          <cell r="F3533"/>
          <cell r="J3533"/>
          <cell r="O3533"/>
          <cell r="W3533"/>
          <cell r="X3533"/>
          <cell r="Y3533"/>
        </row>
        <row r="3534">
          <cell r="F3534"/>
          <cell r="J3534"/>
          <cell r="O3534"/>
          <cell r="W3534"/>
          <cell r="X3534"/>
          <cell r="Y3534"/>
        </row>
        <row r="3535">
          <cell r="F3535"/>
          <cell r="J3535"/>
          <cell r="O3535"/>
          <cell r="W3535"/>
          <cell r="X3535"/>
          <cell r="Y3535"/>
        </row>
        <row r="3536">
          <cell r="F3536"/>
          <cell r="J3536"/>
          <cell r="O3536"/>
          <cell r="W3536"/>
          <cell r="X3536"/>
          <cell r="Y3536"/>
        </row>
        <row r="3537">
          <cell r="F3537"/>
          <cell r="J3537"/>
          <cell r="O3537"/>
          <cell r="W3537"/>
          <cell r="X3537"/>
          <cell r="Y3537"/>
        </row>
        <row r="3538">
          <cell r="F3538"/>
          <cell r="J3538"/>
          <cell r="O3538"/>
          <cell r="W3538"/>
          <cell r="X3538"/>
          <cell r="Y3538"/>
        </row>
        <row r="3539">
          <cell r="F3539"/>
          <cell r="J3539"/>
          <cell r="O3539"/>
          <cell r="W3539"/>
          <cell r="X3539"/>
          <cell r="Y3539"/>
        </row>
        <row r="3540">
          <cell r="F3540"/>
          <cell r="J3540"/>
          <cell r="O3540"/>
          <cell r="W3540"/>
          <cell r="X3540"/>
          <cell r="Y3540"/>
        </row>
        <row r="3541">
          <cell r="F3541"/>
          <cell r="J3541"/>
          <cell r="O3541"/>
          <cell r="W3541"/>
          <cell r="X3541"/>
          <cell r="Y3541"/>
        </row>
        <row r="3542">
          <cell r="F3542"/>
          <cell r="J3542"/>
          <cell r="O3542"/>
          <cell r="W3542"/>
          <cell r="X3542"/>
          <cell r="Y3542"/>
        </row>
        <row r="3543">
          <cell r="F3543"/>
          <cell r="J3543"/>
          <cell r="O3543"/>
          <cell r="W3543"/>
          <cell r="X3543"/>
          <cell r="Y3543"/>
        </row>
        <row r="3544">
          <cell r="F3544"/>
          <cell r="J3544"/>
          <cell r="O3544"/>
          <cell r="W3544"/>
          <cell r="X3544"/>
          <cell r="Y3544"/>
        </row>
        <row r="3545">
          <cell r="F3545"/>
          <cell r="J3545"/>
          <cell r="O3545"/>
          <cell r="W3545"/>
          <cell r="X3545"/>
          <cell r="Y3545"/>
        </row>
        <row r="3546">
          <cell r="F3546"/>
          <cell r="J3546"/>
          <cell r="O3546"/>
          <cell r="W3546"/>
          <cell r="X3546"/>
          <cell r="Y3546"/>
        </row>
        <row r="3547">
          <cell r="F3547"/>
          <cell r="J3547"/>
          <cell r="O3547"/>
          <cell r="W3547"/>
          <cell r="X3547"/>
          <cell r="Y3547"/>
        </row>
        <row r="3548">
          <cell r="F3548"/>
          <cell r="J3548"/>
          <cell r="O3548"/>
          <cell r="W3548"/>
          <cell r="X3548"/>
          <cell r="Y3548"/>
        </row>
        <row r="3549">
          <cell r="F3549"/>
          <cell r="J3549"/>
          <cell r="O3549"/>
          <cell r="W3549"/>
          <cell r="X3549"/>
          <cell r="Y3549"/>
        </row>
        <row r="3550">
          <cell r="F3550"/>
          <cell r="J3550"/>
          <cell r="O3550"/>
          <cell r="W3550"/>
          <cell r="X3550"/>
          <cell r="Y3550"/>
        </row>
        <row r="3551">
          <cell r="F3551"/>
          <cell r="J3551"/>
          <cell r="O3551"/>
          <cell r="W3551"/>
          <cell r="X3551"/>
          <cell r="Y3551"/>
        </row>
        <row r="3552">
          <cell r="F3552"/>
          <cell r="J3552"/>
          <cell r="O3552"/>
          <cell r="W3552"/>
          <cell r="X3552"/>
          <cell r="Y3552"/>
        </row>
        <row r="3553">
          <cell r="F3553"/>
          <cell r="J3553"/>
          <cell r="O3553"/>
          <cell r="W3553"/>
          <cell r="X3553"/>
          <cell r="Y3553"/>
        </row>
        <row r="3554">
          <cell r="F3554"/>
          <cell r="J3554"/>
          <cell r="O3554"/>
          <cell r="W3554"/>
          <cell r="X3554"/>
          <cell r="Y3554"/>
        </row>
        <row r="3555">
          <cell r="F3555"/>
          <cell r="J3555"/>
          <cell r="O3555"/>
          <cell r="W3555"/>
          <cell r="X3555"/>
          <cell r="Y3555"/>
        </row>
        <row r="3556">
          <cell r="F3556"/>
          <cell r="J3556"/>
          <cell r="O3556"/>
          <cell r="W3556"/>
          <cell r="X3556"/>
          <cell r="Y3556"/>
        </row>
        <row r="3557">
          <cell r="F3557"/>
          <cell r="J3557"/>
          <cell r="O3557"/>
          <cell r="W3557"/>
          <cell r="X3557"/>
          <cell r="Y3557"/>
        </row>
        <row r="3558">
          <cell r="F3558"/>
          <cell r="J3558"/>
          <cell r="O3558"/>
          <cell r="W3558"/>
          <cell r="X3558"/>
          <cell r="Y3558"/>
        </row>
        <row r="3559">
          <cell r="F3559"/>
          <cell r="J3559"/>
          <cell r="O3559"/>
          <cell r="W3559"/>
          <cell r="X3559"/>
          <cell r="Y3559"/>
        </row>
        <row r="3560">
          <cell r="F3560"/>
          <cell r="J3560"/>
          <cell r="O3560"/>
          <cell r="W3560"/>
          <cell r="X3560"/>
          <cell r="Y3560"/>
        </row>
        <row r="3561">
          <cell r="F3561"/>
          <cell r="J3561"/>
          <cell r="O3561"/>
          <cell r="W3561"/>
          <cell r="X3561"/>
          <cell r="Y3561"/>
        </row>
        <row r="3562">
          <cell r="F3562"/>
          <cell r="J3562"/>
          <cell r="O3562"/>
          <cell r="W3562"/>
          <cell r="X3562"/>
          <cell r="Y3562"/>
        </row>
        <row r="3563">
          <cell r="F3563"/>
          <cell r="J3563"/>
          <cell r="O3563"/>
          <cell r="W3563"/>
          <cell r="X3563"/>
          <cell r="Y3563"/>
        </row>
        <row r="3564">
          <cell r="F3564"/>
          <cell r="J3564"/>
          <cell r="O3564"/>
          <cell r="W3564"/>
          <cell r="X3564"/>
          <cell r="Y3564"/>
        </row>
        <row r="3565">
          <cell r="F3565"/>
          <cell r="J3565"/>
          <cell r="O3565"/>
          <cell r="W3565"/>
          <cell r="X3565"/>
          <cell r="Y3565"/>
        </row>
        <row r="3566">
          <cell r="F3566"/>
          <cell r="J3566"/>
          <cell r="O3566"/>
          <cell r="W3566"/>
          <cell r="X3566"/>
          <cell r="Y3566"/>
        </row>
        <row r="3567">
          <cell r="F3567"/>
          <cell r="J3567"/>
          <cell r="O3567"/>
          <cell r="W3567"/>
          <cell r="X3567"/>
          <cell r="Y3567"/>
        </row>
        <row r="3568">
          <cell r="F3568"/>
          <cell r="J3568"/>
          <cell r="O3568"/>
          <cell r="W3568"/>
          <cell r="X3568"/>
          <cell r="Y3568"/>
        </row>
        <row r="3569">
          <cell r="F3569"/>
          <cell r="J3569"/>
          <cell r="O3569"/>
          <cell r="W3569"/>
          <cell r="X3569"/>
          <cell r="Y3569"/>
        </row>
        <row r="3570">
          <cell r="F3570"/>
          <cell r="J3570"/>
          <cell r="O3570"/>
          <cell r="W3570"/>
          <cell r="X3570"/>
          <cell r="Y3570"/>
        </row>
        <row r="3571">
          <cell r="F3571"/>
          <cell r="J3571"/>
          <cell r="O3571"/>
          <cell r="W3571"/>
          <cell r="X3571"/>
          <cell r="Y3571"/>
        </row>
        <row r="3572">
          <cell r="F3572"/>
          <cell r="J3572"/>
          <cell r="O3572"/>
          <cell r="W3572"/>
          <cell r="X3572"/>
          <cell r="Y3572"/>
        </row>
        <row r="3573">
          <cell r="F3573"/>
          <cell r="J3573"/>
          <cell r="O3573"/>
          <cell r="W3573"/>
          <cell r="X3573"/>
          <cell r="Y3573"/>
        </row>
        <row r="3574">
          <cell r="F3574"/>
          <cell r="J3574"/>
          <cell r="O3574"/>
          <cell r="W3574"/>
          <cell r="X3574"/>
          <cell r="Y3574"/>
        </row>
        <row r="3575">
          <cell r="F3575"/>
          <cell r="J3575"/>
          <cell r="O3575"/>
          <cell r="W3575"/>
          <cell r="X3575"/>
          <cell r="Y3575"/>
        </row>
        <row r="3576">
          <cell r="F3576"/>
          <cell r="J3576"/>
          <cell r="O3576"/>
          <cell r="W3576"/>
          <cell r="X3576"/>
          <cell r="Y3576"/>
        </row>
        <row r="3577">
          <cell r="F3577"/>
          <cell r="J3577"/>
          <cell r="O3577"/>
          <cell r="W3577"/>
          <cell r="X3577"/>
          <cell r="Y3577"/>
        </row>
        <row r="3578">
          <cell r="F3578"/>
          <cell r="J3578"/>
          <cell r="O3578"/>
          <cell r="W3578"/>
          <cell r="X3578"/>
          <cell r="Y3578"/>
        </row>
        <row r="3579">
          <cell r="F3579"/>
          <cell r="J3579"/>
          <cell r="O3579"/>
          <cell r="W3579"/>
          <cell r="X3579"/>
          <cell r="Y3579"/>
        </row>
        <row r="3580">
          <cell r="F3580"/>
          <cell r="J3580"/>
          <cell r="O3580"/>
          <cell r="W3580"/>
          <cell r="X3580"/>
          <cell r="Y3580"/>
        </row>
        <row r="3581">
          <cell r="F3581"/>
          <cell r="J3581"/>
          <cell r="O3581"/>
          <cell r="W3581"/>
          <cell r="X3581"/>
          <cell r="Y3581"/>
        </row>
        <row r="3582">
          <cell r="F3582"/>
          <cell r="J3582"/>
          <cell r="O3582"/>
          <cell r="W3582"/>
          <cell r="X3582"/>
          <cell r="Y3582"/>
        </row>
        <row r="3583">
          <cell r="F3583"/>
          <cell r="J3583"/>
          <cell r="O3583"/>
          <cell r="W3583"/>
          <cell r="X3583"/>
          <cell r="Y3583"/>
        </row>
        <row r="3584">
          <cell r="F3584"/>
          <cell r="J3584"/>
          <cell r="O3584"/>
          <cell r="W3584"/>
          <cell r="X3584"/>
          <cell r="Y3584"/>
        </row>
        <row r="3585">
          <cell r="F3585"/>
          <cell r="J3585"/>
          <cell r="O3585"/>
          <cell r="W3585"/>
          <cell r="X3585"/>
          <cell r="Y3585"/>
        </row>
        <row r="3586">
          <cell r="F3586"/>
          <cell r="J3586"/>
          <cell r="O3586"/>
          <cell r="W3586"/>
          <cell r="X3586"/>
          <cell r="Y3586"/>
        </row>
        <row r="3587">
          <cell r="F3587"/>
          <cell r="J3587"/>
          <cell r="O3587"/>
          <cell r="W3587"/>
          <cell r="X3587"/>
          <cell r="Y3587"/>
        </row>
        <row r="3588">
          <cell r="F3588"/>
          <cell r="J3588"/>
          <cell r="O3588"/>
          <cell r="W3588"/>
          <cell r="X3588"/>
          <cell r="Y3588"/>
        </row>
        <row r="3589">
          <cell r="F3589"/>
          <cell r="J3589"/>
          <cell r="O3589"/>
          <cell r="W3589"/>
          <cell r="X3589"/>
          <cell r="Y3589"/>
        </row>
        <row r="3590">
          <cell r="F3590"/>
          <cell r="J3590"/>
          <cell r="O3590"/>
          <cell r="W3590"/>
          <cell r="X3590"/>
          <cell r="Y3590"/>
        </row>
        <row r="3591">
          <cell r="F3591"/>
          <cell r="J3591"/>
          <cell r="O3591"/>
          <cell r="W3591"/>
          <cell r="X3591"/>
          <cell r="Y3591"/>
        </row>
        <row r="3592">
          <cell r="F3592"/>
          <cell r="J3592"/>
          <cell r="O3592"/>
          <cell r="W3592"/>
          <cell r="X3592"/>
          <cell r="Y3592"/>
        </row>
        <row r="3593">
          <cell r="F3593"/>
          <cell r="J3593"/>
          <cell r="O3593"/>
          <cell r="W3593"/>
          <cell r="X3593"/>
          <cell r="Y3593"/>
        </row>
        <row r="3594">
          <cell r="F3594"/>
          <cell r="J3594"/>
          <cell r="O3594"/>
          <cell r="W3594"/>
          <cell r="X3594"/>
          <cell r="Y3594"/>
        </row>
        <row r="3595">
          <cell r="F3595"/>
          <cell r="J3595"/>
          <cell r="O3595"/>
          <cell r="W3595"/>
          <cell r="X3595"/>
          <cell r="Y3595"/>
        </row>
        <row r="3596">
          <cell r="F3596"/>
          <cell r="J3596"/>
          <cell r="O3596"/>
          <cell r="W3596"/>
          <cell r="X3596"/>
          <cell r="Y3596"/>
        </row>
        <row r="3597">
          <cell r="F3597"/>
          <cell r="J3597"/>
          <cell r="O3597"/>
          <cell r="W3597"/>
          <cell r="X3597"/>
          <cell r="Y3597"/>
        </row>
        <row r="3598">
          <cell r="F3598"/>
          <cell r="J3598"/>
          <cell r="O3598"/>
          <cell r="W3598"/>
          <cell r="X3598"/>
          <cell r="Y3598"/>
        </row>
        <row r="3599">
          <cell r="F3599"/>
          <cell r="J3599"/>
          <cell r="O3599"/>
          <cell r="W3599"/>
          <cell r="X3599"/>
          <cell r="Y3599"/>
        </row>
        <row r="3600">
          <cell r="F3600"/>
          <cell r="J3600"/>
          <cell r="O3600"/>
          <cell r="W3600"/>
          <cell r="X3600"/>
          <cell r="Y3600"/>
        </row>
        <row r="3601">
          <cell r="F3601"/>
          <cell r="J3601"/>
          <cell r="O3601"/>
          <cell r="W3601"/>
          <cell r="X3601"/>
          <cell r="Y3601"/>
        </row>
        <row r="3602">
          <cell r="F3602"/>
          <cell r="J3602"/>
          <cell r="O3602"/>
          <cell r="W3602"/>
          <cell r="X3602"/>
          <cell r="Y3602"/>
        </row>
        <row r="3603">
          <cell r="F3603"/>
          <cell r="J3603"/>
          <cell r="O3603"/>
          <cell r="W3603"/>
          <cell r="X3603"/>
          <cell r="Y3603"/>
        </row>
        <row r="3604">
          <cell r="F3604"/>
          <cell r="J3604"/>
          <cell r="O3604"/>
          <cell r="W3604"/>
          <cell r="X3604"/>
          <cell r="Y3604"/>
        </row>
        <row r="3605">
          <cell r="F3605"/>
          <cell r="J3605"/>
          <cell r="O3605"/>
          <cell r="W3605"/>
          <cell r="X3605"/>
          <cell r="Y3605"/>
        </row>
        <row r="3606">
          <cell r="F3606"/>
          <cell r="J3606"/>
          <cell r="O3606"/>
          <cell r="W3606"/>
          <cell r="X3606"/>
          <cell r="Y3606"/>
        </row>
        <row r="3607">
          <cell r="F3607"/>
          <cell r="J3607"/>
          <cell r="O3607"/>
          <cell r="W3607"/>
          <cell r="X3607"/>
          <cell r="Y3607"/>
        </row>
        <row r="3608">
          <cell r="F3608"/>
          <cell r="J3608"/>
          <cell r="O3608"/>
          <cell r="W3608"/>
          <cell r="X3608"/>
          <cell r="Y3608"/>
        </row>
        <row r="3609">
          <cell r="F3609"/>
          <cell r="J3609"/>
          <cell r="O3609"/>
          <cell r="W3609"/>
          <cell r="X3609"/>
          <cell r="Y3609"/>
        </row>
        <row r="3610">
          <cell r="F3610"/>
          <cell r="J3610"/>
          <cell r="O3610"/>
          <cell r="W3610"/>
          <cell r="X3610"/>
          <cell r="Y3610"/>
        </row>
        <row r="3611">
          <cell r="F3611"/>
          <cell r="J3611"/>
          <cell r="O3611"/>
          <cell r="W3611"/>
          <cell r="X3611"/>
          <cell r="Y3611"/>
        </row>
        <row r="3612">
          <cell r="F3612"/>
          <cell r="J3612"/>
          <cell r="O3612"/>
          <cell r="W3612"/>
          <cell r="X3612"/>
          <cell r="Y3612"/>
        </row>
        <row r="3613">
          <cell r="F3613"/>
          <cell r="J3613"/>
          <cell r="O3613"/>
          <cell r="W3613"/>
          <cell r="X3613"/>
          <cell r="Y3613"/>
        </row>
        <row r="3614">
          <cell r="F3614"/>
          <cell r="J3614"/>
          <cell r="O3614"/>
          <cell r="W3614"/>
          <cell r="X3614"/>
          <cell r="Y3614"/>
        </row>
        <row r="3615">
          <cell r="F3615"/>
          <cell r="J3615"/>
          <cell r="O3615"/>
          <cell r="W3615"/>
          <cell r="X3615"/>
          <cell r="Y3615"/>
        </row>
        <row r="3616">
          <cell r="F3616"/>
          <cell r="J3616"/>
          <cell r="O3616"/>
          <cell r="W3616"/>
          <cell r="X3616"/>
          <cell r="Y3616"/>
        </row>
        <row r="3617">
          <cell r="F3617"/>
          <cell r="J3617"/>
          <cell r="O3617"/>
          <cell r="W3617"/>
          <cell r="X3617"/>
          <cell r="Y3617"/>
        </row>
        <row r="3618">
          <cell r="F3618"/>
          <cell r="J3618"/>
          <cell r="O3618"/>
          <cell r="W3618"/>
          <cell r="X3618"/>
          <cell r="Y3618"/>
        </row>
        <row r="3619">
          <cell r="F3619"/>
          <cell r="J3619"/>
          <cell r="O3619"/>
          <cell r="W3619"/>
          <cell r="X3619"/>
          <cell r="Y3619"/>
        </row>
        <row r="3620">
          <cell r="F3620"/>
          <cell r="J3620"/>
          <cell r="O3620"/>
          <cell r="W3620"/>
          <cell r="X3620"/>
          <cell r="Y3620"/>
        </row>
        <row r="3621">
          <cell r="F3621"/>
          <cell r="J3621"/>
          <cell r="O3621"/>
          <cell r="W3621"/>
          <cell r="X3621"/>
          <cell r="Y3621"/>
        </row>
        <row r="3622">
          <cell r="F3622"/>
          <cell r="J3622"/>
          <cell r="O3622"/>
          <cell r="W3622"/>
          <cell r="X3622"/>
          <cell r="Y3622"/>
        </row>
        <row r="3623">
          <cell r="F3623"/>
          <cell r="J3623"/>
          <cell r="O3623"/>
          <cell r="W3623"/>
          <cell r="X3623"/>
          <cell r="Y3623"/>
        </row>
        <row r="3624">
          <cell r="F3624"/>
          <cell r="J3624"/>
          <cell r="O3624"/>
          <cell r="W3624"/>
          <cell r="X3624"/>
          <cell r="Y3624"/>
        </row>
        <row r="3625">
          <cell r="F3625"/>
          <cell r="J3625"/>
          <cell r="O3625"/>
          <cell r="W3625"/>
          <cell r="X3625"/>
          <cell r="Y3625"/>
        </row>
        <row r="3626">
          <cell r="F3626"/>
          <cell r="J3626"/>
          <cell r="O3626"/>
          <cell r="W3626"/>
          <cell r="X3626"/>
          <cell r="Y3626"/>
        </row>
        <row r="3627">
          <cell r="F3627"/>
          <cell r="J3627"/>
          <cell r="O3627"/>
          <cell r="W3627"/>
          <cell r="X3627"/>
          <cell r="Y3627"/>
        </row>
        <row r="3628">
          <cell r="F3628"/>
          <cell r="J3628"/>
          <cell r="O3628"/>
          <cell r="W3628"/>
          <cell r="X3628"/>
          <cell r="Y3628"/>
        </row>
        <row r="3629">
          <cell r="F3629"/>
          <cell r="J3629"/>
          <cell r="O3629"/>
          <cell r="W3629"/>
          <cell r="X3629"/>
          <cell r="Y3629"/>
        </row>
        <row r="3630">
          <cell r="F3630"/>
          <cell r="J3630"/>
          <cell r="O3630"/>
          <cell r="W3630"/>
          <cell r="X3630"/>
          <cell r="Y3630"/>
        </row>
        <row r="3631">
          <cell r="F3631"/>
          <cell r="J3631"/>
          <cell r="O3631"/>
          <cell r="W3631"/>
          <cell r="X3631"/>
          <cell r="Y3631"/>
        </row>
        <row r="3632">
          <cell r="F3632"/>
          <cell r="J3632"/>
          <cell r="O3632"/>
          <cell r="W3632"/>
          <cell r="X3632"/>
          <cell r="Y3632"/>
        </row>
        <row r="3633">
          <cell r="F3633"/>
          <cell r="J3633"/>
          <cell r="O3633"/>
          <cell r="W3633"/>
          <cell r="X3633"/>
          <cell r="Y3633"/>
        </row>
        <row r="3634">
          <cell r="F3634"/>
          <cell r="J3634"/>
          <cell r="O3634"/>
          <cell r="W3634"/>
          <cell r="X3634"/>
          <cell r="Y3634"/>
        </row>
        <row r="3635">
          <cell r="F3635"/>
          <cell r="J3635"/>
          <cell r="O3635"/>
          <cell r="W3635"/>
          <cell r="X3635"/>
          <cell r="Y3635"/>
        </row>
        <row r="3636">
          <cell r="F3636"/>
          <cell r="J3636"/>
          <cell r="O3636"/>
          <cell r="W3636"/>
          <cell r="X3636"/>
          <cell r="Y3636"/>
        </row>
        <row r="3637">
          <cell r="F3637"/>
          <cell r="J3637"/>
          <cell r="O3637"/>
          <cell r="W3637"/>
          <cell r="X3637"/>
          <cell r="Y3637"/>
        </row>
        <row r="3638">
          <cell r="F3638"/>
          <cell r="J3638"/>
          <cell r="O3638"/>
          <cell r="W3638"/>
          <cell r="X3638"/>
          <cell r="Y3638"/>
        </row>
        <row r="3639">
          <cell r="F3639"/>
          <cell r="J3639"/>
          <cell r="O3639"/>
          <cell r="W3639"/>
          <cell r="X3639"/>
          <cell r="Y3639"/>
        </row>
        <row r="3640">
          <cell r="F3640"/>
          <cell r="J3640"/>
          <cell r="O3640"/>
          <cell r="W3640"/>
          <cell r="X3640"/>
          <cell r="Y3640"/>
        </row>
        <row r="3641">
          <cell r="F3641"/>
          <cell r="J3641"/>
          <cell r="O3641"/>
          <cell r="W3641"/>
          <cell r="X3641"/>
          <cell r="Y3641"/>
        </row>
        <row r="3642">
          <cell r="F3642"/>
          <cell r="J3642"/>
          <cell r="O3642"/>
          <cell r="W3642"/>
          <cell r="X3642"/>
          <cell r="Y3642"/>
        </row>
        <row r="3643">
          <cell r="F3643"/>
          <cell r="J3643"/>
          <cell r="O3643"/>
          <cell r="W3643"/>
          <cell r="X3643"/>
          <cell r="Y3643"/>
        </row>
        <row r="3644">
          <cell r="F3644"/>
          <cell r="J3644"/>
          <cell r="O3644"/>
          <cell r="W3644"/>
          <cell r="X3644"/>
          <cell r="Y3644"/>
        </row>
        <row r="3645">
          <cell r="F3645"/>
          <cell r="J3645"/>
          <cell r="O3645"/>
          <cell r="W3645"/>
          <cell r="X3645"/>
          <cell r="Y3645"/>
        </row>
        <row r="3646">
          <cell r="F3646"/>
          <cell r="J3646"/>
          <cell r="O3646"/>
          <cell r="W3646"/>
          <cell r="X3646"/>
          <cell r="Y3646"/>
        </row>
        <row r="3647">
          <cell r="F3647"/>
          <cell r="J3647"/>
          <cell r="O3647"/>
          <cell r="W3647"/>
          <cell r="X3647"/>
          <cell r="Y3647"/>
        </row>
        <row r="3648">
          <cell r="F3648"/>
          <cell r="J3648"/>
          <cell r="O3648"/>
          <cell r="W3648"/>
          <cell r="X3648"/>
          <cell r="Y3648"/>
        </row>
        <row r="3649">
          <cell r="F3649"/>
          <cell r="J3649"/>
          <cell r="O3649"/>
          <cell r="W3649"/>
          <cell r="X3649"/>
          <cell r="Y3649"/>
        </row>
        <row r="3650">
          <cell r="F3650"/>
          <cell r="J3650"/>
          <cell r="O3650"/>
          <cell r="W3650"/>
          <cell r="X3650"/>
          <cell r="Y3650"/>
        </row>
        <row r="3651">
          <cell r="F3651"/>
          <cell r="J3651"/>
          <cell r="O3651"/>
          <cell r="W3651"/>
          <cell r="X3651"/>
          <cell r="Y3651"/>
        </row>
        <row r="3652">
          <cell r="F3652"/>
          <cell r="J3652"/>
          <cell r="O3652"/>
          <cell r="W3652"/>
          <cell r="X3652"/>
          <cell r="Y3652"/>
        </row>
        <row r="3653">
          <cell r="F3653"/>
          <cell r="J3653"/>
          <cell r="O3653"/>
          <cell r="W3653"/>
          <cell r="X3653"/>
          <cell r="Y3653"/>
        </row>
        <row r="3654">
          <cell r="F3654"/>
          <cell r="J3654"/>
          <cell r="O3654"/>
          <cell r="W3654"/>
          <cell r="X3654"/>
          <cell r="Y3654"/>
        </row>
        <row r="3655">
          <cell r="F3655"/>
          <cell r="J3655"/>
          <cell r="O3655"/>
          <cell r="W3655"/>
          <cell r="X3655"/>
          <cell r="Y3655"/>
        </row>
        <row r="3656">
          <cell r="F3656"/>
          <cell r="J3656"/>
          <cell r="O3656"/>
          <cell r="W3656"/>
          <cell r="X3656"/>
          <cell r="Y3656"/>
        </row>
        <row r="3657">
          <cell r="F3657"/>
          <cell r="J3657"/>
          <cell r="O3657"/>
          <cell r="W3657"/>
          <cell r="X3657"/>
          <cell r="Y3657"/>
        </row>
        <row r="3658">
          <cell r="F3658"/>
          <cell r="J3658"/>
          <cell r="O3658"/>
          <cell r="W3658"/>
          <cell r="X3658"/>
          <cell r="Y3658"/>
        </row>
        <row r="3659">
          <cell r="F3659"/>
          <cell r="J3659"/>
          <cell r="O3659"/>
          <cell r="W3659"/>
          <cell r="X3659"/>
          <cell r="Y3659"/>
        </row>
        <row r="3660">
          <cell r="F3660"/>
          <cell r="J3660"/>
          <cell r="O3660"/>
          <cell r="W3660"/>
          <cell r="X3660"/>
          <cell r="Y3660"/>
        </row>
        <row r="3661">
          <cell r="F3661"/>
          <cell r="J3661"/>
          <cell r="O3661"/>
          <cell r="W3661"/>
          <cell r="X3661"/>
          <cell r="Y3661"/>
        </row>
        <row r="3662">
          <cell r="F3662"/>
          <cell r="J3662"/>
          <cell r="O3662"/>
          <cell r="W3662"/>
          <cell r="X3662"/>
          <cell r="Y3662"/>
        </row>
        <row r="3663">
          <cell r="F3663"/>
          <cell r="J3663"/>
          <cell r="O3663"/>
          <cell r="W3663"/>
          <cell r="X3663"/>
          <cell r="Y3663"/>
        </row>
        <row r="3664">
          <cell r="F3664"/>
          <cell r="J3664"/>
          <cell r="O3664"/>
          <cell r="W3664"/>
          <cell r="X3664"/>
          <cell r="Y3664"/>
        </row>
        <row r="3665">
          <cell r="F3665"/>
          <cell r="J3665"/>
          <cell r="O3665"/>
          <cell r="W3665"/>
          <cell r="X3665"/>
          <cell r="Y3665"/>
        </row>
        <row r="3666">
          <cell r="F3666"/>
          <cell r="J3666"/>
          <cell r="O3666"/>
          <cell r="W3666"/>
          <cell r="X3666"/>
          <cell r="Y3666"/>
        </row>
        <row r="3667">
          <cell r="F3667"/>
          <cell r="J3667"/>
          <cell r="O3667"/>
          <cell r="W3667"/>
          <cell r="X3667"/>
          <cell r="Y3667"/>
        </row>
        <row r="3668">
          <cell r="F3668"/>
          <cell r="J3668"/>
          <cell r="O3668"/>
          <cell r="W3668"/>
          <cell r="X3668"/>
          <cell r="Y3668"/>
        </row>
        <row r="3669">
          <cell r="F3669"/>
          <cell r="J3669"/>
          <cell r="O3669"/>
          <cell r="W3669"/>
          <cell r="X3669"/>
          <cell r="Y3669"/>
        </row>
        <row r="3670">
          <cell r="F3670"/>
          <cell r="J3670"/>
          <cell r="O3670"/>
          <cell r="W3670"/>
          <cell r="X3670"/>
          <cell r="Y3670"/>
        </row>
        <row r="3671">
          <cell r="F3671"/>
          <cell r="J3671"/>
          <cell r="O3671"/>
          <cell r="W3671"/>
          <cell r="X3671"/>
          <cell r="Y3671"/>
        </row>
        <row r="3672">
          <cell r="F3672"/>
          <cell r="J3672"/>
          <cell r="O3672"/>
          <cell r="W3672"/>
          <cell r="X3672"/>
          <cell r="Y3672"/>
        </row>
        <row r="3673">
          <cell r="F3673"/>
          <cell r="J3673"/>
          <cell r="O3673"/>
          <cell r="W3673"/>
          <cell r="X3673"/>
          <cell r="Y3673"/>
        </row>
        <row r="3674">
          <cell r="F3674"/>
          <cell r="J3674"/>
          <cell r="O3674"/>
          <cell r="W3674"/>
          <cell r="X3674"/>
          <cell r="Y3674"/>
        </row>
        <row r="3675">
          <cell r="F3675"/>
          <cell r="J3675"/>
          <cell r="O3675"/>
          <cell r="W3675"/>
          <cell r="X3675"/>
          <cell r="Y3675"/>
        </row>
        <row r="3676">
          <cell r="F3676"/>
          <cell r="J3676"/>
          <cell r="O3676"/>
          <cell r="W3676"/>
          <cell r="X3676"/>
          <cell r="Y3676"/>
        </row>
        <row r="3677">
          <cell r="F3677"/>
          <cell r="J3677"/>
          <cell r="O3677"/>
          <cell r="W3677"/>
          <cell r="X3677"/>
          <cell r="Y3677"/>
        </row>
        <row r="3678">
          <cell r="F3678"/>
          <cell r="J3678"/>
          <cell r="O3678"/>
          <cell r="W3678"/>
          <cell r="X3678"/>
          <cell r="Y3678"/>
        </row>
        <row r="3679">
          <cell r="F3679"/>
          <cell r="J3679"/>
          <cell r="O3679"/>
          <cell r="W3679"/>
          <cell r="X3679"/>
          <cell r="Y3679"/>
        </row>
        <row r="3680">
          <cell r="F3680"/>
          <cell r="J3680"/>
          <cell r="O3680"/>
          <cell r="W3680"/>
          <cell r="X3680"/>
          <cell r="Y3680"/>
        </row>
        <row r="3681">
          <cell r="F3681"/>
          <cell r="J3681"/>
          <cell r="O3681"/>
          <cell r="W3681"/>
          <cell r="X3681"/>
          <cell r="Y3681"/>
        </row>
        <row r="3682">
          <cell r="F3682"/>
          <cell r="J3682"/>
          <cell r="O3682"/>
          <cell r="W3682"/>
          <cell r="X3682"/>
          <cell r="Y3682"/>
        </row>
        <row r="3683">
          <cell r="F3683"/>
          <cell r="J3683"/>
          <cell r="O3683"/>
          <cell r="W3683"/>
          <cell r="X3683"/>
          <cell r="Y3683"/>
        </row>
        <row r="3684">
          <cell r="F3684"/>
          <cell r="J3684"/>
          <cell r="O3684"/>
          <cell r="W3684"/>
          <cell r="X3684"/>
          <cell r="Y3684"/>
        </row>
        <row r="3685">
          <cell r="F3685"/>
          <cell r="J3685"/>
          <cell r="O3685"/>
          <cell r="W3685"/>
          <cell r="X3685"/>
          <cell r="Y3685"/>
        </row>
        <row r="3686">
          <cell r="F3686"/>
          <cell r="J3686"/>
          <cell r="O3686"/>
          <cell r="W3686"/>
          <cell r="X3686"/>
          <cell r="Y3686"/>
        </row>
        <row r="3687">
          <cell r="F3687"/>
          <cell r="J3687"/>
          <cell r="O3687"/>
          <cell r="W3687"/>
          <cell r="X3687"/>
          <cell r="Y3687"/>
        </row>
        <row r="3688">
          <cell r="F3688"/>
          <cell r="J3688"/>
          <cell r="O3688"/>
          <cell r="W3688"/>
          <cell r="X3688"/>
          <cell r="Y3688"/>
        </row>
        <row r="3689">
          <cell r="F3689"/>
          <cell r="J3689"/>
          <cell r="O3689"/>
          <cell r="W3689"/>
          <cell r="X3689"/>
          <cell r="Y3689"/>
        </row>
        <row r="3690">
          <cell r="F3690"/>
          <cell r="J3690"/>
          <cell r="O3690"/>
          <cell r="W3690"/>
          <cell r="X3690"/>
          <cell r="Y3690"/>
        </row>
        <row r="3691">
          <cell r="F3691"/>
          <cell r="J3691"/>
          <cell r="O3691"/>
          <cell r="W3691"/>
          <cell r="X3691"/>
          <cell r="Y3691"/>
        </row>
        <row r="3692">
          <cell r="F3692"/>
          <cell r="J3692"/>
          <cell r="O3692"/>
          <cell r="W3692"/>
          <cell r="X3692"/>
          <cell r="Y3692"/>
        </row>
        <row r="3693">
          <cell r="F3693"/>
          <cell r="J3693"/>
          <cell r="O3693"/>
          <cell r="W3693"/>
          <cell r="X3693"/>
          <cell r="Y3693"/>
        </row>
        <row r="3694">
          <cell r="F3694"/>
          <cell r="J3694"/>
          <cell r="O3694"/>
          <cell r="W3694"/>
          <cell r="X3694"/>
          <cell r="Y3694"/>
        </row>
        <row r="3695">
          <cell r="F3695"/>
          <cell r="J3695"/>
          <cell r="O3695"/>
          <cell r="W3695"/>
          <cell r="X3695"/>
          <cell r="Y3695"/>
        </row>
        <row r="3696">
          <cell r="F3696"/>
          <cell r="J3696"/>
          <cell r="O3696"/>
          <cell r="W3696"/>
          <cell r="X3696"/>
          <cell r="Y3696"/>
        </row>
        <row r="3697">
          <cell r="F3697"/>
          <cell r="J3697"/>
          <cell r="O3697"/>
          <cell r="W3697"/>
          <cell r="X3697"/>
          <cell r="Y3697"/>
        </row>
        <row r="3698">
          <cell r="F3698"/>
          <cell r="J3698"/>
          <cell r="O3698"/>
          <cell r="W3698"/>
          <cell r="X3698"/>
          <cell r="Y3698"/>
        </row>
        <row r="3699">
          <cell r="F3699"/>
          <cell r="J3699"/>
          <cell r="O3699"/>
          <cell r="W3699"/>
          <cell r="X3699"/>
          <cell r="Y3699"/>
        </row>
        <row r="3700">
          <cell r="F3700"/>
          <cell r="J3700"/>
          <cell r="O3700"/>
          <cell r="W3700"/>
          <cell r="X3700"/>
          <cell r="Y3700"/>
        </row>
        <row r="3701">
          <cell r="F3701"/>
          <cell r="J3701"/>
          <cell r="O3701"/>
          <cell r="W3701"/>
          <cell r="X3701"/>
          <cell r="Y3701"/>
        </row>
        <row r="3702">
          <cell r="F3702"/>
          <cell r="J3702"/>
          <cell r="O3702"/>
          <cell r="W3702"/>
          <cell r="X3702"/>
          <cell r="Y3702"/>
        </row>
        <row r="3703">
          <cell r="F3703"/>
          <cell r="J3703"/>
          <cell r="O3703"/>
          <cell r="W3703"/>
          <cell r="X3703"/>
          <cell r="Y3703"/>
        </row>
        <row r="3704">
          <cell r="F3704"/>
          <cell r="J3704"/>
          <cell r="O3704"/>
          <cell r="W3704"/>
          <cell r="X3704"/>
          <cell r="Y3704"/>
        </row>
        <row r="3705">
          <cell r="F3705"/>
          <cell r="J3705"/>
          <cell r="O3705"/>
          <cell r="W3705"/>
          <cell r="X3705"/>
          <cell r="Y3705"/>
        </row>
        <row r="3706">
          <cell r="F3706"/>
          <cell r="J3706"/>
          <cell r="O3706"/>
          <cell r="W3706"/>
          <cell r="X3706"/>
          <cell r="Y3706"/>
        </row>
        <row r="3707">
          <cell r="F3707"/>
          <cell r="J3707"/>
          <cell r="O3707"/>
          <cell r="W3707"/>
          <cell r="X3707"/>
          <cell r="Y3707"/>
        </row>
        <row r="3708">
          <cell r="F3708"/>
          <cell r="J3708"/>
          <cell r="O3708"/>
          <cell r="W3708"/>
          <cell r="X3708"/>
          <cell r="Y3708"/>
        </row>
        <row r="3709">
          <cell r="F3709"/>
          <cell r="J3709"/>
          <cell r="O3709"/>
          <cell r="W3709"/>
          <cell r="X3709"/>
          <cell r="Y3709"/>
        </row>
        <row r="3710">
          <cell r="F3710"/>
          <cell r="J3710"/>
          <cell r="O3710"/>
          <cell r="W3710"/>
          <cell r="X3710"/>
          <cell r="Y3710"/>
        </row>
        <row r="3711">
          <cell r="F3711"/>
          <cell r="J3711"/>
          <cell r="O3711"/>
          <cell r="W3711"/>
          <cell r="X3711"/>
          <cell r="Y3711"/>
        </row>
        <row r="3712">
          <cell r="F3712"/>
          <cell r="J3712"/>
          <cell r="O3712"/>
          <cell r="W3712"/>
          <cell r="X3712"/>
          <cell r="Y3712"/>
        </row>
        <row r="3713">
          <cell r="F3713"/>
          <cell r="J3713"/>
          <cell r="O3713"/>
          <cell r="W3713"/>
          <cell r="X3713"/>
          <cell r="Y3713"/>
        </row>
        <row r="3714">
          <cell r="F3714"/>
          <cell r="J3714"/>
          <cell r="O3714"/>
          <cell r="W3714"/>
          <cell r="X3714"/>
          <cell r="Y3714"/>
        </row>
        <row r="3715">
          <cell r="F3715"/>
          <cell r="J3715"/>
          <cell r="O3715"/>
          <cell r="W3715"/>
          <cell r="X3715"/>
          <cell r="Y3715"/>
        </row>
        <row r="3716">
          <cell r="F3716"/>
          <cell r="J3716"/>
          <cell r="O3716"/>
          <cell r="W3716"/>
          <cell r="X3716"/>
          <cell r="Y3716"/>
        </row>
        <row r="3717">
          <cell r="F3717"/>
          <cell r="J3717"/>
          <cell r="O3717"/>
          <cell r="W3717"/>
          <cell r="X3717"/>
          <cell r="Y3717"/>
        </row>
        <row r="3718">
          <cell r="F3718"/>
          <cell r="J3718"/>
          <cell r="O3718"/>
          <cell r="W3718"/>
          <cell r="X3718"/>
          <cell r="Y3718"/>
        </row>
        <row r="3719">
          <cell r="F3719"/>
          <cell r="J3719"/>
          <cell r="O3719"/>
          <cell r="W3719"/>
          <cell r="X3719"/>
          <cell r="Y3719"/>
        </row>
        <row r="3720">
          <cell r="F3720"/>
          <cell r="J3720"/>
          <cell r="O3720"/>
          <cell r="W3720"/>
          <cell r="X3720"/>
          <cell r="Y3720"/>
        </row>
        <row r="3721">
          <cell r="F3721"/>
          <cell r="J3721"/>
          <cell r="O3721"/>
          <cell r="W3721"/>
          <cell r="X3721"/>
          <cell r="Y3721"/>
        </row>
        <row r="3722">
          <cell r="F3722"/>
          <cell r="J3722"/>
          <cell r="O3722"/>
          <cell r="W3722"/>
          <cell r="X3722"/>
          <cell r="Y3722"/>
        </row>
        <row r="3723">
          <cell r="F3723"/>
          <cell r="J3723"/>
          <cell r="O3723"/>
          <cell r="W3723"/>
          <cell r="X3723"/>
          <cell r="Y3723"/>
        </row>
        <row r="3724">
          <cell r="F3724"/>
          <cell r="J3724"/>
          <cell r="O3724"/>
          <cell r="W3724"/>
          <cell r="X3724"/>
          <cell r="Y3724"/>
        </row>
        <row r="3725">
          <cell r="F3725"/>
          <cell r="J3725"/>
          <cell r="O3725"/>
          <cell r="W3725"/>
          <cell r="X3725"/>
          <cell r="Y3725"/>
        </row>
        <row r="3726">
          <cell r="F3726"/>
          <cell r="J3726"/>
          <cell r="O3726"/>
          <cell r="W3726"/>
          <cell r="X3726"/>
          <cell r="Y3726"/>
        </row>
        <row r="3727">
          <cell r="F3727"/>
          <cell r="J3727"/>
          <cell r="O3727"/>
          <cell r="W3727"/>
          <cell r="X3727"/>
          <cell r="Y3727"/>
        </row>
        <row r="3728">
          <cell r="F3728"/>
          <cell r="J3728"/>
          <cell r="O3728"/>
          <cell r="W3728"/>
          <cell r="X3728"/>
          <cell r="Y3728"/>
        </row>
        <row r="3729">
          <cell r="F3729"/>
          <cell r="J3729"/>
          <cell r="O3729"/>
          <cell r="W3729"/>
          <cell r="X3729"/>
          <cell r="Y3729"/>
        </row>
        <row r="3730">
          <cell r="F3730"/>
          <cell r="J3730"/>
          <cell r="O3730"/>
          <cell r="W3730"/>
          <cell r="X3730"/>
          <cell r="Y3730"/>
        </row>
        <row r="3731">
          <cell r="F3731"/>
          <cell r="J3731"/>
          <cell r="O3731"/>
          <cell r="W3731"/>
          <cell r="X3731"/>
          <cell r="Y3731"/>
        </row>
        <row r="3732">
          <cell r="F3732"/>
          <cell r="J3732"/>
          <cell r="O3732"/>
          <cell r="W3732"/>
          <cell r="X3732"/>
          <cell r="Y3732"/>
        </row>
        <row r="3733">
          <cell r="F3733"/>
          <cell r="J3733"/>
          <cell r="O3733"/>
          <cell r="W3733"/>
          <cell r="X3733"/>
          <cell r="Y3733"/>
        </row>
        <row r="3734">
          <cell r="F3734"/>
          <cell r="J3734"/>
          <cell r="O3734"/>
          <cell r="W3734"/>
          <cell r="X3734"/>
          <cell r="Y3734"/>
        </row>
        <row r="3735">
          <cell r="F3735"/>
          <cell r="J3735"/>
          <cell r="O3735"/>
          <cell r="W3735"/>
          <cell r="X3735"/>
          <cell r="Y3735"/>
        </row>
        <row r="3736">
          <cell r="F3736"/>
          <cell r="J3736"/>
          <cell r="O3736"/>
          <cell r="W3736"/>
          <cell r="X3736"/>
          <cell r="Y3736"/>
        </row>
        <row r="3737">
          <cell r="F3737"/>
          <cell r="J3737"/>
          <cell r="O3737"/>
          <cell r="W3737"/>
          <cell r="X3737"/>
          <cell r="Y3737"/>
        </row>
        <row r="3738">
          <cell r="F3738"/>
          <cell r="J3738"/>
          <cell r="O3738"/>
          <cell r="W3738"/>
          <cell r="X3738"/>
          <cell r="Y3738"/>
        </row>
        <row r="3739">
          <cell r="F3739"/>
          <cell r="J3739"/>
          <cell r="O3739"/>
          <cell r="W3739"/>
          <cell r="X3739"/>
          <cell r="Y3739"/>
        </row>
        <row r="3740">
          <cell r="F3740"/>
          <cell r="J3740"/>
          <cell r="O3740"/>
          <cell r="W3740"/>
          <cell r="X3740"/>
          <cell r="Y3740"/>
        </row>
        <row r="3741">
          <cell r="F3741"/>
          <cell r="J3741"/>
          <cell r="O3741"/>
          <cell r="W3741"/>
          <cell r="X3741"/>
          <cell r="Y3741"/>
        </row>
        <row r="3742">
          <cell r="F3742"/>
          <cell r="J3742"/>
          <cell r="O3742"/>
          <cell r="W3742"/>
          <cell r="X3742"/>
          <cell r="Y3742"/>
        </row>
        <row r="3743">
          <cell r="F3743"/>
          <cell r="J3743"/>
          <cell r="O3743"/>
          <cell r="W3743"/>
          <cell r="X3743"/>
          <cell r="Y3743"/>
        </row>
        <row r="3744">
          <cell r="F3744"/>
          <cell r="J3744"/>
          <cell r="O3744"/>
          <cell r="W3744"/>
          <cell r="X3744"/>
          <cell r="Y3744"/>
        </row>
        <row r="3745">
          <cell r="F3745"/>
          <cell r="J3745"/>
          <cell r="O3745"/>
          <cell r="W3745"/>
          <cell r="X3745"/>
          <cell r="Y3745"/>
        </row>
        <row r="3746">
          <cell r="F3746"/>
          <cell r="J3746"/>
          <cell r="O3746"/>
          <cell r="W3746"/>
          <cell r="X3746"/>
          <cell r="Y3746"/>
        </row>
        <row r="3747">
          <cell r="F3747"/>
          <cell r="J3747"/>
          <cell r="O3747"/>
          <cell r="W3747"/>
          <cell r="X3747"/>
          <cell r="Y3747"/>
        </row>
        <row r="3748">
          <cell r="F3748"/>
          <cell r="J3748"/>
          <cell r="O3748"/>
          <cell r="W3748"/>
          <cell r="X3748"/>
          <cell r="Y3748"/>
        </row>
        <row r="3749">
          <cell r="F3749"/>
          <cell r="J3749"/>
          <cell r="O3749"/>
          <cell r="W3749"/>
          <cell r="X3749"/>
          <cell r="Y3749"/>
        </row>
        <row r="3750">
          <cell r="F3750"/>
          <cell r="J3750"/>
          <cell r="O3750"/>
          <cell r="W3750"/>
          <cell r="X3750"/>
          <cell r="Y3750"/>
        </row>
        <row r="3751">
          <cell r="F3751"/>
          <cell r="J3751"/>
          <cell r="O3751"/>
          <cell r="W3751"/>
          <cell r="X3751"/>
          <cell r="Y3751"/>
        </row>
        <row r="3752">
          <cell r="F3752"/>
          <cell r="J3752"/>
          <cell r="O3752"/>
          <cell r="W3752"/>
          <cell r="X3752"/>
          <cell r="Y3752"/>
        </row>
        <row r="3753">
          <cell r="F3753"/>
          <cell r="J3753"/>
          <cell r="O3753"/>
          <cell r="W3753"/>
          <cell r="X3753"/>
          <cell r="Y3753"/>
        </row>
        <row r="3754">
          <cell r="F3754"/>
          <cell r="J3754"/>
          <cell r="O3754"/>
          <cell r="W3754"/>
          <cell r="X3754"/>
          <cell r="Y3754"/>
        </row>
        <row r="3755">
          <cell r="F3755"/>
          <cell r="J3755"/>
          <cell r="O3755"/>
          <cell r="W3755"/>
          <cell r="X3755"/>
          <cell r="Y3755"/>
        </row>
        <row r="3756">
          <cell r="F3756"/>
          <cell r="J3756"/>
          <cell r="O3756"/>
          <cell r="W3756"/>
          <cell r="X3756"/>
          <cell r="Y3756"/>
        </row>
        <row r="3757">
          <cell r="F3757"/>
          <cell r="J3757"/>
          <cell r="O3757"/>
          <cell r="W3757"/>
          <cell r="X3757"/>
          <cell r="Y3757"/>
        </row>
        <row r="3758">
          <cell r="F3758"/>
          <cell r="J3758"/>
          <cell r="O3758"/>
          <cell r="W3758"/>
          <cell r="X3758"/>
          <cell r="Y3758"/>
        </row>
        <row r="3759">
          <cell r="F3759"/>
          <cell r="J3759"/>
          <cell r="O3759"/>
          <cell r="W3759"/>
          <cell r="X3759"/>
          <cell r="Y3759"/>
        </row>
        <row r="3760">
          <cell r="F3760"/>
          <cell r="J3760"/>
          <cell r="O3760"/>
          <cell r="W3760"/>
          <cell r="X3760"/>
          <cell r="Y3760"/>
        </row>
        <row r="3761">
          <cell r="F3761"/>
          <cell r="J3761"/>
          <cell r="O3761"/>
          <cell r="W3761"/>
          <cell r="X3761"/>
          <cell r="Y3761"/>
        </row>
        <row r="3762">
          <cell r="F3762"/>
          <cell r="J3762"/>
          <cell r="O3762"/>
          <cell r="W3762"/>
          <cell r="X3762"/>
          <cell r="Y3762"/>
        </row>
        <row r="3763">
          <cell r="F3763"/>
          <cell r="J3763"/>
          <cell r="O3763"/>
          <cell r="W3763"/>
          <cell r="X3763"/>
          <cell r="Y3763"/>
        </row>
        <row r="3764">
          <cell r="F3764"/>
          <cell r="J3764"/>
          <cell r="O3764"/>
          <cell r="W3764"/>
          <cell r="X3764"/>
          <cell r="Y3764"/>
        </row>
        <row r="3765">
          <cell r="F3765"/>
          <cell r="J3765"/>
          <cell r="O3765"/>
          <cell r="W3765"/>
          <cell r="X3765"/>
          <cell r="Y3765"/>
        </row>
        <row r="3766">
          <cell r="F3766"/>
          <cell r="J3766"/>
          <cell r="O3766"/>
          <cell r="W3766"/>
          <cell r="X3766"/>
          <cell r="Y3766"/>
        </row>
        <row r="3767">
          <cell r="F3767"/>
          <cell r="J3767"/>
          <cell r="O3767"/>
          <cell r="W3767"/>
          <cell r="X3767"/>
          <cell r="Y3767"/>
        </row>
        <row r="3768">
          <cell r="F3768"/>
          <cell r="J3768"/>
          <cell r="O3768"/>
          <cell r="W3768"/>
          <cell r="X3768"/>
          <cell r="Y3768"/>
        </row>
        <row r="3769">
          <cell r="F3769"/>
          <cell r="J3769"/>
          <cell r="O3769"/>
          <cell r="W3769"/>
          <cell r="X3769"/>
          <cell r="Y3769"/>
        </row>
        <row r="3770">
          <cell r="F3770"/>
          <cell r="J3770"/>
          <cell r="O3770"/>
          <cell r="W3770"/>
          <cell r="X3770"/>
          <cell r="Y3770"/>
        </row>
        <row r="3771">
          <cell r="F3771"/>
          <cell r="J3771"/>
          <cell r="O3771"/>
          <cell r="W3771"/>
          <cell r="X3771"/>
          <cell r="Y3771"/>
        </row>
        <row r="3772">
          <cell r="F3772"/>
          <cell r="J3772"/>
          <cell r="O3772"/>
          <cell r="W3772"/>
          <cell r="X3772"/>
          <cell r="Y3772"/>
        </row>
        <row r="3773">
          <cell r="F3773"/>
          <cell r="J3773"/>
          <cell r="O3773"/>
          <cell r="W3773"/>
          <cell r="X3773"/>
          <cell r="Y3773"/>
        </row>
        <row r="3774">
          <cell r="F3774"/>
          <cell r="J3774"/>
          <cell r="O3774"/>
          <cell r="W3774"/>
          <cell r="X3774"/>
          <cell r="Y3774"/>
        </row>
        <row r="3775">
          <cell r="F3775"/>
          <cell r="J3775"/>
          <cell r="O3775"/>
          <cell r="W3775"/>
          <cell r="X3775"/>
          <cell r="Y3775"/>
        </row>
        <row r="3776">
          <cell r="F3776"/>
          <cell r="J3776"/>
          <cell r="O3776"/>
          <cell r="W3776"/>
          <cell r="X3776"/>
          <cell r="Y3776"/>
        </row>
        <row r="3777">
          <cell r="F3777"/>
          <cell r="J3777"/>
          <cell r="O3777"/>
          <cell r="W3777"/>
          <cell r="X3777"/>
          <cell r="Y3777"/>
        </row>
        <row r="3778">
          <cell r="F3778"/>
          <cell r="J3778"/>
          <cell r="O3778"/>
          <cell r="W3778"/>
          <cell r="X3778"/>
          <cell r="Y3778"/>
        </row>
        <row r="3779">
          <cell r="F3779"/>
          <cell r="J3779"/>
          <cell r="O3779"/>
          <cell r="W3779"/>
          <cell r="X3779"/>
          <cell r="Y3779"/>
        </row>
        <row r="3780">
          <cell r="F3780"/>
          <cell r="J3780"/>
          <cell r="O3780"/>
          <cell r="W3780"/>
          <cell r="X3780"/>
          <cell r="Y3780"/>
        </row>
        <row r="3781">
          <cell r="F3781"/>
          <cell r="J3781"/>
          <cell r="O3781"/>
          <cell r="W3781"/>
          <cell r="X3781"/>
          <cell r="Y3781"/>
        </row>
        <row r="3782">
          <cell r="F3782"/>
          <cell r="J3782"/>
          <cell r="O3782"/>
          <cell r="W3782"/>
          <cell r="X3782"/>
          <cell r="Y3782"/>
        </row>
        <row r="3783">
          <cell r="F3783"/>
          <cell r="J3783"/>
          <cell r="O3783"/>
          <cell r="W3783"/>
          <cell r="X3783"/>
          <cell r="Y3783"/>
        </row>
        <row r="3784">
          <cell r="F3784"/>
          <cell r="J3784"/>
          <cell r="O3784"/>
          <cell r="W3784"/>
          <cell r="X3784"/>
          <cell r="Y3784"/>
        </row>
        <row r="3785">
          <cell r="F3785"/>
          <cell r="J3785"/>
          <cell r="O3785"/>
          <cell r="W3785"/>
          <cell r="X3785"/>
          <cell r="Y3785"/>
        </row>
        <row r="3786">
          <cell r="F3786"/>
          <cell r="J3786"/>
          <cell r="O3786"/>
          <cell r="W3786"/>
          <cell r="X3786"/>
          <cell r="Y3786"/>
        </row>
        <row r="3787">
          <cell r="F3787"/>
          <cell r="J3787"/>
          <cell r="O3787"/>
          <cell r="W3787"/>
          <cell r="X3787"/>
          <cell r="Y3787"/>
        </row>
        <row r="3788">
          <cell r="F3788"/>
          <cell r="J3788"/>
          <cell r="O3788"/>
          <cell r="W3788"/>
          <cell r="X3788"/>
          <cell r="Y3788"/>
        </row>
        <row r="3789">
          <cell r="F3789"/>
          <cell r="J3789"/>
          <cell r="O3789"/>
          <cell r="W3789"/>
          <cell r="X3789"/>
          <cell r="Y3789"/>
        </row>
        <row r="3790">
          <cell r="F3790"/>
          <cell r="J3790"/>
          <cell r="O3790"/>
          <cell r="W3790"/>
          <cell r="X3790"/>
          <cell r="Y3790"/>
        </row>
        <row r="3791">
          <cell r="F3791"/>
          <cell r="J3791"/>
          <cell r="O3791"/>
          <cell r="W3791"/>
          <cell r="X3791"/>
          <cell r="Y3791"/>
        </row>
        <row r="3792">
          <cell r="F3792"/>
          <cell r="J3792"/>
          <cell r="O3792"/>
          <cell r="W3792"/>
          <cell r="X3792"/>
          <cell r="Y3792"/>
        </row>
        <row r="3793">
          <cell r="F3793"/>
          <cell r="J3793"/>
          <cell r="O3793"/>
          <cell r="W3793"/>
          <cell r="X3793"/>
          <cell r="Y3793"/>
        </row>
        <row r="3794">
          <cell r="F3794"/>
          <cell r="J3794"/>
          <cell r="O3794"/>
          <cell r="W3794"/>
          <cell r="X3794"/>
          <cell r="Y3794"/>
        </row>
        <row r="3795">
          <cell r="F3795"/>
          <cell r="J3795"/>
          <cell r="O3795"/>
          <cell r="W3795"/>
          <cell r="X3795"/>
          <cell r="Y3795"/>
        </row>
        <row r="3796">
          <cell r="F3796"/>
          <cell r="J3796"/>
          <cell r="O3796"/>
          <cell r="W3796"/>
          <cell r="X3796"/>
          <cell r="Y3796"/>
        </row>
        <row r="3797">
          <cell r="F3797"/>
          <cell r="J3797"/>
          <cell r="O3797"/>
          <cell r="W3797"/>
          <cell r="X3797"/>
          <cell r="Y3797"/>
        </row>
        <row r="3798">
          <cell r="F3798"/>
          <cell r="J3798"/>
          <cell r="O3798"/>
          <cell r="W3798"/>
          <cell r="X3798"/>
          <cell r="Y3798"/>
        </row>
        <row r="3799">
          <cell r="F3799"/>
          <cell r="J3799"/>
          <cell r="O3799"/>
          <cell r="W3799"/>
          <cell r="X3799"/>
          <cell r="Y3799"/>
        </row>
        <row r="3800">
          <cell r="F3800"/>
          <cell r="J3800"/>
          <cell r="O3800"/>
          <cell r="W3800"/>
          <cell r="X3800"/>
          <cell r="Y3800"/>
        </row>
        <row r="3801">
          <cell r="F3801"/>
          <cell r="J3801"/>
          <cell r="O3801"/>
          <cell r="W3801"/>
          <cell r="X3801"/>
          <cell r="Y3801"/>
        </row>
        <row r="3802">
          <cell r="F3802"/>
          <cell r="J3802"/>
          <cell r="O3802"/>
          <cell r="W3802"/>
          <cell r="X3802"/>
          <cell r="Y3802"/>
        </row>
        <row r="3803">
          <cell r="F3803"/>
          <cell r="J3803"/>
          <cell r="O3803"/>
          <cell r="W3803"/>
          <cell r="X3803"/>
          <cell r="Y3803"/>
        </row>
        <row r="3804">
          <cell r="F3804"/>
          <cell r="J3804"/>
          <cell r="O3804"/>
          <cell r="W3804"/>
          <cell r="X3804"/>
          <cell r="Y3804"/>
        </row>
        <row r="3805">
          <cell r="F3805"/>
          <cell r="J3805"/>
          <cell r="O3805"/>
          <cell r="W3805"/>
          <cell r="X3805"/>
          <cell r="Y3805"/>
        </row>
        <row r="3806">
          <cell r="F3806"/>
          <cell r="J3806"/>
          <cell r="O3806"/>
          <cell r="W3806"/>
          <cell r="X3806"/>
          <cell r="Y3806"/>
        </row>
        <row r="3807">
          <cell r="F3807"/>
          <cell r="J3807"/>
          <cell r="O3807"/>
          <cell r="W3807"/>
          <cell r="X3807"/>
          <cell r="Y3807"/>
        </row>
        <row r="3808">
          <cell r="F3808"/>
          <cell r="J3808"/>
          <cell r="O3808"/>
          <cell r="W3808"/>
          <cell r="X3808"/>
          <cell r="Y3808"/>
        </row>
        <row r="3809">
          <cell r="F3809"/>
          <cell r="J3809"/>
          <cell r="O3809"/>
          <cell r="W3809"/>
          <cell r="X3809"/>
          <cell r="Y3809"/>
        </row>
        <row r="3810">
          <cell r="F3810"/>
          <cell r="J3810"/>
          <cell r="O3810"/>
          <cell r="W3810"/>
          <cell r="X3810"/>
          <cell r="Y3810"/>
        </row>
        <row r="3811">
          <cell r="F3811"/>
          <cell r="J3811"/>
          <cell r="O3811"/>
          <cell r="W3811"/>
          <cell r="X3811"/>
          <cell r="Y3811"/>
        </row>
        <row r="3812">
          <cell r="F3812"/>
          <cell r="J3812"/>
          <cell r="O3812"/>
          <cell r="W3812"/>
          <cell r="X3812"/>
          <cell r="Y3812"/>
        </row>
        <row r="3813">
          <cell r="F3813"/>
          <cell r="J3813"/>
          <cell r="O3813"/>
          <cell r="W3813"/>
          <cell r="X3813"/>
          <cell r="Y3813"/>
        </row>
        <row r="3814">
          <cell r="F3814"/>
          <cell r="J3814"/>
          <cell r="O3814"/>
          <cell r="W3814"/>
          <cell r="X3814"/>
          <cell r="Y3814"/>
        </row>
        <row r="3815">
          <cell r="F3815"/>
          <cell r="J3815"/>
          <cell r="O3815"/>
          <cell r="W3815"/>
          <cell r="X3815"/>
          <cell r="Y3815"/>
        </row>
        <row r="3816">
          <cell r="F3816"/>
          <cell r="J3816"/>
          <cell r="O3816"/>
          <cell r="W3816"/>
          <cell r="X3816"/>
          <cell r="Y3816"/>
        </row>
        <row r="3817">
          <cell r="F3817"/>
          <cell r="J3817"/>
          <cell r="O3817"/>
          <cell r="W3817"/>
          <cell r="X3817"/>
          <cell r="Y3817"/>
        </row>
        <row r="3818">
          <cell r="F3818"/>
          <cell r="J3818"/>
          <cell r="O3818"/>
          <cell r="W3818"/>
          <cell r="X3818"/>
          <cell r="Y3818"/>
        </row>
        <row r="3819">
          <cell r="F3819"/>
          <cell r="J3819"/>
          <cell r="O3819"/>
          <cell r="W3819"/>
          <cell r="X3819"/>
          <cell r="Y3819"/>
        </row>
        <row r="3820">
          <cell r="F3820"/>
          <cell r="J3820"/>
          <cell r="O3820"/>
          <cell r="W3820"/>
          <cell r="X3820"/>
          <cell r="Y3820"/>
        </row>
        <row r="3821">
          <cell r="F3821"/>
          <cell r="J3821"/>
          <cell r="O3821"/>
          <cell r="W3821"/>
          <cell r="X3821"/>
          <cell r="Y3821"/>
        </row>
        <row r="3822">
          <cell r="F3822"/>
          <cell r="J3822"/>
          <cell r="O3822"/>
          <cell r="W3822"/>
          <cell r="X3822"/>
          <cell r="Y3822"/>
        </row>
        <row r="3823">
          <cell r="F3823"/>
          <cell r="J3823"/>
          <cell r="O3823"/>
          <cell r="W3823"/>
          <cell r="X3823"/>
          <cell r="Y3823"/>
        </row>
        <row r="3824">
          <cell r="F3824"/>
          <cell r="J3824"/>
          <cell r="O3824"/>
          <cell r="W3824"/>
          <cell r="X3824"/>
          <cell r="Y3824"/>
        </row>
        <row r="3825">
          <cell r="F3825"/>
          <cell r="J3825"/>
          <cell r="O3825"/>
          <cell r="W3825"/>
          <cell r="X3825"/>
          <cell r="Y3825"/>
        </row>
        <row r="3826">
          <cell r="F3826"/>
          <cell r="J3826"/>
          <cell r="O3826"/>
          <cell r="W3826"/>
          <cell r="X3826"/>
          <cell r="Y3826"/>
        </row>
        <row r="3827">
          <cell r="F3827"/>
          <cell r="J3827"/>
          <cell r="O3827"/>
          <cell r="W3827"/>
          <cell r="X3827"/>
          <cell r="Y3827"/>
        </row>
        <row r="3828">
          <cell r="F3828"/>
          <cell r="J3828"/>
          <cell r="O3828"/>
          <cell r="W3828"/>
          <cell r="X3828"/>
          <cell r="Y3828"/>
        </row>
        <row r="3829">
          <cell r="F3829"/>
          <cell r="J3829"/>
          <cell r="O3829"/>
          <cell r="W3829"/>
          <cell r="X3829"/>
          <cell r="Y3829"/>
        </row>
        <row r="3830">
          <cell r="F3830"/>
          <cell r="J3830"/>
          <cell r="O3830"/>
          <cell r="W3830"/>
          <cell r="X3830"/>
          <cell r="Y3830"/>
        </row>
        <row r="3831">
          <cell r="F3831"/>
          <cell r="J3831"/>
          <cell r="O3831"/>
          <cell r="W3831"/>
          <cell r="X3831"/>
          <cell r="Y3831"/>
        </row>
        <row r="3832">
          <cell r="F3832"/>
          <cell r="J3832"/>
          <cell r="O3832"/>
          <cell r="W3832"/>
          <cell r="X3832"/>
          <cell r="Y3832"/>
        </row>
        <row r="3833">
          <cell r="F3833"/>
          <cell r="J3833"/>
          <cell r="O3833"/>
          <cell r="W3833"/>
          <cell r="X3833"/>
          <cell r="Y3833"/>
        </row>
        <row r="3834">
          <cell r="F3834"/>
          <cell r="J3834"/>
          <cell r="O3834"/>
          <cell r="W3834"/>
          <cell r="X3834"/>
          <cell r="Y3834"/>
        </row>
        <row r="3835">
          <cell r="F3835"/>
          <cell r="J3835"/>
          <cell r="O3835"/>
          <cell r="W3835"/>
          <cell r="X3835"/>
          <cell r="Y3835"/>
        </row>
        <row r="3836">
          <cell r="F3836"/>
          <cell r="J3836"/>
          <cell r="O3836"/>
          <cell r="W3836"/>
          <cell r="X3836"/>
          <cell r="Y3836"/>
        </row>
        <row r="3837">
          <cell r="F3837"/>
          <cell r="J3837"/>
          <cell r="O3837"/>
          <cell r="W3837"/>
          <cell r="X3837"/>
          <cell r="Y3837"/>
        </row>
        <row r="3838">
          <cell r="F3838"/>
          <cell r="J3838"/>
          <cell r="O3838"/>
          <cell r="W3838"/>
          <cell r="X3838"/>
          <cell r="Y3838"/>
        </row>
        <row r="3839">
          <cell r="F3839"/>
          <cell r="J3839"/>
          <cell r="O3839"/>
          <cell r="W3839"/>
          <cell r="X3839"/>
          <cell r="Y3839"/>
        </row>
        <row r="3840">
          <cell r="F3840"/>
          <cell r="J3840"/>
          <cell r="O3840"/>
          <cell r="W3840"/>
          <cell r="X3840"/>
          <cell r="Y3840"/>
        </row>
        <row r="3841">
          <cell r="F3841"/>
          <cell r="J3841"/>
          <cell r="O3841"/>
          <cell r="W3841"/>
          <cell r="X3841"/>
          <cell r="Y3841"/>
        </row>
        <row r="3842">
          <cell r="F3842"/>
          <cell r="J3842"/>
          <cell r="O3842"/>
          <cell r="W3842"/>
          <cell r="X3842"/>
          <cell r="Y3842"/>
        </row>
        <row r="3843">
          <cell r="F3843"/>
          <cell r="J3843"/>
          <cell r="O3843"/>
          <cell r="W3843"/>
          <cell r="X3843"/>
          <cell r="Y3843"/>
        </row>
        <row r="3844">
          <cell r="F3844"/>
          <cell r="J3844"/>
          <cell r="O3844"/>
          <cell r="W3844"/>
          <cell r="X3844"/>
          <cell r="Y3844"/>
        </row>
        <row r="3845">
          <cell r="F3845"/>
          <cell r="J3845"/>
          <cell r="O3845"/>
          <cell r="W3845"/>
          <cell r="X3845"/>
          <cell r="Y3845"/>
        </row>
        <row r="3846">
          <cell r="F3846"/>
          <cell r="J3846"/>
          <cell r="O3846"/>
          <cell r="W3846"/>
          <cell r="X3846"/>
          <cell r="Y3846"/>
        </row>
        <row r="3847">
          <cell r="F3847"/>
          <cell r="J3847"/>
          <cell r="O3847"/>
          <cell r="W3847"/>
          <cell r="X3847"/>
          <cell r="Y3847"/>
        </row>
        <row r="3848">
          <cell r="F3848"/>
          <cell r="J3848"/>
          <cell r="O3848"/>
          <cell r="W3848"/>
          <cell r="X3848"/>
          <cell r="Y3848"/>
        </row>
        <row r="3849">
          <cell r="F3849"/>
          <cell r="J3849"/>
          <cell r="O3849"/>
          <cell r="W3849"/>
          <cell r="X3849"/>
          <cell r="Y3849"/>
        </row>
        <row r="3850">
          <cell r="F3850"/>
          <cell r="J3850"/>
          <cell r="O3850"/>
          <cell r="W3850"/>
          <cell r="X3850"/>
          <cell r="Y3850"/>
        </row>
        <row r="3851">
          <cell r="F3851"/>
          <cell r="J3851"/>
          <cell r="O3851"/>
          <cell r="W3851"/>
          <cell r="X3851"/>
          <cell r="Y3851"/>
        </row>
        <row r="3852">
          <cell r="F3852"/>
          <cell r="J3852"/>
          <cell r="O3852"/>
          <cell r="W3852"/>
          <cell r="X3852"/>
          <cell r="Y3852"/>
        </row>
        <row r="3853">
          <cell r="F3853"/>
          <cell r="J3853"/>
          <cell r="O3853"/>
          <cell r="W3853"/>
          <cell r="X3853"/>
          <cell r="Y3853"/>
        </row>
        <row r="3854">
          <cell r="F3854"/>
          <cell r="J3854"/>
          <cell r="O3854"/>
          <cell r="W3854"/>
          <cell r="X3854"/>
          <cell r="Y3854"/>
        </row>
        <row r="3855">
          <cell r="F3855"/>
          <cell r="J3855"/>
          <cell r="O3855"/>
          <cell r="W3855"/>
          <cell r="X3855"/>
          <cell r="Y3855"/>
        </row>
        <row r="3856">
          <cell r="F3856"/>
          <cell r="J3856"/>
          <cell r="O3856"/>
          <cell r="W3856"/>
          <cell r="X3856"/>
          <cell r="Y3856"/>
        </row>
        <row r="3857">
          <cell r="F3857"/>
          <cell r="J3857"/>
          <cell r="O3857"/>
          <cell r="W3857"/>
          <cell r="X3857"/>
          <cell r="Y3857"/>
        </row>
        <row r="3858">
          <cell r="F3858"/>
          <cell r="J3858"/>
          <cell r="O3858"/>
          <cell r="W3858"/>
          <cell r="X3858"/>
          <cell r="Y3858"/>
        </row>
        <row r="3859">
          <cell r="F3859"/>
          <cell r="J3859"/>
          <cell r="O3859"/>
          <cell r="W3859"/>
          <cell r="X3859"/>
          <cell r="Y3859"/>
        </row>
        <row r="3860">
          <cell r="F3860"/>
          <cell r="J3860"/>
          <cell r="O3860"/>
          <cell r="W3860"/>
          <cell r="X3860"/>
          <cell r="Y3860"/>
        </row>
        <row r="3861">
          <cell r="F3861"/>
          <cell r="J3861"/>
          <cell r="O3861"/>
          <cell r="W3861"/>
          <cell r="X3861"/>
          <cell r="Y3861"/>
        </row>
        <row r="3862">
          <cell r="F3862"/>
          <cell r="J3862"/>
          <cell r="O3862"/>
          <cell r="W3862"/>
          <cell r="X3862"/>
          <cell r="Y3862"/>
        </row>
        <row r="3863">
          <cell r="F3863"/>
          <cell r="J3863"/>
          <cell r="O3863"/>
          <cell r="W3863"/>
          <cell r="X3863"/>
          <cell r="Y3863"/>
        </row>
        <row r="3864">
          <cell r="F3864"/>
          <cell r="J3864"/>
          <cell r="O3864"/>
          <cell r="W3864"/>
          <cell r="X3864"/>
          <cell r="Y3864"/>
        </row>
        <row r="3865">
          <cell r="F3865"/>
          <cell r="J3865"/>
          <cell r="O3865"/>
          <cell r="W3865"/>
          <cell r="X3865"/>
          <cell r="Y3865"/>
        </row>
        <row r="3866">
          <cell r="F3866"/>
          <cell r="J3866"/>
          <cell r="O3866"/>
          <cell r="W3866"/>
          <cell r="X3866"/>
          <cell r="Y3866"/>
        </row>
        <row r="3867">
          <cell r="F3867"/>
          <cell r="J3867"/>
          <cell r="O3867"/>
          <cell r="W3867"/>
          <cell r="X3867"/>
          <cell r="Y3867"/>
        </row>
        <row r="3868">
          <cell r="F3868"/>
          <cell r="J3868"/>
          <cell r="O3868"/>
          <cell r="W3868"/>
          <cell r="X3868"/>
          <cell r="Y3868"/>
        </row>
        <row r="3869">
          <cell r="F3869"/>
          <cell r="J3869"/>
          <cell r="O3869"/>
          <cell r="W3869"/>
          <cell r="X3869"/>
          <cell r="Y3869"/>
        </row>
        <row r="3870">
          <cell r="F3870"/>
          <cell r="J3870"/>
          <cell r="O3870"/>
          <cell r="W3870"/>
          <cell r="X3870"/>
          <cell r="Y3870"/>
        </row>
        <row r="3871">
          <cell r="F3871"/>
          <cell r="J3871"/>
          <cell r="O3871"/>
          <cell r="W3871"/>
          <cell r="X3871"/>
          <cell r="Y3871"/>
        </row>
        <row r="3872">
          <cell r="F3872"/>
          <cell r="J3872"/>
          <cell r="O3872"/>
          <cell r="W3872"/>
          <cell r="X3872"/>
          <cell r="Y3872"/>
        </row>
        <row r="3873">
          <cell r="F3873"/>
          <cell r="J3873"/>
          <cell r="O3873"/>
          <cell r="W3873"/>
          <cell r="X3873"/>
          <cell r="Y3873"/>
        </row>
        <row r="3874">
          <cell r="F3874"/>
          <cell r="J3874"/>
          <cell r="O3874"/>
          <cell r="W3874"/>
          <cell r="X3874"/>
          <cell r="Y3874"/>
        </row>
        <row r="3875">
          <cell r="F3875"/>
          <cell r="J3875"/>
          <cell r="O3875"/>
          <cell r="W3875"/>
          <cell r="X3875"/>
          <cell r="Y3875"/>
        </row>
        <row r="3876">
          <cell r="F3876"/>
          <cell r="J3876"/>
          <cell r="O3876"/>
          <cell r="W3876"/>
          <cell r="X3876"/>
          <cell r="Y3876"/>
        </row>
        <row r="3877">
          <cell r="F3877"/>
          <cell r="J3877"/>
          <cell r="O3877"/>
          <cell r="W3877"/>
          <cell r="X3877"/>
          <cell r="Y3877"/>
        </row>
        <row r="3878">
          <cell r="F3878"/>
          <cell r="J3878"/>
          <cell r="O3878"/>
          <cell r="W3878"/>
          <cell r="X3878"/>
          <cell r="Y3878"/>
        </row>
        <row r="3879">
          <cell r="F3879"/>
          <cell r="J3879"/>
          <cell r="O3879"/>
          <cell r="W3879"/>
          <cell r="X3879"/>
          <cell r="Y3879"/>
        </row>
        <row r="3880">
          <cell r="F3880"/>
          <cell r="J3880"/>
          <cell r="O3880"/>
          <cell r="W3880"/>
          <cell r="X3880"/>
          <cell r="Y3880"/>
        </row>
        <row r="3881">
          <cell r="F3881"/>
          <cell r="J3881"/>
          <cell r="O3881"/>
          <cell r="W3881"/>
          <cell r="X3881"/>
          <cell r="Y3881"/>
        </row>
        <row r="3882">
          <cell r="F3882"/>
          <cell r="J3882"/>
          <cell r="O3882"/>
          <cell r="W3882"/>
          <cell r="X3882"/>
          <cell r="Y3882"/>
        </row>
        <row r="3883">
          <cell r="F3883"/>
          <cell r="J3883"/>
          <cell r="O3883"/>
          <cell r="W3883"/>
          <cell r="X3883"/>
          <cell r="Y3883"/>
        </row>
        <row r="3884">
          <cell r="F3884"/>
          <cell r="J3884"/>
          <cell r="O3884"/>
          <cell r="W3884"/>
          <cell r="X3884"/>
          <cell r="Y3884"/>
        </row>
        <row r="3885">
          <cell r="F3885"/>
          <cell r="J3885"/>
          <cell r="O3885"/>
          <cell r="W3885"/>
          <cell r="X3885"/>
          <cell r="Y3885"/>
        </row>
        <row r="3886">
          <cell r="F3886"/>
          <cell r="J3886"/>
          <cell r="O3886"/>
          <cell r="W3886"/>
          <cell r="X3886"/>
          <cell r="Y3886"/>
        </row>
        <row r="3887">
          <cell r="F3887"/>
          <cell r="J3887"/>
          <cell r="O3887"/>
          <cell r="W3887"/>
          <cell r="X3887"/>
          <cell r="Y3887"/>
        </row>
        <row r="3888">
          <cell r="F3888"/>
          <cell r="J3888"/>
          <cell r="O3888"/>
          <cell r="W3888"/>
          <cell r="X3888"/>
          <cell r="Y3888"/>
        </row>
        <row r="3889">
          <cell r="F3889"/>
          <cell r="J3889"/>
          <cell r="O3889"/>
          <cell r="W3889"/>
          <cell r="X3889"/>
          <cell r="Y3889"/>
        </row>
        <row r="3890">
          <cell r="F3890"/>
          <cell r="J3890"/>
          <cell r="O3890"/>
          <cell r="W3890"/>
          <cell r="X3890"/>
          <cell r="Y3890"/>
        </row>
        <row r="3891">
          <cell r="F3891"/>
          <cell r="J3891"/>
          <cell r="O3891"/>
          <cell r="W3891"/>
          <cell r="X3891"/>
          <cell r="Y3891"/>
        </row>
        <row r="3892">
          <cell r="F3892"/>
          <cell r="J3892"/>
          <cell r="O3892"/>
          <cell r="W3892"/>
          <cell r="X3892"/>
          <cell r="Y3892"/>
        </row>
        <row r="3893">
          <cell r="F3893"/>
          <cell r="J3893"/>
          <cell r="O3893"/>
          <cell r="W3893"/>
          <cell r="X3893"/>
          <cell r="Y3893"/>
        </row>
        <row r="3894">
          <cell r="F3894"/>
          <cell r="J3894"/>
          <cell r="O3894"/>
          <cell r="W3894"/>
          <cell r="X3894"/>
          <cell r="Y3894"/>
        </row>
        <row r="3895">
          <cell r="F3895"/>
          <cell r="J3895"/>
          <cell r="O3895"/>
          <cell r="W3895"/>
          <cell r="X3895"/>
          <cell r="Y3895"/>
        </row>
        <row r="3896">
          <cell r="F3896"/>
          <cell r="J3896"/>
          <cell r="O3896"/>
          <cell r="W3896"/>
          <cell r="X3896"/>
          <cell r="Y3896"/>
        </row>
        <row r="3897">
          <cell r="F3897"/>
          <cell r="J3897"/>
          <cell r="O3897"/>
          <cell r="W3897"/>
          <cell r="X3897"/>
          <cell r="Y3897"/>
        </row>
        <row r="3898">
          <cell r="F3898"/>
          <cell r="J3898"/>
          <cell r="O3898"/>
          <cell r="W3898"/>
          <cell r="X3898"/>
          <cell r="Y3898"/>
        </row>
        <row r="3899">
          <cell r="F3899"/>
          <cell r="J3899"/>
          <cell r="O3899"/>
          <cell r="W3899"/>
          <cell r="X3899"/>
          <cell r="Y3899"/>
        </row>
        <row r="3900">
          <cell r="F3900"/>
          <cell r="J3900"/>
          <cell r="O3900"/>
          <cell r="W3900"/>
          <cell r="X3900"/>
          <cell r="Y3900"/>
        </row>
        <row r="3901">
          <cell r="F3901"/>
          <cell r="J3901"/>
          <cell r="O3901"/>
          <cell r="W3901"/>
          <cell r="X3901"/>
          <cell r="Y3901"/>
        </row>
        <row r="3902">
          <cell r="F3902"/>
          <cell r="J3902"/>
          <cell r="O3902"/>
          <cell r="W3902"/>
          <cell r="X3902"/>
          <cell r="Y3902"/>
        </row>
        <row r="3903">
          <cell r="F3903"/>
          <cell r="J3903"/>
          <cell r="O3903"/>
          <cell r="W3903"/>
          <cell r="X3903"/>
          <cell r="Y3903"/>
        </row>
        <row r="3904">
          <cell r="F3904"/>
          <cell r="J3904"/>
          <cell r="O3904"/>
          <cell r="W3904"/>
          <cell r="X3904"/>
          <cell r="Y3904"/>
        </row>
        <row r="3905">
          <cell r="F3905"/>
          <cell r="J3905"/>
          <cell r="O3905"/>
          <cell r="W3905"/>
          <cell r="X3905"/>
          <cell r="Y3905"/>
        </row>
        <row r="3906">
          <cell r="F3906"/>
          <cell r="J3906"/>
          <cell r="O3906"/>
          <cell r="W3906"/>
          <cell r="X3906"/>
          <cell r="Y3906"/>
        </row>
        <row r="3907">
          <cell r="F3907"/>
          <cell r="J3907"/>
          <cell r="O3907"/>
          <cell r="W3907"/>
          <cell r="X3907"/>
          <cell r="Y3907"/>
        </row>
        <row r="3908">
          <cell r="F3908"/>
          <cell r="J3908"/>
          <cell r="O3908"/>
          <cell r="W3908"/>
          <cell r="X3908"/>
          <cell r="Y3908"/>
        </row>
        <row r="3909">
          <cell r="F3909"/>
          <cell r="J3909"/>
          <cell r="O3909"/>
          <cell r="W3909"/>
          <cell r="X3909"/>
          <cell r="Y3909"/>
        </row>
        <row r="3910">
          <cell r="F3910"/>
          <cell r="J3910"/>
          <cell r="O3910"/>
          <cell r="W3910"/>
          <cell r="X3910"/>
          <cell r="Y3910"/>
        </row>
        <row r="3911">
          <cell r="F3911"/>
          <cell r="J3911"/>
          <cell r="O3911"/>
          <cell r="W3911"/>
          <cell r="X3911"/>
          <cell r="Y3911"/>
        </row>
        <row r="3912">
          <cell r="F3912"/>
          <cell r="J3912"/>
          <cell r="O3912"/>
          <cell r="W3912"/>
          <cell r="X3912"/>
          <cell r="Y3912"/>
        </row>
        <row r="3913">
          <cell r="F3913"/>
          <cell r="J3913"/>
          <cell r="O3913"/>
          <cell r="W3913"/>
          <cell r="X3913"/>
          <cell r="Y3913"/>
        </row>
        <row r="3914">
          <cell r="F3914"/>
          <cell r="J3914"/>
          <cell r="O3914"/>
          <cell r="W3914"/>
          <cell r="X3914"/>
          <cell r="Y3914"/>
        </row>
        <row r="3915">
          <cell r="F3915"/>
          <cell r="J3915"/>
          <cell r="O3915"/>
          <cell r="W3915"/>
          <cell r="X3915"/>
          <cell r="Y3915"/>
        </row>
        <row r="3916">
          <cell r="F3916"/>
          <cell r="J3916"/>
          <cell r="O3916"/>
          <cell r="W3916"/>
          <cell r="X3916"/>
          <cell r="Y3916"/>
        </row>
        <row r="3917">
          <cell r="F3917"/>
          <cell r="J3917"/>
          <cell r="O3917"/>
          <cell r="W3917"/>
          <cell r="X3917"/>
          <cell r="Y3917"/>
        </row>
        <row r="3918">
          <cell r="F3918"/>
          <cell r="J3918"/>
          <cell r="O3918"/>
          <cell r="W3918"/>
          <cell r="X3918"/>
          <cell r="Y3918"/>
        </row>
        <row r="3919">
          <cell r="F3919"/>
          <cell r="J3919"/>
          <cell r="O3919"/>
          <cell r="W3919"/>
          <cell r="X3919"/>
          <cell r="Y3919"/>
        </row>
        <row r="3920">
          <cell r="F3920"/>
          <cell r="J3920"/>
          <cell r="O3920"/>
          <cell r="W3920"/>
          <cell r="X3920"/>
          <cell r="Y3920"/>
        </row>
        <row r="3921">
          <cell r="F3921"/>
          <cell r="J3921"/>
          <cell r="O3921"/>
          <cell r="W3921"/>
          <cell r="X3921"/>
          <cell r="Y3921"/>
        </row>
        <row r="3922">
          <cell r="F3922"/>
          <cell r="J3922"/>
          <cell r="O3922"/>
          <cell r="W3922"/>
          <cell r="X3922"/>
          <cell r="Y3922"/>
        </row>
        <row r="3923">
          <cell r="F3923"/>
          <cell r="J3923"/>
          <cell r="O3923"/>
          <cell r="W3923"/>
          <cell r="X3923"/>
          <cell r="Y3923"/>
        </row>
        <row r="3924">
          <cell r="F3924"/>
          <cell r="J3924"/>
          <cell r="O3924"/>
          <cell r="W3924"/>
          <cell r="X3924"/>
          <cell r="Y3924"/>
        </row>
        <row r="3925">
          <cell r="F3925"/>
          <cell r="J3925"/>
          <cell r="O3925"/>
          <cell r="W3925"/>
          <cell r="X3925"/>
          <cell r="Y3925"/>
        </row>
        <row r="3926">
          <cell r="F3926"/>
          <cell r="J3926"/>
          <cell r="O3926"/>
          <cell r="W3926"/>
          <cell r="X3926"/>
          <cell r="Y3926"/>
        </row>
        <row r="3927">
          <cell r="F3927"/>
          <cell r="J3927"/>
          <cell r="O3927"/>
          <cell r="W3927"/>
          <cell r="X3927"/>
          <cell r="Y3927"/>
        </row>
        <row r="3928">
          <cell r="F3928"/>
          <cell r="J3928"/>
          <cell r="O3928"/>
          <cell r="W3928"/>
          <cell r="X3928"/>
          <cell r="Y3928"/>
        </row>
        <row r="3929">
          <cell r="F3929"/>
          <cell r="J3929"/>
          <cell r="O3929"/>
          <cell r="W3929"/>
          <cell r="X3929"/>
          <cell r="Y3929"/>
        </row>
        <row r="3930">
          <cell r="F3930"/>
          <cell r="J3930"/>
          <cell r="O3930"/>
          <cell r="W3930"/>
          <cell r="X3930"/>
          <cell r="Y3930"/>
        </row>
        <row r="3931">
          <cell r="F3931"/>
          <cell r="J3931"/>
          <cell r="O3931"/>
          <cell r="W3931"/>
          <cell r="X3931"/>
          <cell r="Y3931"/>
        </row>
        <row r="3932">
          <cell r="F3932"/>
          <cell r="J3932"/>
          <cell r="O3932"/>
          <cell r="W3932"/>
          <cell r="X3932"/>
          <cell r="Y3932"/>
        </row>
        <row r="3933">
          <cell r="F3933"/>
          <cell r="J3933"/>
          <cell r="O3933"/>
          <cell r="W3933"/>
          <cell r="X3933"/>
          <cell r="Y3933"/>
        </row>
        <row r="3934">
          <cell r="F3934"/>
          <cell r="J3934"/>
          <cell r="O3934"/>
          <cell r="W3934"/>
          <cell r="X3934"/>
          <cell r="Y3934"/>
        </row>
        <row r="3935">
          <cell r="F3935"/>
          <cell r="J3935"/>
          <cell r="O3935"/>
          <cell r="W3935"/>
          <cell r="X3935"/>
          <cell r="Y3935"/>
        </row>
        <row r="3936">
          <cell r="F3936"/>
          <cell r="J3936"/>
          <cell r="O3936"/>
          <cell r="W3936"/>
          <cell r="X3936"/>
          <cell r="Y3936"/>
        </row>
        <row r="3937">
          <cell r="F3937"/>
          <cell r="J3937"/>
          <cell r="O3937"/>
          <cell r="W3937"/>
          <cell r="X3937"/>
          <cell r="Y3937"/>
        </row>
        <row r="3938">
          <cell r="F3938"/>
          <cell r="J3938"/>
          <cell r="O3938"/>
          <cell r="W3938"/>
          <cell r="X3938"/>
          <cell r="Y3938"/>
        </row>
        <row r="3939">
          <cell r="F3939"/>
          <cell r="J3939"/>
          <cell r="O3939"/>
          <cell r="W3939"/>
          <cell r="X3939"/>
          <cell r="Y3939"/>
        </row>
        <row r="3940">
          <cell r="F3940"/>
          <cell r="J3940"/>
          <cell r="O3940"/>
          <cell r="W3940"/>
          <cell r="X3940"/>
          <cell r="Y3940"/>
        </row>
        <row r="3941">
          <cell r="F3941"/>
          <cell r="J3941"/>
          <cell r="O3941"/>
          <cell r="W3941"/>
          <cell r="X3941"/>
          <cell r="Y3941"/>
        </row>
        <row r="3942">
          <cell r="F3942"/>
          <cell r="J3942"/>
          <cell r="O3942"/>
          <cell r="W3942"/>
          <cell r="X3942"/>
          <cell r="Y3942"/>
        </row>
        <row r="3943">
          <cell r="F3943"/>
          <cell r="J3943"/>
          <cell r="O3943"/>
          <cell r="W3943"/>
          <cell r="X3943"/>
          <cell r="Y3943"/>
        </row>
        <row r="3944">
          <cell r="F3944"/>
          <cell r="J3944"/>
          <cell r="O3944"/>
          <cell r="W3944"/>
          <cell r="X3944"/>
          <cell r="Y3944"/>
        </row>
        <row r="3945">
          <cell r="F3945"/>
          <cell r="J3945"/>
          <cell r="O3945"/>
          <cell r="W3945"/>
          <cell r="X3945"/>
          <cell r="Y3945"/>
        </row>
        <row r="3946">
          <cell r="F3946"/>
          <cell r="J3946"/>
          <cell r="O3946"/>
          <cell r="W3946"/>
          <cell r="X3946"/>
          <cell r="Y3946"/>
        </row>
        <row r="3947">
          <cell r="F3947"/>
          <cell r="J3947"/>
          <cell r="O3947"/>
          <cell r="W3947"/>
          <cell r="X3947"/>
          <cell r="Y3947"/>
        </row>
        <row r="3948">
          <cell r="F3948"/>
          <cell r="J3948"/>
          <cell r="O3948"/>
          <cell r="W3948"/>
          <cell r="X3948"/>
          <cell r="Y3948"/>
        </row>
        <row r="3949">
          <cell r="F3949"/>
          <cell r="J3949"/>
          <cell r="O3949"/>
          <cell r="W3949"/>
          <cell r="X3949"/>
          <cell r="Y3949"/>
        </row>
        <row r="3950">
          <cell r="F3950"/>
          <cell r="J3950"/>
          <cell r="O3950"/>
          <cell r="W3950"/>
          <cell r="X3950"/>
          <cell r="Y3950"/>
        </row>
        <row r="3951">
          <cell r="F3951"/>
          <cell r="J3951"/>
          <cell r="O3951"/>
          <cell r="W3951"/>
          <cell r="X3951"/>
          <cell r="Y3951"/>
        </row>
        <row r="3952">
          <cell r="F3952"/>
          <cell r="J3952"/>
          <cell r="O3952"/>
          <cell r="W3952"/>
          <cell r="X3952"/>
          <cell r="Y3952"/>
        </row>
        <row r="3953">
          <cell r="F3953"/>
          <cell r="J3953"/>
          <cell r="O3953"/>
          <cell r="W3953"/>
          <cell r="X3953"/>
          <cell r="Y3953"/>
        </row>
        <row r="3954">
          <cell r="F3954"/>
          <cell r="J3954"/>
          <cell r="O3954"/>
          <cell r="W3954"/>
          <cell r="X3954"/>
          <cell r="Y3954"/>
        </row>
        <row r="3955">
          <cell r="F3955"/>
          <cell r="J3955"/>
          <cell r="O3955"/>
          <cell r="W3955"/>
          <cell r="X3955"/>
          <cell r="Y3955"/>
        </row>
        <row r="3956">
          <cell r="F3956"/>
          <cell r="J3956"/>
          <cell r="O3956"/>
          <cell r="W3956"/>
          <cell r="X3956"/>
          <cell r="Y3956"/>
        </row>
        <row r="3957">
          <cell r="F3957"/>
          <cell r="J3957"/>
          <cell r="O3957"/>
          <cell r="W3957"/>
          <cell r="X3957"/>
          <cell r="Y3957"/>
        </row>
        <row r="3958">
          <cell r="F3958"/>
          <cell r="J3958"/>
          <cell r="O3958"/>
          <cell r="W3958"/>
          <cell r="X3958"/>
          <cell r="Y3958"/>
        </row>
        <row r="3959">
          <cell r="F3959"/>
          <cell r="J3959"/>
          <cell r="O3959"/>
          <cell r="W3959"/>
          <cell r="X3959"/>
          <cell r="Y3959"/>
        </row>
        <row r="3960">
          <cell r="F3960"/>
          <cell r="J3960"/>
          <cell r="O3960"/>
          <cell r="W3960"/>
          <cell r="X3960"/>
          <cell r="Y3960"/>
        </row>
        <row r="3961">
          <cell r="F3961"/>
          <cell r="J3961"/>
          <cell r="O3961"/>
          <cell r="W3961"/>
          <cell r="X3961"/>
          <cell r="Y3961"/>
        </row>
        <row r="3962">
          <cell r="F3962"/>
          <cell r="J3962"/>
          <cell r="O3962"/>
          <cell r="W3962"/>
          <cell r="X3962"/>
          <cell r="Y3962"/>
        </row>
        <row r="3963">
          <cell r="F3963"/>
          <cell r="J3963"/>
          <cell r="O3963"/>
          <cell r="W3963"/>
          <cell r="X3963"/>
          <cell r="Y3963"/>
        </row>
        <row r="3964">
          <cell r="F3964"/>
          <cell r="J3964"/>
          <cell r="O3964"/>
          <cell r="W3964"/>
          <cell r="X3964"/>
          <cell r="Y3964"/>
        </row>
        <row r="3965">
          <cell r="F3965"/>
          <cell r="J3965"/>
          <cell r="O3965"/>
          <cell r="W3965"/>
          <cell r="X3965"/>
          <cell r="Y3965"/>
        </row>
        <row r="3966">
          <cell r="F3966"/>
          <cell r="J3966"/>
          <cell r="O3966"/>
          <cell r="W3966"/>
          <cell r="X3966"/>
          <cell r="Y3966"/>
        </row>
        <row r="3967">
          <cell r="F3967"/>
          <cell r="J3967"/>
          <cell r="O3967"/>
          <cell r="W3967"/>
          <cell r="X3967"/>
          <cell r="Y3967"/>
        </row>
        <row r="3968">
          <cell r="F3968"/>
          <cell r="J3968"/>
          <cell r="O3968"/>
          <cell r="W3968"/>
          <cell r="X3968"/>
          <cell r="Y3968"/>
        </row>
        <row r="3969">
          <cell r="F3969"/>
          <cell r="J3969"/>
          <cell r="O3969"/>
          <cell r="W3969"/>
          <cell r="X3969"/>
          <cell r="Y3969"/>
        </row>
        <row r="3970">
          <cell r="F3970"/>
          <cell r="J3970"/>
          <cell r="O3970"/>
          <cell r="W3970"/>
          <cell r="X3970"/>
          <cell r="Y3970"/>
        </row>
        <row r="3971">
          <cell r="F3971"/>
          <cell r="J3971"/>
          <cell r="O3971"/>
          <cell r="W3971"/>
          <cell r="X3971"/>
          <cell r="Y3971"/>
        </row>
        <row r="3972">
          <cell r="F3972"/>
          <cell r="J3972"/>
          <cell r="O3972"/>
          <cell r="W3972"/>
          <cell r="X3972"/>
          <cell r="Y3972"/>
        </row>
        <row r="3973">
          <cell r="F3973"/>
          <cell r="J3973"/>
          <cell r="O3973"/>
          <cell r="W3973"/>
          <cell r="X3973"/>
          <cell r="Y3973"/>
        </row>
        <row r="3974">
          <cell r="F3974"/>
          <cell r="J3974"/>
          <cell r="O3974"/>
          <cell r="W3974"/>
          <cell r="X3974"/>
          <cell r="Y3974"/>
        </row>
        <row r="3975">
          <cell r="F3975"/>
          <cell r="J3975"/>
          <cell r="O3975"/>
          <cell r="W3975"/>
          <cell r="X3975"/>
          <cell r="Y3975"/>
        </row>
        <row r="3976">
          <cell r="F3976"/>
          <cell r="J3976"/>
          <cell r="O3976"/>
          <cell r="W3976"/>
          <cell r="X3976"/>
          <cell r="Y3976"/>
        </row>
        <row r="3977">
          <cell r="F3977"/>
          <cell r="J3977"/>
          <cell r="O3977"/>
          <cell r="W3977"/>
          <cell r="X3977"/>
          <cell r="Y3977"/>
        </row>
        <row r="3978">
          <cell r="F3978"/>
          <cell r="J3978"/>
          <cell r="O3978"/>
          <cell r="W3978"/>
          <cell r="X3978"/>
          <cell r="Y3978"/>
        </row>
        <row r="3979">
          <cell r="F3979"/>
          <cell r="J3979"/>
          <cell r="O3979"/>
          <cell r="W3979"/>
          <cell r="X3979"/>
          <cell r="Y3979"/>
        </row>
        <row r="3980">
          <cell r="F3980"/>
          <cell r="J3980"/>
          <cell r="O3980"/>
          <cell r="W3980"/>
          <cell r="X3980"/>
          <cell r="Y3980"/>
        </row>
        <row r="3981">
          <cell r="F3981"/>
          <cell r="J3981"/>
          <cell r="O3981"/>
          <cell r="W3981"/>
          <cell r="X3981"/>
          <cell r="Y3981"/>
        </row>
        <row r="3982">
          <cell r="F3982"/>
          <cell r="J3982"/>
          <cell r="O3982"/>
          <cell r="W3982"/>
          <cell r="X3982"/>
          <cell r="Y3982"/>
        </row>
        <row r="3983">
          <cell r="F3983"/>
          <cell r="J3983"/>
          <cell r="O3983"/>
          <cell r="W3983"/>
          <cell r="X3983"/>
          <cell r="Y3983"/>
        </row>
        <row r="3984">
          <cell r="F3984"/>
          <cell r="J3984"/>
          <cell r="O3984"/>
          <cell r="W3984"/>
          <cell r="X3984"/>
          <cell r="Y3984"/>
        </row>
        <row r="3985">
          <cell r="F3985"/>
          <cell r="J3985"/>
          <cell r="O3985"/>
          <cell r="W3985"/>
          <cell r="X3985"/>
          <cell r="Y3985"/>
        </row>
        <row r="3986">
          <cell r="F3986"/>
          <cell r="J3986"/>
          <cell r="O3986"/>
          <cell r="W3986"/>
          <cell r="X3986"/>
          <cell r="Y3986"/>
        </row>
        <row r="3987">
          <cell r="F3987"/>
          <cell r="J3987"/>
          <cell r="O3987"/>
          <cell r="W3987"/>
          <cell r="X3987"/>
          <cell r="Y3987"/>
        </row>
        <row r="3988">
          <cell r="F3988"/>
          <cell r="J3988"/>
          <cell r="O3988"/>
          <cell r="W3988"/>
          <cell r="X3988"/>
          <cell r="Y3988"/>
        </row>
        <row r="3989">
          <cell r="F3989"/>
          <cell r="J3989"/>
          <cell r="O3989"/>
          <cell r="W3989"/>
          <cell r="X3989"/>
          <cell r="Y3989"/>
        </row>
        <row r="3990">
          <cell r="F3990"/>
          <cell r="J3990"/>
          <cell r="O3990"/>
          <cell r="W3990"/>
          <cell r="X3990"/>
          <cell r="Y3990"/>
        </row>
        <row r="3991">
          <cell r="F3991"/>
          <cell r="J3991"/>
          <cell r="O3991"/>
          <cell r="W3991"/>
          <cell r="X3991"/>
          <cell r="Y3991"/>
        </row>
        <row r="3992">
          <cell r="F3992"/>
          <cell r="J3992"/>
          <cell r="O3992"/>
          <cell r="W3992"/>
          <cell r="X3992"/>
          <cell r="Y3992"/>
        </row>
        <row r="3993">
          <cell r="F3993"/>
          <cell r="J3993"/>
          <cell r="O3993"/>
          <cell r="W3993"/>
          <cell r="X3993"/>
          <cell r="Y3993"/>
        </row>
        <row r="3994">
          <cell r="F3994"/>
          <cell r="J3994"/>
          <cell r="O3994"/>
          <cell r="W3994"/>
          <cell r="X3994"/>
          <cell r="Y3994"/>
        </row>
        <row r="3995">
          <cell r="F3995"/>
          <cell r="J3995"/>
          <cell r="O3995"/>
          <cell r="W3995"/>
          <cell r="X3995"/>
          <cell r="Y3995"/>
        </row>
        <row r="3996">
          <cell r="F3996"/>
          <cell r="J3996"/>
          <cell r="O3996"/>
          <cell r="W3996"/>
          <cell r="X3996"/>
          <cell r="Y3996"/>
        </row>
        <row r="3997">
          <cell r="F3997"/>
          <cell r="J3997"/>
          <cell r="O3997"/>
          <cell r="W3997"/>
          <cell r="X3997"/>
          <cell r="Y3997"/>
        </row>
        <row r="3998">
          <cell r="F3998"/>
          <cell r="J3998"/>
          <cell r="O3998"/>
          <cell r="W3998"/>
          <cell r="X3998"/>
          <cell r="Y3998"/>
        </row>
        <row r="3999">
          <cell r="F3999"/>
          <cell r="J3999"/>
          <cell r="O3999"/>
          <cell r="W3999"/>
          <cell r="X3999"/>
          <cell r="Y3999"/>
        </row>
        <row r="4000">
          <cell r="F4000"/>
          <cell r="J4000"/>
          <cell r="O4000"/>
          <cell r="W4000"/>
          <cell r="X4000"/>
          <cell r="Y4000"/>
        </row>
        <row r="4001">
          <cell r="F4001"/>
          <cell r="J4001"/>
          <cell r="O4001"/>
          <cell r="W4001"/>
          <cell r="X4001"/>
          <cell r="Y4001"/>
        </row>
        <row r="4002">
          <cell r="F4002"/>
          <cell r="J4002"/>
          <cell r="O4002"/>
          <cell r="W4002"/>
          <cell r="X4002"/>
          <cell r="Y4002"/>
        </row>
        <row r="4003">
          <cell r="F4003"/>
          <cell r="J4003"/>
          <cell r="O4003"/>
          <cell r="W4003"/>
          <cell r="X4003"/>
          <cell r="Y4003"/>
        </row>
        <row r="4004">
          <cell r="F4004"/>
          <cell r="J4004"/>
          <cell r="O4004"/>
          <cell r="W4004"/>
          <cell r="X4004"/>
          <cell r="Y4004"/>
        </row>
        <row r="4005">
          <cell r="F4005"/>
          <cell r="J4005"/>
          <cell r="O4005"/>
          <cell r="W4005"/>
          <cell r="X4005"/>
          <cell r="Y4005"/>
        </row>
        <row r="4006">
          <cell r="F4006"/>
          <cell r="J4006"/>
          <cell r="O4006"/>
          <cell r="W4006"/>
          <cell r="X4006"/>
          <cell r="Y4006"/>
        </row>
        <row r="4007">
          <cell r="F4007"/>
          <cell r="J4007"/>
          <cell r="O4007"/>
          <cell r="W4007"/>
          <cell r="X4007"/>
          <cell r="Y4007"/>
        </row>
        <row r="4008">
          <cell r="F4008"/>
          <cell r="J4008"/>
          <cell r="O4008"/>
          <cell r="W4008"/>
          <cell r="X4008"/>
          <cell r="Y4008"/>
        </row>
        <row r="4009">
          <cell r="F4009"/>
          <cell r="J4009"/>
          <cell r="O4009"/>
          <cell r="W4009"/>
          <cell r="X4009"/>
          <cell r="Y4009"/>
        </row>
        <row r="4010">
          <cell r="F4010"/>
          <cell r="J4010"/>
          <cell r="O4010"/>
          <cell r="W4010"/>
          <cell r="X4010"/>
          <cell r="Y4010"/>
        </row>
        <row r="4011">
          <cell r="F4011"/>
          <cell r="J4011"/>
          <cell r="O4011"/>
          <cell r="W4011"/>
          <cell r="X4011"/>
          <cell r="Y4011"/>
        </row>
        <row r="4012">
          <cell r="F4012"/>
          <cell r="J4012"/>
          <cell r="O4012"/>
          <cell r="W4012"/>
          <cell r="X4012"/>
          <cell r="Y4012"/>
        </row>
        <row r="4013">
          <cell r="F4013"/>
          <cell r="J4013"/>
          <cell r="O4013"/>
          <cell r="W4013"/>
          <cell r="X4013"/>
          <cell r="Y4013"/>
        </row>
        <row r="4014">
          <cell r="F4014"/>
          <cell r="J4014"/>
          <cell r="O4014"/>
          <cell r="W4014"/>
          <cell r="X4014"/>
          <cell r="Y4014"/>
        </row>
        <row r="4015">
          <cell r="F4015"/>
          <cell r="J4015"/>
          <cell r="O4015"/>
          <cell r="W4015"/>
          <cell r="X4015"/>
          <cell r="Y4015"/>
        </row>
        <row r="4016">
          <cell r="F4016"/>
          <cell r="J4016"/>
          <cell r="O4016"/>
          <cell r="W4016"/>
          <cell r="X4016"/>
          <cell r="Y4016"/>
        </row>
        <row r="4017">
          <cell r="F4017"/>
          <cell r="J4017"/>
          <cell r="O4017"/>
          <cell r="W4017"/>
          <cell r="X4017"/>
          <cell r="Y4017"/>
        </row>
        <row r="4018">
          <cell r="F4018"/>
          <cell r="J4018"/>
          <cell r="O4018"/>
          <cell r="W4018"/>
          <cell r="X4018"/>
          <cell r="Y4018"/>
        </row>
        <row r="4019">
          <cell r="F4019"/>
          <cell r="J4019"/>
          <cell r="O4019"/>
          <cell r="W4019"/>
          <cell r="X4019"/>
          <cell r="Y4019"/>
        </row>
        <row r="4020">
          <cell r="F4020"/>
          <cell r="J4020"/>
          <cell r="O4020"/>
          <cell r="W4020"/>
          <cell r="X4020"/>
          <cell r="Y4020"/>
        </row>
        <row r="4021">
          <cell r="F4021"/>
          <cell r="J4021"/>
          <cell r="O4021"/>
          <cell r="W4021"/>
          <cell r="X4021"/>
          <cell r="Y4021"/>
        </row>
        <row r="4022">
          <cell r="F4022"/>
          <cell r="J4022"/>
          <cell r="O4022"/>
          <cell r="W4022"/>
          <cell r="X4022"/>
          <cell r="Y4022"/>
        </row>
        <row r="4023">
          <cell r="F4023"/>
          <cell r="J4023"/>
          <cell r="O4023"/>
          <cell r="W4023"/>
          <cell r="X4023"/>
          <cell r="Y4023"/>
        </row>
        <row r="4024">
          <cell r="F4024"/>
          <cell r="J4024"/>
          <cell r="O4024"/>
          <cell r="W4024"/>
          <cell r="X4024"/>
          <cell r="Y4024"/>
        </row>
        <row r="4025">
          <cell r="F4025"/>
          <cell r="J4025"/>
          <cell r="O4025"/>
          <cell r="W4025"/>
          <cell r="X4025"/>
          <cell r="Y4025"/>
        </row>
        <row r="4026">
          <cell r="F4026"/>
          <cell r="J4026"/>
          <cell r="O4026"/>
          <cell r="W4026"/>
          <cell r="X4026"/>
          <cell r="Y4026"/>
        </row>
        <row r="4027">
          <cell r="F4027"/>
          <cell r="J4027"/>
          <cell r="O4027"/>
          <cell r="W4027"/>
          <cell r="X4027"/>
          <cell r="Y4027"/>
        </row>
        <row r="4028">
          <cell r="F4028"/>
          <cell r="J4028"/>
          <cell r="O4028"/>
          <cell r="W4028"/>
          <cell r="X4028"/>
          <cell r="Y4028"/>
        </row>
        <row r="4029">
          <cell r="F4029"/>
          <cell r="J4029"/>
          <cell r="O4029"/>
          <cell r="W4029"/>
          <cell r="X4029"/>
          <cell r="Y4029"/>
        </row>
        <row r="4030">
          <cell r="F4030"/>
          <cell r="J4030"/>
          <cell r="O4030"/>
          <cell r="W4030"/>
          <cell r="X4030"/>
          <cell r="Y4030"/>
        </row>
        <row r="4031">
          <cell r="F4031"/>
          <cell r="J4031"/>
          <cell r="O4031"/>
          <cell r="W4031"/>
          <cell r="X4031"/>
          <cell r="Y4031"/>
        </row>
        <row r="4032">
          <cell r="F4032"/>
          <cell r="J4032"/>
          <cell r="O4032"/>
          <cell r="W4032"/>
          <cell r="X4032"/>
          <cell r="Y4032"/>
        </row>
        <row r="4033">
          <cell r="F4033"/>
          <cell r="J4033"/>
          <cell r="O4033"/>
          <cell r="W4033"/>
          <cell r="X4033"/>
          <cell r="Y4033"/>
        </row>
        <row r="4034">
          <cell r="F4034"/>
          <cell r="J4034"/>
          <cell r="O4034"/>
          <cell r="W4034"/>
          <cell r="X4034"/>
          <cell r="Y4034"/>
        </row>
        <row r="4035">
          <cell r="F4035"/>
          <cell r="J4035"/>
          <cell r="O4035"/>
          <cell r="W4035"/>
          <cell r="X4035"/>
          <cell r="Y4035"/>
        </row>
        <row r="4036">
          <cell r="F4036"/>
          <cell r="J4036"/>
          <cell r="O4036"/>
          <cell r="W4036"/>
          <cell r="X4036"/>
          <cell r="Y4036"/>
        </row>
        <row r="4037">
          <cell r="F4037"/>
          <cell r="J4037"/>
          <cell r="O4037"/>
          <cell r="W4037"/>
          <cell r="X4037"/>
          <cell r="Y4037"/>
        </row>
        <row r="4038">
          <cell r="F4038"/>
          <cell r="J4038"/>
          <cell r="O4038"/>
          <cell r="W4038"/>
          <cell r="X4038"/>
          <cell r="Y4038"/>
        </row>
        <row r="4039">
          <cell r="F4039"/>
          <cell r="J4039"/>
          <cell r="O4039"/>
          <cell r="W4039"/>
          <cell r="X4039"/>
          <cell r="Y4039"/>
        </row>
        <row r="4040">
          <cell r="F4040"/>
          <cell r="J4040"/>
          <cell r="O4040"/>
          <cell r="W4040"/>
          <cell r="X4040"/>
          <cell r="Y4040"/>
        </row>
        <row r="4041">
          <cell r="F4041"/>
          <cell r="J4041"/>
          <cell r="O4041"/>
          <cell r="W4041"/>
          <cell r="X4041"/>
          <cell r="Y4041"/>
        </row>
        <row r="4042">
          <cell r="F4042"/>
          <cell r="J4042"/>
          <cell r="O4042"/>
          <cell r="W4042"/>
          <cell r="X4042"/>
          <cell r="Y4042"/>
        </row>
        <row r="4043">
          <cell r="F4043"/>
          <cell r="J4043"/>
          <cell r="O4043"/>
          <cell r="W4043"/>
          <cell r="X4043"/>
          <cell r="Y4043"/>
        </row>
        <row r="4044">
          <cell r="F4044"/>
          <cell r="J4044"/>
          <cell r="O4044"/>
          <cell r="W4044"/>
          <cell r="X4044"/>
          <cell r="Y4044"/>
        </row>
        <row r="4045">
          <cell r="F4045"/>
          <cell r="J4045"/>
          <cell r="O4045"/>
          <cell r="W4045"/>
          <cell r="X4045"/>
          <cell r="Y4045"/>
        </row>
        <row r="4046">
          <cell r="F4046"/>
          <cell r="J4046"/>
          <cell r="O4046"/>
          <cell r="W4046"/>
          <cell r="X4046"/>
          <cell r="Y4046"/>
        </row>
        <row r="4047">
          <cell r="F4047"/>
          <cell r="J4047"/>
          <cell r="O4047"/>
          <cell r="W4047"/>
          <cell r="X4047"/>
          <cell r="Y4047"/>
        </row>
        <row r="4048">
          <cell r="F4048"/>
          <cell r="J4048"/>
          <cell r="O4048"/>
          <cell r="W4048"/>
          <cell r="X4048"/>
          <cell r="Y4048"/>
        </row>
        <row r="4049">
          <cell r="F4049"/>
          <cell r="J4049"/>
          <cell r="O4049"/>
          <cell r="W4049"/>
          <cell r="X4049"/>
          <cell r="Y4049"/>
        </row>
        <row r="4050">
          <cell r="F4050"/>
          <cell r="J4050"/>
          <cell r="O4050"/>
          <cell r="W4050"/>
          <cell r="X4050"/>
          <cell r="Y4050"/>
        </row>
        <row r="4051">
          <cell r="F4051"/>
          <cell r="J4051"/>
          <cell r="O4051"/>
          <cell r="W4051"/>
          <cell r="X4051"/>
          <cell r="Y4051"/>
        </row>
        <row r="4052">
          <cell r="F4052"/>
          <cell r="J4052"/>
          <cell r="O4052"/>
          <cell r="W4052"/>
          <cell r="X4052"/>
          <cell r="Y4052"/>
        </row>
        <row r="4053">
          <cell r="F4053"/>
          <cell r="J4053"/>
          <cell r="O4053"/>
          <cell r="W4053"/>
          <cell r="X4053"/>
          <cell r="Y4053"/>
        </row>
        <row r="4054">
          <cell r="F4054"/>
          <cell r="J4054"/>
          <cell r="O4054"/>
          <cell r="W4054"/>
          <cell r="X4054"/>
          <cell r="Y4054"/>
        </row>
        <row r="4055">
          <cell r="F4055"/>
          <cell r="J4055"/>
          <cell r="O4055"/>
          <cell r="W4055"/>
          <cell r="X4055"/>
          <cell r="Y4055"/>
        </row>
        <row r="4056">
          <cell r="F4056"/>
          <cell r="J4056"/>
          <cell r="O4056"/>
          <cell r="W4056"/>
          <cell r="X4056"/>
          <cell r="Y4056"/>
        </row>
        <row r="4057">
          <cell r="F4057"/>
          <cell r="J4057"/>
          <cell r="O4057"/>
          <cell r="W4057"/>
          <cell r="X4057"/>
          <cell r="Y4057"/>
        </row>
        <row r="4058">
          <cell r="F4058"/>
          <cell r="J4058"/>
          <cell r="O4058"/>
          <cell r="W4058"/>
          <cell r="X4058"/>
          <cell r="Y4058"/>
        </row>
        <row r="4059">
          <cell r="F4059"/>
          <cell r="J4059"/>
          <cell r="O4059"/>
          <cell r="W4059"/>
          <cell r="X4059"/>
          <cell r="Y4059"/>
        </row>
        <row r="4060">
          <cell r="F4060"/>
          <cell r="J4060"/>
          <cell r="O4060"/>
          <cell r="W4060"/>
          <cell r="X4060"/>
          <cell r="Y4060"/>
        </row>
        <row r="4061">
          <cell r="F4061"/>
          <cell r="J4061"/>
          <cell r="O4061"/>
          <cell r="W4061"/>
          <cell r="X4061"/>
          <cell r="Y4061"/>
        </row>
        <row r="4062">
          <cell r="F4062"/>
          <cell r="J4062"/>
          <cell r="O4062"/>
          <cell r="W4062"/>
          <cell r="X4062"/>
          <cell r="Y4062"/>
        </row>
        <row r="4063">
          <cell r="F4063"/>
          <cell r="J4063"/>
          <cell r="O4063"/>
          <cell r="W4063"/>
          <cell r="X4063"/>
          <cell r="Y4063"/>
        </row>
        <row r="4064">
          <cell r="F4064"/>
          <cell r="J4064"/>
          <cell r="O4064"/>
          <cell r="W4064"/>
          <cell r="X4064"/>
          <cell r="Y4064"/>
        </row>
        <row r="4065">
          <cell r="F4065"/>
          <cell r="J4065"/>
          <cell r="O4065"/>
          <cell r="W4065"/>
          <cell r="X4065"/>
          <cell r="Y4065"/>
        </row>
        <row r="4066">
          <cell r="F4066"/>
          <cell r="J4066"/>
          <cell r="O4066"/>
          <cell r="W4066"/>
          <cell r="X4066"/>
          <cell r="Y4066"/>
        </row>
        <row r="4067">
          <cell r="F4067"/>
          <cell r="J4067"/>
          <cell r="O4067"/>
          <cell r="W4067"/>
          <cell r="X4067"/>
          <cell r="Y4067"/>
        </row>
        <row r="4068">
          <cell r="F4068"/>
          <cell r="J4068"/>
          <cell r="O4068"/>
          <cell r="W4068"/>
          <cell r="X4068"/>
          <cell r="Y4068"/>
        </row>
        <row r="4069">
          <cell r="F4069"/>
          <cell r="J4069"/>
          <cell r="O4069"/>
          <cell r="W4069"/>
          <cell r="X4069"/>
          <cell r="Y4069"/>
        </row>
        <row r="4070">
          <cell r="F4070"/>
          <cell r="J4070"/>
          <cell r="O4070"/>
          <cell r="W4070"/>
          <cell r="X4070"/>
          <cell r="Y4070"/>
        </row>
        <row r="4071">
          <cell r="F4071"/>
          <cell r="J4071"/>
          <cell r="O4071"/>
          <cell r="W4071"/>
          <cell r="X4071"/>
          <cell r="Y4071"/>
        </row>
        <row r="4072">
          <cell r="F4072"/>
          <cell r="J4072"/>
          <cell r="O4072"/>
          <cell r="W4072"/>
          <cell r="X4072"/>
          <cell r="Y4072"/>
        </row>
        <row r="4073">
          <cell r="F4073"/>
          <cell r="J4073"/>
          <cell r="O4073"/>
          <cell r="W4073"/>
          <cell r="X4073"/>
          <cell r="Y4073"/>
        </row>
        <row r="4074">
          <cell r="F4074"/>
          <cell r="J4074"/>
          <cell r="O4074"/>
          <cell r="W4074"/>
          <cell r="X4074"/>
          <cell r="Y4074"/>
        </row>
        <row r="4075">
          <cell r="F4075"/>
          <cell r="J4075"/>
          <cell r="O4075"/>
          <cell r="W4075"/>
          <cell r="X4075"/>
          <cell r="Y4075"/>
        </row>
        <row r="4076">
          <cell r="F4076"/>
          <cell r="J4076"/>
          <cell r="O4076"/>
          <cell r="W4076"/>
          <cell r="X4076"/>
          <cell r="Y4076"/>
        </row>
        <row r="4077">
          <cell r="F4077"/>
          <cell r="J4077"/>
          <cell r="O4077"/>
          <cell r="W4077"/>
          <cell r="X4077"/>
          <cell r="Y4077"/>
        </row>
        <row r="4078">
          <cell r="F4078"/>
          <cell r="J4078"/>
          <cell r="O4078"/>
          <cell r="W4078"/>
          <cell r="X4078"/>
          <cell r="Y4078"/>
        </row>
        <row r="4079">
          <cell r="F4079"/>
          <cell r="J4079"/>
          <cell r="O4079"/>
          <cell r="W4079"/>
          <cell r="X4079"/>
          <cell r="Y4079"/>
        </row>
        <row r="4080">
          <cell r="F4080"/>
          <cell r="J4080"/>
          <cell r="O4080"/>
          <cell r="W4080"/>
          <cell r="X4080"/>
          <cell r="Y4080"/>
        </row>
        <row r="4081">
          <cell r="F4081"/>
          <cell r="J4081"/>
          <cell r="O4081"/>
          <cell r="W4081"/>
          <cell r="X4081"/>
          <cell r="Y4081"/>
        </row>
        <row r="4082">
          <cell r="F4082"/>
          <cell r="J4082"/>
          <cell r="O4082"/>
          <cell r="W4082"/>
          <cell r="X4082"/>
          <cell r="Y4082"/>
        </row>
        <row r="4083">
          <cell r="F4083"/>
          <cell r="J4083"/>
          <cell r="O4083"/>
          <cell r="W4083"/>
          <cell r="X4083"/>
          <cell r="Y4083"/>
        </row>
        <row r="4084">
          <cell r="F4084"/>
          <cell r="J4084"/>
          <cell r="O4084"/>
          <cell r="W4084"/>
          <cell r="X4084"/>
          <cell r="Y4084"/>
        </row>
        <row r="4085">
          <cell r="F4085"/>
          <cell r="J4085"/>
          <cell r="O4085"/>
          <cell r="W4085"/>
          <cell r="X4085"/>
          <cell r="Y4085"/>
        </row>
        <row r="4086">
          <cell r="F4086"/>
          <cell r="J4086"/>
          <cell r="O4086"/>
          <cell r="W4086"/>
          <cell r="X4086"/>
          <cell r="Y4086"/>
        </row>
        <row r="4087">
          <cell r="F4087"/>
          <cell r="J4087"/>
          <cell r="O4087"/>
          <cell r="W4087"/>
          <cell r="X4087"/>
          <cell r="Y4087"/>
        </row>
        <row r="4088">
          <cell r="F4088"/>
          <cell r="J4088"/>
          <cell r="O4088"/>
          <cell r="W4088"/>
          <cell r="X4088"/>
          <cell r="Y4088"/>
        </row>
        <row r="4089">
          <cell r="F4089"/>
          <cell r="J4089"/>
          <cell r="O4089"/>
          <cell r="W4089"/>
          <cell r="X4089"/>
          <cell r="Y4089"/>
        </row>
        <row r="4090">
          <cell r="F4090"/>
          <cell r="J4090"/>
          <cell r="O4090"/>
          <cell r="W4090"/>
          <cell r="X4090"/>
          <cell r="Y4090"/>
        </row>
        <row r="4091">
          <cell r="F4091"/>
          <cell r="J4091"/>
          <cell r="O4091"/>
          <cell r="W4091"/>
          <cell r="X4091"/>
          <cell r="Y4091"/>
        </row>
        <row r="4092">
          <cell r="F4092"/>
          <cell r="J4092"/>
          <cell r="O4092"/>
          <cell r="W4092"/>
          <cell r="X4092"/>
          <cell r="Y4092"/>
        </row>
        <row r="4093">
          <cell r="F4093"/>
          <cell r="J4093"/>
          <cell r="O4093"/>
          <cell r="W4093"/>
          <cell r="X4093"/>
          <cell r="Y4093"/>
        </row>
        <row r="4094">
          <cell r="F4094"/>
          <cell r="J4094"/>
          <cell r="O4094"/>
          <cell r="W4094"/>
          <cell r="X4094"/>
          <cell r="Y4094"/>
        </row>
        <row r="4095">
          <cell r="F4095"/>
          <cell r="J4095"/>
          <cell r="O4095"/>
          <cell r="W4095"/>
          <cell r="X4095"/>
          <cell r="Y4095"/>
        </row>
        <row r="4096">
          <cell r="F4096"/>
          <cell r="J4096"/>
          <cell r="O4096"/>
          <cell r="W4096"/>
          <cell r="X4096"/>
          <cell r="Y4096"/>
        </row>
        <row r="4097">
          <cell r="F4097"/>
          <cell r="J4097"/>
          <cell r="O4097"/>
          <cell r="W4097"/>
          <cell r="X4097"/>
          <cell r="Y4097"/>
        </row>
        <row r="4098">
          <cell r="F4098"/>
          <cell r="J4098"/>
          <cell r="O4098"/>
          <cell r="W4098"/>
          <cell r="X4098"/>
          <cell r="Y4098"/>
        </row>
        <row r="4099">
          <cell r="F4099"/>
          <cell r="J4099"/>
          <cell r="O4099"/>
          <cell r="W4099"/>
          <cell r="X4099"/>
          <cell r="Y4099"/>
        </row>
        <row r="4100">
          <cell r="F4100"/>
          <cell r="J4100"/>
          <cell r="O4100"/>
          <cell r="W4100"/>
          <cell r="X4100"/>
          <cell r="Y4100"/>
        </row>
        <row r="4101">
          <cell r="F4101"/>
          <cell r="J4101"/>
          <cell r="O4101"/>
          <cell r="W4101"/>
          <cell r="X4101"/>
          <cell r="Y4101"/>
        </row>
        <row r="4102">
          <cell r="F4102"/>
          <cell r="J4102"/>
          <cell r="O4102"/>
          <cell r="W4102"/>
          <cell r="X4102"/>
          <cell r="Y4102"/>
        </row>
        <row r="4103">
          <cell r="F4103"/>
          <cell r="J4103"/>
          <cell r="O4103"/>
          <cell r="W4103"/>
          <cell r="X4103"/>
          <cell r="Y4103"/>
        </row>
        <row r="4104">
          <cell r="F4104"/>
          <cell r="J4104"/>
          <cell r="O4104"/>
          <cell r="W4104"/>
          <cell r="X4104"/>
          <cell r="Y4104"/>
        </row>
        <row r="4105">
          <cell r="F4105"/>
          <cell r="J4105"/>
          <cell r="O4105"/>
          <cell r="W4105"/>
          <cell r="X4105"/>
          <cell r="Y4105"/>
        </row>
        <row r="4106">
          <cell r="F4106"/>
          <cell r="J4106"/>
          <cell r="O4106"/>
          <cell r="W4106"/>
          <cell r="X4106"/>
          <cell r="Y4106"/>
        </row>
        <row r="4107">
          <cell r="F4107"/>
          <cell r="J4107"/>
          <cell r="O4107"/>
          <cell r="W4107"/>
          <cell r="X4107"/>
          <cell r="Y4107"/>
        </row>
        <row r="4108">
          <cell r="F4108"/>
          <cell r="J4108"/>
          <cell r="O4108"/>
          <cell r="W4108"/>
          <cell r="X4108"/>
          <cell r="Y4108"/>
        </row>
        <row r="4109">
          <cell r="F4109"/>
          <cell r="J4109"/>
          <cell r="O4109"/>
          <cell r="W4109"/>
          <cell r="X4109"/>
          <cell r="Y4109"/>
        </row>
        <row r="4110">
          <cell r="F4110"/>
          <cell r="J4110"/>
          <cell r="O4110"/>
          <cell r="W4110"/>
          <cell r="X4110"/>
          <cell r="Y4110"/>
        </row>
        <row r="4111">
          <cell r="F4111"/>
          <cell r="J4111"/>
          <cell r="O4111"/>
          <cell r="W4111"/>
          <cell r="X4111"/>
          <cell r="Y4111"/>
        </row>
        <row r="4112">
          <cell r="F4112"/>
          <cell r="J4112"/>
          <cell r="O4112"/>
          <cell r="W4112"/>
          <cell r="X4112"/>
          <cell r="Y4112"/>
        </row>
        <row r="4113">
          <cell r="F4113"/>
          <cell r="J4113"/>
          <cell r="O4113"/>
          <cell r="W4113"/>
          <cell r="X4113"/>
          <cell r="Y4113"/>
        </row>
        <row r="4114">
          <cell r="F4114"/>
          <cell r="J4114"/>
          <cell r="O4114"/>
          <cell r="W4114"/>
          <cell r="X4114"/>
          <cell r="Y4114"/>
        </row>
        <row r="4115">
          <cell r="F4115"/>
          <cell r="J4115"/>
          <cell r="O4115"/>
          <cell r="W4115"/>
          <cell r="X4115"/>
          <cell r="Y4115"/>
        </row>
        <row r="4116">
          <cell r="F4116"/>
          <cell r="J4116"/>
          <cell r="O4116"/>
          <cell r="W4116"/>
          <cell r="X4116"/>
          <cell r="Y4116"/>
        </row>
        <row r="4117">
          <cell r="F4117"/>
          <cell r="J4117"/>
          <cell r="O4117"/>
          <cell r="W4117"/>
          <cell r="X4117"/>
          <cell r="Y4117"/>
        </row>
        <row r="4118">
          <cell r="F4118"/>
          <cell r="J4118"/>
          <cell r="O4118"/>
          <cell r="W4118"/>
          <cell r="X4118"/>
          <cell r="Y4118"/>
        </row>
        <row r="4119">
          <cell r="F4119"/>
          <cell r="J4119"/>
          <cell r="O4119"/>
          <cell r="W4119"/>
          <cell r="X4119"/>
          <cell r="Y4119"/>
        </row>
        <row r="4120">
          <cell r="F4120"/>
          <cell r="J4120"/>
          <cell r="O4120"/>
          <cell r="W4120"/>
          <cell r="X4120"/>
          <cell r="Y4120"/>
        </row>
        <row r="4121">
          <cell r="F4121"/>
          <cell r="J4121"/>
          <cell r="O4121"/>
          <cell r="W4121"/>
          <cell r="X4121"/>
          <cell r="Y4121"/>
        </row>
        <row r="4122">
          <cell r="F4122"/>
          <cell r="J4122"/>
          <cell r="O4122"/>
          <cell r="W4122"/>
          <cell r="X4122"/>
          <cell r="Y4122"/>
        </row>
        <row r="4123">
          <cell r="F4123"/>
          <cell r="J4123"/>
          <cell r="O4123"/>
          <cell r="W4123"/>
          <cell r="X4123"/>
          <cell r="Y4123"/>
        </row>
        <row r="4124">
          <cell r="F4124"/>
          <cell r="J4124"/>
          <cell r="O4124"/>
          <cell r="W4124"/>
          <cell r="X4124"/>
          <cell r="Y4124"/>
        </row>
        <row r="4125">
          <cell r="F4125"/>
          <cell r="J4125"/>
          <cell r="O4125"/>
          <cell r="W4125"/>
          <cell r="X4125"/>
          <cell r="Y4125"/>
        </row>
        <row r="4126">
          <cell r="F4126"/>
          <cell r="J4126"/>
          <cell r="O4126"/>
          <cell r="W4126"/>
          <cell r="X4126"/>
          <cell r="Y4126"/>
        </row>
        <row r="4127">
          <cell r="F4127"/>
          <cell r="J4127"/>
          <cell r="O4127"/>
          <cell r="W4127"/>
          <cell r="X4127"/>
          <cell r="Y4127"/>
        </row>
        <row r="4128">
          <cell r="F4128"/>
          <cell r="J4128"/>
          <cell r="O4128"/>
          <cell r="W4128"/>
          <cell r="X4128"/>
          <cell r="Y4128"/>
        </row>
        <row r="4129">
          <cell r="F4129"/>
          <cell r="J4129"/>
          <cell r="O4129"/>
          <cell r="W4129"/>
          <cell r="X4129"/>
          <cell r="Y4129"/>
        </row>
        <row r="4130">
          <cell r="F4130"/>
          <cell r="J4130"/>
          <cell r="O4130"/>
          <cell r="W4130"/>
          <cell r="X4130"/>
          <cell r="Y4130"/>
        </row>
        <row r="4131">
          <cell r="F4131"/>
          <cell r="J4131"/>
          <cell r="O4131"/>
          <cell r="W4131"/>
          <cell r="X4131"/>
          <cell r="Y4131"/>
        </row>
        <row r="4132">
          <cell r="F4132"/>
          <cell r="J4132"/>
          <cell r="O4132"/>
          <cell r="W4132"/>
          <cell r="X4132"/>
          <cell r="Y4132"/>
        </row>
        <row r="4133">
          <cell r="F4133"/>
          <cell r="J4133"/>
          <cell r="O4133"/>
          <cell r="W4133"/>
          <cell r="X4133"/>
          <cell r="Y4133"/>
        </row>
        <row r="4134">
          <cell r="F4134"/>
          <cell r="J4134"/>
          <cell r="O4134"/>
          <cell r="W4134"/>
          <cell r="X4134"/>
          <cell r="Y4134"/>
        </row>
        <row r="4135">
          <cell r="F4135"/>
          <cell r="J4135"/>
          <cell r="O4135"/>
          <cell r="W4135"/>
          <cell r="X4135"/>
          <cell r="Y4135"/>
        </row>
        <row r="4136">
          <cell r="F4136"/>
          <cell r="J4136"/>
          <cell r="O4136"/>
          <cell r="W4136"/>
          <cell r="X4136"/>
          <cell r="Y4136"/>
        </row>
        <row r="4137">
          <cell r="F4137"/>
          <cell r="J4137"/>
          <cell r="O4137"/>
          <cell r="W4137"/>
          <cell r="X4137"/>
          <cell r="Y4137"/>
        </row>
        <row r="4138">
          <cell r="F4138"/>
          <cell r="J4138"/>
          <cell r="O4138"/>
          <cell r="W4138"/>
          <cell r="X4138"/>
          <cell r="Y4138"/>
        </row>
        <row r="4139">
          <cell r="F4139"/>
          <cell r="J4139"/>
          <cell r="O4139"/>
          <cell r="W4139"/>
          <cell r="X4139"/>
          <cell r="Y4139"/>
        </row>
        <row r="4140">
          <cell r="F4140"/>
          <cell r="J4140"/>
          <cell r="O4140"/>
          <cell r="W4140"/>
          <cell r="X4140"/>
          <cell r="Y4140"/>
        </row>
        <row r="4141">
          <cell r="F4141"/>
          <cell r="J4141"/>
          <cell r="O4141"/>
          <cell r="W4141"/>
          <cell r="X4141"/>
          <cell r="Y4141"/>
        </row>
        <row r="4142">
          <cell r="F4142"/>
          <cell r="J4142"/>
          <cell r="O4142"/>
          <cell r="W4142"/>
          <cell r="X4142"/>
          <cell r="Y4142"/>
        </row>
        <row r="4143">
          <cell r="F4143"/>
          <cell r="J4143"/>
          <cell r="O4143"/>
          <cell r="W4143"/>
          <cell r="X4143"/>
          <cell r="Y4143"/>
        </row>
        <row r="4144">
          <cell r="F4144"/>
          <cell r="J4144"/>
          <cell r="O4144"/>
          <cell r="W4144"/>
          <cell r="X4144"/>
          <cell r="Y4144"/>
        </row>
        <row r="4145">
          <cell r="F4145"/>
          <cell r="J4145"/>
          <cell r="O4145"/>
          <cell r="W4145"/>
          <cell r="X4145"/>
          <cell r="Y4145"/>
        </row>
        <row r="4146">
          <cell r="F4146"/>
          <cell r="J4146"/>
          <cell r="O4146"/>
          <cell r="W4146"/>
          <cell r="X4146"/>
          <cell r="Y4146"/>
        </row>
        <row r="4147">
          <cell r="F4147"/>
          <cell r="J4147"/>
          <cell r="O4147"/>
          <cell r="W4147"/>
          <cell r="X4147"/>
          <cell r="Y4147"/>
        </row>
        <row r="4148">
          <cell r="F4148"/>
          <cell r="J4148"/>
          <cell r="O4148"/>
          <cell r="W4148"/>
          <cell r="X4148"/>
          <cell r="Y4148"/>
        </row>
        <row r="4149">
          <cell r="F4149"/>
          <cell r="J4149"/>
          <cell r="O4149"/>
          <cell r="W4149"/>
          <cell r="X4149"/>
          <cell r="Y4149"/>
        </row>
        <row r="4150">
          <cell r="F4150"/>
          <cell r="J4150"/>
          <cell r="O4150"/>
          <cell r="W4150"/>
          <cell r="X4150"/>
          <cell r="Y4150"/>
        </row>
        <row r="4151">
          <cell r="F4151"/>
          <cell r="J4151"/>
          <cell r="O4151"/>
          <cell r="W4151"/>
          <cell r="X4151"/>
          <cell r="Y4151"/>
        </row>
        <row r="4152">
          <cell r="F4152"/>
          <cell r="J4152"/>
          <cell r="O4152"/>
          <cell r="W4152"/>
          <cell r="X4152"/>
          <cell r="Y4152"/>
        </row>
        <row r="4153">
          <cell r="F4153"/>
          <cell r="J4153"/>
          <cell r="O4153"/>
          <cell r="W4153"/>
          <cell r="X4153"/>
          <cell r="Y4153"/>
        </row>
        <row r="4154">
          <cell r="F4154"/>
          <cell r="J4154"/>
          <cell r="O4154"/>
          <cell r="W4154"/>
          <cell r="X4154"/>
          <cell r="Y4154"/>
        </row>
        <row r="4155">
          <cell r="F4155"/>
          <cell r="J4155"/>
          <cell r="O4155"/>
          <cell r="W4155"/>
          <cell r="X4155"/>
          <cell r="Y4155"/>
        </row>
        <row r="4156">
          <cell r="F4156"/>
          <cell r="J4156"/>
          <cell r="O4156"/>
          <cell r="W4156"/>
          <cell r="X4156"/>
          <cell r="Y4156"/>
        </row>
        <row r="4157">
          <cell r="F4157"/>
          <cell r="J4157"/>
          <cell r="O4157"/>
          <cell r="W4157"/>
          <cell r="X4157"/>
          <cell r="Y4157"/>
        </row>
        <row r="4158">
          <cell r="F4158"/>
          <cell r="J4158"/>
          <cell r="O4158"/>
          <cell r="W4158"/>
          <cell r="X4158"/>
          <cell r="Y4158"/>
        </row>
        <row r="4159">
          <cell r="F4159"/>
          <cell r="J4159"/>
          <cell r="O4159"/>
          <cell r="W4159"/>
          <cell r="X4159"/>
          <cell r="Y4159"/>
        </row>
        <row r="4160">
          <cell r="F4160"/>
          <cell r="J4160"/>
          <cell r="O4160"/>
          <cell r="W4160"/>
          <cell r="X4160"/>
          <cell r="Y4160"/>
        </row>
        <row r="4161">
          <cell r="F4161"/>
          <cell r="J4161"/>
          <cell r="O4161"/>
          <cell r="W4161"/>
          <cell r="X4161"/>
          <cell r="Y4161"/>
        </row>
        <row r="4162">
          <cell r="F4162"/>
          <cell r="J4162"/>
          <cell r="O4162"/>
          <cell r="W4162"/>
          <cell r="X4162"/>
          <cell r="Y4162"/>
        </row>
        <row r="4163">
          <cell r="F4163"/>
          <cell r="J4163"/>
          <cell r="O4163"/>
          <cell r="W4163"/>
          <cell r="X4163"/>
          <cell r="Y4163"/>
        </row>
        <row r="4164">
          <cell r="F4164"/>
          <cell r="J4164"/>
          <cell r="O4164"/>
          <cell r="W4164"/>
          <cell r="X4164"/>
          <cell r="Y4164"/>
        </row>
        <row r="4165">
          <cell r="F4165"/>
          <cell r="J4165"/>
          <cell r="O4165"/>
          <cell r="W4165"/>
          <cell r="X4165"/>
          <cell r="Y4165"/>
        </row>
        <row r="4166">
          <cell r="F4166"/>
          <cell r="J4166"/>
          <cell r="O4166"/>
          <cell r="W4166"/>
          <cell r="X4166"/>
          <cell r="Y4166"/>
        </row>
        <row r="4167">
          <cell r="F4167"/>
          <cell r="J4167"/>
          <cell r="O4167"/>
          <cell r="W4167"/>
          <cell r="X4167"/>
          <cell r="Y4167"/>
        </row>
        <row r="4168">
          <cell r="F4168"/>
          <cell r="J4168"/>
          <cell r="O4168"/>
          <cell r="W4168"/>
          <cell r="X4168"/>
          <cell r="Y4168"/>
        </row>
        <row r="4169">
          <cell r="F4169"/>
          <cell r="J4169"/>
          <cell r="O4169"/>
          <cell r="W4169"/>
          <cell r="X4169"/>
          <cell r="Y4169"/>
        </row>
        <row r="4170">
          <cell r="F4170"/>
          <cell r="J4170"/>
          <cell r="O4170"/>
          <cell r="W4170"/>
          <cell r="X4170"/>
          <cell r="Y4170"/>
        </row>
        <row r="4171">
          <cell r="F4171"/>
          <cell r="J4171"/>
          <cell r="O4171"/>
          <cell r="W4171"/>
          <cell r="X4171"/>
          <cell r="Y4171"/>
        </row>
        <row r="4172">
          <cell r="F4172"/>
          <cell r="J4172"/>
          <cell r="O4172"/>
          <cell r="W4172"/>
          <cell r="X4172"/>
          <cell r="Y4172"/>
        </row>
        <row r="4173">
          <cell r="F4173"/>
          <cell r="J4173"/>
          <cell r="O4173"/>
          <cell r="W4173"/>
          <cell r="X4173"/>
          <cell r="Y4173"/>
        </row>
        <row r="4174">
          <cell r="F4174"/>
          <cell r="J4174"/>
          <cell r="O4174"/>
          <cell r="W4174"/>
          <cell r="X4174"/>
          <cell r="Y4174"/>
        </row>
        <row r="4175">
          <cell r="F4175"/>
          <cell r="J4175"/>
          <cell r="O4175"/>
          <cell r="W4175"/>
          <cell r="X4175"/>
          <cell r="Y4175"/>
        </row>
        <row r="4176">
          <cell r="F4176"/>
          <cell r="J4176"/>
          <cell r="O4176"/>
          <cell r="W4176"/>
          <cell r="X4176"/>
          <cell r="Y4176"/>
        </row>
        <row r="4177">
          <cell r="F4177"/>
          <cell r="J4177"/>
          <cell r="O4177"/>
          <cell r="W4177"/>
          <cell r="X4177"/>
          <cell r="Y4177"/>
        </row>
        <row r="4178">
          <cell r="F4178"/>
          <cell r="J4178"/>
          <cell r="O4178"/>
          <cell r="W4178"/>
          <cell r="X4178"/>
          <cell r="Y4178"/>
        </row>
        <row r="4179">
          <cell r="F4179"/>
          <cell r="J4179"/>
          <cell r="O4179"/>
          <cell r="W4179"/>
          <cell r="X4179"/>
          <cell r="Y4179"/>
        </row>
        <row r="4180">
          <cell r="F4180"/>
          <cell r="J4180"/>
          <cell r="O4180"/>
          <cell r="W4180"/>
          <cell r="X4180"/>
          <cell r="Y4180"/>
        </row>
        <row r="4181">
          <cell r="F4181"/>
          <cell r="J4181"/>
          <cell r="O4181"/>
          <cell r="W4181"/>
          <cell r="X4181"/>
          <cell r="Y4181"/>
        </row>
        <row r="4182">
          <cell r="F4182"/>
          <cell r="J4182"/>
          <cell r="O4182"/>
          <cell r="W4182"/>
          <cell r="X4182"/>
          <cell r="Y4182"/>
        </row>
        <row r="4183">
          <cell r="F4183"/>
          <cell r="J4183"/>
          <cell r="O4183"/>
          <cell r="W4183"/>
          <cell r="X4183"/>
          <cell r="Y4183"/>
        </row>
        <row r="4184">
          <cell r="F4184"/>
          <cell r="J4184"/>
          <cell r="O4184"/>
          <cell r="W4184"/>
          <cell r="X4184"/>
          <cell r="Y4184"/>
        </row>
        <row r="4185">
          <cell r="F4185"/>
          <cell r="J4185"/>
          <cell r="O4185"/>
          <cell r="W4185"/>
          <cell r="X4185"/>
          <cell r="Y4185"/>
        </row>
        <row r="4186">
          <cell r="F4186"/>
          <cell r="J4186"/>
          <cell r="O4186"/>
          <cell r="W4186"/>
          <cell r="X4186"/>
          <cell r="Y4186"/>
        </row>
        <row r="4187">
          <cell r="F4187"/>
          <cell r="J4187"/>
          <cell r="O4187"/>
          <cell r="W4187"/>
          <cell r="X4187"/>
          <cell r="Y4187"/>
        </row>
        <row r="4188">
          <cell r="F4188"/>
          <cell r="J4188"/>
          <cell r="O4188"/>
          <cell r="W4188"/>
          <cell r="X4188"/>
          <cell r="Y4188"/>
        </row>
        <row r="4189">
          <cell r="F4189"/>
          <cell r="J4189"/>
          <cell r="O4189"/>
          <cell r="W4189"/>
          <cell r="X4189"/>
          <cell r="Y4189"/>
        </row>
        <row r="4190">
          <cell r="F4190"/>
          <cell r="J4190"/>
          <cell r="O4190"/>
          <cell r="W4190"/>
          <cell r="X4190"/>
          <cell r="Y4190"/>
        </row>
        <row r="4191">
          <cell r="F4191"/>
          <cell r="J4191"/>
          <cell r="O4191"/>
          <cell r="W4191"/>
          <cell r="X4191"/>
          <cell r="Y4191"/>
        </row>
        <row r="4192">
          <cell r="F4192"/>
          <cell r="J4192"/>
          <cell r="O4192"/>
          <cell r="W4192"/>
          <cell r="X4192"/>
          <cell r="Y4192"/>
        </row>
        <row r="4193">
          <cell r="F4193"/>
          <cell r="J4193"/>
          <cell r="O4193"/>
          <cell r="W4193"/>
          <cell r="X4193"/>
          <cell r="Y4193"/>
        </row>
        <row r="4194">
          <cell r="F4194"/>
          <cell r="J4194"/>
          <cell r="O4194"/>
          <cell r="W4194"/>
          <cell r="X4194"/>
          <cell r="Y4194"/>
        </row>
        <row r="4195">
          <cell r="F4195"/>
          <cell r="J4195"/>
          <cell r="O4195"/>
          <cell r="W4195"/>
          <cell r="X4195"/>
          <cell r="Y4195"/>
        </row>
        <row r="4196">
          <cell r="F4196"/>
          <cell r="J4196"/>
          <cell r="O4196"/>
          <cell r="W4196"/>
          <cell r="X4196"/>
          <cell r="Y4196"/>
        </row>
        <row r="4197">
          <cell r="F4197"/>
          <cell r="J4197"/>
          <cell r="O4197"/>
          <cell r="W4197"/>
          <cell r="X4197"/>
          <cell r="Y4197"/>
        </row>
        <row r="4198">
          <cell r="F4198"/>
          <cell r="J4198"/>
          <cell r="O4198"/>
          <cell r="W4198"/>
          <cell r="X4198"/>
          <cell r="Y4198"/>
        </row>
        <row r="4199">
          <cell r="F4199"/>
          <cell r="J4199"/>
          <cell r="O4199"/>
          <cell r="W4199"/>
          <cell r="X4199"/>
          <cell r="Y4199"/>
        </row>
        <row r="4200">
          <cell r="F4200"/>
          <cell r="J4200"/>
          <cell r="O4200"/>
          <cell r="W4200"/>
          <cell r="X4200"/>
          <cell r="Y4200"/>
        </row>
        <row r="4201">
          <cell r="F4201"/>
          <cell r="J4201"/>
          <cell r="O4201"/>
          <cell r="W4201"/>
          <cell r="X4201"/>
          <cell r="Y4201"/>
        </row>
        <row r="4202">
          <cell r="F4202"/>
          <cell r="J4202"/>
          <cell r="O4202"/>
          <cell r="W4202"/>
          <cell r="X4202"/>
          <cell r="Y4202"/>
        </row>
        <row r="4203">
          <cell r="F4203"/>
          <cell r="J4203"/>
          <cell r="O4203"/>
          <cell r="W4203"/>
          <cell r="X4203"/>
          <cell r="Y4203"/>
        </row>
        <row r="4204">
          <cell r="F4204"/>
          <cell r="J4204"/>
          <cell r="O4204"/>
          <cell r="W4204"/>
          <cell r="X4204"/>
          <cell r="Y4204"/>
        </row>
        <row r="4205">
          <cell r="F4205"/>
          <cell r="J4205"/>
          <cell r="O4205"/>
          <cell r="W4205"/>
          <cell r="X4205"/>
          <cell r="Y4205"/>
        </row>
        <row r="4206">
          <cell r="F4206"/>
          <cell r="J4206"/>
          <cell r="O4206"/>
          <cell r="W4206"/>
          <cell r="X4206"/>
          <cell r="Y4206"/>
        </row>
        <row r="4207">
          <cell r="F4207"/>
          <cell r="J4207"/>
          <cell r="O4207"/>
          <cell r="W4207"/>
          <cell r="X4207"/>
          <cell r="Y4207"/>
        </row>
        <row r="4208">
          <cell r="F4208"/>
          <cell r="J4208"/>
          <cell r="O4208"/>
          <cell r="W4208"/>
          <cell r="X4208"/>
          <cell r="Y4208"/>
        </row>
        <row r="4209">
          <cell r="F4209"/>
          <cell r="J4209"/>
          <cell r="O4209"/>
          <cell r="W4209"/>
          <cell r="X4209"/>
          <cell r="Y4209"/>
        </row>
        <row r="4210">
          <cell r="F4210"/>
          <cell r="J4210"/>
          <cell r="O4210"/>
          <cell r="W4210"/>
          <cell r="X4210"/>
          <cell r="Y4210"/>
        </row>
        <row r="4211">
          <cell r="F4211"/>
          <cell r="J4211"/>
          <cell r="O4211"/>
          <cell r="W4211"/>
          <cell r="X4211"/>
          <cell r="Y4211"/>
        </row>
        <row r="4212">
          <cell r="F4212"/>
          <cell r="J4212"/>
          <cell r="O4212"/>
          <cell r="W4212"/>
          <cell r="X4212"/>
          <cell r="Y4212"/>
        </row>
        <row r="4213">
          <cell r="F4213"/>
          <cell r="J4213"/>
          <cell r="O4213"/>
          <cell r="W4213"/>
          <cell r="X4213"/>
          <cell r="Y4213"/>
        </row>
        <row r="4214">
          <cell r="F4214"/>
          <cell r="J4214"/>
          <cell r="O4214"/>
          <cell r="W4214"/>
          <cell r="X4214"/>
          <cell r="Y4214"/>
        </row>
        <row r="4215">
          <cell r="F4215"/>
          <cell r="J4215"/>
          <cell r="O4215"/>
          <cell r="W4215"/>
          <cell r="X4215"/>
          <cell r="Y4215"/>
        </row>
        <row r="4216">
          <cell r="F4216"/>
          <cell r="J4216"/>
          <cell r="O4216"/>
          <cell r="W4216"/>
          <cell r="X4216"/>
          <cell r="Y4216"/>
        </row>
        <row r="4217">
          <cell r="F4217"/>
          <cell r="J4217"/>
          <cell r="O4217"/>
          <cell r="W4217"/>
          <cell r="X4217"/>
          <cell r="Y4217"/>
        </row>
        <row r="4218">
          <cell r="F4218"/>
          <cell r="J4218"/>
          <cell r="O4218"/>
          <cell r="W4218"/>
          <cell r="X4218"/>
          <cell r="Y4218"/>
        </row>
        <row r="4219">
          <cell r="F4219"/>
          <cell r="J4219"/>
          <cell r="O4219"/>
          <cell r="W4219"/>
          <cell r="X4219"/>
          <cell r="Y4219"/>
        </row>
        <row r="4220">
          <cell r="F4220"/>
          <cell r="J4220"/>
          <cell r="O4220"/>
          <cell r="W4220"/>
          <cell r="X4220"/>
          <cell r="Y4220"/>
        </row>
        <row r="4221">
          <cell r="F4221"/>
          <cell r="J4221"/>
          <cell r="O4221"/>
          <cell r="W4221"/>
          <cell r="X4221"/>
          <cell r="Y4221"/>
        </row>
        <row r="4222">
          <cell r="F4222"/>
          <cell r="J4222"/>
          <cell r="O4222"/>
          <cell r="W4222"/>
          <cell r="X4222"/>
          <cell r="Y4222"/>
        </row>
        <row r="4223">
          <cell r="F4223"/>
          <cell r="J4223"/>
          <cell r="O4223"/>
          <cell r="W4223"/>
          <cell r="X4223"/>
          <cell r="Y4223"/>
        </row>
        <row r="4224">
          <cell r="F4224"/>
          <cell r="J4224"/>
          <cell r="O4224"/>
          <cell r="W4224"/>
          <cell r="X4224"/>
          <cell r="Y4224"/>
        </row>
        <row r="4225">
          <cell r="F4225"/>
          <cell r="J4225"/>
          <cell r="O4225"/>
          <cell r="W4225"/>
          <cell r="X4225"/>
          <cell r="Y4225"/>
        </row>
        <row r="4226">
          <cell r="F4226"/>
          <cell r="J4226"/>
          <cell r="O4226"/>
          <cell r="W4226"/>
          <cell r="X4226"/>
          <cell r="Y4226"/>
        </row>
        <row r="4227">
          <cell r="F4227"/>
          <cell r="J4227"/>
          <cell r="O4227"/>
          <cell r="W4227"/>
          <cell r="X4227"/>
          <cell r="Y4227"/>
        </row>
        <row r="4228">
          <cell r="F4228"/>
          <cell r="J4228"/>
          <cell r="O4228"/>
          <cell r="W4228"/>
          <cell r="X4228"/>
          <cell r="Y4228"/>
        </row>
        <row r="4229">
          <cell r="F4229"/>
          <cell r="J4229"/>
          <cell r="O4229"/>
          <cell r="W4229"/>
          <cell r="X4229"/>
          <cell r="Y4229"/>
        </row>
        <row r="4230">
          <cell r="F4230"/>
          <cell r="J4230"/>
          <cell r="O4230"/>
          <cell r="W4230"/>
          <cell r="X4230"/>
          <cell r="Y4230"/>
        </row>
        <row r="4231">
          <cell r="F4231"/>
          <cell r="J4231"/>
          <cell r="O4231"/>
          <cell r="W4231"/>
          <cell r="X4231"/>
          <cell r="Y4231"/>
        </row>
        <row r="4232">
          <cell r="F4232"/>
          <cell r="J4232"/>
          <cell r="O4232"/>
          <cell r="W4232"/>
          <cell r="X4232"/>
          <cell r="Y4232"/>
        </row>
        <row r="4233">
          <cell r="F4233"/>
          <cell r="J4233"/>
          <cell r="O4233"/>
          <cell r="W4233"/>
          <cell r="X4233"/>
          <cell r="Y4233"/>
        </row>
        <row r="4234">
          <cell r="F4234"/>
          <cell r="J4234"/>
          <cell r="O4234"/>
          <cell r="W4234"/>
          <cell r="X4234"/>
          <cell r="Y4234"/>
        </row>
        <row r="4235">
          <cell r="F4235"/>
          <cell r="J4235"/>
          <cell r="O4235"/>
          <cell r="W4235"/>
          <cell r="X4235"/>
          <cell r="Y4235"/>
        </row>
        <row r="4236">
          <cell r="F4236"/>
          <cell r="J4236"/>
          <cell r="O4236"/>
          <cell r="W4236"/>
          <cell r="X4236"/>
          <cell r="Y4236"/>
        </row>
        <row r="4237">
          <cell r="F4237"/>
          <cell r="J4237"/>
          <cell r="O4237"/>
          <cell r="W4237"/>
          <cell r="X4237"/>
          <cell r="Y4237"/>
        </row>
        <row r="4238">
          <cell r="F4238"/>
          <cell r="J4238"/>
          <cell r="O4238"/>
          <cell r="W4238"/>
          <cell r="X4238"/>
          <cell r="Y4238"/>
        </row>
        <row r="4239">
          <cell r="F4239"/>
          <cell r="J4239"/>
          <cell r="O4239"/>
          <cell r="W4239"/>
          <cell r="X4239"/>
          <cell r="Y4239"/>
        </row>
        <row r="4240">
          <cell r="F4240"/>
          <cell r="J4240"/>
          <cell r="O4240"/>
          <cell r="W4240"/>
          <cell r="X4240"/>
          <cell r="Y4240"/>
        </row>
        <row r="4241">
          <cell r="F4241"/>
          <cell r="J4241"/>
          <cell r="O4241"/>
          <cell r="W4241"/>
          <cell r="X4241"/>
          <cell r="Y4241"/>
        </row>
        <row r="4242">
          <cell r="F4242"/>
          <cell r="J4242"/>
          <cell r="O4242"/>
          <cell r="W4242"/>
          <cell r="X4242"/>
          <cell r="Y4242"/>
        </row>
        <row r="4243">
          <cell r="F4243"/>
          <cell r="J4243"/>
          <cell r="O4243"/>
          <cell r="W4243"/>
          <cell r="X4243"/>
          <cell r="Y4243"/>
        </row>
        <row r="4244">
          <cell r="F4244"/>
          <cell r="J4244"/>
          <cell r="O4244"/>
          <cell r="W4244"/>
          <cell r="X4244"/>
          <cell r="Y4244"/>
        </row>
        <row r="4245">
          <cell r="F4245"/>
          <cell r="J4245"/>
          <cell r="O4245"/>
          <cell r="W4245"/>
          <cell r="X4245"/>
          <cell r="Y4245"/>
        </row>
        <row r="4246">
          <cell r="F4246"/>
          <cell r="J4246"/>
          <cell r="O4246"/>
          <cell r="W4246"/>
          <cell r="X4246"/>
          <cell r="Y4246"/>
        </row>
        <row r="4247">
          <cell r="F4247"/>
          <cell r="J4247"/>
          <cell r="O4247"/>
          <cell r="W4247"/>
          <cell r="X4247"/>
          <cell r="Y4247"/>
        </row>
        <row r="4248">
          <cell r="F4248"/>
          <cell r="J4248"/>
          <cell r="O4248"/>
          <cell r="W4248"/>
          <cell r="X4248"/>
          <cell r="Y4248"/>
        </row>
        <row r="4249">
          <cell r="F4249"/>
          <cell r="J4249"/>
          <cell r="O4249"/>
          <cell r="W4249"/>
          <cell r="X4249"/>
          <cell r="Y4249"/>
        </row>
        <row r="4250">
          <cell r="F4250"/>
          <cell r="J4250"/>
          <cell r="O4250"/>
          <cell r="W4250"/>
          <cell r="X4250"/>
          <cell r="Y4250"/>
        </row>
        <row r="4251">
          <cell r="F4251"/>
          <cell r="J4251"/>
          <cell r="O4251"/>
          <cell r="W4251"/>
          <cell r="X4251"/>
          <cell r="Y4251"/>
        </row>
        <row r="4252">
          <cell r="F4252"/>
          <cell r="J4252"/>
          <cell r="O4252"/>
          <cell r="W4252"/>
          <cell r="X4252"/>
          <cell r="Y4252"/>
        </row>
        <row r="4253">
          <cell r="F4253"/>
          <cell r="J4253"/>
          <cell r="O4253"/>
          <cell r="W4253"/>
          <cell r="X4253"/>
          <cell r="Y4253"/>
        </row>
        <row r="4254">
          <cell r="F4254"/>
          <cell r="J4254"/>
          <cell r="O4254"/>
          <cell r="W4254"/>
          <cell r="X4254"/>
          <cell r="Y4254"/>
        </row>
        <row r="4255">
          <cell r="F4255"/>
          <cell r="J4255"/>
          <cell r="O4255"/>
          <cell r="W4255"/>
          <cell r="X4255"/>
          <cell r="Y4255"/>
        </row>
        <row r="4256">
          <cell r="F4256"/>
          <cell r="J4256"/>
          <cell r="O4256"/>
          <cell r="W4256"/>
          <cell r="X4256"/>
          <cell r="Y4256"/>
        </row>
        <row r="4257">
          <cell r="F4257"/>
          <cell r="J4257"/>
          <cell r="O4257"/>
          <cell r="W4257"/>
          <cell r="X4257"/>
          <cell r="Y4257"/>
        </row>
        <row r="4258">
          <cell r="F4258"/>
          <cell r="J4258"/>
          <cell r="O4258"/>
          <cell r="W4258"/>
          <cell r="X4258"/>
          <cell r="Y4258"/>
        </row>
        <row r="4259">
          <cell r="F4259"/>
          <cell r="J4259"/>
          <cell r="O4259"/>
          <cell r="W4259"/>
          <cell r="X4259"/>
          <cell r="Y4259"/>
        </row>
        <row r="4260">
          <cell r="F4260"/>
          <cell r="J4260"/>
          <cell r="O4260"/>
          <cell r="W4260"/>
          <cell r="X4260"/>
          <cell r="Y4260"/>
        </row>
        <row r="4261">
          <cell r="F4261"/>
          <cell r="J4261"/>
          <cell r="O4261"/>
          <cell r="W4261"/>
          <cell r="X4261"/>
          <cell r="Y4261"/>
        </row>
        <row r="4262">
          <cell r="F4262"/>
          <cell r="J4262"/>
          <cell r="O4262"/>
          <cell r="W4262"/>
          <cell r="X4262"/>
          <cell r="Y4262"/>
        </row>
        <row r="4263">
          <cell r="F4263"/>
          <cell r="J4263"/>
          <cell r="O4263"/>
          <cell r="W4263"/>
          <cell r="X4263"/>
          <cell r="Y4263"/>
        </row>
        <row r="4264">
          <cell r="F4264"/>
          <cell r="J4264"/>
          <cell r="O4264"/>
          <cell r="W4264"/>
          <cell r="X4264"/>
          <cell r="Y4264"/>
        </row>
        <row r="4265">
          <cell r="F4265"/>
          <cell r="J4265"/>
          <cell r="O4265"/>
          <cell r="W4265"/>
          <cell r="X4265"/>
          <cell r="Y4265"/>
        </row>
        <row r="4266">
          <cell r="F4266"/>
          <cell r="J4266"/>
          <cell r="O4266"/>
          <cell r="W4266"/>
          <cell r="X4266"/>
          <cell r="Y4266"/>
        </row>
        <row r="4267">
          <cell r="F4267"/>
          <cell r="J4267"/>
          <cell r="O4267"/>
          <cell r="W4267"/>
          <cell r="X4267"/>
          <cell r="Y4267"/>
        </row>
        <row r="4268">
          <cell r="F4268"/>
          <cell r="J4268"/>
          <cell r="O4268"/>
          <cell r="W4268"/>
          <cell r="X4268"/>
          <cell r="Y4268"/>
        </row>
        <row r="4269">
          <cell r="F4269"/>
          <cell r="J4269"/>
          <cell r="O4269"/>
          <cell r="W4269"/>
          <cell r="X4269"/>
          <cell r="Y4269"/>
        </row>
        <row r="4270">
          <cell r="F4270"/>
          <cell r="J4270"/>
          <cell r="O4270"/>
          <cell r="W4270"/>
          <cell r="X4270"/>
          <cell r="Y4270"/>
        </row>
        <row r="4271">
          <cell r="F4271"/>
          <cell r="J4271"/>
          <cell r="O4271"/>
          <cell r="W4271"/>
          <cell r="X4271"/>
          <cell r="Y4271"/>
        </row>
        <row r="4272">
          <cell r="F4272"/>
          <cell r="J4272"/>
          <cell r="O4272"/>
          <cell r="W4272"/>
          <cell r="X4272"/>
          <cell r="Y4272"/>
        </row>
        <row r="4273">
          <cell r="F4273"/>
          <cell r="J4273"/>
          <cell r="O4273"/>
          <cell r="W4273"/>
          <cell r="X4273"/>
          <cell r="Y4273"/>
        </row>
        <row r="4274">
          <cell r="F4274"/>
          <cell r="J4274"/>
          <cell r="O4274"/>
          <cell r="W4274"/>
          <cell r="X4274"/>
          <cell r="Y4274"/>
        </row>
        <row r="4275">
          <cell r="F4275"/>
          <cell r="J4275"/>
          <cell r="O4275"/>
          <cell r="W4275"/>
          <cell r="X4275"/>
          <cell r="Y4275"/>
        </row>
        <row r="4276">
          <cell r="F4276"/>
          <cell r="J4276"/>
          <cell r="O4276"/>
          <cell r="W4276"/>
          <cell r="X4276"/>
          <cell r="Y4276"/>
        </row>
        <row r="4277">
          <cell r="F4277"/>
          <cell r="J4277"/>
          <cell r="O4277"/>
          <cell r="W4277"/>
          <cell r="X4277"/>
          <cell r="Y4277"/>
        </row>
        <row r="4278">
          <cell r="F4278"/>
          <cell r="J4278"/>
          <cell r="O4278"/>
          <cell r="W4278"/>
          <cell r="X4278"/>
          <cell r="Y4278"/>
        </row>
        <row r="4279">
          <cell r="F4279"/>
          <cell r="J4279"/>
          <cell r="O4279"/>
          <cell r="W4279"/>
          <cell r="X4279"/>
          <cell r="Y4279"/>
        </row>
        <row r="4280">
          <cell r="F4280"/>
          <cell r="J4280"/>
          <cell r="O4280"/>
          <cell r="W4280"/>
          <cell r="X4280"/>
          <cell r="Y4280"/>
        </row>
        <row r="4281">
          <cell r="F4281"/>
          <cell r="J4281"/>
          <cell r="O4281"/>
          <cell r="W4281"/>
          <cell r="X4281"/>
          <cell r="Y4281"/>
        </row>
        <row r="4282">
          <cell r="F4282"/>
          <cell r="J4282"/>
          <cell r="O4282"/>
          <cell r="W4282"/>
          <cell r="X4282"/>
          <cell r="Y4282"/>
        </row>
        <row r="4283">
          <cell r="F4283"/>
          <cell r="J4283"/>
          <cell r="O4283"/>
          <cell r="W4283"/>
          <cell r="X4283"/>
          <cell r="Y4283"/>
        </row>
        <row r="4284">
          <cell r="F4284"/>
          <cell r="J4284"/>
          <cell r="O4284"/>
          <cell r="W4284"/>
          <cell r="X4284"/>
          <cell r="Y4284"/>
        </row>
        <row r="4285">
          <cell r="F4285"/>
          <cell r="J4285"/>
          <cell r="O4285"/>
          <cell r="W4285"/>
          <cell r="X4285"/>
          <cell r="Y4285"/>
        </row>
        <row r="4286">
          <cell r="F4286"/>
          <cell r="J4286"/>
          <cell r="O4286"/>
          <cell r="W4286"/>
          <cell r="X4286"/>
          <cell r="Y4286"/>
        </row>
        <row r="4287">
          <cell r="F4287"/>
          <cell r="J4287"/>
          <cell r="O4287"/>
          <cell r="W4287"/>
          <cell r="X4287"/>
          <cell r="Y4287"/>
        </row>
        <row r="4288">
          <cell r="F4288"/>
          <cell r="J4288"/>
          <cell r="O4288"/>
          <cell r="W4288"/>
          <cell r="X4288"/>
          <cell r="Y4288"/>
        </row>
        <row r="4289">
          <cell r="F4289"/>
          <cell r="J4289"/>
          <cell r="O4289"/>
          <cell r="W4289"/>
          <cell r="X4289"/>
          <cell r="Y4289"/>
        </row>
        <row r="4290">
          <cell r="F4290"/>
          <cell r="J4290"/>
          <cell r="O4290"/>
          <cell r="W4290"/>
          <cell r="X4290"/>
          <cell r="Y4290"/>
        </row>
        <row r="4291">
          <cell r="F4291"/>
          <cell r="J4291"/>
          <cell r="O4291"/>
          <cell r="W4291"/>
          <cell r="X4291"/>
          <cell r="Y4291"/>
        </row>
        <row r="4292">
          <cell r="F4292"/>
          <cell r="J4292"/>
          <cell r="O4292"/>
          <cell r="W4292"/>
          <cell r="X4292"/>
          <cell r="Y4292"/>
        </row>
        <row r="4293">
          <cell r="F4293"/>
          <cell r="J4293"/>
          <cell r="O4293"/>
          <cell r="W4293"/>
          <cell r="X4293"/>
          <cell r="Y4293"/>
        </row>
        <row r="4294">
          <cell r="F4294"/>
          <cell r="J4294"/>
          <cell r="O4294"/>
          <cell r="W4294"/>
          <cell r="X4294"/>
          <cell r="Y4294"/>
        </row>
        <row r="4295">
          <cell r="F4295"/>
          <cell r="J4295"/>
          <cell r="O4295"/>
          <cell r="W4295"/>
          <cell r="X4295"/>
          <cell r="Y4295"/>
        </row>
        <row r="4296">
          <cell r="F4296"/>
          <cell r="J4296"/>
          <cell r="O4296"/>
          <cell r="W4296"/>
          <cell r="X4296"/>
          <cell r="Y4296"/>
        </row>
        <row r="4297">
          <cell r="F4297"/>
          <cell r="J4297"/>
          <cell r="O4297"/>
          <cell r="W4297"/>
          <cell r="X4297"/>
          <cell r="Y4297"/>
        </row>
        <row r="4298">
          <cell r="F4298"/>
          <cell r="J4298"/>
          <cell r="O4298"/>
          <cell r="W4298"/>
          <cell r="X4298"/>
          <cell r="Y4298"/>
        </row>
        <row r="4299">
          <cell r="F4299"/>
          <cell r="J4299"/>
          <cell r="O4299"/>
          <cell r="W4299"/>
          <cell r="X4299"/>
          <cell r="Y4299"/>
        </row>
        <row r="4300">
          <cell r="F4300"/>
          <cell r="J4300"/>
          <cell r="O4300"/>
          <cell r="W4300"/>
          <cell r="X4300"/>
          <cell r="Y4300"/>
        </row>
        <row r="4301">
          <cell r="F4301"/>
          <cell r="J4301"/>
          <cell r="O4301"/>
          <cell r="W4301"/>
          <cell r="X4301"/>
          <cell r="Y4301"/>
        </row>
        <row r="4302">
          <cell r="F4302"/>
          <cell r="J4302"/>
          <cell r="O4302"/>
          <cell r="W4302"/>
          <cell r="X4302"/>
          <cell r="Y4302"/>
        </row>
        <row r="4303">
          <cell r="F4303"/>
          <cell r="J4303"/>
          <cell r="O4303"/>
          <cell r="W4303"/>
          <cell r="X4303"/>
          <cell r="Y4303"/>
        </row>
        <row r="4304">
          <cell r="F4304"/>
          <cell r="J4304"/>
          <cell r="O4304"/>
          <cell r="W4304"/>
          <cell r="X4304"/>
          <cell r="Y4304"/>
        </row>
        <row r="4305">
          <cell r="F4305"/>
          <cell r="J4305"/>
          <cell r="O4305"/>
          <cell r="W4305"/>
          <cell r="X4305"/>
          <cell r="Y4305"/>
        </row>
        <row r="4306">
          <cell r="F4306"/>
          <cell r="J4306"/>
          <cell r="O4306"/>
          <cell r="W4306"/>
          <cell r="X4306"/>
          <cell r="Y4306"/>
        </row>
        <row r="4307">
          <cell r="F4307"/>
          <cell r="J4307"/>
          <cell r="O4307"/>
          <cell r="W4307"/>
          <cell r="X4307"/>
          <cell r="Y4307"/>
        </row>
        <row r="4308">
          <cell r="F4308"/>
          <cell r="J4308"/>
          <cell r="O4308"/>
          <cell r="W4308"/>
          <cell r="X4308"/>
          <cell r="Y4308"/>
        </row>
        <row r="4309">
          <cell r="F4309"/>
          <cell r="J4309"/>
          <cell r="O4309"/>
          <cell r="W4309"/>
          <cell r="X4309"/>
          <cell r="Y4309"/>
        </row>
        <row r="4310">
          <cell r="F4310"/>
          <cell r="J4310"/>
          <cell r="O4310"/>
          <cell r="W4310"/>
          <cell r="X4310"/>
          <cell r="Y4310"/>
        </row>
        <row r="4311">
          <cell r="F4311"/>
          <cell r="J4311"/>
          <cell r="O4311"/>
          <cell r="W4311"/>
          <cell r="X4311"/>
          <cell r="Y4311"/>
        </row>
        <row r="4312">
          <cell r="F4312"/>
          <cell r="J4312"/>
          <cell r="O4312"/>
          <cell r="W4312"/>
          <cell r="X4312"/>
          <cell r="Y4312"/>
        </row>
        <row r="4313">
          <cell r="F4313"/>
          <cell r="J4313"/>
          <cell r="O4313"/>
          <cell r="W4313"/>
          <cell r="X4313"/>
          <cell r="Y4313"/>
        </row>
        <row r="4314">
          <cell r="F4314"/>
          <cell r="J4314"/>
          <cell r="O4314"/>
          <cell r="W4314"/>
          <cell r="X4314"/>
          <cell r="Y4314"/>
        </row>
        <row r="4315">
          <cell r="F4315"/>
          <cell r="J4315"/>
          <cell r="O4315"/>
          <cell r="W4315"/>
          <cell r="X4315"/>
          <cell r="Y4315"/>
        </row>
        <row r="4316">
          <cell r="F4316"/>
          <cell r="J4316"/>
          <cell r="O4316"/>
          <cell r="W4316"/>
          <cell r="X4316"/>
          <cell r="Y4316"/>
        </row>
        <row r="4317">
          <cell r="F4317"/>
          <cell r="J4317"/>
          <cell r="O4317"/>
          <cell r="W4317"/>
          <cell r="X4317"/>
          <cell r="Y4317"/>
        </row>
        <row r="4318">
          <cell r="F4318"/>
          <cell r="J4318"/>
          <cell r="O4318"/>
          <cell r="W4318"/>
          <cell r="X4318"/>
          <cell r="Y4318"/>
        </row>
        <row r="4319">
          <cell r="F4319"/>
          <cell r="J4319"/>
          <cell r="O4319"/>
          <cell r="W4319"/>
          <cell r="X4319"/>
          <cell r="Y4319"/>
        </row>
        <row r="4320">
          <cell r="F4320"/>
          <cell r="J4320"/>
          <cell r="O4320"/>
          <cell r="W4320"/>
          <cell r="X4320"/>
          <cell r="Y4320"/>
        </row>
        <row r="4321">
          <cell r="F4321"/>
          <cell r="J4321"/>
          <cell r="O4321"/>
          <cell r="W4321"/>
          <cell r="X4321"/>
          <cell r="Y4321"/>
        </row>
        <row r="4322">
          <cell r="F4322"/>
          <cell r="J4322"/>
          <cell r="O4322"/>
          <cell r="W4322"/>
          <cell r="X4322"/>
          <cell r="Y4322"/>
        </row>
        <row r="4323">
          <cell r="F4323"/>
          <cell r="J4323"/>
          <cell r="O4323"/>
          <cell r="W4323"/>
          <cell r="X4323"/>
          <cell r="Y4323"/>
        </row>
        <row r="4324">
          <cell r="F4324"/>
          <cell r="J4324"/>
          <cell r="O4324"/>
          <cell r="W4324"/>
          <cell r="X4324"/>
          <cell r="Y4324"/>
        </row>
        <row r="4325">
          <cell r="F4325"/>
          <cell r="J4325"/>
          <cell r="O4325"/>
          <cell r="W4325"/>
          <cell r="X4325"/>
          <cell r="Y4325"/>
        </row>
        <row r="4326">
          <cell r="F4326"/>
          <cell r="J4326"/>
          <cell r="O4326"/>
          <cell r="W4326"/>
          <cell r="X4326"/>
          <cell r="Y4326"/>
        </row>
        <row r="4327">
          <cell r="F4327"/>
          <cell r="J4327"/>
          <cell r="O4327"/>
          <cell r="W4327"/>
          <cell r="X4327"/>
          <cell r="Y4327"/>
        </row>
        <row r="4328">
          <cell r="F4328"/>
          <cell r="J4328"/>
          <cell r="O4328"/>
          <cell r="W4328"/>
          <cell r="X4328"/>
          <cell r="Y4328"/>
        </row>
        <row r="4329">
          <cell r="F4329"/>
          <cell r="J4329"/>
          <cell r="O4329"/>
          <cell r="W4329"/>
          <cell r="X4329"/>
          <cell r="Y4329"/>
        </row>
        <row r="4330">
          <cell r="F4330"/>
          <cell r="J4330"/>
          <cell r="O4330"/>
          <cell r="W4330"/>
          <cell r="X4330"/>
          <cell r="Y4330"/>
        </row>
        <row r="4331">
          <cell r="F4331"/>
          <cell r="J4331"/>
          <cell r="O4331"/>
          <cell r="W4331"/>
          <cell r="X4331"/>
          <cell r="Y4331"/>
        </row>
        <row r="4332">
          <cell r="F4332"/>
          <cell r="J4332"/>
          <cell r="O4332"/>
          <cell r="W4332"/>
          <cell r="X4332"/>
          <cell r="Y4332"/>
        </row>
        <row r="4333">
          <cell r="F4333"/>
          <cell r="J4333"/>
          <cell r="O4333"/>
          <cell r="W4333"/>
          <cell r="X4333"/>
          <cell r="Y4333"/>
        </row>
        <row r="4334">
          <cell r="F4334"/>
          <cell r="J4334"/>
          <cell r="O4334"/>
          <cell r="W4334"/>
          <cell r="X4334"/>
          <cell r="Y4334"/>
        </row>
        <row r="4335">
          <cell r="F4335"/>
          <cell r="J4335"/>
          <cell r="O4335"/>
          <cell r="W4335"/>
          <cell r="X4335"/>
          <cell r="Y4335"/>
        </row>
        <row r="4336">
          <cell r="F4336"/>
          <cell r="J4336"/>
          <cell r="O4336"/>
          <cell r="W4336"/>
          <cell r="X4336"/>
          <cell r="Y4336"/>
        </row>
        <row r="4337">
          <cell r="F4337"/>
          <cell r="J4337"/>
          <cell r="O4337"/>
          <cell r="W4337"/>
          <cell r="X4337"/>
          <cell r="Y4337"/>
        </row>
        <row r="4338">
          <cell r="F4338"/>
          <cell r="J4338"/>
          <cell r="O4338"/>
          <cell r="W4338"/>
          <cell r="X4338"/>
          <cell r="Y4338"/>
        </row>
        <row r="4339">
          <cell r="F4339"/>
          <cell r="J4339"/>
          <cell r="O4339"/>
          <cell r="W4339"/>
          <cell r="X4339"/>
          <cell r="Y4339"/>
        </row>
        <row r="4340">
          <cell r="F4340"/>
          <cell r="J4340"/>
          <cell r="O4340"/>
          <cell r="W4340"/>
          <cell r="X4340"/>
          <cell r="Y4340"/>
        </row>
        <row r="4341">
          <cell r="F4341"/>
          <cell r="J4341"/>
          <cell r="O4341"/>
          <cell r="W4341"/>
          <cell r="X4341"/>
          <cell r="Y4341"/>
        </row>
        <row r="4342">
          <cell r="F4342"/>
          <cell r="J4342"/>
          <cell r="O4342"/>
          <cell r="W4342"/>
          <cell r="X4342"/>
          <cell r="Y4342"/>
        </row>
        <row r="4343">
          <cell r="F4343"/>
          <cell r="J4343"/>
          <cell r="O4343"/>
          <cell r="W4343"/>
          <cell r="X4343"/>
          <cell r="Y4343"/>
        </row>
        <row r="4344">
          <cell r="F4344"/>
          <cell r="J4344"/>
          <cell r="O4344"/>
          <cell r="W4344"/>
          <cell r="X4344"/>
          <cell r="Y4344"/>
        </row>
        <row r="4345">
          <cell r="F4345"/>
          <cell r="J4345"/>
          <cell r="O4345"/>
          <cell r="W4345"/>
          <cell r="X4345"/>
          <cell r="Y4345"/>
        </row>
        <row r="4346">
          <cell r="F4346"/>
          <cell r="J4346"/>
          <cell r="O4346"/>
          <cell r="W4346"/>
          <cell r="X4346"/>
          <cell r="Y4346"/>
        </row>
        <row r="4347">
          <cell r="F4347"/>
          <cell r="J4347"/>
          <cell r="O4347"/>
          <cell r="W4347"/>
          <cell r="X4347"/>
          <cell r="Y4347"/>
        </row>
        <row r="4348">
          <cell r="F4348"/>
          <cell r="J4348"/>
          <cell r="O4348"/>
          <cell r="W4348"/>
          <cell r="X4348"/>
          <cell r="Y4348"/>
        </row>
        <row r="4349">
          <cell r="F4349"/>
          <cell r="J4349"/>
          <cell r="O4349"/>
          <cell r="W4349"/>
          <cell r="X4349"/>
          <cell r="Y4349"/>
        </row>
        <row r="4350">
          <cell r="F4350"/>
          <cell r="J4350"/>
          <cell r="O4350"/>
          <cell r="W4350"/>
          <cell r="X4350"/>
          <cell r="Y4350"/>
        </row>
        <row r="4351">
          <cell r="F4351"/>
          <cell r="J4351"/>
          <cell r="O4351"/>
          <cell r="W4351"/>
          <cell r="X4351"/>
          <cell r="Y4351"/>
        </row>
        <row r="4352">
          <cell r="F4352"/>
          <cell r="J4352"/>
          <cell r="O4352"/>
          <cell r="W4352"/>
          <cell r="X4352"/>
          <cell r="Y4352"/>
        </row>
        <row r="4353">
          <cell r="F4353"/>
          <cell r="J4353"/>
          <cell r="O4353"/>
          <cell r="W4353"/>
          <cell r="X4353"/>
          <cell r="Y4353"/>
        </row>
        <row r="4354">
          <cell r="F4354"/>
          <cell r="J4354"/>
          <cell r="O4354"/>
          <cell r="W4354"/>
          <cell r="X4354"/>
          <cell r="Y4354"/>
        </row>
        <row r="4355">
          <cell r="F4355"/>
          <cell r="J4355"/>
          <cell r="O4355"/>
          <cell r="W4355"/>
          <cell r="X4355"/>
          <cell r="Y4355"/>
        </row>
        <row r="4356">
          <cell r="F4356"/>
          <cell r="J4356"/>
          <cell r="O4356"/>
          <cell r="W4356"/>
          <cell r="X4356"/>
          <cell r="Y4356"/>
        </row>
        <row r="4357">
          <cell r="F4357"/>
          <cell r="J4357"/>
          <cell r="O4357"/>
          <cell r="W4357"/>
          <cell r="X4357"/>
          <cell r="Y4357"/>
        </row>
        <row r="4358">
          <cell r="F4358"/>
          <cell r="J4358"/>
          <cell r="O4358"/>
          <cell r="W4358"/>
          <cell r="X4358"/>
          <cell r="Y4358"/>
        </row>
        <row r="4359">
          <cell r="F4359"/>
          <cell r="J4359"/>
          <cell r="O4359"/>
          <cell r="W4359"/>
          <cell r="X4359"/>
          <cell r="Y4359"/>
        </row>
        <row r="4360">
          <cell r="F4360"/>
          <cell r="J4360"/>
          <cell r="O4360"/>
          <cell r="W4360"/>
          <cell r="X4360"/>
          <cell r="Y4360"/>
        </row>
        <row r="4361">
          <cell r="F4361"/>
          <cell r="J4361"/>
          <cell r="O4361"/>
          <cell r="W4361"/>
          <cell r="X4361"/>
          <cell r="Y4361"/>
        </row>
        <row r="4362">
          <cell r="F4362"/>
          <cell r="J4362"/>
          <cell r="O4362"/>
          <cell r="W4362"/>
          <cell r="X4362"/>
          <cell r="Y4362"/>
        </row>
        <row r="4363">
          <cell r="F4363"/>
          <cell r="J4363"/>
          <cell r="O4363"/>
          <cell r="W4363"/>
          <cell r="X4363"/>
          <cell r="Y4363"/>
        </row>
        <row r="4364">
          <cell r="F4364"/>
          <cell r="J4364"/>
          <cell r="O4364"/>
          <cell r="W4364"/>
          <cell r="X4364"/>
          <cell r="Y4364"/>
        </row>
        <row r="4365">
          <cell r="F4365"/>
          <cell r="J4365"/>
          <cell r="O4365"/>
          <cell r="W4365"/>
          <cell r="X4365"/>
          <cell r="Y4365"/>
        </row>
        <row r="4366">
          <cell r="F4366"/>
          <cell r="J4366"/>
          <cell r="O4366"/>
          <cell r="W4366"/>
          <cell r="X4366"/>
          <cell r="Y4366"/>
        </row>
        <row r="4367">
          <cell r="F4367"/>
          <cell r="J4367"/>
          <cell r="O4367"/>
          <cell r="W4367"/>
          <cell r="X4367"/>
          <cell r="Y4367"/>
        </row>
        <row r="4368">
          <cell r="F4368"/>
          <cell r="J4368"/>
          <cell r="O4368"/>
          <cell r="W4368"/>
          <cell r="X4368"/>
          <cell r="Y4368"/>
        </row>
        <row r="4369">
          <cell r="F4369"/>
          <cell r="J4369"/>
          <cell r="O4369"/>
          <cell r="W4369"/>
          <cell r="X4369"/>
          <cell r="Y4369"/>
        </row>
        <row r="4370">
          <cell r="F4370"/>
          <cell r="J4370"/>
          <cell r="O4370"/>
          <cell r="W4370"/>
          <cell r="X4370"/>
          <cell r="Y4370"/>
        </row>
        <row r="4371">
          <cell r="F4371"/>
          <cell r="J4371"/>
          <cell r="O4371"/>
          <cell r="W4371"/>
          <cell r="X4371"/>
          <cell r="Y4371"/>
        </row>
        <row r="4372">
          <cell r="F4372"/>
          <cell r="J4372"/>
          <cell r="O4372"/>
          <cell r="W4372"/>
          <cell r="X4372"/>
          <cell r="Y4372"/>
        </row>
        <row r="4373">
          <cell r="F4373"/>
          <cell r="J4373"/>
          <cell r="O4373"/>
          <cell r="W4373"/>
          <cell r="X4373"/>
          <cell r="Y4373"/>
        </row>
        <row r="4374">
          <cell r="F4374"/>
          <cell r="J4374"/>
          <cell r="O4374"/>
          <cell r="W4374"/>
          <cell r="X4374"/>
          <cell r="Y4374"/>
        </row>
        <row r="4375">
          <cell r="F4375"/>
          <cell r="J4375"/>
          <cell r="O4375"/>
          <cell r="W4375"/>
          <cell r="X4375"/>
          <cell r="Y4375"/>
        </row>
        <row r="4376">
          <cell r="F4376"/>
          <cell r="J4376"/>
          <cell r="O4376"/>
          <cell r="W4376"/>
          <cell r="X4376"/>
          <cell r="Y4376"/>
        </row>
        <row r="4377">
          <cell r="F4377"/>
          <cell r="J4377"/>
          <cell r="O4377"/>
          <cell r="W4377"/>
          <cell r="X4377"/>
          <cell r="Y4377"/>
        </row>
        <row r="4378">
          <cell r="F4378"/>
          <cell r="J4378"/>
          <cell r="O4378"/>
          <cell r="W4378"/>
          <cell r="X4378"/>
          <cell r="Y4378"/>
        </row>
        <row r="4379">
          <cell r="F4379"/>
          <cell r="J4379"/>
          <cell r="O4379"/>
          <cell r="W4379"/>
          <cell r="X4379"/>
          <cell r="Y4379"/>
        </row>
        <row r="4380">
          <cell r="F4380"/>
          <cell r="J4380"/>
          <cell r="O4380"/>
          <cell r="W4380"/>
          <cell r="X4380"/>
          <cell r="Y4380"/>
        </row>
        <row r="4381">
          <cell r="F4381"/>
          <cell r="J4381"/>
          <cell r="O4381"/>
          <cell r="W4381"/>
          <cell r="X4381"/>
          <cell r="Y4381"/>
        </row>
        <row r="4382">
          <cell r="F4382"/>
          <cell r="J4382"/>
          <cell r="O4382"/>
          <cell r="W4382"/>
          <cell r="X4382"/>
          <cell r="Y4382"/>
        </row>
        <row r="4383">
          <cell r="F4383"/>
          <cell r="J4383"/>
          <cell r="O4383"/>
          <cell r="W4383"/>
          <cell r="X4383"/>
          <cell r="Y4383"/>
        </row>
        <row r="4384">
          <cell r="F4384"/>
          <cell r="J4384"/>
          <cell r="O4384"/>
          <cell r="W4384"/>
          <cell r="X4384"/>
          <cell r="Y4384"/>
        </row>
        <row r="4385">
          <cell r="F4385"/>
          <cell r="J4385"/>
          <cell r="O4385"/>
          <cell r="W4385"/>
          <cell r="X4385"/>
          <cell r="Y4385"/>
        </row>
        <row r="4386">
          <cell r="F4386"/>
          <cell r="J4386"/>
          <cell r="O4386"/>
          <cell r="W4386"/>
          <cell r="X4386"/>
          <cell r="Y4386"/>
        </row>
        <row r="4387">
          <cell r="F4387"/>
          <cell r="J4387"/>
          <cell r="O4387"/>
          <cell r="W4387"/>
          <cell r="X4387"/>
          <cell r="Y4387"/>
        </row>
        <row r="4388">
          <cell r="F4388"/>
          <cell r="J4388"/>
          <cell r="O4388"/>
          <cell r="W4388"/>
          <cell r="X4388"/>
          <cell r="Y4388"/>
        </row>
        <row r="4389">
          <cell r="F4389"/>
          <cell r="J4389"/>
          <cell r="O4389"/>
          <cell r="W4389"/>
          <cell r="X4389"/>
          <cell r="Y4389"/>
        </row>
        <row r="4390">
          <cell r="F4390"/>
          <cell r="J4390"/>
          <cell r="O4390"/>
          <cell r="W4390"/>
          <cell r="X4390"/>
          <cell r="Y4390"/>
        </row>
        <row r="4391">
          <cell r="F4391"/>
          <cell r="J4391"/>
          <cell r="O4391"/>
          <cell r="W4391"/>
          <cell r="X4391"/>
          <cell r="Y4391"/>
        </row>
        <row r="4392">
          <cell r="F4392"/>
          <cell r="J4392"/>
          <cell r="O4392"/>
          <cell r="W4392"/>
          <cell r="X4392"/>
          <cell r="Y4392"/>
        </row>
        <row r="4393">
          <cell r="F4393"/>
          <cell r="J4393"/>
          <cell r="O4393"/>
          <cell r="W4393"/>
          <cell r="X4393"/>
          <cell r="Y4393"/>
        </row>
        <row r="4394">
          <cell r="F4394"/>
          <cell r="J4394"/>
          <cell r="O4394"/>
          <cell r="W4394"/>
          <cell r="X4394"/>
          <cell r="Y4394"/>
        </row>
        <row r="4395">
          <cell r="F4395"/>
          <cell r="J4395"/>
          <cell r="O4395"/>
          <cell r="W4395"/>
          <cell r="X4395"/>
          <cell r="Y4395"/>
        </row>
        <row r="4396">
          <cell r="F4396"/>
          <cell r="J4396"/>
          <cell r="O4396"/>
          <cell r="W4396"/>
          <cell r="X4396"/>
          <cell r="Y4396"/>
        </row>
        <row r="4397">
          <cell r="F4397"/>
          <cell r="J4397"/>
          <cell r="O4397"/>
          <cell r="W4397"/>
          <cell r="X4397"/>
          <cell r="Y4397"/>
        </row>
        <row r="4398">
          <cell r="F4398"/>
          <cell r="J4398"/>
          <cell r="O4398"/>
          <cell r="W4398"/>
          <cell r="X4398"/>
          <cell r="Y4398"/>
        </row>
        <row r="4399">
          <cell r="F4399"/>
          <cell r="J4399"/>
          <cell r="O4399"/>
          <cell r="W4399"/>
          <cell r="X4399"/>
          <cell r="Y4399"/>
        </row>
        <row r="4400">
          <cell r="F4400"/>
          <cell r="J4400"/>
          <cell r="O4400"/>
          <cell r="W4400"/>
          <cell r="X4400"/>
          <cell r="Y4400"/>
        </row>
        <row r="4401">
          <cell r="F4401"/>
          <cell r="J4401"/>
          <cell r="O4401"/>
          <cell r="W4401"/>
          <cell r="X4401"/>
          <cell r="Y4401"/>
        </row>
        <row r="4402">
          <cell r="F4402"/>
          <cell r="J4402"/>
          <cell r="O4402"/>
          <cell r="W4402"/>
          <cell r="X4402"/>
          <cell r="Y4402"/>
        </row>
        <row r="4403">
          <cell r="F4403"/>
          <cell r="J4403"/>
          <cell r="O4403"/>
          <cell r="W4403"/>
          <cell r="X4403"/>
          <cell r="Y4403"/>
        </row>
        <row r="4404">
          <cell r="F4404"/>
          <cell r="J4404"/>
          <cell r="O4404"/>
          <cell r="W4404"/>
          <cell r="X4404"/>
          <cell r="Y4404"/>
        </row>
        <row r="4405">
          <cell r="F4405"/>
          <cell r="J4405"/>
          <cell r="O4405"/>
          <cell r="W4405"/>
          <cell r="X4405"/>
          <cell r="Y4405"/>
        </row>
        <row r="4406">
          <cell r="F4406"/>
          <cell r="J4406"/>
          <cell r="O4406"/>
          <cell r="W4406"/>
          <cell r="X4406"/>
          <cell r="Y4406"/>
        </row>
        <row r="4407">
          <cell r="F4407"/>
          <cell r="J4407"/>
          <cell r="O4407"/>
          <cell r="W4407"/>
          <cell r="X4407"/>
          <cell r="Y4407"/>
        </row>
        <row r="4408">
          <cell r="F4408"/>
          <cell r="J4408"/>
          <cell r="O4408"/>
          <cell r="W4408"/>
          <cell r="X4408"/>
          <cell r="Y4408"/>
        </row>
        <row r="4409">
          <cell r="F4409"/>
          <cell r="J4409"/>
          <cell r="O4409"/>
          <cell r="W4409"/>
          <cell r="X4409"/>
          <cell r="Y4409"/>
        </row>
        <row r="4410">
          <cell r="F4410"/>
          <cell r="J4410"/>
          <cell r="O4410"/>
          <cell r="W4410"/>
          <cell r="X4410"/>
          <cell r="Y4410"/>
        </row>
        <row r="4411">
          <cell r="F4411"/>
          <cell r="J4411"/>
          <cell r="O4411"/>
          <cell r="W4411"/>
          <cell r="X4411"/>
          <cell r="Y4411"/>
        </row>
        <row r="4412">
          <cell r="F4412"/>
          <cell r="J4412"/>
          <cell r="O4412"/>
          <cell r="W4412"/>
          <cell r="X4412"/>
          <cell r="Y4412"/>
        </row>
        <row r="4413">
          <cell r="F4413"/>
          <cell r="J4413"/>
          <cell r="O4413"/>
          <cell r="W4413"/>
          <cell r="X4413"/>
          <cell r="Y4413"/>
        </row>
        <row r="4414">
          <cell r="F4414"/>
          <cell r="J4414"/>
          <cell r="O4414"/>
          <cell r="W4414"/>
          <cell r="X4414"/>
          <cell r="Y4414"/>
        </row>
        <row r="4415">
          <cell r="F4415"/>
          <cell r="J4415"/>
          <cell r="O4415"/>
          <cell r="W4415"/>
          <cell r="X4415"/>
          <cell r="Y4415"/>
        </row>
        <row r="4416">
          <cell r="F4416"/>
          <cell r="J4416"/>
          <cell r="O4416"/>
          <cell r="W4416"/>
          <cell r="X4416"/>
          <cell r="Y4416"/>
        </row>
        <row r="4417">
          <cell r="F4417"/>
          <cell r="J4417"/>
          <cell r="O4417"/>
          <cell r="W4417"/>
          <cell r="X4417"/>
          <cell r="Y4417"/>
        </row>
        <row r="4418">
          <cell r="F4418"/>
          <cell r="J4418"/>
          <cell r="O4418"/>
          <cell r="W4418"/>
          <cell r="X4418"/>
          <cell r="Y4418"/>
        </row>
        <row r="4419">
          <cell r="F4419"/>
          <cell r="J4419"/>
          <cell r="O4419"/>
          <cell r="W4419"/>
          <cell r="X4419"/>
          <cell r="Y4419"/>
        </row>
        <row r="4420">
          <cell r="F4420"/>
          <cell r="J4420"/>
          <cell r="O4420"/>
          <cell r="W4420"/>
          <cell r="X4420"/>
          <cell r="Y4420"/>
        </row>
        <row r="4421">
          <cell r="F4421"/>
          <cell r="J4421"/>
          <cell r="O4421"/>
          <cell r="W4421"/>
          <cell r="X4421"/>
          <cell r="Y4421"/>
        </row>
        <row r="4422">
          <cell r="F4422"/>
          <cell r="J4422"/>
          <cell r="O4422"/>
          <cell r="W4422"/>
          <cell r="X4422"/>
          <cell r="Y4422"/>
        </row>
        <row r="4423">
          <cell r="F4423"/>
          <cell r="J4423"/>
          <cell r="O4423"/>
          <cell r="W4423"/>
          <cell r="X4423"/>
          <cell r="Y4423"/>
        </row>
        <row r="4424">
          <cell r="F4424"/>
          <cell r="J4424"/>
          <cell r="O4424"/>
          <cell r="W4424"/>
          <cell r="X4424"/>
          <cell r="Y4424"/>
        </row>
        <row r="4425">
          <cell r="F4425"/>
          <cell r="J4425"/>
          <cell r="O4425"/>
          <cell r="W4425"/>
          <cell r="X4425"/>
          <cell r="Y4425"/>
        </row>
        <row r="4426">
          <cell r="F4426"/>
          <cell r="J4426"/>
          <cell r="O4426"/>
          <cell r="W4426"/>
          <cell r="X4426"/>
          <cell r="Y4426"/>
        </row>
        <row r="4427">
          <cell r="F4427"/>
          <cell r="J4427"/>
          <cell r="O4427"/>
          <cell r="W4427"/>
          <cell r="X4427"/>
          <cell r="Y4427"/>
        </row>
        <row r="4428">
          <cell r="F4428"/>
          <cell r="J4428"/>
          <cell r="O4428"/>
          <cell r="W4428"/>
          <cell r="X4428"/>
          <cell r="Y4428"/>
        </row>
        <row r="4429">
          <cell r="F4429"/>
          <cell r="J4429"/>
          <cell r="O4429"/>
          <cell r="W4429"/>
          <cell r="X4429"/>
          <cell r="Y4429"/>
        </row>
        <row r="4430">
          <cell r="F4430"/>
          <cell r="J4430"/>
          <cell r="O4430"/>
          <cell r="W4430"/>
          <cell r="X4430"/>
          <cell r="Y4430"/>
        </row>
        <row r="4431">
          <cell r="F4431"/>
          <cell r="J4431"/>
          <cell r="O4431"/>
          <cell r="W4431"/>
          <cell r="X4431"/>
          <cell r="Y4431"/>
        </row>
        <row r="4432">
          <cell r="F4432"/>
          <cell r="J4432"/>
          <cell r="O4432"/>
          <cell r="W4432"/>
          <cell r="X4432"/>
          <cell r="Y4432"/>
        </row>
        <row r="4433">
          <cell r="F4433"/>
          <cell r="J4433"/>
          <cell r="O4433"/>
          <cell r="W4433"/>
          <cell r="X4433"/>
          <cell r="Y4433"/>
        </row>
        <row r="4434">
          <cell r="F4434"/>
          <cell r="J4434"/>
          <cell r="O4434"/>
          <cell r="W4434"/>
          <cell r="X4434"/>
          <cell r="Y4434"/>
        </row>
        <row r="4435">
          <cell r="F4435"/>
          <cell r="J4435"/>
          <cell r="O4435"/>
          <cell r="W4435"/>
          <cell r="X4435"/>
          <cell r="Y4435"/>
        </row>
        <row r="4436">
          <cell r="F4436"/>
          <cell r="J4436"/>
          <cell r="O4436"/>
          <cell r="W4436"/>
          <cell r="X4436"/>
          <cell r="Y4436"/>
        </row>
        <row r="4437">
          <cell r="F4437"/>
          <cell r="J4437"/>
          <cell r="O4437"/>
          <cell r="W4437"/>
          <cell r="X4437"/>
          <cell r="Y4437"/>
        </row>
        <row r="4438">
          <cell r="F4438"/>
          <cell r="J4438"/>
          <cell r="O4438"/>
          <cell r="W4438"/>
          <cell r="X4438"/>
          <cell r="Y4438"/>
        </row>
        <row r="4439">
          <cell r="F4439"/>
          <cell r="J4439"/>
          <cell r="O4439"/>
          <cell r="W4439"/>
          <cell r="X4439"/>
          <cell r="Y4439"/>
        </row>
        <row r="4440">
          <cell r="F4440"/>
          <cell r="J4440"/>
          <cell r="O4440"/>
          <cell r="W4440"/>
          <cell r="X4440"/>
          <cell r="Y4440"/>
        </row>
        <row r="4441">
          <cell r="F4441"/>
          <cell r="J4441"/>
          <cell r="O4441"/>
          <cell r="W4441"/>
          <cell r="X4441"/>
          <cell r="Y4441"/>
        </row>
        <row r="4442">
          <cell r="F4442"/>
          <cell r="J4442"/>
          <cell r="O4442"/>
          <cell r="W4442"/>
          <cell r="X4442"/>
          <cell r="Y4442"/>
        </row>
        <row r="4443">
          <cell r="F4443"/>
          <cell r="J4443"/>
          <cell r="O4443"/>
          <cell r="W4443"/>
          <cell r="X4443"/>
          <cell r="Y4443"/>
        </row>
        <row r="4444">
          <cell r="F4444"/>
          <cell r="J4444"/>
          <cell r="O4444"/>
          <cell r="W4444"/>
          <cell r="X4444"/>
          <cell r="Y4444"/>
        </row>
        <row r="4445">
          <cell r="F4445"/>
          <cell r="J4445"/>
          <cell r="O4445"/>
          <cell r="W4445"/>
          <cell r="X4445"/>
          <cell r="Y4445"/>
        </row>
        <row r="4446">
          <cell r="F4446"/>
          <cell r="J4446"/>
          <cell r="O4446"/>
          <cell r="W4446"/>
          <cell r="X4446"/>
          <cell r="Y4446"/>
        </row>
        <row r="4447">
          <cell r="F4447"/>
          <cell r="J4447"/>
          <cell r="O4447"/>
          <cell r="W4447"/>
          <cell r="X4447"/>
          <cell r="Y4447"/>
        </row>
        <row r="4448">
          <cell r="F4448"/>
          <cell r="J4448"/>
          <cell r="O4448"/>
          <cell r="W4448"/>
          <cell r="X4448"/>
          <cell r="Y4448"/>
        </row>
        <row r="4449">
          <cell r="F4449"/>
          <cell r="J4449"/>
          <cell r="O4449"/>
          <cell r="W4449"/>
          <cell r="X4449"/>
          <cell r="Y4449"/>
        </row>
        <row r="4450">
          <cell r="F4450"/>
          <cell r="J4450"/>
          <cell r="O4450"/>
          <cell r="W4450"/>
          <cell r="X4450"/>
          <cell r="Y4450"/>
        </row>
        <row r="4451">
          <cell r="F4451"/>
          <cell r="J4451"/>
          <cell r="O4451"/>
          <cell r="W4451"/>
          <cell r="X4451"/>
          <cell r="Y4451"/>
        </row>
        <row r="4452">
          <cell r="F4452"/>
          <cell r="J4452"/>
          <cell r="O4452"/>
          <cell r="W4452"/>
          <cell r="X4452"/>
          <cell r="Y4452"/>
        </row>
        <row r="4453">
          <cell r="F4453"/>
          <cell r="J4453"/>
          <cell r="O4453"/>
          <cell r="W4453"/>
          <cell r="X4453"/>
          <cell r="Y4453"/>
        </row>
        <row r="4454">
          <cell r="F4454"/>
          <cell r="J4454"/>
          <cell r="O4454"/>
          <cell r="W4454"/>
          <cell r="X4454"/>
          <cell r="Y4454"/>
        </row>
        <row r="4455">
          <cell r="F4455"/>
          <cell r="J4455"/>
          <cell r="O4455"/>
          <cell r="W4455"/>
          <cell r="X4455"/>
          <cell r="Y4455"/>
        </row>
        <row r="4456">
          <cell r="F4456"/>
          <cell r="J4456"/>
          <cell r="O4456"/>
          <cell r="W4456"/>
          <cell r="X4456"/>
          <cell r="Y4456"/>
        </row>
        <row r="4457">
          <cell r="F4457"/>
          <cell r="J4457"/>
          <cell r="O4457"/>
          <cell r="W4457"/>
          <cell r="X4457"/>
          <cell r="Y4457"/>
        </row>
        <row r="4458">
          <cell r="F4458"/>
          <cell r="J4458"/>
          <cell r="O4458"/>
          <cell r="W4458"/>
          <cell r="X4458"/>
          <cell r="Y4458"/>
        </row>
        <row r="4459">
          <cell r="F4459"/>
          <cell r="J4459"/>
          <cell r="O4459"/>
          <cell r="W4459"/>
          <cell r="X4459"/>
          <cell r="Y4459"/>
        </row>
        <row r="4460">
          <cell r="F4460"/>
          <cell r="J4460"/>
          <cell r="O4460"/>
          <cell r="W4460"/>
          <cell r="X4460"/>
          <cell r="Y4460"/>
        </row>
        <row r="4461">
          <cell r="F4461"/>
          <cell r="J4461"/>
          <cell r="O4461"/>
          <cell r="W4461"/>
          <cell r="X4461"/>
          <cell r="Y4461"/>
        </row>
        <row r="4462">
          <cell r="F4462"/>
          <cell r="J4462"/>
          <cell r="O4462"/>
          <cell r="W4462"/>
          <cell r="X4462"/>
          <cell r="Y4462"/>
        </row>
        <row r="4463">
          <cell r="F4463"/>
          <cell r="J4463"/>
          <cell r="O4463"/>
          <cell r="W4463"/>
          <cell r="X4463"/>
          <cell r="Y4463"/>
        </row>
        <row r="4464">
          <cell r="F4464"/>
          <cell r="J4464"/>
          <cell r="O4464"/>
          <cell r="W4464"/>
          <cell r="X4464"/>
          <cell r="Y4464"/>
        </row>
        <row r="4465">
          <cell r="F4465"/>
          <cell r="J4465"/>
          <cell r="O4465"/>
          <cell r="W4465"/>
          <cell r="X4465"/>
          <cell r="Y4465"/>
        </row>
        <row r="4466">
          <cell r="F4466"/>
          <cell r="J4466"/>
          <cell r="O4466"/>
          <cell r="W4466"/>
          <cell r="X4466"/>
          <cell r="Y4466"/>
        </row>
        <row r="4467">
          <cell r="F4467"/>
          <cell r="J4467"/>
          <cell r="O4467"/>
          <cell r="W4467"/>
          <cell r="X4467"/>
          <cell r="Y4467"/>
        </row>
        <row r="4468">
          <cell r="F4468"/>
          <cell r="J4468"/>
          <cell r="O4468"/>
          <cell r="W4468"/>
          <cell r="X4468"/>
          <cell r="Y4468"/>
        </row>
        <row r="4469">
          <cell r="F4469"/>
          <cell r="J4469"/>
          <cell r="O4469"/>
          <cell r="W4469"/>
          <cell r="X4469"/>
          <cell r="Y4469"/>
        </row>
        <row r="4470">
          <cell r="F4470"/>
          <cell r="J4470"/>
          <cell r="O4470"/>
          <cell r="W4470"/>
          <cell r="X4470"/>
          <cell r="Y4470"/>
        </row>
        <row r="4471">
          <cell r="F4471"/>
          <cell r="J4471"/>
          <cell r="O4471"/>
          <cell r="W4471"/>
          <cell r="X4471"/>
          <cell r="Y4471"/>
        </row>
        <row r="4472">
          <cell r="F4472"/>
          <cell r="J4472"/>
          <cell r="O4472"/>
          <cell r="W4472"/>
          <cell r="X4472"/>
          <cell r="Y4472"/>
        </row>
        <row r="4473">
          <cell r="F4473"/>
          <cell r="J4473"/>
          <cell r="O4473"/>
          <cell r="W4473"/>
          <cell r="X4473"/>
          <cell r="Y4473"/>
        </row>
        <row r="4474">
          <cell r="F4474"/>
          <cell r="J4474"/>
          <cell r="O4474"/>
          <cell r="W4474"/>
          <cell r="X4474"/>
          <cell r="Y4474"/>
        </row>
        <row r="4475">
          <cell r="F4475"/>
          <cell r="J4475"/>
          <cell r="O4475"/>
          <cell r="W4475"/>
          <cell r="X4475"/>
          <cell r="Y4475"/>
        </row>
        <row r="4476">
          <cell r="F4476"/>
          <cell r="J4476"/>
          <cell r="O4476"/>
          <cell r="W4476"/>
          <cell r="X4476"/>
          <cell r="Y4476"/>
        </row>
        <row r="4477">
          <cell r="F4477"/>
          <cell r="J4477"/>
          <cell r="O4477"/>
          <cell r="W4477"/>
          <cell r="X4477"/>
          <cell r="Y4477"/>
        </row>
        <row r="4478">
          <cell r="F4478"/>
          <cell r="J4478"/>
          <cell r="O4478"/>
          <cell r="W4478"/>
          <cell r="X4478"/>
          <cell r="Y4478"/>
        </row>
        <row r="4479">
          <cell r="F4479"/>
          <cell r="J4479"/>
          <cell r="O4479"/>
          <cell r="W4479"/>
          <cell r="X4479"/>
          <cell r="Y4479"/>
        </row>
        <row r="4480">
          <cell r="F4480"/>
          <cell r="J4480"/>
          <cell r="O4480"/>
          <cell r="W4480"/>
          <cell r="X4480"/>
          <cell r="Y4480"/>
        </row>
        <row r="4481">
          <cell r="F4481"/>
          <cell r="J4481"/>
          <cell r="O4481"/>
          <cell r="W4481"/>
          <cell r="X4481"/>
          <cell r="Y4481"/>
        </row>
        <row r="4482">
          <cell r="F4482"/>
          <cell r="J4482"/>
          <cell r="O4482"/>
          <cell r="W4482"/>
          <cell r="X4482"/>
          <cell r="Y4482"/>
        </row>
        <row r="4483">
          <cell r="F4483"/>
          <cell r="J4483"/>
          <cell r="O4483"/>
          <cell r="W4483"/>
          <cell r="X4483"/>
          <cell r="Y4483"/>
        </row>
        <row r="4484">
          <cell r="F4484"/>
          <cell r="J4484"/>
          <cell r="O4484"/>
          <cell r="W4484"/>
          <cell r="X4484"/>
          <cell r="Y4484"/>
        </row>
        <row r="4485">
          <cell r="F4485"/>
          <cell r="J4485"/>
          <cell r="O4485"/>
          <cell r="W4485"/>
          <cell r="X4485"/>
          <cell r="Y4485"/>
        </row>
        <row r="4486">
          <cell r="F4486"/>
          <cell r="J4486"/>
          <cell r="O4486"/>
          <cell r="W4486"/>
          <cell r="X4486"/>
          <cell r="Y4486"/>
        </row>
        <row r="4487">
          <cell r="F4487"/>
          <cell r="J4487"/>
          <cell r="O4487"/>
          <cell r="W4487"/>
          <cell r="X4487"/>
          <cell r="Y4487"/>
        </row>
        <row r="4488">
          <cell r="F4488"/>
          <cell r="J4488"/>
          <cell r="O4488"/>
          <cell r="W4488"/>
          <cell r="X4488"/>
          <cell r="Y4488"/>
        </row>
        <row r="4489">
          <cell r="F4489"/>
          <cell r="J4489"/>
          <cell r="O4489"/>
          <cell r="W4489"/>
          <cell r="X4489"/>
          <cell r="Y4489"/>
        </row>
        <row r="4490">
          <cell r="F4490"/>
          <cell r="J4490"/>
          <cell r="O4490"/>
          <cell r="W4490"/>
          <cell r="X4490"/>
          <cell r="Y4490"/>
        </row>
        <row r="4491">
          <cell r="F4491"/>
          <cell r="J4491"/>
          <cell r="O4491"/>
          <cell r="W4491"/>
          <cell r="X4491"/>
          <cell r="Y4491"/>
        </row>
        <row r="4492">
          <cell r="F4492"/>
          <cell r="J4492"/>
          <cell r="O4492"/>
          <cell r="W4492"/>
          <cell r="X4492"/>
          <cell r="Y4492"/>
        </row>
        <row r="4493">
          <cell r="F4493"/>
          <cell r="J4493"/>
          <cell r="O4493"/>
          <cell r="W4493"/>
          <cell r="X4493"/>
          <cell r="Y4493"/>
        </row>
        <row r="4494">
          <cell r="F4494"/>
          <cell r="J4494"/>
          <cell r="O4494"/>
          <cell r="W4494"/>
          <cell r="X4494"/>
          <cell r="Y4494"/>
        </row>
        <row r="4495">
          <cell r="F4495"/>
          <cell r="J4495"/>
          <cell r="O4495"/>
          <cell r="W4495"/>
          <cell r="X4495"/>
          <cell r="Y4495"/>
        </row>
        <row r="4496">
          <cell r="F4496"/>
          <cell r="J4496"/>
          <cell r="O4496"/>
          <cell r="W4496"/>
          <cell r="X4496"/>
          <cell r="Y4496"/>
        </row>
        <row r="4497">
          <cell r="F4497"/>
          <cell r="J4497"/>
          <cell r="O4497"/>
          <cell r="W4497"/>
          <cell r="X4497"/>
          <cell r="Y4497"/>
        </row>
        <row r="4498">
          <cell r="F4498"/>
          <cell r="J4498"/>
          <cell r="O4498"/>
          <cell r="W4498"/>
          <cell r="X4498"/>
          <cell r="Y4498"/>
        </row>
        <row r="4499">
          <cell r="F4499"/>
          <cell r="J4499"/>
          <cell r="O4499"/>
          <cell r="W4499"/>
          <cell r="X4499"/>
          <cell r="Y4499"/>
        </row>
        <row r="4500">
          <cell r="F4500"/>
          <cell r="J4500"/>
          <cell r="O4500"/>
          <cell r="W4500"/>
          <cell r="X4500"/>
          <cell r="Y4500"/>
        </row>
        <row r="4501">
          <cell r="F4501"/>
          <cell r="J4501"/>
          <cell r="O4501"/>
          <cell r="W4501"/>
          <cell r="X4501"/>
          <cell r="Y4501"/>
        </row>
        <row r="4502">
          <cell r="F4502"/>
          <cell r="J4502"/>
          <cell r="O4502"/>
          <cell r="W4502"/>
          <cell r="X4502"/>
          <cell r="Y4502"/>
        </row>
        <row r="4503">
          <cell r="F4503"/>
          <cell r="J4503"/>
          <cell r="O4503"/>
          <cell r="W4503"/>
          <cell r="X4503"/>
          <cell r="Y4503"/>
        </row>
        <row r="4504">
          <cell r="F4504"/>
          <cell r="J4504"/>
          <cell r="O4504"/>
          <cell r="W4504"/>
          <cell r="X4504"/>
          <cell r="Y4504"/>
        </row>
        <row r="4505">
          <cell r="F4505"/>
          <cell r="J4505"/>
          <cell r="O4505"/>
          <cell r="W4505"/>
          <cell r="X4505"/>
          <cell r="Y4505"/>
        </row>
        <row r="4506">
          <cell r="F4506"/>
          <cell r="J4506"/>
          <cell r="O4506"/>
          <cell r="W4506"/>
          <cell r="X4506"/>
          <cell r="Y4506"/>
        </row>
        <row r="4507">
          <cell r="F4507"/>
          <cell r="J4507"/>
          <cell r="O4507"/>
          <cell r="W4507"/>
          <cell r="X4507"/>
          <cell r="Y4507"/>
        </row>
        <row r="4508">
          <cell r="F4508"/>
          <cell r="J4508"/>
          <cell r="O4508"/>
          <cell r="W4508"/>
          <cell r="X4508"/>
          <cell r="Y4508"/>
        </row>
        <row r="4509">
          <cell r="F4509"/>
          <cell r="J4509"/>
          <cell r="O4509"/>
          <cell r="W4509"/>
          <cell r="X4509"/>
          <cell r="Y4509"/>
        </row>
        <row r="4510">
          <cell r="F4510"/>
          <cell r="J4510"/>
          <cell r="O4510"/>
          <cell r="W4510"/>
          <cell r="X4510"/>
          <cell r="Y4510"/>
        </row>
        <row r="4511">
          <cell r="F4511"/>
          <cell r="J4511"/>
          <cell r="O4511"/>
          <cell r="W4511"/>
          <cell r="X4511"/>
          <cell r="Y4511"/>
        </row>
        <row r="4512">
          <cell r="F4512"/>
          <cell r="J4512"/>
          <cell r="O4512"/>
          <cell r="W4512"/>
          <cell r="X4512"/>
          <cell r="Y4512"/>
        </row>
        <row r="4513">
          <cell r="F4513"/>
          <cell r="J4513"/>
          <cell r="O4513"/>
          <cell r="W4513"/>
          <cell r="X4513"/>
          <cell r="Y4513"/>
        </row>
        <row r="4514">
          <cell r="F4514"/>
          <cell r="J4514"/>
          <cell r="O4514"/>
          <cell r="W4514"/>
          <cell r="X4514"/>
          <cell r="Y4514"/>
        </row>
        <row r="4515">
          <cell r="F4515"/>
          <cell r="J4515"/>
          <cell r="O4515"/>
          <cell r="W4515"/>
          <cell r="X4515"/>
          <cell r="Y4515"/>
        </row>
        <row r="4516">
          <cell r="F4516"/>
          <cell r="J4516"/>
          <cell r="O4516"/>
          <cell r="W4516"/>
          <cell r="X4516"/>
          <cell r="Y4516"/>
        </row>
        <row r="4517">
          <cell r="F4517"/>
          <cell r="J4517"/>
          <cell r="O4517"/>
          <cell r="W4517"/>
          <cell r="X4517"/>
          <cell r="Y4517"/>
        </row>
        <row r="4518">
          <cell r="F4518"/>
          <cell r="J4518"/>
          <cell r="O4518"/>
          <cell r="W4518"/>
          <cell r="X4518"/>
          <cell r="Y4518"/>
        </row>
        <row r="4519">
          <cell r="F4519"/>
          <cell r="J4519"/>
          <cell r="O4519"/>
          <cell r="W4519"/>
          <cell r="X4519"/>
          <cell r="Y4519"/>
        </row>
        <row r="4520">
          <cell r="F4520"/>
          <cell r="J4520"/>
          <cell r="O4520"/>
          <cell r="W4520"/>
          <cell r="X4520"/>
          <cell r="Y4520"/>
        </row>
        <row r="4521">
          <cell r="F4521"/>
          <cell r="J4521"/>
          <cell r="O4521"/>
          <cell r="W4521"/>
          <cell r="X4521"/>
          <cell r="Y4521"/>
        </row>
        <row r="4522">
          <cell r="F4522"/>
          <cell r="J4522"/>
          <cell r="O4522"/>
          <cell r="W4522"/>
          <cell r="X4522"/>
          <cell r="Y4522"/>
        </row>
        <row r="4523">
          <cell r="F4523"/>
          <cell r="J4523"/>
          <cell r="O4523"/>
          <cell r="W4523"/>
          <cell r="X4523"/>
          <cell r="Y4523"/>
        </row>
        <row r="4524">
          <cell r="F4524"/>
          <cell r="J4524"/>
          <cell r="O4524"/>
          <cell r="W4524"/>
          <cell r="X4524"/>
          <cell r="Y4524"/>
        </row>
        <row r="4525">
          <cell r="F4525"/>
          <cell r="J4525"/>
          <cell r="O4525"/>
          <cell r="W4525"/>
          <cell r="X4525"/>
          <cell r="Y4525"/>
        </row>
        <row r="4526">
          <cell r="F4526"/>
          <cell r="J4526"/>
          <cell r="O4526"/>
          <cell r="W4526"/>
          <cell r="X4526"/>
          <cell r="Y4526"/>
        </row>
        <row r="4527">
          <cell r="F4527"/>
          <cell r="J4527"/>
          <cell r="O4527"/>
          <cell r="W4527"/>
          <cell r="X4527"/>
          <cell r="Y4527"/>
        </row>
        <row r="4528">
          <cell r="F4528"/>
          <cell r="J4528"/>
          <cell r="O4528"/>
          <cell r="W4528"/>
          <cell r="X4528"/>
          <cell r="Y4528"/>
        </row>
        <row r="4529">
          <cell r="F4529"/>
          <cell r="J4529"/>
          <cell r="O4529"/>
          <cell r="W4529"/>
          <cell r="X4529"/>
          <cell r="Y4529"/>
        </row>
        <row r="4530">
          <cell r="F4530"/>
          <cell r="J4530"/>
          <cell r="O4530"/>
          <cell r="W4530"/>
          <cell r="X4530"/>
          <cell r="Y4530"/>
        </row>
        <row r="4531">
          <cell r="F4531"/>
          <cell r="J4531"/>
          <cell r="O4531"/>
          <cell r="W4531"/>
          <cell r="X4531"/>
          <cell r="Y4531"/>
        </row>
        <row r="4532">
          <cell r="F4532"/>
          <cell r="J4532"/>
          <cell r="O4532"/>
          <cell r="W4532"/>
          <cell r="X4532"/>
          <cell r="Y4532"/>
        </row>
        <row r="4533">
          <cell r="F4533"/>
          <cell r="J4533"/>
          <cell r="O4533"/>
          <cell r="W4533"/>
          <cell r="X4533"/>
          <cell r="Y4533"/>
        </row>
        <row r="4534">
          <cell r="F4534"/>
          <cell r="J4534"/>
          <cell r="O4534"/>
          <cell r="W4534"/>
          <cell r="X4534"/>
          <cell r="Y4534"/>
        </row>
        <row r="4535">
          <cell r="F4535"/>
          <cell r="J4535"/>
          <cell r="O4535"/>
          <cell r="W4535"/>
          <cell r="X4535"/>
          <cell r="Y4535"/>
        </row>
        <row r="4536">
          <cell r="F4536"/>
          <cell r="J4536"/>
          <cell r="O4536"/>
          <cell r="W4536"/>
          <cell r="X4536"/>
          <cell r="Y4536"/>
        </row>
        <row r="4537">
          <cell r="F4537"/>
          <cell r="J4537"/>
          <cell r="O4537"/>
          <cell r="W4537"/>
          <cell r="X4537"/>
          <cell r="Y4537"/>
        </row>
        <row r="4538">
          <cell r="F4538"/>
          <cell r="J4538"/>
          <cell r="O4538"/>
          <cell r="W4538"/>
          <cell r="X4538"/>
          <cell r="Y4538"/>
        </row>
        <row r="4539">
          <cell r="F4539"/>
          <cell r="J4539"/>
          <cell r="O4539"/>
          <cell r="W4539"/>
          <cell r="X4539"/>
          <cell r="Y4539"/>
        </row>
        <row r="4540">
          <cell r="F4540"/>
          <cell r="J4540"/>
          <cell r="O4540"/>
          <cell r="W4540"/>
          <cell r="X4540"/>
          <cell r="Y4540"/>
        </row>
        <row r="4541">
          <cell r="F4541"/>
          <cell r="J4541"/>
          <cell r="O4541"/>
          <cell r="W4541"/>
          <cell r="X4541"/>
          <cell r="Y4541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B9B-2292-4B9D-B8D4-FEEAD0292E46}">
  <sheetPr>
    <tabColor rgb="FFFFFF00"/>
  </sheetPr>
  <dimension ref="B4:N40"/>
  <sheetViews>
    <sheetView showGridLines="0" zoomScale="80" zoomScaleNormal="80" workbookViewId="0">
      <selection activeCell="M35" sqref="M35"/>
    </sheetView>
  </sheetViews>
  <sheetFormatPr baseColWidth="10" defaultRowHeight="14.5"/>
  <cols>
    <col min="2" max="2" width="7.90625" customWidth="1"/>
    <col min="3" max="3" width="15.36328125" customWidth="1"/>
    <col min="4" max="4" width="16.1796875" customWidth="1"/>
    <col min="5" max="5" width="17.453125" customWidth="1"/>
    <col min="6" max="6" width="13.90625" customWidth="1"/>
    <col min="7" max="7" width="15.7265625" customWidth="1"/>
    <col min="8" max="8" width="15.453125" bestFit="1" customWidth="1"/>
    <col min="9" max="9" width="19.08984375" customWidth="1"/>
    <col min="10" max="10" width="18.08984375" customWidth="1"/>
    <col min="11" max="14" width="13.90625" bestFit="1" customWidth="1"/>
    <col min="15" max="15" width="15.453125" bestFit="1" customWidth="1"/>
    <col min="16" max="16" width="11.453125" customWidth="1"/>
    <col min="17" max="17" width="22.08984375" customWidth="1"/>
    <col min="18" max="18" width="0" hidden="1" customWidth="1"/>
  </cols>
  <sheetData>
    <row r="4" spans="2:8" ht="27" customHeight="1">
      <c r="B4" s="125" t="s">
        <v>276</v>
      </c>
      <c r="C4" s="15" t="s">
        <v>13</v>
      </c>
      <c r="D4" s="4" t="s">
        <v>14</v>
      </c>
      <c r="E4" s="4" t="s">
        <v>2285</v>
      </c>
      <c r="F4" s="4" t="s">
        <v>15</v>
      </c>
      <c r="G4" s="4" t="s">
        <v>2280</v>
      </c>
      <c r="H4" s="4" t="s">
        <v>2286</v>
      </c>
    </row>
    <row r="5" spans="2:8">
      <c r="B5" s="125"/>
      <c r="C5" s="16" t="s">
        <v>0</v>
      </c>
      <c r="D5" s="81">
        <v>5631090</v>
      </c>
      <c r="E5" s="2">
        <v>7757947</v>
      </c>
      <c r="F5" s="14">
        <f t="shared" ref="F5:F18" si="0">E5/D5-1</f>
        <v>0.377698989005681</v>
      </c>
      <c r="G5" s="2">
        <v>6923077</v>
      </c>
      <c r="H5" s="14">
        <f>E5/G5</f>
        <v>1.1205923319934186</v>
      </c>
    </row>
    <row r="6" spans="2:8">
      <c r="B6" s="125"/>
      <c r="C6" s="16" t="s">
        <v>1</v>
      </c>
      <c r="D6" s="81">
        <v>6265109</v>
      </c>
      <c r="E6" s="2">
        <v>7385682</v>
      </c>
      <c r="F6" s="14">
        <f t="shared" si="0"/>
        <v>0.17885929837772974</v>
      </c>
      <c r="G6" s="2">
        <v>7567600</v>
      </c>
      <c r="H6" s="14">
        <f>E6/G6</f>
        <v>0.97596093873883394</v>
      </c>
    </row>
    <row r="7" spans="2:8">
      <c r="B7" s="125"/>
      <c r="C7" s="16" t="s">
        <v>2</v>
      </c>
      <c r="D7" s="81">
        <v>6625354</v>
      </c>
      <c r="E7" s="2">
        <v>11202838</v>
      </c>
      <c r="F7" s="14">
        <f t="shared" si="0"/>
        <v>0.69090406339042421</v>
      </c>
      <c r="G7" s="2">
        <v>8648600</v>
      </c>
      <c r="H7" s="14">
        <f t="shared" ref="H7:H9" si="1">E7/G7</f>
        <v>1.2953354300117939</v>
      </c>
    </row>
    <row r="8" spans="2:8">
      <c r="B8" s="125"/>
      <c r="C8" s="16" t="s">
        <v>3</v>
      </c>
      <c r="D8" s="81">
        <v>5539166</v>
      </c>
      <c r="E8" s="2">
        <v>9218564</v>
      </c>
      <c r="F8" s="14">
        <f t="shared" si="0"/>
        <v>0.6642512609298945</v>
      </c>
      <c r="G8" s="2">
        <v>8633900</v>
      </c>
      <c r="H8" s="14">
        <f t="shared" si="1"/>
        <v>1.0677172540798481</v>
      </c>
    </row>
    <row r="9" spans="2:8">
      <c r="B9" s="125"/>
      <c r="C9" s="16" t="s">
        <v>4</v>
      </c>
      <c r="D9" s="81">
        <v>10654778</v>
      </c>
      <c r="E9" s="2">
        <v>7793991</v>
      </c>
      <c r="F9" s="37">
        <f t="shared" si="0"/>
        <v>-0.26849803909569958</v>
      </c>
      <c r="G9" s="2">
        <v>8671500</v>
      </c>
      <c r="H9" s="122">
        <f t="shared" si="1"/>
        <v>0.89880539699014006</v>
      </c>
    </row>
    <row r="10" spans="2:8">
      <c r="B10" s="125"/>
      <c r="C10" s="82" t="s">
        <v>5</v>
      </c>
      <c r="D10" s="88">
        <v>5606538</v>
      </c>
      <c r="E10" s="89"/>
      <c r="F10" s="84">
        <f t="shared" si="0"/>
        <v>-1</v>
      </c>
      <c r="G10" s="89"/>
      <c r="H10" s="86"/>
    </row>
    <row r="11" spans="2:8">
      <c r="B11" s="125"/>
      <c r="C11" s="82" t="s">
        <v>6</v>
      </c>
      <c r="D11" s="88">
        <v>6036525</v>
      </c>
      <c r="E11" s="89"/>
      <c r="F11" s="84">
        <f t="shared" si="0"/>
        <v>-1</v>
      </c>
      <c r="G11" s="89"/>
      <c r="H11" s="86"/>
    </row>
    <row r="12" spans="2:8">
      <c r="B12" s="125"/>
      <c r="C12" s="82" t="s">
        <v>7</v>
      </c>
      <c r="D12" s="88">
        <v>6480082</v>
      </c>
      <c r="E12" s="89"/>
      <c r="F12" s="84">
        <f t="shared" si="0"/>
        <v>-1</v>
      </c>
      <c r="G12" s="89"/>
      <c r="H12" s="86"/>
    </row>
    <row r="13" spans="2:8">
      <c r="B13" s="125"/>
      <c r="C13" s="82" t="s">
        <v>8</v>
      </c>
      <c r="D13" s="88">
        <v>6860897</v>
      </c>
      <c r="E13" s="89"/>
      <c r="F13" s="84">
        <f t="shared" si="0"/>
        <v>-1</v>
      </c>
      <c r="G13" s="89"/>
      <c r="H13" s="86"/>
    </row>
    <row r="14" spans="2:8">
      <c r="B14" s="125"/>
      <c r="C14" s="82" t="s">
        <v>9</v>
      </c>
      <c r="D14" s="88">
        <v>9673340</v>
      </c>
      <c r="E14" s="89"/>
      <c r="F14" s="84">
        <f t="shared" si="0"/>
        <v>-1</v>
      </c>
      <c r="G14" s="89"/>
      <c r="H14" s="86"/>
    </row>
    <row r="15" spans="2:8">
      <c r="B15" s="125"/>
      <c r="C15" s="82" t="s">
        <v>10</v>
      </c>
      <c r="D15" s="88">
        <v>7325339</v>
      </c>
      <c r="E15" s="89"/>
      <c r="F15" s="84">
        <f t="shared" si="0"/>
        <v>-1</v>
      </c>
      <c r="G15" s="89"/>
      <c r="H15" s="86"/>
    </row>
    <row r="16" spans="2:8">
      <c r="B16" s="125"/>
      <c r="C16" s="82" t="s">
        <v>11</v>
      </c>
      <c r="D16" s="88">
        <v>6590444</v>
      </c>
      <c r="E16" s="89"/>
      <c r="F16" s="84">
        <f t="shared" si="0"/>
        <v>-1</v>
      </c>
      <c r="G16" s="89"/>
      <c r="H16" s="86"/>
    </row>
    <row r="17" spans="2:9">
      <c r="B17" s="125"/>
      <c r="C17" s="17" t="s">
        <v>12</v>
      </c>
      <c r="D17" s="5">
        <f>SUM(D5:D16)</f>
        <v>83288662</v>
      </c>
      <c r="E17" s="5">
        <f>SUM(E5:E16)</f>
        <v>43359022</v>
      </c>
      <c r="F17" s="7">
        <f>E17/D17-1</f>
        <v>-0.4794126720393227</v>
      </c>
    </row>
    <row r="18" spans="2:9">
      <c r="B18" s="125"/>
      <c r="C18" s="18" t="s">
        <v>4205</v>
      </c>
      <c r="D18" s="11">
        <f>SUM(D5:D9)</f>
        <v>34715497</v>
      </c>
      <c r="E18" s="11">
        <f>SUM(E5:E16)</f>
        <v>43359022</v>
      </c>
      <c r="F18" s="12">
        <f>E18/D18-1</f>
        <v>0.24898174437773424</v>
      </c>
    </row>
    <row r="26" spans="2:9" ht="28" customHeight="1">
      <c r="B26" s="125" t="s">
        <v>277</v>
      </c>
      <c r="C26" s="15" t="s">
        <v>13</v>
      </c>
      <c r="D26" s="4" t="s">
        <v>14</v>
      </c>
      <c r="E26" s="4" t="s">
        <v>2285</v>
      </c>
      <c r="F26" s="4" t="s">
        <v>15</v>
      </c>
      <c r="G26" s="4" t="s">
        <v>335</v>
      </c>
      <c r="H26" s="4" t="s">
        <v>2280</v>
      </c>
      <c r="I26" s="4" t="s">
        <v>2286</v>
      </c>
    </row>
    <row r="27" spans="2:9">
      <c r="B27" s="125"/>
      <c r="C27" s="16" t="s">
        <v>0</v>
      </c>
      <c r="D27" s="8">
        <v>20408763.315584917</v>
      </c>
      <c r="E27" s="8">
        <v>33321277.740908496</v>
      </c>
      <c r="F27" s="14">
        <f t="shared" ref="F27:F40" si="2">E27/D27-1</f>
        <v>0.63269460406075106</v>
      </c>
      <c r="G27" s="39">
        <f>E27/E5</f>
        <v>4.2951154140275118</v>
      </c>
      <c r="H27" s="8">
        <v>27000000</v>
      </c>
      <c r="I27" s="14">
        <f>E27/H27</f>
        <v>1.2341213978114258</v>
      </c>
    </row>
    <row r="28" spans="2:9">
      <c r="B28" s="125"/>
      <c r="C28" s="16" t="s">
        <v>1</v>
      </c>
      <c r="D28" s="8">
        <v>21343641.178420145</v>
      </c>
      <c r="E28" s="8">
        <v>29920314.831075601</v>
      </c>
      <c r="F28" s="14">
        <f t="shared" si="2"/>
        <v>0.40183741756898761</v>
      </c>
      <c r="G28" s="39">
        <f>E28/E6</f>
        <v>4.051124165794791</v>
      </c>
      <c r="H28" s="8">
        <v>28000000</v>
      </c>
      <c r="I28" s="14">
        <f>E28/H28</f>
        <v>1.0685826725384144</v>
      </c>
    </row>
    <row r="29" spans="2:9">
      <c r="B29" s="125"/>
      <c r="C29" s="16" t="s">
        <v>2</v>
      </c>
      <c r="D29" s="8">
        <v>24194100.490293812</v>
      </c>
      <c r="E29" s="8">
        <v>38725856.186751403</v>
      </c>
      <c r="F29" s="14">
        <f t="shared" si="2"/>
        <v>0.60063219553409053</v>
      </c>
      <c r="G29" s="39">
        <f>E29/E7</f>
        <v>3.4567898051146866</v>
      </c>
      <c r="H29" s="8">
        <v>32000000</v>
      </c>
      <c r="I29" s="14">
        <f>E29/H29</f>
        <v>1.2101830058359813</v>
      </c>
    </row>
    <row r="30" spans="2:9">
      <c r="B30" s="125"/>
      <c r="C30" s="16" t="s">
        <v>3</v>
      </c>
      <c r="D30" s="8">
        <v>21060210.45090232</v>
      </c>
      <c r="E30" s="8">
        <v>32202538.567224301</v>
      </c>
      <c r="F30" s="14">
        <f t="shared" si="2"/>
        <v>0.52907012217651372</v>
      </c>
      <c r="G30" s="39">
        <f>E30/E8</f>
        <v>3.4932272062356242</v>
      </c>
      <c r="H30" s="8">
        <v>33672000</v>
      </c>
      <c r="I30" s="122">
        <f>E30/H30</f>
        <v>0.95635954404918933</v>
      </c>
    </row>
    <row r="31" spans="2:9">
      <c r="B31" s="125"/>
      <c r="C31" s="16" t="s">
        <v>4</v>
      </c>
      <c r="D31" s="8">
        <v>31820622.814482395</v>
      </c>
      <c r="E31" s="8">
        <v>29298320.611772198</v>
      </c>
      <c r="F31" s="37">
        <f t="shared" si="2"/>
        <v>-7.9266273869480375E-2</v>
      </c>
      <c r="G31" s="39">
        <f>E31/E9</f>
        <v>3.7590908960213323</v>
      </c>
      <c r="H31" s="8">
        <v>32084700</v>
      </c>
      <c r="I31" s="122">
        <f>E31/H31</f>
        <v>0.91315551062569378</v>
      </c>
    </row>
    <row r="32" spans="2:9">
      <c r="B32" s="125"/>
      <c r="C32" s="82" t="s">
        <v>5</v>
      </c>
      <c r="D32" s="83">
        <v>23583634.597996578</v>
      </c>
      <c r="E32" s="83"/>
      <c r="F32" s="84">
        <f t="shared" si="2"/>
        <v>-1</v>
      </c>
      <c r="G32" s="85"/>
      <c r="H32" s="83">
        <v>48103000</v>
      </c>
      <c r="I32" s="86"/>
    </row>
    <row r="33" spans="2:14">
      <c r="B33" s="125"/>
      <c r="C33" s="82" t="s">
        <v>6</v>
      </c>
      <c r="D33" s="83">
        <v>23867110.959517982</v>
      </c>
      <c r="E33" s="83"/>
      <c r="F33" s="84">
        <f t="shared" si="2"/>
        <v>-1</v>
      </c>
      <c r="G33" s="85"/>
      <c r="H33" s="83">
        <v>39925000</v>
      </c>
      <c r="I33" s="86"/>
    </row>
    <row r="34" spans="2:14">
      <c r="B34" s="125"/>
      <c r="C34" s="82" t="s">
        <v>7</v>
      </c>
      <c r="D34" s="83">
        <v>25003042.708778333</v>
      </c>
      <c r="E34" s="83"/>
      <c r="F34" s="84">
        <f t="shared" si="2"/>
        <v>-1</v>
      </c>
      <c r="G34" s="85"/>
      <c r="H34" s="83">
        <v>40406000</v>
      </c>
      <c r="I34" s="86"/>
    </row>
    <row r="35" spans="2:14">
      <c r="B35" s="125"/>
      <c r="C35" s="82" t="s">
        <v>8</v>
      </c>
      <c r="D35" s="83">
        <v>24429783.790902711</v>
      </c>
      <c r="E35" s="83"/>
      <c r="F35" s="84">
        <f t="shared" si="2"/>
        <v>-1</v>
      </c>
      <c r="G35" s="85"/>
      <c r="H35" s="83">
        <v>40406000</v>
      </c>
      <c r="I35" s="86"/>
    </row>
    <row r="36" spans="2:14">
      <c r="B36" s="125"/>
      <c r="C36" s="82" t="s">
        <v>9</v>
      </c>
      <c r="D36" s="83">
        <v>34991437.586552382</v>
      </c>
      <c r="E36" s="83"/>
      <c r="F36" s="84">
        <f t="shared" si="2"/>
        <v>-1</v>
      </c>
      <c r="G36" s="85"/>
      <c r="H36" s="83">
        <v>55318000</v>
      </c>
      <c r="I36" s="86"/>
    </row>
    <row r="37" spans="2:14">
      <c r="B37" s="125"/>
      <c r="C37" s="82" t="s">
        <v>10</v>
      </c>
      <c r="D37" s="83">
        <v>29057822.857989255</v>
      </c>
      <c r="E37" s="83"/>
      <c r="F37" s="84">
        <f t="shared" si="2"/>
        <v>-1</v>
      </c>
      <c r="G37" s="85"/>
      <c r="H37" s="83">
        <v>44495000</v>
      </c>
      <c r="I37" s="86"/>
    </row>
    <row r="38" spans="2:14">
      <c r="B38" s="125"/>
      <c r="C38" s="82" t="s">
        <v>11</v>
      </c>
      <c r="D38" s="83">
        <v>27798493.816817168</v>
      </c>
      <c r="E38" s="83"/>
      <c r="F38" s="84">
        <f t="shared" si="2"/>
        <v>-1</v>
      </c>
      <c r="G38" s="87"/>
      <c r="H38" s="83">
        <v>40603000</v>
      </c>
      <c r="I38" s="86"/>
    </row>
    <row r="39" spans="2:14">
      <c r="B39" s="125"/>
      <c r="C39" s="17" t="s">
        <v>2279</v>
      </c>
      <c r="D39" s="10">
        <f>SUM(D27:D38)</f>
        <v>307558664.56823796</v>
      </c>
      <c r="E39" s="10">
        <f>SUM(E27:E38)</f>
        <v>163468307.93773201</v>
      </c>
      <c r="F39" s="7">
        <f t="shared" si="2"/>
        <v>-0.4684971461713987</v>
      </c>
      <c r="H39" s="10">
        <f>SUM(H27:H38)</f>
        <v>462012700</v>
      </c>
      <c r="I39" s="75">
        <f>E39/H39</f>
        <v>0.35381778019896859</v>
      </c>
      <c r="N39" t="s">
        <v>263</v>
      </c>
    </row>
    <row r="40" spans="2:14">
      <c r="B40" s="125"/>
      <c r="C40" s="18" t="str">
        <f>C18</f>
        <v>Acum Ene- May</v>
      </c>
      <c r="D40" s="13">
        <f>SUM(D27:D31)</f>
        <v>118827338.24968359</v>
      </c>
      <c r="E40" s="13">
        <f>SUM(E27:E38)</f>
        <v>163468307.93773201</v>
      </c>
      <c r="F40" s="12">
        <f t="shared" si="2"/>
        <v>0.3756792868173775</v>
      </c>
      <c r="I40" s="99"/>
    </row>
  </sheetData>
  <mergeCells count="2">
    <mergeCell ref="B4:B18"/>
    <mergeCell ref="B26:B40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E62A-D30E-4DB1-9950-EA103A2FB1DB}">
  <dimension ref="A1:K17"/>
  <sheetViews>
    <sheetView showGridLines="0" tabSelected="1" workbookViewId="0">
      <selection activeCell="K16" sqref="K16:M23"/>
    </sheetView>
  </sheetViews>
  <sheetFormatPr baseColWidth="10" defaultRowHeight="14.5"/>
  <cols>
    <col min="1" max="1" width="24.90625" customWidth="1"/>
    <col min="2" max="2" width="18.81640625" bestFit="1" customWidth="1"/>
    <col min="3" max="3" width="17.08984375" bestFit="1" customWidth="1"/>
    <col min="9" max="9" width="10.90625" customWidth="1"/>
    <col min="10" max="10" width="13.7265625" bestFit="1" customWidth="1"/>
    <col min="12" max="12" width="14.7265625" bestFit="1" customWidth="1"/>
    <col min="13" max="13" width="13.7265625" bestFit="1" customWidth="1"/>
  </cols>
  <sheetData>
    <row r="1" spans="1:11">
      <c r="K1" s="61"/>
    </row>
    <row r="2" spans="1:11" ht="43.5">
      <c r="A2" s="25" t="s">
        <v>16</v>
      </c>
      <c r="B2" s="23" t="s">
        <v>17</v>
      </c>
      <c r="C2" s="23" t="s">
        <v>18</v>
      </c>
      <c r="D2" s="23" t="s">
        <v>19</v>
      </c>
      <c r="E2" s="23" t="s">
        <v>20</v>
      </c>
      <c r="F2" s="23" t="s">
        <v>21</v>
      </c>
      <c r="G2" s="23" t="s">
        <v>22</v>
      </c>
      <c r="H2" s="23" t="s">
        <v>23</v>
      </c>
      <c r="K2" s="61"/>
    </row>
    <row r="3" spans="1:11">
      <c r="A3" s="26" t="s">
        <v>27</v>
      </c>
      <c r="B3" s="8">
        <v>24412867.080549724</v>
      </c>
      <c r="C3" s="8">
        <v>34095258.361530557</v>
      </c>
      <c r="D3" s="19">
        <v>0.2083083001335507</v>
      </c>
      <c r="E3" s="29">
        <v>0.39661016664015714</v>
      </c>
      <c r="F3" s="2">
        <v>6958840</v>
      </c>
      <c r="G3" s="2">
        <v>9860944</v>
      </c>
      <c r="H3" s="29">
        <v>0.4170384719292296</v>
      </c>
      <c r="K3" s="61"/>
    </row>
    <row r="4" spans="1:11">
      <c r="A4" s="26" t="s">
        <v>26</v>
      </c>
      <c r="B4" s="8">
        <v>24743712.027664091</v>
      </c>
      <c r="C4" s="8">
        <v>31478285.462532274</v>
      </c>
      <c r="D4" s="19">
        <v>0.19388603517177805</v>
      </c>
      <c r="E4" s="29">
        <v>0.27217312533134724</v>
      </c>
      <c r="F4" s="2">
        <v>6795537</v>
      </c>
      <c r="G4" s="2">
        <v>8188025</v>
      </c>
      <c r="H4" s="29">
        <v>0.20491213571495528</v>
      </c>
      <c r="K4" s="61"/>
    </row>
    <row r="5" spans="1:11">
      <c r="A5" s="26" t="s">
        <v>24</v>
      </c>
      <c r="B5" s="8">
        <v>20774376.117504131</v>
      </c>
      <c r="C5" s="8">
        <v>24911266.312607579</v>
      </c>
      <c r="D5" s="19">
        <v>0.15144991911169614</v>
      </c>
      <c r="E5" s="29">
        <v>0.19913426866368206</v>
      </c>
      <c r="F5" s="2">
        <v>5372713</v>
      </c>
      <c r="G5" s="2">
        <v>5502468</v>
      </c>
      <c r="H5" s="29">
        <v>2.4150740975741679E-2</v>
      </c>
      <c r="K5" s="61"/>
    </row>
    <row r="6" spans="1:11">
      <c r="A6" s="26" t="s">
        <v>29</v>
      </c>
      <c r="B6" s="8">
        <v>15425004.316959795</v>
      </c>
      <c r="C6" s="8">
        <v>24652567.751342423</v>
      </c>
      <c r="D6" s="19">
        <v>0.15076285819085164</v>
      </c>
      <c r="E6" s="28">
        <v>0.59822112491968127</v>
      </c>
      <c r="F6" s="2">
        <v>4527724</v>
      </c>
      <c r="G6" s="2">
        <v>6666061</v>
      </c>
      <c r="H6" s="29">
        <v>0.47227635783453231</v>
      </c>
      <c r="K6" s="61"/>
    </row>
    <row r="7" spans="1:11">
      <c r="A7" s="26" t="s">
        <v>28</v>
      </c>
      <c r="B7" s="8">
        <v>16995343.902423833</v>
      </c>
      <c r="C7" s="8">
        <v>24583794.304815851</v>
      </c>
      <c r="D7" s="19">
        <v>0.15040265879096407</v>
      </c>
      <c r="E7" s="29">
        <v>0.44650172694121082</v>
      </c>
      <c r="F7" s="2">
        <v>4618819</v>
      </c>
      <c r="G7" s="2">
        <v>6115959</v>
      </c>
      <c r="H7" s="29">
        <v>0.32413913599991684</v>
      </c>
      <c r="K7" s="61"/>
    </row>
    <row r="8" spans="1:11">
      <c r="A8" s="26" t="s">
        <v>25</v>
      </c>
      <c r="B8" s="8">
        <v>16825648.082702667</v>
      </c>
      <c r="C8" s="8">
        <v>23864947.180392329</v>
      </c>
      <c r="D8" s="19">
        <v>0.14519022860115943</v>
      </c>
      <c r="E8" s="29">
        <v>0.41836718937003675</v>
      </c>
      <c r="F8" s="2">
        <v>6467464</v>
      </c>
      <c r="G8" s="2">
        <v>7050008</v>
      </c>
      <c r="H8" s="29">
        <v>9.0073017801104105E-2</v>
      </c>
      <c r="K8" s="61"/>
    </row>
    <row r="9" spans="1:11">
      <c r="A9" s="27" t="s">
        <v>12</v>
      </c>
      <c r="B9" s="10">
        <v>119176951.52731954</v>
      </c>
      <c r="C9" s="10">
        <v>163586119.37338325</v>
      </c>
      <c r="D9" s="24">
        <v>1</v>
      </c>
      <c r="E9" s="24">
        <v>0.3726321849731451</v>
      </c>
      <c r="F9" s="5">
        <v>34741097</v>
      </c>
      <c r="G9" s="5">
        <v>43383465</v>
      </c>
      <c r="H9" s="24">
        <v>0.24876497135366796</v>
      </c>
      <c r="K9" s="61"/>
    </row>
    <row r="10" spans="1:11">
      <c r="K10" s="61"/>
    </row>
    <row r="11" spans="1:11">
      <c r="K11" s="79"/>
    </row>
    <row r="13" spans="1:11" ht="43.5">
      <c r="A13" s="25" t="s">
        <v>30</v>
      </c>
      <c r="B13" s="23" t="s">
        <v>17</v>
      </c>
      <c r="C13" s="23" t="s">
        <v>18</v>
      </c>
      <c r="D13" s="23" t="s">
        <v>19</v>
      </c>
      <c r="E13" s="23" t="s">
        <v>20</v>
      </c>
      <c r="F13" s="23" t="s">
        <v>21</v>
      </c>
      <c r="G13" s="23" t="s">
        <v>22</v>
      </c>
      <c r="H13" s="23" t="s">
        <v>23</v>
      </c>
    </row>
    <row r="14" spans="1:11">
      <c r="A14" s="30" t="s">
        <v>3532</v>
      </c>
      <c r="B14" s="8">
        <v>63922886.651451647</v>
      </c>
      <c r="C14" s="8">
        <v>94151597.142887384</v>
      </c>
      <c r="D14" s="19">
        <v>0.57721870704764289</v>
      </c>
      <c r="E14" s="29">
        <v>0.47289338881490151</v>
      </c>
      <c r="F14" s="2">
        <v>18680776</v>
      </c>
      <c r="G14" s="2">
        <v>25194833</v>
      </c>
      <c r="H14" s="29">
        <v>0.34870376905113576</v>
      </c>
    </row>
    <row r="15" spans="1:11">
      <c r="A15" s="30" t="s">
        <v>3535</v>
      </c>
      <c r="B15" s="8">
        <v>31606291.152068425</v>
      </c>
      <c r="C15" s="8">
        <v>37133691.478296749</v>
      </c>
      <c r="D15" s="19">
        <v>0.2256956988905264</v>
      </c>
      <c r="E15" s="29">
        <v>0.17488291491191266</v>
      </c>
      <c r="F15" s="2">
        <v>8911933</v>
      </c>
      <c r="G15" s="2">
        <v>9392723</v>
      </c>
      <c r="H15" s="29">
        <v>5.3949014203764772E-2</v>
      </c>
    </row>
    <row r="16" spans="1:11">
      <c r="A16" s="30" t="s">
        <v>3536</v>
      </c>
      <c r="B16" s="8">
        <v>23647773.724527914</v>
      </c>
      <c r="C16" s="8">
        <v>32300830.752099171</v>
      </c>
      <c r="D16" s="19">
        <v>0.19708559406183065</v>
      </c>
      <c r="E16" s="29">
        <v>0.36591423481848379</v>
      </c>
      <c r="F16" s="2">
        <v>7148388</v>
      </c>
      <c r="G16" s="2">
        <v>8795909</v>
      </c>
      <c r="H16" s="29">
        <v>0.23047447900141962</v>
      </c>
    </row>
    <row r="17" spans="1:8">
      <c r="A17" s="27" t="s">
        <v>12</v>
      </c>
      <c r="B17" s="10">
        <v>119176951.52731954</v>
      </c>
      <c r="C17" s="10">
        <v>163586119.37338325</v>
      </c>
      <c r="D17" s="24">
        <v>1</v>
      </c>
      <c r="E17" s="24">
        <v>0.3726321849731451</v>
      </c>
      <c r="F17" s="5">
        <v>34741097</v>
      </c>
      <c r="G17" s="5">
        <v>43383465</v>
      </c>
      <c r="H17" s="24">
        <v>0.24876497135366796</v>
      </c>
    </row>
  </sheetData>
  <sortState xmlns:xlrd2="http://schemas.microsoft.com/office/spreadsheetml/2017/richdata2" ref="A3:H8">
    <sortCondition descending="1" ref="C3:C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6D73-B666-4127-9E2E-4A20B2B40C3F}">
  <dimension ref="B2:R27"/>
  <sheetViews>
    <sheetView showGridLines="0" workbookViewId="0">
      <selection activeCell="L26" sqref="L26"/>
    </sheetView>
  </sheetViews>
  <sheetFormatPr baseColWidth="10" defaultRowHeight="14.5"/>
  <cols>
    <col min="2" max="2" width="13.36328125" bestFit="1" customWidth="1"/>
    <col min="3" max="3" width="15.90625" bestFit="1" customWidth="1"/>
    <col min="4" max="5" width="17.08984375" bestFit="1" customWidth="1"/>
  </cols>
  <sheetData>
    <row r="2" spans="2:18" ht="43.5">
      <c r="B2" s="50" t="s">
        <v>315</v>
      </c>
      <c r="C2" s="50" t="s">
        <v>290</v>
      </c>
      <c r="D2" s="50" t="s">
        <v>17</v>
      </c>
      <c r="E2" s="50" t="s">
        <v>18</v>
      </c>
      <c r="F2" s="50" t="s">
        <v>19</v>
      </c>
      <c r="G2" s="50" t="s">
        <v>20</v>
      </c>
      <c r="H2" s="50" t="s">
        <v>21</v>
      </c>
      <c r="I2" s="50" t="s">
        <v>22</v>
      </c>
      <c r="J2" s="50" t="s">
        <v>23</v>
      </c>
    </row>
    <row r="3" spans="2:18">
      <c r="B3" s="91" t="s">
        <v>249</v>
      </c>
      <c r="C3" s="92" t="s">
        <v>295</v>
      </c>
      <c r="D3" s="93">
        <v>7147843.4347608145</v>
      </c>
      <c r="E3" s="93">
        <v>11892376.097551448</v>
      </c>
      <c r="F3" s="94">
        <v>7.2663326609668691E-2</v>
      </c>
      <c r="G3" s="95">
        <v>0.66377120681147073</v>
      </c>
      <c r="H3" s="96">
        <v>2011021</v>
      </c>
      <c r="I3" s="96">
        <v>3159657</v>
      </c>
      <c r="J3" s="51">
        <v>0.57117056460375104</v>
      </c>
      <c r="M3" s="52" t="s">
        <v>249</v>
      </c>
      <c r="N3" s="41" t="s">
        <v>298</v>
      </c>
      <c r="O3" s="52" t="s">
        <v>249</v>
      </c>
      <c r="Q3" s="92" t="s">
        <v>291</v>
      </c>
      <c r="R3" t="str">
        <f>VLOOKUP(Q3,N:O,2,0)</f>
        <v>MARACAIBO</v>
      </c>
    </row>
    <row r="4" spans="2:18">
      <c r="B4" s="53" t="s">
        <v>249</v>
      </c>
      <c r="C4" s="42" t="s">
        <v>298</v>
      </c>
      <c r="D4" s="43">
        <v>5343786.7001573266</v>
      </c>
      <c r="E4" s="43">
        <v>7984260.5263721133</v>
      </c>
      <c r="F4" s="44">
        <v>4.9238535003942797E-2</v>
      </c>
      <c r="G4" s="123">
        <v>0.49412036340017995</v>
      </c>
      <c r="H4" s="45">
        <v>1635168</v>
      </c>
      <c r="I4" s="45">
        <v>2275581</v>
      </c>
      <c r="J4" s="123">
        <v>0.3916496653554864</v>
      </c>
      <c r="M4" s="53" t="s">
        <v>249</v>
      </c>
      <c r="N4" s="42" t="s">
        <v>305</v>
      </c>
      <c r="O4" s="53" t="s">
        <v>249</v>
      </c>
      <c r="Q4" s="42" t="s">
        <v>292</v>
      </c>
      <c r="R4" t="str">
        <f t="shared" ref="R4:R26" si="0">VLOOKUP(Q4,N:O,2,0)</f>
        <v>CENTRO ESTE</v>
      </c>
    </row>
    <row r="5" spans="2:18">
      <c r="B5" s="54" t="s">
        <v>249</v>
      </c>
      <c r="C5" s="34" t="s">
        <v>305</v>
      </c>
      <c r="D5" s="46">
        <v>2933374.1815871759</v>
      </c>
      <c r="E5" s="46">
        <v>4775931.1278956169</v>
      </c>
      <c r="F5" s="47">
        <v>2.8860996577240155E-2</v>
      </c>
      <c r="G5" s="102">
        <v>0.62813566638521345</v>
      </c>
      <c r="H5" s="48">
        <v>881535</v>
      </c>
      <c r="I5" s="48">
        <v>1230823</v>
      </c>
      <c r="J5" s="100">
        <v>0.39622703579551577</v>
      </c>
      <c r="M5" s="54" t="s">
        <v>249</v>
      </c>
      <c r="N5" s="34" t="s">
        <v>295</v>
      </c>
      <c r="O5" s="54" t="s">
        <v>249</v>
      </c>
      <c r="Q5" s="97" t="s">
        <v>293</v>
      </c>
      <c r="R5" t="str">
        <f t="shared" si="0"/>
        <v>CENTRO OESTE</v>
      </c>
    </row>
    <row r="6" spans="2:18">
      <c r="B6" s="52" t="s">
        <v>28</v>
      </c>
      <c r="C6" s="41" t="s">
        <v>294</v>
      </c>
      <c r="D6" s="103">
        <v>8609893.4393475112</v>
      </c>
      <c r="E6" s="103">
        <v>12181565.249138139</v>
      </c>
      <c r="F6" s="104">
        <v>7.4337501666740316E-2</v>
      </c>
      <c r="G6" s="105">
        <v>0.41483345118627885</v>
      </c>
      <c r="H6" s="106">
        <v>2396847</v>
      </c>
      <c r="I6" s="106">
        <v>2846978</v>
      </c>
      <c r="J6" s="105">
        <v>0.18780130730079975</v>
      </c>
      <c r="M6" s="55" t="s">
        <v>28</v>
      </c>
      <c r="N6" t="s">
        <v>294</v>
      </c>
      <c r="O6" s="55" t="s">
        <v>28</v>
      </c>
      <c r="Q6" s="98" t="s">
        <v>294</v>
      </c>
      <c r="R6" t="str">
        <f t="shared" si="0"/>
        <v>CARACAS</v>
      </c>
    </row>
    <row r="7" spans="2:18">
      <c r="B7" s="53" t="s">
        <v>28</v>
      </c>
      <c r="C7" s="42" t="s">
        <v>297</v>
      </c>
      <c r="D7" s="43">
        <v>7186782.3245681552</v>
      </c>
      <c r="E7" s="43">
        <v>10957249.069755014</v>
      </c>
      <c r="F7" s="44">
        <v>6.7336666122547975E-2</v>
      </c>
      <c r="G7" s="51">
        <v>0.52463906306128749</v>
      </c>
      <c r="H7" s="45">
        <v>1931603</v>
      </c>
      <c r="I7" s="45">
        <v>2922892</v>
      </c>
      <c r="J7" s="51">
        <v>0.51319499917943801</v>
      </c>
      <c r="M7" s="55" t="s">
        <v>28</v>
      </c>
      <c r="N7" t="s">
        <v>297</v>
      </c>
      <c r="O7" s="55" t="s">
        <v>28</v>
      </c>
      <c r="Q7" s="42" t="s">
        <v>295</v>
      </c>
      <c r="R7" t="str">
        <f t="shared" si="0"/>
        <v>ANDES</v>
      </c>
    </row>
    <row r="8" spans="2:18">
      <c r="B8" s="54" t="s">
        <v>28</v>
      </c>
      <c r="C8" s="34" t="s">
        <v>312</v>
      </c>
      <c r="D8" s="46">
        <v>1198668.1382534872</v>
      </c>
      <c r="E8" s="46">
        <v>1444979.9861362812</v>
      </c>
      <c r="F8" s="47">
        <v>8.7284910016757842E-3</v>
      </c>
      <c r="G8" s="130">
        <v>0.20548794117584648</v>
      </c>
      <c r="H8" s="48">
        <v>290369</v>
      </c>
      <c r="I8" s="48">
        <v>346089</v>
      </c>
      <c r="J8" s="130">
        <v>0.19189376276393141</v>
      </c>
      <c r="M8" s="54" t="s">
        <v>28</v>
      </c>
      <c r="N8" s="34" t="s">
        <v>312</v>
      </c>
      <c r="O8" s="54" t="s">
        <v>28</v>
      </c>
      <c r="Q8" s="97" t="s">
        <v>297</v>
      </c>
      <c r="R8" t="str">
        <f t="shared" si="0"/>
        <v>CARACAS</v>
      </c>
    </row>
    <row r="9" spans="2:18">
      <c r="B9" s="52" t="s">
        <v>27</v>
      </c>
      <c r="C9" s="41" t="s">
        <v>292</v>
      </c>
      <c r="D9" s="103">
        <v>12259579.009580262</v>
      </c>
      <c r="E9" s="103">
        <v>15339281.02812835</v>
      </c>
      <c r="F9" s="104">
        <v>9.2921239643216483E-2</v>
      </c>
      <c r="G9" s="105">
        <v>0.25120781196005598</v>
      </c>
      <c r="H9" s="106">
        <v>3385780</v>
      </c>
      <c r="I9" s="106">
        <v>3967532</v>
      </c>
      <c r="J9" s="105">
        <v>0.17182215028737838</v>
      </c>
      <c r="M9" s="55" t="s">
        <v>27</v>
      </c>
      <c r="N9" t="s">
        <v>292</v>
      </c>
      <c r="O9" s="55" t="s">
        <v>27</v>
      </c>
      <c r="Q9" s="98" t="s">
        <v>296</v>
      </c>
      <c r="R9" t="str">
        <f t="shared" si="0"/>
        <v>CENTRO ESTE</v>
      </c>
    </row>
    <row r="10" spans="2:18">
      <c r="B10" s="53" t="s">
        <v>27</v>
      </c>
      <c r="C10" s="42" t="s">
        <v>296</v>
      </c>
      <c r="D10" s="43">
        <v>7831437.0138554471</v>
      </c>
      <c r="E10" s="43">
        <v>10705542.225257976</v>
      </c>
      <c r="F10" s="44">
        <v>6.6179245116359323E-2</v>
      </c>
      <c r="G10" s="90">
        <v>0.36699589185453918</v>
      </c>
      <c r="H10" s="45">
        <v>2147714</v>
      </c>
      <c r="I10" s="45">
        <v>2724879</v>
      </c>
      <c r="J10" s="123">
        <v>0.26873457080412011</v>
      </c>
      <c r="M10" s="55" t="s">
        <v>27</v>
      </c>
      <c r="N10" t="s">
        <v>296</v>
      </c>
      <c r="O10" s="55" t="s">
        <v>27</v>
      </c>
      <c r="Q10" s="42" t="s">
        <v>300</v>
      </c>
      <c r="R10" t="str">
        <f t="shared" si="0"/>
        <v>ESTE</v>
      </c>
    </row>
    <row r="11" spans="2:18">
      <c r="B11" s="53" t="s">
        <v>27</v>
      </c>
      <c r="C11" s="42" t="s">
        <v>308</v>
      </c>
      <c r="D11" s="43">
        <v>1778124.1177984378</v>
      </c>
      <c r="E11" s="43">
        <v>3846372.8143067653</v>
      </c>
      <c r="F11" s="44">
        <v>2.329282852418273E-2</v>
      </c>
      <c r="G11" s="51">
        <v>1.1631632886623819</v>
      </c>
      <c r="H11" s="45">
        <v>618919</v>
      </c>
      <c r="I11" s="45">
        <v>1751698</v>
      </c>
      <c r="J11" s="95">
        <v>1.8302540397047109</v>
      </c>
      <c r="M11" s="55" t="s">
        <v>27</v>
      </c>
      <c r="N11" t="s">
        <v>308</v>
      </c>
      <c r="O11" s="55" t="s">
        <v>27</v>
      </c>
      <c r="Q11" s="42" t="s">
        <v>299</v>
      </c>
      <c r="R11" t="str">
        <f t="shared" si="0"/>
        <v>CENTRO OESTE</v>
      </c>
    </row>
    <row r="12" spans="2:18">
      <c r="B12" s="53" t="s">
        <v>27</v>
      </c>
      <c r="C12" s="42" t="s">
        <v>311</v>
      </c>
      <c r="D12" s="43">
        <v>1114773.1645604679</v>
      </c>
      <c r="E12" s="43">
        <v>2186845.2812968907</v>
      </c>
      <c r="F12" s="44">
        <v>1.3379613873843479E-2</v>
      </c>
      <c r="G12" s="51">
        <v>0.961695303419973</v>
      </c>
      <c r="H12" s="45">
        <v>362022</v>
      </c>
      <c r="I12" s="45">
        <v>725787</v>
      </c>
      <c r="J12" s="51">
        <v>1.0048146245255813</v>
      </c>
      <c r="M12" s="55" t="s">
        <v>27</v>
      </c>
      <c r="N12" t="s">
        <v>310</v>
      </c>
      <c r="O12" s="55" t="s">
        <v>27</v>
      </c>
      <c r="Q12" s="42" t="s">
        <v>298</v>
      </c>
      <c r="R12" t="str">
        <f t="shared" si="0"/>
        <v>ANDES</v>
      </c>
    </row>
    <row r="13" spans="2:18">
      <c r="B13" s="54" t="s">
        <v>27</v>
      </c>
      <c r="C13" s="34" t="s">
        <v>310</v>
      </c>
      <c r="D13" s="46">
        <v>1428953.7747105078</v>
      </c>
      <c r="E13" s="46">
        <v>2017217.0122560284</v>
      </c>
      <c r="F13" s="47">
        <v>1.2535372975948705E-2</v>
      </c>
      <c r="G13" s="130">
        <v>0.41167408488402429</v>
      </c>
      <c r="H13" s="48">
        <v>444405</v>
      </c>
      <c r="I13" s="48">
        <v>691048</v>
      </c>
      <c r="J13" s="102">
        <v>0.55499600589552323</v>
      </c>
      <c r="M13" s="54" t="s">
        <v>27</v>
      </c>
      <c r="N13" s="34" t="s">
        <v>311</v>
      </c>
      <c r="O13" s="54" t="s">
        <v>27</v>
      </c>
      <c r="Q13" s="34" t="s">
        <v>303</v>
      </c>
      <c r="R13" t="str">
        <f t="shared" si="0"/>
        <v>ESTE</v>
      </c>
    </row>
    <row r="14" spans="2:18">
      <c r="B14" s="52" t="s">
        <v>26</v>
      </c>
      <c r="C14" s="41" t="s">
        <v>293</v>
      </c>
      <c r="D14" s="103">
        <v>10488206.867822738</v>
      </c>
      <c r="E14" s="103">
        <v>13058367.006965458</v>
      </c>
      <c r="F14" s="104">
        <v>8.0820377029273416E-2</v>
      </c>
      <c r="G14" s="105">
        <v>0.24505238803287097</v>
      </c>
      <c r="H14" s="106">
        <v>2994176</v>
      </c>
      <c r="I14" s="106">
        <v>3252778</v>
      </c>
      <c r="J14" s="105">
        <v>8.636833639705882E-2</v>
      </c>
      <c r="M14" s="55" t="s">
        <v>26</v>
      </c>
      <c r="N14" t="s">
        <v>299</v>
      </c>
      <c r="O14" s="55" t="s">
        <v>26</v>
      </c>
      <c r="Q14" s="41" t="s">
        <v>301</v>
      </c>
      <c r="R14" t="str">
        <f t="shared" si="0"/>
        <v>CENTRO OESTE</v>
      </c>
    </row>
    <row r="15" spans="2:18">
      <c r="B15" s="53" t="s">
        <v>26</v>
      </c>
      <c r="C15" s="42" t="s">
        <v>299</v>
      </c>
      <c r="D15" s="43">
        <v>6127391.194237181</v>
      </c>
      <c r="E15" s="43">
        <v>8061491.3277478954</v>
      </c>
      <c r="F15" s="44">
        <v>4.9537443753151555E-2</v>
      </c>
      <c r="G15" s="123">
        <v>0.31564822160036687</v>
      </c>
      <c r="H15" s="45">
        <v>1654314</v>
      </c>
      <c r="I15" s="45">
        <v>2145597</v>
      </c>
      <c r="J15" s="123">
        <v>0.29697082899618815</v>
      </c>
      <c r="M15" s="55" t="s">
        <v>26</v>
      </c>
      <c r="N15" t="s">
        <v>301</v>
      </c>
      <c r="O15" s="55" t="s">
        <v>26</v>
      </c>
      <c r="Q15" s="42" t="s">
        <v>302</v>
      </c>
      <c r="R15" t="str">
        <f t="shared" si="0"/>
        <v>MARACAIBO</v>
      </c>
    </row>
    <row r="16" spans="2:18">
      <c r="B16" s="53" t="s">
        <v>26</v>
      </c>
      <c r="C16" s="42" t="s">
        <v>301</v>
      </c>
      <c r="D16" s="43">
        <v>4839191.3656853642</v>
      </c>
      <c r="E16" s="43">
        <v>6241332.3052513646</v>
      </c>
      <c r="F16" s="44">
        <v>3.8091418782844007E-2</v>
      </c>
      <c r="G16" s="90">
        <v>0.28974695018439678</v>
      </c>
      <c r="H16" s="45">
        <v>1183561</v>
      </c>
      <c r="I16" s="45">
        <v>1544343</v>
      </c>
      <c r="J16" s="90">
        <v>0.30482755007980156</v>
      </c>
      <c r="M16" s="55" t="s">
        <v>26</v>
      </c>
      <c r="N16" t="s">
        <v>293</v>
      </c>
      <c r="O16" s="55" t="s">
        <v>26</v>
      </c>
      <c r="Q16" s="42" t="s">
        <v>305</v>
      </c>
      <c r="R16" t="str">
        <f t="shared" si="0"/>
        <v>ANDES</v>
      </c>
    </row>
    <row r="17" spans="2:18">
      <c r="B17" s="54" t="s">
        <v>26</v>
      </c>
      <c r="C17" s="34" t="s">
        <v>304</v>
      </c>
      <c r="D17" s="46">
        <v>3288922.6001450391</v>
      </c>
      <c r="E17" s="46">
        <v>4117094.8225015225</v>
      </c>
      <c r="F17" s="47">
        <v>2.5436795606509029E-2</v>
      </c>
      <c r="G17" s="100">
        <v>0.25180654063429814</v>
      </c>
      <c r="H17" s="48">
        <v>963486</v>
      </c>
      <c r="I17" s="48">
        <v>1245307</v>
      </c>
      <c r="J17" s="100">
        <v>0.29250139597254138</v>
      </c>
      <c r="M17" s="54" t="s">
        <v>26</v>
      </c>
      <c r="N17" s="34" t="s">
        <v>304</v>
      </c>
      <c r="O17" s="54" t="s">
        <v>26</v>
      </c>
      <c r="Q17" s="34" t="s">
        <v>304</v>
      </c>
      <c r="R17" t="str">
        <f t="shared" si="0"/>
        <v>CENTRO OESTE</v>
      </c>
    </row>
    <row r="18" spans="2:18">
      <c r="B18" s="52" t="s">
        <v>25</v>
      </c>
      <c r="C18" s="41" t="s">
        <v>300</v>
      </c>
      <c r="D18" s="103">
        <v>4239307.8530132361</v>
      </c>
      <c r="E18" s="103">
        <v>8607560.7276900746</v>
      </c>
      <c r="F18" s="104">
        <v>5.2685677862474287E-2</v>
      </c>
      <c r="G18" s="107">
        <v>1.0304165269743151</v>
      </c>
      <c r="H18" s="106">
        <v>1159217</v>
      </c>
      <c r="I18" s="106">
        <v>2303620</v>
      </c>
      <c r="J18" s="107">
        <v>0.9872206843067346</v>
      </c>
      <c r="M18" s="55" t="s">
        <v>25</v>
      </c>
      <c r="N18" t="s">
        <v>303</v>
      </c>
      <c r="O18" s="55" t="s">
        <v>25</v>
      </c>
      <c r="Q18" s="41" t="s">
        <v>308</v>
      </c>
      <c r="R18" t="str">
        <f t="shared" si="0"/>
        <v>CENTRO ESTE</v>
      </c>
    </row>
    <row r="19" spans="2:18">
      <c r="B19" s="53" t="s">
        <v>25</v>
      </c>
      <c r="C19" s="42" t="s">
        <v>303</v>
      </c>
      <c r="D19" s="43">
        <v>4788960.1554937065</v>
      </c>
      <c r="E19" s="43">
        <v>6548295.5891629271</v>
      </c>
      <c r="F19" s="44">
        <v>3.9521631738782821E-2</v>
      </c>
      <c r="G19" s="90">
        <v>0.36737316171882956</v>
      </c>
      <c r="H19" s="45">
        <v>1908381</v>
      </c>
      <c r="I19" s="45">
        <v>1814283</v>
      </c>
      <c r="J19" s="124">
        <v>-4.9307764015676117E-2</v>
      </c>
      <c r="M19" s="55" t="s">
        <v>25</v>
      </c>
      <c r="N19" t="s">
        <v>306</v>
      </c>
      <c r="O19" s="55" t="s">
        <v>25</v>
      </c>
      <c r="Q19" s="42" t="s">
        <v>306</v>
      </c>
      <c r="R19" t="str">
        <f t="shared" si="0"/>
        <v>ESTE</v>
      </c>
    </row>
    <row r="20" spans="2:18">
      <c r="B20" s="53" t="s">
        <v>25</v>
      </c>
      <c r="C20" s="42" t="s">
        <v>306</v>
      </c>
      <c r="D20" s="43">
        <v>3060186.0077486336</v>
      </c>
      <c r="E20" s="43">
        <v>3602752.2392218108</v>
      </c>
      <c r="F20" s="44">
        <v>2.1905241256006815E-2</v>
      </c>
      <c r="G20" s="90">
        <v>0.17729844855814531</v>
      </c>
      <c r="H20" s="45">
        <v>1138701</v>
      </c>
      <c r="I20" s="45">
        <v>1340692</v>
      </c>
      <c r="J20" s="90">
        <v>0.17738721578359903</v>
      </c>
      <c r="M20" s="55" t="s">
        <v>25</v>
      </c>
      <c r="N20" t="s">
        <v>307</v>
      </c>
      <c r="O20" s="55" t="s">
        <v>25</v>
      </c>
      <c r="Q20" s="42" t="s">
        <v>307</v>
      </c>
      <c r="R20" t="str">
        <f t="shared" si="0"/>
        <v>ESTE</v>
      </c>
    </row>
    <row r="21" spans="2:18">
      <c r="B21" s="53" t="s">
        <v>25</v>
      </c>
      <c r="C21" s="42" t="s">
        <v>307</v>
      </c>
      <c r="D21" s="43">
        <v>2082422.0179359072</v>
      </c>
      <c r="E21" s="43">
        <v>3163102.8881316138</v>
      </c>
      <c r="F21" s="44">
        <v>1.9129179437476284E-2</v>
      </c>
      <c r="G21" s="51">
        <v>0.51895382438708337</v>
      </c>
      <c r="H21" s="45">
        <v>600279</v>
      </c>
      <c r="I21" s="45">
        <v>967557</v>
      </c>
      <c r="J21" s="51">
        <v>0.61184549184629144</v>
      </c>
      <c r="M21" s="55" t="s">
        <v>25</v>
      </c>
      <c r="N21" t="s">
        <v>309</v>
      </c>
      <c r="O21" s="55" t="s">
        <v>25</v>
      </c>
      <c r="Q21" s="42" t="s">
        <v>311</v>
      </c>
      <c r="R21" t="str">
        <f t="shared" si="0"/>
        <v>CENTRO ESTE</v>
      </c>
    </row>
    <row r="22" spans="2:18">
      <c r="B22" s="53" t="s">
        <v>25</v>
      </c>
      <c r="C22" s="42" t="s">
        <v>309</v>
      </c>
      <c r="D22" s="43">
        <v>2322834.8441789215</v>
      </c>
      <c r="E22" s="43">
        <v>1461120.7046913265</v>
      </c>
      <c r="F22" s="44">
        <v>8.8919506858566918E-3</v>
      </c>
      <c r="G22" s="124">
        <v>-0.37097520800803846</v>
      </c>
      <c r="H22" s="45">
        <v>1573946</v>
      </c>
      <c r="I22" s="45">
        <v>506707</v>
      </c>
      <c r="J22" s="124">
        <v>-0.67806582945031146</v>
      </c>
      <c r="M22" s="55" t="s">
        <v>25</v>
      </c>
      <c r="N22" t="s">
        <v>313</v>
      </c>
      <c r="O22" s="55" t="s">
        <v>25</v>
      </c>
      <c r="Q22" s="42" t="s">
        <v>310</v>
      </c>
      <c r="R22" t="str">
        <f t="shared" si="0"/>
        <v>CENTRO ESTE</v>
      </c>
    </row>
    <row r="23" spans="2:18">
      <c r="B23" s="53" t="s">
        <v>25</v>
      </c>
      <c r="C23" s="42" t="s">
        <v>313</v>
      </c>
      <c r="D23" s="43">
        <v>227938.14385091391</v>
      </c>
      <c r="E23" s="43">
        <v>316706.49736681324</v>
      </c>
      <c r="F23" s="44">
        <v>2.0312821987325301E-3</v>
      </c>
      <c r="G23" s="90">
        <v>0.38944053863121525</v>
      </c>
      <c r="H23" s="45">
        <v>58407</v>
      </c>
      <c r="I23" s="45">
        <v>80500</v>
      </c>
      <c r="J23" s="90">
        <v>0.37825945520228738</v>
      </c>
      <c r="M23" s="55" t="s">
        <v>25</v>
      </c>
      <c r="N23" t="s">
        <v>314</v>
      </c>
      <c r="O23" s="55" t="s">
        <v>25</v>
      </c>
      <c r="Q23" s="42" t="s">
        <v>309</v>
      </c>
      <c r="R23" t="str">
        <f t="shared" si="0"/>
        <v>ESTE</v>
      </c>
    </row>
    <row r="24" spans="2:18">
      <c r="B24" s="54" t="s">
        <v>25</v>
      </c>
      <c r="C24" s="34" t="s">
        <v>314</v>
      </c>
      <c r="D24" s="46">
        <v>103999.06025808945</v>
      </c>
      <c r="E24" s="46">
        <v>165408.53373421376</v>
      </c>
      <c r="F24" s="47">
        <v>1.0252654218299963E-3</v>
      </c>
      <c r="G24" s="102">
        <v>0.59048104207602825</v>
      </c>
      <c r="H24" s="48">
        <v>28533</v>
      </c>
      <c r="I24" s="48">
        <v>36649</v>
      </c>
      <c r="J24" s="100">
        <v>0.28444257526372974</v>
      </c>
      <c r="M24" s="54" t="s">
        <v>25</v>
      </c>
      <c r="N24" s="34" t="s">
        <v>300</v>
      </c>
      <c r="O24" s="54" t="s">
        <v>25</v>
      </c>
      <c r="Q24" s="34" t="s">
        <v>312</v>
      </c>
      <c r="R24" t="str">
        <f t="shared" si="0"/>
        <v>CARACAS</v>
      </c>
    </row>
    <row r="25" spans="2:18">
      <c r="B25" s="53" t="s">
        <v>24</v>
      </c>
      <c r="C25" s="42" t="s">
        <v>291</v>
      </c>
      <c r="D25" s="43">
        <v>16085088.440266887</v>
      </c>
      <c r="E25" s="43">
        <v>19854578.789675839</v>
      </c>
      <c r="F25" s="44">
        <v>0.12047955363708793</v>
      </c>
      <c r="G25" s="123">
        <v>0.23434688366229514</v>
      </c>
      <c r="H25" s="45">
        <v>4133175</v>
      </c>
      <c r="I25" s="45">
        <v>4174575</v>
      </c>
      <c r="J25" s="123">
        <v>1.001651272931826E-2</v>
      </c>
      <c r="M25" s="55" t="s">
        <v>24</v>
      </c>
      <c r="N25" t="s">
        <v>291</v>
      </c>
      <c r="O25" s="55" t="s">
        <v>24</v>
      </c>
      <c r="Q25" s="42" t="s">
        <v>313</v>
      </c>
      <c r="R25" t="str">
        <f t="shared" si="0"/>
        <v>ESTE</v>
      </c>
    </row>
    <row r="26" spans="2:18">
      <c r="B26" s="54" t="s">
        <v>24</v>
      </c>
      <c r="C26" s="34" t="s">
        <v>302</v>
      </c>
      <c r="D26" s="46">
        <v>4689287.6772460444</v>
      </c>
      <c r="E26" s="46">
        <v>5056687.5226280363</v>
      </c>
      <c r="F26" s="47">
        <v>3.0970365474608189E-2</v>
      </c>
      <c r="G26" s="90">
        <v>7.8348753727508769E-2</v>
      </c>
      <c r="H26" s="48">
        <v>1239538</v>
      </c>
      <c r="I26" s="48">
        <v>1327893</v>
      </c>
      <c r="J26" s="123">
        <v>7.128059002628398E-2</v>
      </c>
      <c r="M26" s="54" t="s">
        <v>24</v>
      </c>
      <c r="N26" s="34" t="s">
        <v>302</v>
      </c>
      <c r="O26" s="54" t="s">
        <v>24</v>
      </c>
      <c r="Q26" s="34" t="s">
        <v>314</v>
      </c>
      <c r="R26" t="str">
        <f t="shared" si="0"/>
        <v>ESTE</v>
      </c>
    </row>
    <row r="27" spans="2:18">
      <c r="C27" s="49" t="s">
        <v>12</v>
      </c>
      <c r="D27" s="10">
        <v>119176951.52731954</v>
      </c>
      <c r="E27" s="10">
        <v>163586119.37338328</v>
      </c>
      <c r="F27" s="24">
        <v>1</v>
      </c>
      <c r="G27" s="24">
        <v>0.37263218497314532</v>
      </c>
      <c r="H27" s="5">
        <v>34741097</v>
      </c>
      <c r="I27" s="5">
        <v>43383465</v>
      </c>
      <c r="J27" s="24">
        <v>0.24876497135366796</v>
      </c>
    </row>
  </sheetData>
  <sortState xmlns:xlrd2="http://schemas.microsoft.com/office/spreadsheetml/2017/richdata2" ref="B3:J26">
    <sortCondition ref="B3:B2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FF03-7120-4DBF-AFD6-C49C476A803E}">
  <dimension ref="A2:W332"/>
  <sheetViews>
    <sheetView showGridLines="0" topLeftCell="E1" zoomScale="90" zoomScaleNormal="90" workbookViewId="0">
      <selection activeCell="U19" sqref="U19"/>
    </sheetView>
  </sheetViews>
  <sheetFormatPr baseColWidth="10" defaultRowHeight="14.5"/>
  <cols>
    <col min="1" max="1" width="7.6328125" bestFit="1" customWidth="1"/>
    <col min="2" max="2" width="8.08984375" style="56" bestFit="1" customWidth="1"/>
    <col min="3" max="3" width="41.26953125" customWidth="1"/>
    <col min="4" max="4" width="15.36328125" customWidth="1"/>
    <col min="5" max="5" width="14.90625" bestFit="1" customWidth="1"/>
    <col min="15" max="15" width="37.54296875" bestFit="1" customWidth="1"/>
    <col min="16" max="17" width="14.90625" bestFit="1" customWidth="1"/>
  </cols>
  <sheetData>
    <row r="2" spans="1:23" ht="43.5">
      <c r="A2" s="57" t="s">
        <v>332</v>
      </c>
      <c r="B2" s="57" t="s">
        <v>333</v>
      </c>
      <c r="C2" s="25" t="s">
        <v>31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  <c r="I2" s="23" t="s">
        <v>22</v>
      </c>
      <c r="J2" s="23" t="s">
        <v>23</v>
      </c>
      <c r="K2" s="50" t="s">
        <v>334</v>
      </c>
      <c r="N2" s="57" t="s">
        <v>333</v>
      </c>
      <c r="O2" s="25" t="s">
        <v>31</v>
      </c>
      <c r="P2" s="23" t="s">
        <v>17</v>
      </c>
      <c r="Q2" s="23" t="s">
        <v>18</v>
      </c>
      <c r="R2" s="23" t="s">
        <v>19</v>
      </c>
      <c r="S2" s="23" t="s">
        <v>20</v>
      </c>
      <c r="T2" s="23" t="s">
        <v>21</v>
      </c>
      <c r="U2" s="23" t="s">
        <v>22</v>
      </c>
      <c r="V2" s="23" t="s">
        <v>23</v>
      </c>
      <c r="W2" s="50" t="s">
        <v>334</v>
      </c>
    </row>
    <row r="3" spans="1:23">
      <c r="A3" s="56">
        <v>1</v>
      </c>
      <c r="B3" s="56">
        <v>1</v>
      </c>
      <c r="C3" s="30" t="s">
        <v>32</v>
      </c>
      <c r="D3" s="8">
        <v>18195472.433125746</v>
      </c>
      <c r="E3" s="8">
        <v>21372977.325043041</v>
      </c>
      <c r="F3" s="19">
        <v>0.13057981939727312</v>
      </c>
      <c r="G3" s="29">
        <v>0.17463162353138428</v>
      </c>
      <c r="H3" s="2">
        <v>7440286</v>
      </c>
      <c r="I3" s="2">
        <v>6423136</v>
      </c>
      <c r="J3" s="38">
        <v>-0.13670845448683022</v>
      </c>
      <c r="K3" s="58">
        <f>E3/I3</f>
        <v>3.3274987988800238</v>
      </c>
      <c r="N3" s="56">
        <v>1</v>
      </c>
      <c r="O3" s="30" t="s">
        <v>32</v>
      </c>
      <c r="P3" s="8">
        <v>18195472.433125746</v>
      </c>
      <c r="Q3" s="8">
        <v>21372977.325043041</v>
      </c>
      <c r="R3" s="19">
        <v>0.13057981939727312</v>
      </c>
      <c r="S3" s="29">
        <v>0.17463162353138428</v>
      </c>
      <c r="T3" s="2">
        <v>7440286</v>
      </c>
      <c r="U3" s="2">
        <v>6423136</v>
      </c>
      <c r="V3" s="38">
        <v>-0.13670845448683022</v>
      </c>
      <c r="W3" s="58">
        <f>Q3/U3</f>
        <v>3.3274987988800238</v>
      </c>
    </row>
    <row r="4" spans="1:23">
      <c r="A4" s="56">
        <v>2</v>
      </c>
      <c r="B4" s="56">
        <v>4</v>
      </c>
      <c r="C4" s="30" t="s">
        <v>33</v>
      </c>
      <c r="D4" s="8">
        <v>11181158.467887523</v>
      </c>
      <c r="E4" s="8">
        <v>14461602.429829868</v>
      </c>
      <c r="F4" s="19">
        <v>8.9149992535146091E-2</v>
      </c>
      <c r="G4" s="29">
        <v>0.29339034692727373</v>
      </c>
      <c r="H4" s="2">
        <v>3257609</v>
      </c>
      <c r="I4" s="2">
        <v>3476700</v>
      </c>
      <c r="J4" s="29">
        <v>6.725515554506388E-2</v>
      </c>
      <c r="K4" s="58">
        <f t="shared" ref="K4:K12" si="0">E4/I4</f>
        <v>4.1595773088934527</v>
      </c>
      <c r="N4" s="56">
        <v>2</v>
      </c>
      <c r="O4" s="30" t="s">
        <v>34</v>
      </c>
      <c r="P4" s="8">
        <v>9103362.6299021076</v>
      </c>
      <c r="Q4" s="8">
        <v>13039053.717724891</v>
      </c>
      <c r="R4" s="19">
        <v>7.949411897886588E-2</v>
      </c>
      <c r="S4" s="29">
        <v>0.43233377025925485</v>
      </c>
      <c r="T4" s="2">
        <v>2796294</v>
      </c>
      <c r="U4" s="2">
        <v>5311942</v>
      </c>
      <c r="V4" s="28">
        <v>0.89963644738357273</v>
      </c>
      <c r="W4" s="58">
        <f t="shared" ref="W4:W12" si="1">Q4/U4</f>
        <v>2.4546679383406089</v>
      </c>
    </row>
    <row r="5" spans="1:23">
      <c r="A5" s="56">
        <v>3</v>
      </c>
      <c r="B5" s="56">
        <v>6</v>
      </c>
      <c r="C5" s="30" t="s">
        <v>35</v>
      </c>
      <c r="D5" s="8">
        <v>9836696.4506392423</v>
      </c>
      <c r="E5" s="8">
        <v>13413007.597848609</v>
      </c>
      <c r="F5" s="19">
        <v>8.0459389893977065E-2</v>
      </c>
      <c r="G5" s="29">
        <v>0.36356831433758013</v>
      </c>
      <c r="H5" s="2">
        <v>1707580</v>
      </c>
      <c r="I5" s="2">
        <v>1951597</v>
      </c>
      <c r="J5" s="29">
        <v>0.14290223591281229</v>
      </c>
      <c r="K5" s="58">
        <f t="shared" si="0"/>
        <v>6.8728367577161729</v>
      </c>
      <c r="N5" s="56">
        <v>3</v>
      </c>
      <c r="O5" s="30" t="s">
        <v>36</v>
      </c>
      <c r="P5" s="8">
        <v>7073875.1562203029</v>
      </c>
      <c r="Q5" s="8">
        <v>10275124.002608115</v>
      </c>
      <c r="R5" s="19">
        <v>6.3850273834758012E-2</v>
      </c>
      <c r="S5" s="29">
        <v>0.45254528468357874</v>
      </c>
      <c r="T5" s="2">
        <v>3221387</v>
      </c>
      <c r="U5" s="2">
        <v>4130936</v>
      </c>
      <c r="V5" s="29">
        <v>0.28234701387942523</v>
      </c>
      <c r="W5" s="58">
        <f t="shared" si="1"/>
        <v>2.4873597660695093</v>
      </c>
    </row>
    <row r="6" spans="1:23">
      <c r="A6" s="56">
        <v>4</v>
      </c>
      <c r="B6" s="56">
        <v>2</v>
      </c>
      <c r="C6" s="30" t="s">
        <v>34</v>
      </c>
      <c r="D6" s="8">
        <v>9103362.6299021076</v>
      </c>
      <c r="E6" s="8">
        <v>13039053.717724891</v>
      </c>
      <c r="F6" s="19">
        <v>7.949411897886588E-2</v>
      </c>
      <c r="G6" s="29">
        <v>0.43233377025925485</v>
      </c>
      <c r="H6" s="2">
        <v>2796294</v>
      </c>
      <c r="I6" s="2">
        <v>5311942</v>
      </c>
      <c r="J6" s="28">
        <v>0.89963644738357273</v>
      </c>
      <c r="K6" s="58">
        <f t="shared" si="0"/>
        <v>2.4546679383406089</v>
      </c>
      <c r="N6" s="56">
        <v>4</v>
      </c>
      <c r="O6" s="30" t="s">
        <v>33</v>
      </c>
      <c r="P6" s="8">
        <v>11181158.467887523</v>
      </c>
      <c r="Q6" s="8">
        <v>14461602.429829868</v>
      </c>
      <c r="R6" s="19">
        <v>8.9149992535146091E-2</v>
      </c>
      <c r="S6" s="29">
        <v>0.29339034692727373</v>
      </c>
      <c r="T6" s="2">
        <v>3257609</v>
      </c>
      <c r="U6" s="2">
        <v>3476700</v>
      </c>
      <c r="V6" s="29">
        <v>6.725515554506388E-2</v>
      </c>
      <c r="W6" s="58">
        <f t="shared" si="1"/>
        <v>4.1595773088934527</v>
      </c>
    </row>
    <row r="7" spans="1:23">
      <c r="A7" s="56">
        <v>5</v>
      </c>
      <c r="B7" s="56">
        <v>3</v>
      </c>
      <c r="C7" s="30" t="s">
        <v>36</v>
      </c>
      <c r="D7" s="8">
        <v>7073875.1562203029</v>
      </c>
      <c r="E7" s="8">
        <v>10275124.002608115</v>
      </c>
      <c r="F7" s="19">
        <v>6.3850273834758012E-2</v>
      </c>
      <c r="G7" s="29">
        <v>0.45254528468357874</v>
      </c>
      <c r="H7" s="2">
        <v>3221387</v>
      </c>
      <c r="I7" s="2">
        <v>4130936</v>
      </c>
      <c r="J7" s="29">
        <v>0.28234701387942523</v>
      </c>
      <c r="K7" s="58">
        <f t="shared" si="0"/>
        <v>2.4873597660695093</v>
      </c>
      <c r="N7" s="56">
        <v>5</v>
      </c>
      <c r="O7" s="30" t="s">
        <v>40</v>
      </c>
      <c r="P7" s="8">
        <v>3111020.8472805666</v>
      </c>
      <c r="Q7" s="8">
        <v>5987333.452168175</v>
      </c>
      <c r="R7" s="19">
        <v>3.5436512980076967E-2</v>
      </c>
      <c r="S7" s="28">
        <v>0.92455587605652867</v>
      </c>
      <c r="T7" s="2">
        <v>1099272</v>
      </c>
      <c r="U7" s="2">
        <v>1956938</v>
      </c>
      <c r="V7" s="28">
        <v>0.78021272260186747</v>
      </c>
      <c r="W7" s="58">
        <f t="shared" si="1"/>
        <v>3.0595417188322651</v>
      </c>
    </row>
    <row r="8" spans="1:23">
      <c r="A8" s="56">
        <v>6</v>
      </c>
      <c r="B8" s="56">
        <v>7</v>
      </c>
      <c r="C8" s="30" t="s">
        <v>37</v>
      </c>
      <c r="D8" s="8">
        <v>6442932.5411629109</v>
      </c>
      <c r="E8" s="8">
        <v>7626925.3867173148</v>
      </c>
      <c r="F8" s="19">
        <v>4.6628935902759738E-2</v>
      </c>
      <c r="G8" s="29">
        <v>0.18376614033905442</v>
      </c>
      <c r="H8" s="2">
        <v>893547</v>
      </c>
      <c r="I8" s="2">
        <v>984812</v>
      </c>
      <c r="J8" s="29">
        <v>0.10213788418516317</v>
      </c>
      <c r="K8" s="58">
        <f t="shared" si="0"/>
        <v>7.7445496061352976</v>
      </c>
      <c r="N8" s="56">
        <v>6</v>
      </c>
      <c r="O8" s="30" t="s">
        <v>35</v>
      </c>
      <c r="P8" s="8">
        <v>9836696.4506392423</v>
      </c>
      <c r="Q8" s="8">
        <v>13413007.597848609</v>
      </c>
      <c r="R8" s="19">
        <v>8.0459389893977065E-2</v>
      </c>
      <c r="S8" s="29">
        <v>0.36356831433758013</v>
      </c>
      <c r="T8" s="2">
        <v>1707580</v>
      </c>
      <c r="U8" s="2">
        <v>1951597</v>
      </c>
      <c r="V8" s="29">
        <v>0.14290223591281229</v>
      </c>
      <c r="W8" s="58">
        <f t="shared" si="1"/>
        <v>6.8728367577161729</v>
      </c>
    </row>
    <row r="9" spans="1:23">
      <c r="A9" s="56">
        <v>7</v>
      </c>
      <c r="B9" s="56">
        <v>5</v>
      </c>
      <c r="C9" s="30" t="s">
        <v>40</v>
      </c>
      <c r="D9" s="8">
        <v>3111020.8472805666</v>
      </c>
      <c r="E9" s="8">
        <v>5987333.452168175</v>
      </c>
      <c r="F9" s="19">
        <v>3.5436512980076967E-2</v>
      </c>
      <c r="G9" s="28">
        <v>0.92455587605652867</v>
      </c>
      <c r="H9" s="2">
        <v>1099272</v>
      </c>
      <c r="I9" s="2">
        <v>1956938</v>
      </c>
      <c r="J9" s="28">
        <v>0.78021272260186747</v>
      </c>
      <c r="K9" s="58">
        <f t="shared" si="0"/>
        <v>3.0595417188322651</v>
      </c>
      <c r="N9" s="56">
        <v>7</v>
      </c>
      <c r="O9" s="30" t="s">
        <v>336</v>
      </c>
      <c r="P9" s="8">
        <v>867516.57972387748</v>
      </c>
      <c r="Q9" s="8">
        <v>1272681.9198982918</v>
      </c>
      <c r="R9" s="19">
        <v>7.8937682801854415E-3</v>
      </c>
      <c r="S9" s="29">
        <v>0.4670404573747452</v>
      </c>
      <c r="T9" s="2">
        <v>360612</v>
      </c>
      <c r="U9" s="2">
        <v>1744247</v>
      </c>
      <c r="V9" s="28">
        <v>3.8369078122746885</v>
      </c>
      <c r="W9" s="58">
        <f t="shared" si="1"/>
        <v>0.72964546873137337</v>
      </c>
    </row>
    <row r="10" spans="1:23">
      <c r="A10" s="56">
        <v>8</v>
      </c>
      <c r="B10" s="56">
        <v>10</v>
      </c>
      <c r="C10" s="30" t="s">
        <v>42</v>
      </c>
      <c r="D10" s="8">
        <v>2690262.0959362155</v>
      </c>
      <c r="E10" s="8">
        <v>4959891.3974755332</v>
      </c>
      <c r="F10" s="19">
        <v>3.0975887917776456E-2</v>
      </c>
      <c r="G10" s="28">
        <v>0.8436461655419053</v>
      </c>
      <c r="H10" s="2">
        <v>607977</v>
      </c>
      <c r="I10" s="2">
        <v>735740</v>
      </c>
      <c r="J10" s="29">
        <v>0.21014446270171405</v>
      </c>
      <c r="K10" s="58">
        <f t="shared" si="0"/>
        <v>6.7413643372326275</v>
      </c>
      <c r="N10" s="56">
        <v>8</v>
      </c>
      <c r="O10" s="30" t="s">
        <v>37</v>
      </c>
      <c r="P10" s="8">
        <v>6442932.5411629109</v>
      </c>
      <c r="Q10" s="8">
        <v>7626925.3867173148</v>
      </c>
      <c r="R10" s="19">
        <v>4.6628935902759738E-2</v>
      </c>
      <c r="S10" s="29">
        <v>0.18376614033905442</v>
      </c>
      <c r="T10" s="2">
        <v>893547</v>
      </c>
      <c r="U10" s="2">
        <v>984812</v>
      </c>
      <c r="V10" s="29">
        <v>0.10213788418516317</v>
      </c>
      <c r="W10" s="58">
        <f t="shared" si="1"/>
        <v>7.7445496061352976</v>
      </c>
    </row>
    <row r="11" spans="1:23">
      <c r="A11" s="56">
        <v>9</v>
      </c>
      <c r="B11" s="56">
        <v>9</v>
      </c>
      <c r="C11" s="30" t="s">
        <v>38</v>
      </c>
      <c r="D11" s="8">
        <v>3093413.3590811691</v>
      </c>
      <c r="E11" s="8">
        <v>3916516.6634988445</v>
      </c>
      <c r="F11" s="19">
        <v>2.4201251716096311E-2</v>
      </c>
      <c r="G11" s="29">
        <v>0.26608254664748726</v>
      </c>
      <c r="H11" s="2">
        <v>624346</v>
      </c>
      <c r="I11" s="2">
        <v>702598</v>
      </c>
      <c r="J11" s="29">
        <v>0.12533434986369738</v>
      </c>
      <c r="K11" s="58">
        <f t="shared" si="0"/>
        <v>5.574335058595163</v>
      </c>
      <c r="N11" s="56">
        <v>9</v>
      </c>
      <c r="O11" s="30" t="s">
        <v>39</v>
      </c>
      <c r="P11" s="8">
        <v>2684492.6621630765</v>
      </c>
      <c r="Q11" s="8">
        <v>2722080.6174449315</v>
      </c>
      <c r="R11" s="19">
        <v>1.66453322839216E-2</v>
      </c>
      <c r="S11" s="29">
        <v>1.4001884159209409E-2</v>
      </c>
      <c r="T11" s="2">
        <v>812120</v>
      </c>
      <c r="U11" s="2">
        <v>897124</v>
      </c>
      <c r="V11" s="29">
        <v>0.10466926070038911</v>
      </c>
      <c r="W11" s="58">
        <f t="shared" si="1"/>
        <v>3.0342300701407292</v>
      </c>
    </row>
    <row r="12" spans="1:23">
      <c r="A12" s="56">
        <v>10</v>
      </c>
      <c r="B12" s="56">
        <v>8</v>
      </c>
      <c r="C12" s="30" t="s">
        <v>39</v>
      </c>
      <c r="D12" s="8">
        <v>2684492.6621630765</v>
      </c>
      <c r="E12" s="8">
        <v>2722080.6174449315</v>
      </c>
      <c r="F12" s="19">
        <v>1.66453322839216E-2</v>
      </c>
      <c r="G12" s="29">
        <v>1.4001884159209409E-2</v>
      </c>
      <c r="H12" s="2">
        <v>812120</v>
      </c>
      <c r="I12" s="2">
        <v>897124</v>
      </c>
      <c r="J12" s="29">
        <v>0.10466926070038911</v>
      </c>
      <c r="K12" s="58">
        <f t="shared" si="0"/>
        <v>3.0342300701407292</v>
      </c>
      <c r="N12" s="56">
        <v>10</v>
      </c>
      <c r="O12" s="30" t="s">
        <v>49</v>
      </c>
      <c r="P12" s="8">
        <v>921122.48242605245</v>
      </c>
      <c r="Q12" s="8">
        <v>1613141.0351627138</v>
      </c>
      <c r="R12" s="19">
        <v>9.8476952724753236E-3</v>
      </c>
      <c r="S12" s="28">
        <v>0.75127745325900952</v>
      </c>
      <c r="T12" s="2">
        <v>559553</v>
      </c>
      <c r="U12" s="2">
        <v>789539</v>
      </c>
      <c r="V12" s="29">
        <v>0.41101736564722197</v>
      </c>
      <c r="W12" s="58">
        <f t="shared" si="1"/>
        <v>2.0431429418467153</v>
      </c>
    </row>
    <row r="13" spans="1:23">
      <c r="A13" s="56">
        <v>11</v>
      </c>
      <c r="B13" s="56">
        <v>12</v>
      </c>
      <c r="C13" s="30" t="s">
        <v>45</v>
      </c>
      <c r="D13" s="8">
        <v>1478778.9255277573</v>
      </c>
      <c r="E13" s="8">
        <v>2132801.9488679487</v>
      </c>
      <c r="F13" s="19">
        <v>1.2883694305206276E-2</v>
      </c>
      <c r="G13" s="29">
        <v>0.44227234514231328</v>
      </c>
      <c r="H13" s="2">
        <v>427605</v>
      </c>
      <c r="I13" s="2">
        <v>514278</v>
      </c>
      <c r="J13" s="29">
        <v>0.20269407513943943</v>
      </c>
      <c r="K13" s="58">
        <f>E13/I13</f>
        <v>4.1471771082331905</v>
      </c>
      <c r="N13" s="56">
        <v>11</v>
      </c>
      <c r="O13" s="30" t="s">
        <v>42</v>
      </c>
      <c r="P13" s="8">
        <v>2690262.0959362155</v>
      </c>
      <c r="Q13" s="8">
        <v>4959891.3974755332</v>
      </c>
      <c r="R13" s="19">
        <v>3.0975887917776456E-2</v>
      </c>
      <c r="S13" s="28">
        <v>0.8436461655419053</v>
      </c>
      <c r="T13" s="2">
        <v>607977</v>
      </c>
      <c r="U13" s="2">
        <v>735740</v>
      </c>
      <c r="V13" s="29">
        <v>0.21014446270171405</v>
      </c>
      <c r="W13" s="58">
        <f>Q13/U13</f>
        <v>6.7413643372326275</v>
      </c>
    </row>
    <row r="14" spans="1:23">
      <c r="A14" s="56">
        <v>12</v>
      </c>
      <c r="B14" s="56">
        <v>11</v>
      </c>
      <c r="C14" s="30" t="s">
        <v>44</v>
      </c>
      <c r="D14" s="8">
        <v>1837326.7407233117</v>
      </c>
      <c r="E14" s="8">
        <v>2079593.2844843224</v>
      </c>
      <c r="F14" s="19">
        <v>1.2788059604833087E-2</v>
      </c>
      <c r="G14" s="29">
        <v>0.13185817110876871</v>
      </c>
      <c r="H14" s="2">
        <v>572886</v>
      </c>
      <c r="I14" s="2">
        <v>556680</v>
      </c>
      <c r="J14" s="38">
        <v>-2.8288350561891894E-2</v>
      </c>
      <c r="K14" s="58">
        <f>E14/I14</f>
        <v>3.7357068414247365</v>
      </c>
      <c r="N14" s="56">
        <v>12</v>
      </c>
      <c r="O14" s="30" t="s">
        <v>38</v>
      </c>
      <c r="P14" s="8">
        <v>3093413.3590811691</v>
      </c>
      <c r="Q14" s="8">
        <v>3916516.6634988445</v>
      </c>
      <c r="R14" s="19">
        <v>2.4201251716096311E-2</v>
      </c>
      <c r="S14" s="29">
        <v>0.26608254664748726</v>
      </c>
      <c r="T14" s="2">
        <v>624346</v>
      </c>
      <c r="U14" s="2">
        <v>702598</v>
      </c>
      <c r="V14" s="29">
        <v>0.12533434986369738</v>
      </c>
      <c r="W14" s="58">
        <f>Q14/U14</f>
        <v>5.574335058595163</v>
      </c>
    </row>
    <row r="15" spans="1:23">
      <c r="C15" s="31" t="s">
        <v>239</v>
      </c>
      <c r="D15" s="10">
        <f>SUM(D3:D14)</f>
        <v>76728792.309649915</v>
      </c>
      <c r="E15" s="10">
        <f>SUM(E3:E14)</f>
        <v>101986907.8237116</v>
      </c>
      <c r="F15" s="24">
        <f>E15/E17</f>
        <v>0.62344475322461668</v>
      </c>
      <c r="G15" s="24">
        <f>E15/D15-1</f>
        <v>0.32918692910125547</v>
      </c>
      <c r="H15" s="5">
        <f>SUM(H3:H14)</f>
        <v>23460909</v>
      </c>
      <c r="I15" s="5">
        <f>SUM(I3:I14)</f>
        <v>27642481</v>
      </c>
      <c r="J15" s="24">
        <f>I15/H15-1</f>
        <v>0.17823571968162022</v>
      </c>
      <c r="K15" s="58">
        <f>E15/I15</f>
        <v>3.6894990657210402</v>
      </c>
      <c r="N15" s="56"/>
      <c r="O15" s="31" t="s">
        <v>239</v>
      </c>
      <c r="P15" s="10">
        <f>SUM(P3:P14)</f>
        <v>75201325.705548763</v>
      </c>
      <c r="Q15" s="10">
        <f>SUM(Q3:Q14)</f>
        <v>100660335.54542032</v>
      </c>
      <c r="R15" s="24">
        <f>Q15/E17</f>
        <v>0.61533543268218482</v>
      </c>
      <c r="S15" s="24">
        <f>Q15/P15-1</f>
        <v>0.33854469453845093</v>
      </c>
      <c r="T15" s="5">
        <f>SUM(T3:T14)</f>
        <v>23380583</v>
      </c>
      <c r="U15" s="5">
        <f>SUM(U3:U14)</f>
        <v>29105309</v>
      </c>
      <c r="V15" s="24">
        <f>U15/T15-1</f>
        <v>0.2448495830920896</v>
      </c>
      <c r="W15" s="58">
        <f>Q15/U15</f>
        <v>3.4584870940700307</v>
      </c>
    </row>
    <row r="16" spans="1:23">
      <c r="E16" s="8"/>
      <c r="F16" s="19"/>
      <c r="G16" s="19"/>
      <c r="I16" s="2"/>
      <c r="J16" s="19"/>
    </row>
    <row r="17" spans="1:22">
      <c r="C17" s="20"/>
      <c r="D17" s="20"/>
      <c r="E17" s="59">
        <v>163586119.37338325</v>
      </c>
      <c r="F17" s="21"/>
      <c r="G17" s="21"/>
      <c r="H17" s="20"/>
      <c r="I17" s="22"/>
      <c r="J17" s="21"/>
      <c r="L17" s="29"/>
    </row>
    <row r="18" spans="1:22">
      <c r="E18" s="8"/>
      <c r="F18" s="19"/>
      <c r="G18" s="19"/>
      <c r="I18" s="2"/>
      <c r="J18" s="19"/>
    </row>
    <row r="19" spans="1:22">
      <c r="C19" s="34"/>
      <c r="D19" s="34"/>
      <c r="E19" s="34"/>
      <c r="F19" s="34"/>
      <c r="G19" s="34"/>
      <c r="H19" s="34"/>
      <c r="I19" s="34"/>
      <c r="J19" s="34"/>
      <c r="M19" s="29"/>
    </row>
    <row r="20" spans="1:22">
      <c r="E20" s="8"/>
      <c r="F20" s="19"/>
      <c r="G20" s="19"/>
      <c r="I20" s="2"/>
      <c r="J20" s="19"/>
    </row>
    <row r="21" spans="1:22">
      <c r="E21" s="8"/>
      <c r="F21" s="19"/>
      <c r="G21" s="19"/>
      <c r="I21" s="2"/>
      <c r="J21" s="19"/>
    </row>
    <row r="22" spans="1:22">
      <c r="E22" s="8"/>
      <c r="F22" s="19"/>
      <c r="G22" s="19"/>
      <c r="I22" s="2"/>
      <c r="J22" s="19"/>
      <c r="M22">
        <v>0</v>
      </c>
    </row>
    <row r="23" spans="1:22" ht="43.5">
      <c r="A23" s="57" t="s">
        <v>332</v>
      </c>
      <c r="B23" s="57" t="s">
        <v>333</v>
      </c>
      <c r="C23" s="25" t="s">
        <v>31</v>
      </c>
      <c r="D23" s="23" t="s">
        <v>17</v>
      </c>
      <c r="E23" s="23" t="s">
        <v>18</v>
      </c>
      <c r="F23" s="23" t="s">
        <v>19</v>
      </c>
      <c r="G23" s="23" t="s">
        <v>20</v>
      </c>
      <c r="H23" s="23" t="s">
        <v>21</v>
      </c>
      <c r="I23" s="23" t="s">
        <v>22</v>
      </c>
      <c r="J23" s="23" t="s">
        <v>23</v>
      </c>
      <c r="M23" s="57" t="s">
        <v>332</v>
      </c>
      <c r="N23" s="57" t="s">
        <v>333</v>
      </c>
      <c r="O23" s="25" t="s">
        <v>31</v>
      </c>
      <c r="P23" s="23" t="s">
        <v>17</v>
      </c>
      <c r="Q23" s="23" t="s">
        <v>18</v>
      </c>
      <c r="R23" s="23" t="s">
        <v>19</v>
      </c>
      <c r="S23" s="23" t="s">
        <v>20</v>
      </c>
      <c r="T23" s="23" t="s">
        <v>21</v>
      </c>
      <c r="U23" s="23" t="s">
        <v>22</v>
      </c>
      <c r="V23" s="23" t="s">
        <v>23</v>
      </c>
    </row>
    <row r="24" spans="1:22">
      <c r="C24" t="s">
        <v>32</v>
      </c>
      <c r="D24" s="8">
        <v>18195472.433125746</v>
      </c>
      <c r="E24" s="8">
        <v>21372977.325043041</v>
      </c>
      <c r="F24" s="19">
        <v>0.13057981939727312</v>
      </c>
      <c r="G24" s="19">
        <v>0.17463162353138428</v>
      </c>
      <c r="H24" s="2">
        <v>7440286</v>
      </c>
      <c r="I24" s="2">
        <v>6423136</v>
      </c>
      <c r="J24" s="19">
        <v>-0.13670845448683022</v>
      </c>
      <c r="N24" s="56">
        <v>1</v>
      </c>
      <c r="O24" t="s">
        <v>32</v>
      </c>
      <c r="P24" s="8">
        <v>18195472.433125746</v>
      </c>
      <c r="Q24" s="8">
        <v>21372977.325043041</v>
      </c>
      <c r="R24" s="19">
        <v>0.13057981939727312</v>
      </c>
      <c r="S24" s="19">
        <v>0.17463162353138428</v>
      </c>
      <c r="T24" s="2">
        <v>7440286</v>
      </c>
      <c r="U24" s="2">
        <v>6423136</v>
      </c>
      <c r="V24" s="19">
        <v>-0.13670845448683022</v>
      </c>
    </row>
    <row r="25" spans="1:22">
      <c r="C25" t="s">
        <v>33</v>
      </c>
      <c r="D25" s="8">
        <v>11181158.467887523</v>
      </c>
      <c r="E25" s="8">
        <v>14461602.429829868</v>
      </c>
      <c r="F25" s="19">
        <v>8.9149992535146091E-2</v>
      </c>
      <c r="G25" s="19">
        <v>0.29339034692727373</v>
      </c>
      <c r="H25" s="2">
        <v>3257609</v>
      </c>
      <c r="I25" s="2">
        <v>3476700</v>
      </c>
      <c r="J25" s="19">
        <v>6.725515554506388E-2</v>
      </c>
      <c r="N25" s="56">
        <v>2</v>
      </c>
      <c r="O25" t="s">
        <v>34</v>
      </c>
      <c r="P25" s="8">
        <v>9103362.6299021076</v>
      </c>
      <c r="Q25" s="8">
        <v>13039053.717724891</v>
      </c>
      <c r="R25" s="19">
        <v>7.949411897886588E-2</v>
      </c>
      <c r="S25" s="19">
        <v>0.43233377025925485</v>
      </c>
      <c r="T25" s="2">
        <v>2796294</v>
      </c>
      <c r="U25" s="2">
        <v>5311942</v>
      </c>
      <c r="V25" s="19">
        <v>0.89963644738357273</v>
      </c>
    </row>
    <row r="26" spans="1:22">
      <c r="C26" t="s">
        <v>35</v>
      </c>
      <c r="D26" s="8">
        <v>9836696.4506392423</v>
      </c>
      <c r="E26" s="8">
        <v>13413007.597848609</v>
      </c>
      <c r="F26" s="19">
        <v>8.0459389893977065E-2</v>
      </c>
      <c r="G26" s="19">
        <v>0.36356831433758013</v>
      </c>
      <c r="H26" s="2">
        <v>1707580</v>
      </c>
      <c r="I26" s="2">
        <v>1951597</v>
      </c>
      <c r="J26" s="19">
        <v>0.14290223591281229</v>
      </c>
      <c r="N26" s="56">
        <v>3</v>
      </c>
      <c r="O26" t="s">
        <v>36</v>
      </c>
      <c r="P26" s="8">
        <v>7073875.1562203029</v>
      </c>
      <c r="Q26" s="8">
        <v>10275124.002608115</v>
      </c>
      <c r="R26" s="19">
        <v>6.3850273834758012E-2</v>
      </c>
      <c r="S26" s="19">
        <v>0.45254528468357874</v>
      </c>
      <c r="T26" s="2">
        <v>3221387</v>
      </c>
      <c r="U26" s="2">
        <v>4130936</v>
      </c>
      <c r="V26" s="19">
        <v>0.28234701387942523</v>
      </c>
    </row>
    <row r="27" spans="1:22">
      <c r="C27" t="s">
        <v>34</v>
      </c>
      <c r="D27" s="8">
        <v>9103362.6299021076</v>
      </c>
      <c r="E27" s="8">
        <v>13039053.717724891</v>
      </c>
      <c r="F27" s="19">
        <v>7.949411897886588E-2</v>
      </c>
      <c r="G27" s="19">
        <v>0.43233377025925485</v>
      </c>
      <c r="H27" s="2">
        <v>2796294</v>
      </c>
      <c r="I27" s="2">
        <v>5311942</v>
      </c>
      <c r="J27" s="19">
        <v>0.89963644738357273</v>
      </c>
      <c r="N27" s="56">
        <v>4</v>
      </c>
      <c r="O27" t="s">
        <v>33</v>
      </c>
      <c r="P27" s="8">
        <v>11181158.467887523</v>
      </c>
      <c r="Q27" s="8">
        <v>14461602.429829868</v>
      </c>
      <c r="R27" s="19">
        <v>8.9149992535146091E-2</v>
      </c>
      <c r="S27" s="19">
        <v>0.29339034692727373</v>
      </c>
      <c r="T27" s="2">
        <v>3257609</v>
      </c>
      <c r="U27" s="2">
        <v>3476700</v>
      </c>
      <c r="V27" s="19">
        <v>6.725515554506388E-2</v>
      </c>
    </row>
    <row r="28" spans="1:22">
      <c r="C28" t="s">
        <v>36</v>
      </c>
      <c r="D28" s="8">
        <v>7073875.1562203029</v>
      </c>
      <c r="E28" s="8">
        <v>10275124.002608115</v>
      </c>
      <c r="F28" s="19">
        <v>6.3850273834758012E-2</v>
      </c>
      <c r="G28" s="19">
        <v>0.45254528468357874</v>
      </c>
      <c r="H28" s="2">
        <v>3221387</v>
      </c>
      <c r="I28" s="2">
        <v>4130936</v>
      </c>
      <c r="J28" s="19">
        <v>0.28234701387942523</v>
      </c>
      <c r="N28" s="56">
        <v>5</v>
      </c>
      <c r="O28" t="s">
        <v>40</v>
      </c>
      <c r="P28" s="8">
        <v>3111020.8472805666</v>
      </c>
      <c r="Q28" s="8">
        <v>5987333.452168175</v>
      </c>
      <c r="R28" s="19">
        <v>3.5436512980076967E-2</v>
      </c>
      <c r="S28" s="19">
        <v>0.92455587605652867</v>
      </c>
      <c r="T28" s="2">
        <v>1099272</v>
      </c>
      <c r="U28" s="2">
        <v>1956938</v>
      </c>
      <c r="V28" s="19">
        <v>0.78021272260186747</v>
      </c>
    </row>
    <row r="29" spans="1:22">
      <c r="C29" t="s">
        <v>37</v>
      </c>
      <c r="D29" s="8">
        <v>6442932.5411629109</v>
      </c>
      <c r="E29" s="8">
        <v>7626925.3867173148</v>
      </c>
      <c r="F29" s="19">
        <v>4.6628935902759738E-2</v>
      </c>
      <c r="G29" s="19">
        <v>0.18376614033905442</v>
      </c>
      <c r="H29" s="2">
        <v>893547</v>
      </c>
      <c r="I29" s="2">
        <v>984812</v>
      </c>
      <c r="J29" s="19">
        <v>0.10213788418516317</v>
      </c>
      <c r="N29" s="56">
        <v>6</v>
      </c>
      <c r="O29" t="s">
        <v>35</v>
      </c>
      <c r="P29" s="8">
        <v>9836696.4506392423</v>
      </c>
      <c r="Q29" s="8">
        <v>13413007.597848609</v>
      </c>
      <c r="R29" s="19">
        <v>8.0459389893977065E-2</v>
      </c>
      <c r="S29" s="19">
        <v>0.36356831433758013</v>
      </c>
      <c r="T29" s="2">
        <v>1707580</v>
      </c>
      <c r="U29" s="2">
        <v>1951597</v>
      </c>
      <c r="V29" s="19">
        <v>0.14290223591281229</v>
      </c>
    </row>
    <row r="30" spans="1:22">
      <c r="C30" t="s">
        <v>40</v>
      </c>
      <c r="D30" s="8">
        <v>3111020.8472805666</v>
      </c>
      <c r="E30" s="8">
        <v>5987333.452168175</v>
      </c>
      <c r="F30" s="19">
        <v>3.5436512980076967E-2</v>
      </c>
      <c r="G30" s="19">
        <v>0.92455587605652867</v>
      </c>
      <c r="H30" s="2">
        <v>1099272</v>
      </c>
      <c r="I30" s="2">
        <v>1956938</v>
      </c>
      <c r="J30" s="19">
        <v>0.78021272260186747</v>
      </c>
      <c r="N30" s="56">
        <v>7</v>
      </c>
      <c r="O30" t="s">
        <v>336</v>
      </c>
      <c r="P30" s="8">
        <v>867516.57972387748</v>
      </c>
      <c r="Q30" s="8">
        <v>1272681.9198982918</v>
      </c>
      <c r="R30" s="19">
        <v>7.8937682801854415E-3</v>
      </c>
      <c r="S30" s="19">
        <v>0.4670404573747452</v>
      </c>
      <c r="T30" s="2">
        <v>360612</v>
      </c>
      <c r="U30" s="2">
        <v>1744247</v>
      </c>
      <c r="V30" s="19">
        <v>3.8369078122746885</v>
      </c>
    </row>
    <row r="31" spans="1:22">
      <c r="C31" t="s">
        <v>42</v>
      </c>
      <c r="D31" s="8">
        <v>2690262.0959362155</v>
      </c>
      <c r="E31" s="8">
        <v>4959891.3974755332</v>
      </c>
      <c r="F31" s="19">
        <v>3.0975887917776456E-2</v>
      </c>
      <c r="G31" s="19">
        <v>0.8436461655419053</v>
      </c>
      <c r="H31" s="2">
        <v>607977</v>
      </c>
      <c r="I31" s="2">
        <v>735740</v>
      </c>
      <c r="J31" s="19">
        <v>0.21014446270171405</v>
      </c>
      <c r="N31" s="56">
        <v>8</v>
      </c>
      <c r="O31" t="s">
        <v>37</v>
      </c>
      <c r="P31" s="8">
        <v>6442932.5411629109</v>
      </c>
      <c r="Q31" s="8">
        <v>7626925.3867173148</v>
      </c>
      <c r="R31" s="19">
        <v>4.6628935902759738E-2</v>
      </c>
      <c r="S31" s="19">
        <v>0.18376614033905442</v>
      </c>
      <c r="T31" s="2">
        <v>893547</v>
      </c>
      <c r="U31" s="2">
        <v>984812</v>
      </c>
      <c r="V31" s="19">
        <v>0.10213788418516317</v>
      </c>
    </row>
    <row r="32" spans="1:22">
      <c r="C32" t="s">
        <v>38</v>
      </c>
      <c r="D32" s="8">
        <v>3093413.3590811691</v>
      </c>
      <c r="E32" s="8">
        <v>3916516.6634988445</v>
      </c>
      <c r="F32" s="19">
        <v>2.4201251716096311E-2</v>
      </c>
      <c r="G32" s="19">
        <v>0.26608254664748726</v>
      </c>
      <c r="H32" s="2">
        <v>624346</v>
      </c>
      <c r="I32" s="2">
        <v>702598</v>
      </c>
      <c r="J32" s="19">
        <v>0.12533434986369738</v>
      </c>
      <c r="N32" s="56">
        <v>9</v>
      </c>
      <c r="O32" t="s">
        <v>39</v>
      </c>
      <c r="P32" s="8">
        <v>2684492.6621630765</v>
      </c>
      <c r="Q32" s="8">
        <v>2722080.6174449315</v>
      </c>
      <c r="R32" s="19">
        <v>1.66453322839216E-2</v>
      </c>
      <c r="S32" s="19">
        <v>1.4001884159209409E-2</v>
      </c>
      <c r="T32" s="2">
        <v>812120</v>
      </c>
      <c r="U32" s="2">
        <v>897124</v>
      </c>
      <c r="V32" s="19">
        <v>0.10466926070038911</v>
      </c>
    </row>
    <row r="33" spans="3:22">
      <c r="C33" t="s">
        <v>39</v>
      </c>
      <c r="D33" s="8">
        <v>2684492.6621630765</v>
      </c>
      <c r="E33" s="8">
        <v>2722080.6174449315</v>
      </c>
      <c r="F33" s="19">
        <v>1.66453322839216E-2</v>
      </c>
      <c r="G33" s="19">
        <v>1.4001884159209409E-2</v>
      </c>
      <c r="H33" s="2">
        <v>812120</v>
      </c>
      <c r="I33" s="2">
        <v>897124</v>
      </c>
      <c r="J33" s="19">
        <v>0.10466926070038911</v>
      </c>
      <c r="N33" s="56">
        <v>10</v>
      </c>
      <c r="O33" t="s">
        <v>49</v>
      </c>
      <c r="P33" s="8">
        <v>921122.48242605245</v>
      </c>
      <c r="Q33" s="8">
        <v>1613141.0351627138</v>
      </c>
      <c r="R33" s="19">
        <v>9.8476952724753236E-3</v>
      </c>
      <c r="S33" s="19">
        <v>0.75127745325900952</v>
      </c>
      <c r="T33" s="2">
        <v>559553</v>
      </c>
      <c r="U33" s="2">
        <v>789539</v>
      </c>
      <c r="V33" s="19">
        <v>0.41101736564722197</v>
      </c>
    </row>
    <row r="34" spans="3:22">
      <c r="C34" t="s">
        <v>45</v>
      </c>
      <c r="D34" s="8">
        <v>1478778.9255277573</v>
      </c>
      <c r="E34" s="8">
        <v>2132801.9488679487</v>
      </c>
      <c r="F34" s="19">
        <v>1.2883694305206276E-2</v>
      </c>
      <c r="G34" s="19">
        <v>0.44227234514231328</v>
      </c>
      <c r="H34" s="2">
        <v>427605</v>
      </c>
      <c r="I34" s="2">
        <v>514278</v>
      </c>
      <c r="J34" s="19">
        <v>0.20269407513943943</v>
      </c>
      <c r="N34" s="56">
        <v>11</v>
      </c>
      <c r="O34" t="s">
        <v>42</v>
      </c>
      <c r="P34" s="8">
        <v>2690262.0959362155</v>
      </c>
      <c r="Q34" s="8">
        <v>4959891.3974755332</v>
      </c>
      <c r="R34" s="19">
        <v>3.0975887917776456E-2</v>
      </c>
      <c r="S34" s="19">
        <v>0.8436461655419053</v>
      </c>
      <c r="T34" s="2">
        <v>607977</v>
      </c>
      <c r="U34" s="2">
        <v>735740</v>
      </c>
      <c r="V34" s="19">
        <v>0.21014446270171405</v>
      </c>
    </row>
    <row r="35" spans="3:22">
      <c r="C35" t="s">
        <v>44</v>
      </c>
      <c r="D35" s="8">
        <v>1837326.7407233117</v>
      </c>
      <c r="E35" s="8">
        <v>2079593.2844843224</v>
      </c>
      <c r="F35" s="19">
        <v>1.2788059604833087E-2</v>
      </c>
      <c r="G35" s="19">
        <v>0.13185817110876871</v>
      </c>
      <c r="H35" s="2">
        <v>572886</v>
      </c>
      <c r="I35" s="2">
        <v>556680</v>
      </c>
      <c r="J35" s="19">
        <v>-2.8288350561891894E-2</v>
      </c>
      <c r="N35" s="56">
        <v>12</v>
      </c>
      <c r="O35" t="s">
        <v>38</v>
      </c>
      <c r="P35" s="8">
        <v>3093413.3590811691</v>
      </c>
      <c r="Q35" s="8">
        <v>3916516.6634988445</v>
      </c>
      <c r="R35" s="19">
        <v>2.4201251716096311E-2</v>
      </c>
      <c r="S35" s="19">
        <v>0.26608254664748726</v>
      </c>
      <c r="T35" s="2">
        <v>624346</v>
      </c>
      <c r="U35" s="2">
        <v>702598</v>
      </c>
      <c r="V35" s="19">
        <v>0.12533434986369738</v>
      </c>
    </row>
    <row r="36" spans="3:22">
      <c r="C36" t="s">
        <v>43</v>
      </c>
      <c r="D36" s="8">
        <v>2040284.964914595</v>
      </c>
      <c r="E36" s="8">
        <v>2032840.744286566</v>
      </c>
      <c r="F36" s="19">
        <v>1.2302976579877896E-2</v>
      </c>
      <c r="G36" s="19">
        <v>-3.6486180881799414E-3</v>
      </c>
      <c r="H36" s="2">
        <v>506110</v>
      </c>
      <c r="I36" s="2">
        <v>505496</v>
      </c>
      <c r="J36" s="19">
        <v>-1.2131750014818914E-3</v>
      </c>
      <c r="N36" s="56">
        <v>13</v>
      </c>
      <c r="O36" t="s">
        <v>3573</v>
      </c>
      <c r="P36" s="8">
        <v>780535.88635270775</v>
      </c>
      <c r="Q36" s="8">
        <v>1442437.2814268968</v>
      </c>
      <c r="R36" s="19">
        <v>8.7177911706977466E-3</v>
      </c>
      <c r="S36" s="19">
        <v>0.84800892136699235</v>
      </c>
      <c r="T36" s="2">
        <v>453061</v>
      </c>
      <c r="U36" s="2">
        <v>624413</v>
      </c>
      <c r="V36" s="19">
        <v>0.37820955677050111</v>
      </c>
    </row>
    <row r="37" spans="3:22">
      <c r="C37" t="s">
        <v>41</v>
      </c>
      <c r="D37" s="8">
        <v>2031405.291603765</v>
      </c>
      <c r="E37" s="8">
        <v>1979869.9500332682</v>
      </c>
      <c r="F37" s="19">
        <v>1.211623017607151E-2</v>
      </c>
      <c r="G37" s="19">
        <v>-2.5369305565710321E-2</v>
      </c>
      <c r="H37" s="2">
        <v>492594</v>
      </c>
      <c r="I37" s="2">
        <v>367636</v>
      </c>
      <c r="J37" s="19">
        <v>-0.25367341055717285</v>
      </c>
      <c r="N37" s="56">
        <v>14</v>
      </c>
      <c r="O37" t="s">
        <v>44</v>
      </c>
      <c r="P37" s="8">
        <v>1837326.7407233117</v>
      </c>
      <c r="Q37" s="8">
        <v>2079593.2844843224</v>
      </c>
      <c r="R37" s="19">
        <v>1.2788059604833087E-2</v>
      </c>
      <c r="S37" s="19">
        <v>0.13185817110876871</v>
      </c>
      <c r="T37" s="2">
        <v>572886</v>
      </c>
      <c r="U37" s="2">
        <v>556680</v>
      </c>
      <c r="V37" s="19">
        <v>-2.8288350561891894E-2</v>
      </c>
    </row>
    <row r="38" spans="3:22">
      <c r="C38" t="s">
        <v>278</v>
      </c>
      <c r="D38" s="8">
        <v>1640760.2027415154</v>
      </c>
      <c r="E38" s="8">
        <v>1855549.6265291253</v>
      </c>
      <c r="F38" s="19">
        <v>1.1579505026988499E-2</v>
      </c>
      <c r="G38" s="19">
        <v>0.13090847975756745</v>
      </c>
      <c r="H38" s="2">
        <v>554917</v>
      </c>
      <c r="I38" s="2">
        <v>536282</v>
      </c>
      <c r="J38" s="19">
        <v>-3.3581598689533747E-2</v>
      </c>
      <c r="N38" s="56">
        <v>15</v>
      </c>
      <c r="O38" t="s">
        <v>278</v>
      </c>
      <c r="P38" s="8">
        <v>1640760.2027415154</v>
      </c>
      <c r="Q38" s="8">
        <v>1855549.6265291253</v>
      </c>
      <c r="R38" s="19">
        <v>1.1579505026988499E-2</v>
      </c>
      <c r="S38" s="19">
        <v>0.13090847975756745</v>
      </c>
      <c r="T38" s="2">
        <v>554917</v>
      </c>
      <c r="U38" s="2">
        <v>536282</v>
      </c>
      <c r="V38" s="19">
        <v>-3.3581598689533747E-2</v>
      </c>
    </row>
    <row r="39" spans="3:22">
      <c r="C39" t="s">
        <v>49</v>
      </c>
      <c r="D39" s="8">
        <v>921122.48242605245</v>
      </c>
      <c r="E39" s="8">
        <v>1613141.0351627138</v>
      </c>
      <c r="F39" s="19">
        <v>9.8476952724753236E-3</v>
      </c>
      <c r="G39" s="19">
        <v>0.75127745325900952</v>
      </c>
      <c r="H39" s="2">
        <v>559553</v>
      </c>
      <c r="I39" s="2">
        <v>789539</v>
      </c>
      <c r="J39" s="19">
        <v>0.41101736564722197</v>
      </c>
      <c r="N39" s="56">
        <v>16</v>
      </c>
      <c r="O39" t="s">
        <v>45</v>
      </c>
      <c r="P39" s="8">
        <v>1478778.9255277573</v>
      </c>
      <c r="Q39" s="8">
        <v>2132801.9488679487</v>
      </c>
      <c r="R39" s="19">
        <v>1.2883694305206276E-2</v>
      </c>
      <c r="S39" s="19">
        <v>0.44227234514231328</v>
      </c>
      <c r="T39" s="2">
        <v>427605</v>
      </c>
      <c r="U39" s="2">
        <v>514278</v>
      </c>
      <c r="V39" s="19">
        <v>0.20269407513943943</v>
      </c>
    </row>
    <row r="40" spans="3:22">
      <c r="C40" t="s">
        <v>58</v>
      </c>
      <c r="D40" s="8">
        <v>934406.04288146296</v>
      </c>
      <c r="E40" s="8">
        <v>1552759.5840038301</v>
      </c>
      <c r="F40" s="19">
        <v>9.7512561899156976E-3</v>
      </c>
      <c r="G40" s="19">
        <v>0.66176106825628733</v>
      </c>
      <c r="H40" s="2">
        <v>147514</v>
      </c>
      <c r="I40" s="2">
        <v>216443</v>
      </c>
      <c r="J40" s="19">
        <v>0.46727090310072267</v>
      </c>
      <c r="N40" s="56"/>
      <c r="O40" t="s">
        <v>43</v>
      </c>
      <c r="P40" s="8">
        <v>2040284.964914595</v>
      </c>
      <c r="Q40" s="8">
        <v>2032840.744286566</v>
      </c>
      <c r="R40" s="19">
        <v>1.2302976579877896E-2</v>
      </c>
      <c r="S40" s="19">
        <v>-3.6486180881799414E-3</v>
      </c>
      <c r="T40" s="2">
        <v>506110</v>
      </c>
      <c r="U40" s="2">
        <v>505496</v>
      </c>
      <c r="V40" s="19">
        <v>-1.2131750014818914E-3</v>
      </c>
    </row>
    <row r="41" spans="3:22">
      <c r="C41" t="s">
        <v>46</v>
      </c>
      <c r="D41" s="8">
        <v>1421149.8571292378</v>
      </c>
      <c r="E41" s="8">
        <v>1516008.1468740986</v>
      </c>
      <c r="F41" s="19">
        <v>9.2726830169724151E-3</v>
      </c>
      <c r="G41" s="19">
        <v>6.6747563087032294E-2</v>
      </c>
      <c r="H41" s="2">
        <v>293058</v>
      </c>
      <c r="I41" s="2">
        <v>237721</v>
      </c>
      <c r="J41" s="19">
        <v>-0.18882610268274538</v>
      </c>
      <c r="N41" s="56"/>
      <c r="O41" t="s">
        <v>53</v>
      </c>
      <c r="P41" s="8">
        <v>772491.48933906702</v>
      </c>
      <c r="Q41" s="8">
        <v>1343586.8215935046</v>
      </c>
      <c r="R41" s="19">
        <v>8.0010595314381587E-3</v>
      </c>
      <c r="S41" s="19">
        <v>0.73929012828744411</v>
      </c>
      <c r="T41" s="2">
        <v>329693</v>
      </c>
      <c r="U41" s="2">
        <v>503213</v>
      </c>
      <c r="V41" s="19">
        <v>0.52630780756643303</v>
      </c>
    </row>
    <row r="42" spans="3:22">
      <c r="C42" t="s">
        <v>3573</v>
      </c>
      <c r="D42" s="8">
        <v>780535.88635270775</v>
      </c>
      <c r="E42" s="8">
        <v>1442437.2814268968</v>
      </c>
      <c r="F42" s="19">
        <v>8.7177911706977466E-3</v>
      </c>
      <c r="G42" s="19">
        <v>0.84800892136699235</v>
      </c>
      <c r="H42" s="2">
        <v>453061</v>
      </c>
      <c r="I42" s="2">
        <v>624413</v>
      </c>
      <c r="J42" s="19">
        <v>0.37820955677050111</v>
      </c>
      <c r="N42" s="56"/>
      <c r="O42" t="s">
        <v>67</v>
      </c>
      <c r="P42" s="8">
        <v>450949.41816181404</v>
      </c>
      <c r="Q42" s="8">
        <v>731445.0916360952</v>
      </c>
      <c r="R42" s="19">
        <v>4.5013408625034284E-3</v>
      </c>
      <c r="S42" s="19">
        <v>0.62201138792384691</v>
      </c>
      <c r="T42" s="2">
        <v>239341</v>
      </c>
      <c r="U42" s="2">
        <v>421731</v>
      </c>
      <c r="V42" s="19">
        <v>0.76205079781566887</v>
      </c>
    </row>
    <row r="43" spans="3:22">
      <c r="C43" t="s">
        <v>55</v>
      </c>
      <c r="D43" s="8">
        <v>626483.30652827781</v>
      </c>
      <c r="E43" s="8">
        <v>1359633.5422676199</v>
      </c>
      <c r="F43" s="19">
        <v>8.0252829999709688E-3</v>
      </c>
      <c r="G43" s="19">
        <v>1.1702630031790793</v>
      </c>
      <c r="H43" s="2">
        <v>66348</v>
      </c>
      <c r="I43" s="2">
        <v>75711</v>
      </c>
      <c r="J43" s="19">
        <v>0.14111955145595947</v>
      </c>
      <c r="N43" s="56"/>
      <c r="O43" t="s">
        <v>99</v>
      </c>
      <c r="P43" s="8">
        <v>176115.23948998068</v>
      </c>
      <c r="Q43" s="8">
        <v>346151.8186171765</v>
      </c>
      <c r="R43" s="19">
        <v>2.1415740866268826E-3</v>
      </c>
      <c r="S43" s="19">
        <v>0.96548475656968524</v>
      </c>
      <c r="T43" s="2">
        <v>199255</v>
      </c>
      <c r="U43" s="2">
        <v>377255</v>
      </c>
      <c r="V43" s="19">
        <v>0.89332764547941079</v>
      </c>
    </row>
    <row r="44" spans="3:22">
      <c r="C44" t="s">
        <v>53</v>
      </c>
      <c r="D44" s="8">
        <v>772491.48933906702</v>
      </c>
      <c r="E44" s="8">
        <v>1343586.8215935046</v>
      </c>
      <c r="F44" s="19">
        <v>8.0010595314381587E-3</v>
      </c>
      <c r="G44" s="19">
        <v>0.73929012828744411</v>
      </c>
      <c r="H44" s="2">
        <v>329693</v>
      </c>
      <c r="I44" s="2">
        <v>503213</v>
      </c>
      <c r="J44" s="19">
        <v>0.52630780756643303</v>
      </c>
      <c r="N44" s="56"/>
      <c r="O44" t="s">
        <v>41</v>
      </c>
      <c r="P44" s="8">
        <v>2031405.291603765</v>
      </c>
      <c r="Q44" s="8">
        <v>1979869.9500332682</v>
      </c>
      <c r="R44" s="19">
        <v>1.211623017607151E-2</v>
      </c>
      <c r="S44" s="19">
        <v>-2.5369305565710321E-2</v>
      </c>
      <c r="T44" s="2">
        <v>492594</v>
      </c>
      <c r="U44" s="2">
        <v>367636</v>
      </c>
      <c r="V44" s="19">
        <v>-0.25367341055717285</v>
      </c>
    </row>
    <row r="45" spans="3:22">
      <c r="C45" t="s">
        <v>60</v>
      </c>
      <c r="D45" s="8">
        <v>787629.93675401434</v>
      </c>
      <c r="E45" s="8">
        <v>1314959.4375956773</v>
      </c>
      <c r="F45" s="19">
        <v>8.149262869629503E-3</v>
      </c>
      <c r="G45" s="19">
        <v>0.66951429374929139</v>
      </c>
      <c r="H45" s="2">
        <v>64483</v>
      </c>
      <c r="I45" s="2">
        <v>89709</v>
      </c>
      <c r="J45" s="19">
        <v>0.39120388319402011</v>
      </c>
      <c r="N45" s="56"/>
      <c r="O45" t="s">
        <v>57</v>
      </c>
      <c r="P45" s="8">
        <v>544424.36935496551</v>
      </c>
      <c r="Q45" s="8">
        <v>659474.00565349555</v>
      </c>
      <c r="R45" s="19">
        <v>4.0022035467822863E-3</v>
      </c>
      <c r="S45" s="19">
        <v>0.21132345055538376</v>
      </c>
      <c r="T45" s="2">
        <v>304254</v>
      </c>
      <c r="U45" s="2">
        <v>343341</v>
      </c>
      <c r="V45" s="19">
        <v>0.1284683192332722</v>
      </c>
    </row>
    <row r="46" spans="3:22">
      <c r="C46" t="s">
        <v>336</v>
      </c>
      <c r="D46" s="8">
        <v>867516.57972387748</v>
      </c>
      <c r="E46" s="8">
        <v>1272681.9198982918</v>
      </c>
      <c r="F46" s="19">
        <v>7.8937682801854415E-3</v>
      </c>
      <c r="G46" s="19">
        <v>0.4670404573747452</v>
      </c>
      <c r="H46" s="2">
        <v>360612</v>
      </c>
      <c r="I46" s="2">
        <v>1744247</v>
      </c>
      <c r="J46" s="19">
        <v>3.8369078122746885</v>
      </c>
      <c r="N46" s="56"/>
      <c r="O46" t="s">
        <v>68</v>
      </c>
      <c r="P46" s="8">
        <v>406566.41044032568</v>
      </c>
      <c r="Q46" s="8">
        <v>939380.94684658758</v>
      </c>
      <c r="R46" s="19">
        <v>5.7964259656807836E-3</v>
      </c>
      <c r="S46" s="19">
        <v>1.3105227650980931</v>
      </c>
      <c r="T46" s="2">
        <v>212811</v>
      </c>
      <c r="U46" s="2">
        <v>314733</v>
      </c>
      <c r="V46" s="19">
        <v>0.4789320100934632</v>
      </c>
    </row>
    <row r="47" spans="3:22">
      <c r="C47" t="s">
        <v>50</v>
      </c>
      <c r="D47" s="8">
        <v>1066526.2863709647</v>
      </c>
      <c r="E47" s="8">
        <v>1266797.9454320392</v>
      </c>
      <c r="F47" s="19">
        <v>7.8792755327739914E-3</v>
      </c>
      <c r="G47" s="19">
        <v>0.1877793933636015</v>
      </c>
      <c r="H47" s="2">
        <v>193304</v>
      </c>
      <c r="I47" s="2">
        <v>184534</v>
      </c>
      <c r="J47" s="19">
        <v>-4.5368952530728798E-2</v>
      </c>
      <c r="N47" s="56"/>
      <c r="O47" t="s">
        <v>52</v>
      </c>
      <c r="P47" s="8">
        <v>746128.21361970634</v>
      </c>
      <c r="Q47" s="8">
        <v>936662.07069266122</v>
      </c>
      <c r="R47" s="19">
        <v>5.6737272694241045E-3</v>
      </c>
      <c r="S47" s="19">
        <v>0.25536342627845993</v>
      </c>
      <c r="T47" s="2">
        <v>270311</v>
      </c>
      <c r="U47" s="2">
        <v>290756</v>
      </c>
      <c r="V47" s="19">
        <v>7.5635101790160225E-2</v>
      </c>
    </row>
    <row r="48" spans="3:22">
      <c r="C48" t="s">
        <v>48</v>
      </c>
      <c r="D48" s="8">
        <v>1194607.3233096648</v>
      </c>
      <c r="E48" s="8">
        <v>1239933.0589153077</v>
      </c>
      <c r="F48" s="19">
        <v>7.5929799045283417E-3</v>
      </c>
      <c r="G48" s="19">
        <v>3.7941953578576555E-2</v>
      </c>
      <c r="H48" s="2">
        <v>278260</v>
      </c>
      <c r="I48" s="2">
        <v>195621</v>
      </c>
      <c r="J48" s="19">
        <v>-0.29698483432760725</v>
      </c>
      <c r="N48" s="56"/>
      <c r="O48" t="s">
        <v>56</v>
      </c>
      <c r="P48" s="8">
        <v>662784.99831734749</v>
      </c>
      <c r="Q48" s="8">
        <v>779109.68424290651</v>
      </c>
      <c r="R48" s="19">
        <v>4.6022939572811757E-3</v>
      </c>
      <c r="S48" s="19">
        <v>0.17550893007669088</v>
      </c>
      <c r="T48" s="2">
        <v>377544</v>
      </c>
      <c r="U48" s="2">
        <v>281070</v>
      </c>
      <c r="V48" s="19">
        <v>-0.25553048121543448</v>
      </c>
    </row>
    <row r="49" spans="3:22">
      <c r="C49" t="s">
        <v>51</v>
      </c>
      <c r="D49" s="8">
        <v>931225.95744590298</v>
      </c>
      <c r="E49" s="8">
        <v>1211433.4902480766</v>
      </c>
      <c r="F49" s="19">
        <v>7.5239081058870363E-3</v>
      </c>
      <c r="G49" s="19">
        <v>0.30090176348896669</v>
      </c>
      <c r="H49" s="2">
        <v>201661</v>
      </c>
      <c r="I49" s="2">
        <v>235295</v>
      </c>
      <c r="J49" s="19">
        <v>0.16678485180575323</v>
      </c>
      <c r="N49" s="56"/>
      <c r="O49" t="s">
        <v>166</v>
      </c>
      <c r="P49" s="8">
        <v>29885.644926444398</v>
      </c>
      <c r="Q49" s="8">
        <v>309809.53741112328</v>
      </c>
      <c r="R49" s="19">
        <v>1.9060234873274496E-3</v>
      </c>
      <c r="S49" s="19">
        <v>9.3664999759462262</v>
      </c>
      <c r="T49" s="2">
        <v>26284</v>
      </c>
      <c r="U49" s="2">
        <v>249118</v>
      </c>
      <c r="V49" s="19">
        <v>8.4779333434789219</v>
      </c>
    </row>
    <row r="50" spans="3:22">
      <c r="C50" t="s">
        <v>112</v>
      </c>
      <c r="D50" s="8">
        <v>223693.97239570715</v>
      </c>
      <c r="E50" s="8">
        <v>1206275.2146918445</v>
      </c>
      <c r="F50" s="19">
        <v>7.6164398194143723E-3</v>
      </c>
      <c r="G50" s="19">
        <v>4.3925244465594453</v>
      </c>
      <c r="H50" s="2">
        <v>20823</v>
      </c>
      <c r="I50" s="2">
        <v>90903</v>
      </c>
      <c r="J50" s="19">
        <v>3.3655092926091341</v>
      </c>
      <c r="N50" s="56"/>
      <c r="O50" t="s">
        <v>46</v>
      </c>
      <c r="P50" s="8">
        <v>1421149.8571292378</v>
      </c>
      <c r="Q50" s="8">
        <v>1516008.1468740986</v>
      </c>
      <c r="R50" s="19">
        <v>9.2726830169724151E-3</v>
      </c>
      <c r="S50" s="19">
        <v>6.6747563087032294E-2</v>
      </c>
      <c r="T50" s="2">
        <v>293058</v>
      </c>
      <c r="U50" s="2">
        <v>237721</v>
      </c>
      <c r="V50" s="19">
        <v>-0.18882610268274538</v>
      </c>
    </row>
    <row r="51" spans="3:22">
      <c r="C51" t="s">
        <v>279</v>
      </c>
      <c r="D51" s="8">
        <v>863971.19614480145</v>
      </c>
      <c r="E51" s="8">
        <v>1196931.5113322835</v>
      </c>
      <c r="F51" s="19">
        <v>7.2238658335302824E-3</v>
      </c>
      <c r="G51" s="19">
        <v>0.38538358300972564</v>
      </c>
      <c r="H51" s="2">
        <v>120629</v>
      </c>
      <c r="I51" s="2">
        <v>128198</v>
      </c>
      <c r="J51" s="19">
        <v>6.2746105828615006E-2</v>
      </c>
      <c r="N51" s="56"/>
      <c r="O51" t="s">
        <v>51</v>
      </c>
      <c r="P51" s="8">
        <v>931225.95744590298</v>
      </c>
      <c r="Q51" s="8">
        <v>1211433.4902480766</v>
      </c>
      <c r="R51" s="19">
        <v>7.5239081058870363E-3</v>
      </c>
      <c r="S51" s="19">
        <v>0.30090176348896669</v>
      </c>
      <c r="T51" s="2">
        <v>201661</v>
      </c>
      <c r="U51" s="2">
        <v>235295</v>
      </c>
      <c r="V51" s="19">
        <v>0.16678485180575323</v>
      </c>
    </row>
    <row r="52" spans="3:22">
      <c r="C52" t="s">
        <v>47</v>
      </c>
      <c r="D52" s="8">
        <v>1235268.2926423815</v>
      </c>
      <c r="E52" s="8">
        <v>1133220.8293160857</v>
      </c>
      <c r="F52" s="19">
        <v>6.7887999142803093E-3</v>
      </c>
      <c r="G52" s="19">
        <v>-8.2611578338179906E-2</v>
      </c>
      <c r="H52" s="2">
        <v>249410</v>
      </c>
      <c r="I52" s="2">
        <v>168158</v>
      </c>
      <c r="J52" s="19">
        <v>-0.32577683332665092</v>
      </c>
      <c r="N52" s="56"/>
      <c r="O52" t="s">
        <v>79</v>
      </c>
      <c r="P52" s="8">
        <v>214706.4815804933</v>
      </c>
      <c r="Q52" s="8">
        <v>238245.75381207396</v>
      </c>
      <c r="R52" s="19">
        <v>1.48026768166534E-3</v>
      </c>
      <c r="S52" s="19">
        <v>0.10963466057616805</v>
      </c>
      <c r="T52" s="2">
        <v>218028</v>
      </c>
      <c r="U52" s="2">
        <v>226714</v>
      </c>
      <c r="V52" s="19">
        <v>3.9838919771772431E-2</v>
      </c>
    </row>
    <row r="53" spans="3:22">
      <c r="C53" t="s">
        <v>71</v>
      </c>
      <c r="D53" s="8">
        <v>463834.94224030472</v>
      </c>
      <c r="E53" s="8">
        <v>1110174.1604016204</v>
      </c>
      <c r="F53" s="19">
        <v>6.8063208124557193E-3</v>
      </c>
      <c r="G53" s="19">
        <v>1.3934681484743741</v>
      </c>
      <c r="H53" s="2">
        <v>83293</v>
      </c>
      <c r="I53" s="2">
        <v>127855</v>
      </c>
      <c r="J53" s="19">
        <v>0.53500294142364901</v>
      </c>
      <c r="N53" s="56"/>
      <c r="O53" t="s">
        <v>69</v>
      </c>
      <c r="P53" s="8">
        <v>419074.19532503647</v>
      </c>
      <c r="Q53" s="8">
        <v>617511.00651259511</v>
      </c>
      <c r="R53" s="19">
        <v>3.8184944393720552E-3</v>
      </c>
      <c r="S53" s="19">
        <v>0.47351235986660989</v>
      </c>
      <c r="T53" s="2">
        <v>189922</v>
      </c>
      <c r="U53" s="2">
        <v>226298</v>
      </c>
      <c r="V53" s="19">
        <v>0.19153126020155642</v>
      </c>
    </row>
    <row r="54" spans="3:22">
      <c r="C54" t="s">
        <v>54</v>
      </c>
      <c r="D54" s="8">
        <v>801113.18428036687</v>
      </c>
      <c r="E54" s="8">
        <v>1074202.8357946731</v>
      </c>
      <c r="F54" s="19">
        <v>6.6304641028675391E-3</v>
      </c>
      <c r="G54" s="19">
        <v>0.34088772582069077</v>
      </c>
      <c r="H54" s="2">
        <v>107889</v>
      </c>
      <c r="I54" s="2">
        <v>116162</v>
      </c>
      <c r="J54" s="19">
        <v>7.6680662532788324E-2</v>
      </c>
      <c r="N54" s="56"/>
      <c r="O54" t="s">
        <v>58</v>
      </c>
      <c r="P54" s="8">
        <v>934406.04288146296</v>
      </c>
      <c r="Q54" s="8">
        <v>1552759.5840038301</v>
      </c>
      <c r="R54" s="19">
        <v>9.7512561899156976E-3</v>
      </c>
      <c r="S54" s="19">
        <v>0.66176106825628733</v>
      </c>
      <c r="T54" s="2">
        <v>147514</v>
      </c>
      <c r="U54" s="2">
        <v>216443</v>
      </c>
      <c r="V54" s="19">
        <v>0.46727090310072267</v>
      </c>
    </row>
    <row r="55" spans="3:22">
      <c r="C55" t="s">
        <v>61</v>
      </c>
      <c r="D55" s="8">
        <v>614159.78032395581</v>
      </c>
      <c r="E55" s="8">
        <v>1040888.2020378973</v>
      </c>
      <c r="F55" s="19">
        <v>6.2028236072768014E-3</v>
      </c>
      <c r="G55" s="19">
        <v>0.69481661838691489</v>
      </c>
      <c r="H55" s="2">
        <v>70413</v>
      </c>
      <c r="I55" s="2">
        <v>91668</v>
      </c>
      <c r="J55" s="19">
        <v>0.301861872097482</v>
      </c>
      <c r="N55" s="56"/>
      <c r="O55" t="s">
        <v>2287</v>
      </c>
      <c r="P55" s="8">
        <v>107829.07743970015</v>
      </c>
      <c r="Q55" s="8">
        <v>87888.937481108165</v>
      </c>
      <c r="R55" s="19">
        <v>5.6442482937829597E-4</v>
      </c>
      <c r="S55" s="19">
        <v>-0.18492358862796401</v>
      </c>
      <c r="T55" s="2">
        <v>77454</v>
      </c>
      <c r="U55" s="2">
        <v>206594</v>
      </c>
      <c r="V55" s="19">
        <v>1.6673122111188576</v>
      </c>
    </row>
    <row r="56" spans="3:22">
      <c r="C56" t="s">
        <v>68</v>
      </c>
      <c r="D56" s="8">
        <v>406566.41044032568</v>
      </c>
      <c r="E56" s="8">
        <v>939380.94684658758</v>
      </c>
      <c r="F56" s="19">
        <v>5.7964259656807836E-3</v>
      </c>
      <c r="G56" s="19">
        <v>1.3105227650980931</v>
      </c>
      <c r="H56" s="2">
        <v>212811</v>
      </c>
      <c r="I56" s="2">
        <v>314733</v>
      </c>
      <c r="J56" s="19">
        <v>0.4789320100934632</v>
      </c>
      <c r="N56" s="56"/>
      <c r="O56" t="s">
        <v>62</v>
      </c>
      <c r="P56" s="8">
        <v>574125.74841970461</v>
      </c>
      <c r="Q56" s="8">
        <v>686320.00083664153</v>
      </c>
      <c r="R56" s="19">
        <v>4.2747654825136591E-3</v>
      </c>
      <c r="S56" s="19">
        <v>0.19541755917715653</v>
      </c>
      <c r="T56" s="2">
        <v>51226</v>
      </c>
      <c r="U56" s="2">
        <v>196417</v>
      </c>
      <c r="V56" s="19">
        <v>2.8343224143989381</v>
      </c>
    </row>
    <row r="57" spans="3:22">
      <c r="C57" t="s">
        <v>52</v>
      </c>
      <c r="D57" s="8">
        <v>746128.21361970634</v>
      </c>
      <c r="E57" s="8">
        <v>936662.07069266122</v>
      </c>
      <c r="F57" s="19">
        <v>5.6737272694241045E-3</v>
      </c>
      <c r="G57" s="19">
        <v>0.25536342627845993</v>
      </c>
      <c r="H57" s="2">
        <v>270311</v>
      </c>
      <c r="I57" s="2">
        <v>290756</v>
      </c>
      <c r="J57" s="19">
        <v>7.5635101790160225E-2</v>
      </c>
      <c r="N57" s="56"/>
      <c r="O57" t="s">
        <v>48</v>
      </c>
      <c r="P57" s="8">
        <v>1194607.3233096648</v>
      </c>
      <c r="Q57" s="8">
        <v>1239933.0589153077</v>
      </c>
      <c r="R57" s="19">
        <v>7.5929799045283417E-3</v>
      </c>
      <c r="S57" s="19">
        <v>3.7941953578576555E-2</v>
      </c>
      <c r="T57" s="2">
        <v>278260</v>
      </c>
      <c r="U57" s="2">
        <v>195621</v>
      </c>
      <c r="V57" s="19">
        <v>-0.29698483432760725</v>
      </c>
    </row>
    <row r="58" spans="3:22">
      <c r="C58" t="s">
        <v>56</v>
      </c>
      <c r="D58" s="8">
        <v>662784.99831734749</v>
      </c>
      <c r="E58" s="8">
        <v>779109.68424290651</v>
      </c>
      <c r="F58" s="19">
        <v>4.6022939572811757E-3</v>
      </c>
      <c r="G58" s="19">
        <v>0.17550893007669088</v>
      </c>
      <c r="H58" s="2">
        <v>377544</v>
      </c>
      <c r="I58" s="2">
        <v>281070</v>
      </c>
      <c r="J58" s="19">
        <v>-0.25553048121543448</v>
      </c>
      <c r="N58" s="56"/>
      <c r="O58" t="s">
        <v>59</v>
      </c>
      <c r="P58" s="8">
        <v>608893.50695604447</v>
      </c>
      <c r="Q58" s="8">
        <v>646933.96662195679</v>
      </c>
      <c r="R58" s="19">
        <v>3.9857477295419177E-3</v>
      </c>
      <c r="S58" s="19">
        <v>6.2474733646089659E-2</v>
      </c>
      <c r="T58" s="2">
        <v>273363</v>
      </c>
      <c r="U58" s="2">
        <v>191528</v>
      </c>
      <c r="V58" s="19">
        <v>-0.29936384953340428</v>
      </c>
    </row>
    <row r="59" spans="3:22">
      <c r="C59" t="s">
        <v>81</v>
      </c>
      <c r="D59" s="8">
        <v>388635.82704875863</v>
      </c>
      <c r="E59" s="8">
        <v>765576.41459074512</v>
      </c>
      <c r="F59" s="19">
        <v>4.5332446323092142E-3</v>
      </c>
      <c r="G59" s="19">
        <v>0.96990694451516735</v>
      </c>
      <c r="H59" s="2">
        <v>30451</v>
      </c>
      <c r="I59" s="2">
        <v>51075</v>
      </c>
      <c r="J59" s="19">
        <v>0.67728481823257036</v>
      </c>
      <c r="N59" s="56"/>
      <c r="O59" t="s">
        <v>50</v>
      </c>
      <c r="P59" s="8">
        <v>1066526.2863709647</v>
      </c>
      <c r="Q59" s="8">
        <v>1266797.9454320392</v>
      </c>
      <c r="R59" s="19">
        <v>7.8792755327739914E-3</v>
      </c>
      <c r="S59" s="19">
        <v>0.1877793933636015</v>
      </c>
      <c r="T59" s="2">
        <v>193304</v>
      </c>
      <c r="U59" s="2">
        <v>184534</v>
      </c>
      <c r="V59" s="19">
        <v>-4.5368952530728798E-2</v>
      </c>
    </row>
    <row r="60" spans="3:22">
      <c r="C60" t="s">
        <v>74</v>
      </c>
      <c r="D60" s="8">
        <v>353169.22994234302</v>
      </c>
      <c r="E60" s="8">
        <v>765222.46027218492</v>
      </c>
      <c r="F60" s="19">
        <v>4.7301449382124916E-3</v>
      </c>
      <c r="G60" s="19">
        <v>1.1667302680845442</v>
      </c>
      <c r="H60" s="2">
        <v>32678</v>
      </c>
      <c r="I60" s="2">
        <v>145093</v>
      </c>
      <c r="J60" s="19">
        <v>3.4400820123630576</v>
      </c>
      <c r="N60" s="56"/>
      <c r="O60" t="s">
        <v>47</v>
      </c>
      <c r="P60" s="8">
        <v>1235268.2926423815</v>
      </c>
      <c r="Q60" s="8">
        <v>1133220.8293160857</v>
      </c>
      <c r="R60" s="19">
        <v>6.7887999142803093E-3</v>
      </c>
      <c r="S60" s="19">
        <v>-8.2611578338179906E-2</v>
      </c>
      <c r="T60" s="2">
        <v>249410</v>
      </c>
      <c r="U60" s="2">
        <v>168158</v>
      </c>
      <c r="V60" s="19">
        <v>-0.32577683332665092</v>
      </c>
    </row>
    <row r="61" spans="3:22">
      <c r="C61" t="s">
        <v>95</v>
      </c>
      <c r="D61" s="8">
        <v>263163.08950645017</v>
      </c>
      <c r="E61" s="8">
        <v>752283.17668851116</v>
      </c>
      <c r="F61" s="19">
        <v>4.578368667669524E-3</v>
      </c>
      <c r="G61" s="19">
        <v>1.8586196419086827</v>
      </c>
      <c r="H61" s="2">
        <v>27616</v>
      </c>
      <c r="I61" s="2">
        <v>52076</v>
      </c>
      <c r="J61" s="19">
        <v>0.88571842410196988</v>
      </c>
      <c r="N61" s="56"/>
      <c r="O61" t="s">
        <v>103</v>
      </c>
      <c r="P61" s="8">
        <v>167210.78969736811</v>
      </c>
      <c r="Q61" s="8">
        <v>485626.38442041684</v>
      </c>
      <c r="R61" s="19">
        <v>2.9494903900801027E-3</v>
      </c>
      <c r="S61" s="19">
        <v>1.9042766037965826</v>
      </c>
      <c r="T61" s="2">
        <v>76304</v>
      </c>
      <c r="U61" s="2">
        <v>166499</v>
      </c>
      <c r="V61" s="19">
        <v>1.1820481232962885</v>
      </c>
    </row>
    <row r="62" spans="3:22">
      <c r="C62" t="s">
        <v>67</v>
      </c>
      <c r="D62" s="8">
        <v>450949.41816181404</v>
      </c>
      <c r="E62" s="8">
        <v>731445.0916360952</v>
      </c>
      <c r="F62" s="19">
        <v>4.5013408625034284E-3</v>
      </c>
      <c r="G62" s="19">
        <v>0.62201138792384691</v>
      </c>
      <c r="H62" s="2">
        <v>239341</v>
      </c>
      <c r="I62" s="2">
        <v>421731</v>
      </c>
      <c r="J62" s="19">
        <v>0.76205079781566887</v>
      </c>
      <c r="N62" s="56"/>
      <c r="O62" t="s">
        <v>73</v>
      </c>
      <c r="P62" s="8">
        <v>436894.07890736946</v>
      </c>
      <c r="Q62" s="8">
        <v>669703.10424267978</v>
      </c>
      <c r="R62" s="19">
        <v>4.2455210661167374E-3</v>
      </c>
      <c r="S62" s="19">
        <v>0.53287292406787368</v>
      </c>
      <c r="T62" s="2">
        <v>127125</v>
      </c>
      <c r="U62" s="2">
        <v>161711</v>
      </c>
      <c r="V62" s="19">
        <v>0.27206293018682398</v>
      </c>
    </row>
    <row r="63" spans="3:22">
      <c r="C63" t="s">
        <v>62</v>
      </c>
      <c r="D63" s="8">
        <v>574125.74841970461</v>
      </c>
      <c r="E63" s="8">
        <v>686320.00083664153</v>
      </c>
      <c r="F63" s="19">
        <v>4.2747654825136591E-3</v>
      </c>
      <c r="G63" s="19">
        <v>0.19541755917715653</v>
      </c>
      <c r="H63" s="2">
        <v>51226</v>
      </c>
      <c r="I63" s="2">
        <v>196417</v>
      </c>
      <c r="J63" s="19">
        <v>2.8343224143989381</v>
      </c>
      <c r="N63" s="56"/>
      <c r="O63" t="s">
        <v>74</v>
      </c>
      <c r="P63" s="8">
        <v>353169.22994234302</v>
      </c>
      <c r="Q63" s="8">
        <v>765222.46027218492</v>
      </c>
      <c r="R63" s="19">
        <v>4.7301449382124916E-3</v>
      </c>
      <c r="S63" s="19">
        <v>1.1667302680845442</v>
      </c>
      <c r="T63" s="2">
        <v>32678</v>
      </c>
      <c r="U63" s="2">
        <v>145093</v>
      </c>
      <c r="V63" s="19">
        <v>3.4400820123630576</v>
      </c>
    </row>
    <row r="64" spans="3:22">
      <c r="C64" t="s">
        <v>73</v>
      </c>
      <c r="D64" s="8">
        <v>436894.07890736946</v>
      </c>
      <c r="E64" s="8">
        <v>669703.10424267978</v>
      </c>
      <c r="F64" s="19">
        <v>4.2455210661167374E-3</v>
      </c>
      <c r="G64" s="19">
        <v>0.53287292406787368</v>
      </c>
      <c r="H64" s="2">
        <v>127125</v>
      </c>
      <c r="I64" s="2">
        <v>161711</v>
      </c>
      <c r="J64" s="19">
        <v>0.27206293018682398</v>
      </c>
      <c r="N64" s="56"/>
      <c r="O64" t="s">
        <v>102</v>
      </c>
      <c r="P64" s="8">
        <v>165925.26152887597</v>
      </c>
      <c r="Q64" s="8">
        <v>298255.48516176461</v>
      </c>
      <c r="R64" s="19">
        <v>1.7739461677325414E-3</v>
      </c>
      <c r="S64" s="19">
        <v>0.79752909480790068</v>
      </c>
      <c r="T64" s="2">
        <v>73611</v>
      </c>
      <c r="U64" s="2">
        <v>143782</v>
      </c>
      <c r="V64" s="19">
        <v>0.95326785398921354</v>
      </c>
    </row>
    <row r="65" spans="3:22">
      <c r="C65" t="s">
        <v>57</v>
      </c>
      <c r="D65" s="8">
        <v>544424.36935496551</v>
      </c>
      <c r="E65" s="8">
        <v>659474.00565349555</v>
      </c>
      <c r="F65" s="19">
        <v>4.0022035467822863E-3</v>
      </c>
      <c r="G65" s="19">
        <v>0.21132345055538376</v>
      </c>
      <c r="H65" s="2">
        <v>304254</v>
      </c>
      <c r="I65" s="2">
        <v>343341</v>
      </c>
      <c r="J65" s="19">
        <v>0.1284683192332722</v>
      </c>
      <c r="N65" s="56"/>
      <c r="O65" t="s">
        <v>100</v>
      </c>
      <c r="P65" s="8">
        <v>151330.59791381517</v>
      </c>
      <c r="Q65" s="8">
        <v>253630.32681836715</v>
      </c>
      <c r="R65" s="19">
        <v>1.5092827359690377E-3</v>
      </c>
      <c r="S65" s="19">
        <v>0.67600161708746476</v>
      </c>
      <c r="T65" s="2">
        <v>63443</v>
      </c>
      <c r="U65" s="2">
        <v>142328</v>
      </c>
      <c r="V65" s="19">
        <v>1.2433995870308781</v>
      </c>
    </row>
    <row r="66" spans="3:22">
      <c r="C66" t="s">
        <v>59</v>
      </c>
      <c r="D66" s="8">
        <v>608893.50695604447</v>
      </c>
      <c r="E66" s="8">
        <v>646933.96662195679</v>
      </c>
      <c r="F66" s="19">
        <v>3.9857477295419177E-3</v>
      </c>
      <c r="G66" s="19">
        <v>6.2474733646089659E-2</v>
      </c>
      <c r="H66" s="2">
        <v>273363</v>
      </c>
      <c r="I66" s="2">
        <v>191528</v>
      </c>
      <c r="J66" s="19">
        <v>-0.29936384953340428</v>
      </c>
      <c r="N66" s="56"/>
      <c r="O66" t="s">
        <v>279</v>
      </c>
      <c r="P66" s="8">
        <v>863971.19614480145</v>
      </c>
      <c r="Q66" s="8">
        <v>1196931.5113322835</v>
      </c>
      <c r="R66" s="19">
        <v>7.2238658335302824E-3</v>
      </c>
      <c r="S66" s="19">
        <v>0.38538358300972564</v>
      </c>
      <c r="T66" s="2">
        <v>120629</v>
      </c>
      <c r="U66" s="2">
        <v>128198</v>
      </c>
      <c r="V66" s="19">
        <v>6.2746105828615006E-2</v>
      </c>
    </row>
    <row r="67" spans="3:22">
      <c r="C67" t="s">
        <v>69</v>
      </c>
      <c r="D67" s="8">
        <v>419074.19532503647</v>
      </c>
      <c r="E67" s="8">
        <v>617511.00651259511</v>
      </c>
      <c r="F67" s="19">
        <v>3.8184944393720552E-3</v>
      </c>
      <c r="G67" s="19">
        <v>0.47351235986660989</v>
      </c>
      <c r="H67" s="2">
        <v>189922</v>
      </c>
      <c r="I67" s="2">
        <v>226298</v>
      </c>
      <c r="J67" s="19">
        <v>0.19153126020155642</v>
      </c>
      <c r="N67" s="56"/>
      <c r="O67" t="s">
        <v>71</v>
      </c>
      <c r="P67" s="8">
        <v>463834.94224030472</v>
      </c>
      <c r="Q67" s="8">
        <v>1110174.1604016204</v>
      </c>
      <c r="R67" s="19">
        <v>6.8063208124557193E-3</v>
      </c>
      <c r="S67" s="19">
        <v>1.3934681484743741</v>
      </c>
      <c r="T67" s="2">
        <v>83293</v>
      </c>
      <c r="U67" s="2">
        <v>127855</v>
      </c>
      <c r="V67" s="19">
        <v>0.53500294142364901</v>
      </c>
    </row>
    <row r="68" spans="3:22">
      <c r="C68" t="s">
        <v>63</v>
      </c>
      <c r="D68" s="8">
        <v>572371.94723273208</v>
      </c>
      <c r="E68" s="8">
        <v>608126.42913957767</v>
      </c>
      <c r="F68" s="19">
        <v>3.6607794138434754E-3</v>
      </c>
      <c r="G68" s="19">
        <v>6.2467215732198454E-2</v>
      </c>
      <c r="H68" s="2">
        <v>83211</v>
      </c>
      <c r="I68" s="2">
        <v>65234</v>
      </c>
      <c r="J68" s="19">
        <v>-0.21604114840585981</v>
      </c>
      <c r="N68" s="56"/>
      <c r="O68" t="s">
        <v>131</v>
      </c>
      <c r="P68" s="8">
        <v>83157.087326801426</v>
      </c>
      <c r="Q68" s="8">
        <v>324848.62532440887</v>
      </c>
      <c r="R68" s="19">
        <v>1.9921473162883077E-3</v>
      </c>
      <c r="S68" s="19">
        <v>2.9064454488139648</v>
      </c>
      <c r="T68" s="2">
        <v>39530</v>
      </c>
      <c r="U68" s="2">
        <v>122990</v>
      </c>
      <c r="V68" s="19">
        <v>2.1113078674424486</v>
      </c>
    </row>
    <row r="69" spans="3:22">
      <c r="C69" t="s">
        <v>75</v>
      </c>
      <c r="D69" s="8">
        <v>420726.87126182066</v>
      </c>
      <c r="E69" s="8">
        <v>583346.72956825315</v>
      </c>
      <c r="F69" s="19">
        <v>3.5598300969482779E-3</v>
      </c>
      <c r="G69" s="19">
        <v>0.38652120749671171</v>
      </c>
      <c r="H69" s="2">
        <v>22690</v>
      </c>
      <c r="I69" s="2">
        <v>32421</v>
      </c>
      <c r="J69" s="19">
        <v>0.42886734244160424</v>
      </c>
      <c r="N69" s="56"/>
      <c r="O69" t="s">
        <v>65</v>
      </c>
      <c r="P69" s="8">
        <v>431235.84094265511</v>
      </c>
      <c r="Q69" s="8">
        <v>513404.06588045612</v>
      </c>
      <c r="R69" s="19">
        <v>3.0733265585276225E-3</v>
      </c>
      <c r="S69" s="19">
        <v>0.19054127031321497</v>
      </c>
      <c r="T69" s="2">
        <v>69674</v>
      </c>
      <c r="U69" s="2">
        <v>118421</v>
      </c>
      <c r="V69" s="19">
        <v>0.69964405660648166</v>
      </c>
    </row>
    <row r="70" spans="3:22">
      <c r="C70" t="s">
        <v>64</v>
      </c>
      <c r="D70" s="8">
        <v>574882.19616598228</v>
      </c>
      <c r="E70" s="8">
        <v>575124.07652377931</v>
      </c>
      <c r="F70" s="19">
        <v>3.4811403865614306E-3</v>
      </c>
      <c r="G70" s="19">
        <v>4.2074769302333394E-4</v>
      </c>
      <c r="H70" s="2">
        <v>50507</v>
      </c>
      <c r="I70" s="2">
        <v>59329</v>
      </c>
      <c r="J70" s="19">
        <v>0.1746688577820896</v>
      </c>
      <c r="N70" s="56"/>
      <c r="O70" t="s">
        <v>54</v>
      </c>
      <c r="P70" s="8">
        <v>801113.18428036687</v>
      </c>
      <c r="Q70" s="8">
        <v>1074202.8357946731</v>
      </c>
      <c r="R70" s="19">
        <v>6.6304641028675391E-3</v>
      </c>
      <c r="S70" s="19">
        <v>0.34088772582069077</v>
      </c>
      <c r="T70" s="2">
        <v>107889</v>
      </c>
      <c r="U70" s="2">
        <v>116162</v>
      </c>
      <c r="V70" s="19">
        <v>7.6680662532788324E-2</v>
      </c>
    </row>
    <row r="71" spans="3:22">
      <c r="C71" t="s">
        <v>82</v>
      </c>
      <c r="D71" s="8">
        <v>336404.81822531711</v>
      </c>
      <c r="E71" s="8">
        <v>566403.8777996595</v>
      </c>
      <c r="F71" s="19">
        <v>3.5081723174807339E-3</v>
      </c>
      <c r="G71" s="19">
        <v>0.68369728111412986</v>
      </c>
      <c r="H71" s="2">
        <v>34489</v>
      </c>
      <c r="I71" s="2">
        <v>43806</v>
      </c>
      <c r="J71" s="19">
        <v>0.27014410391719101</v>
      </c>
      <c r="N71" s="56"/>
      <c r="O71" t="s">
        <v>66</v>
      </c>
      <c r="P71" s="8">
        <v>462965.7580554717</v>
      </c>
      <c r="Q71" s="8">
        <v>453570.69540019735</v>
      </c>
      <c r="R71" s="19">
        <v>2.7572907182607568E-3</v>
      </c>
      <c r="S71" s="19">
        <v>-2.0293212817153208E-2</v>
      </c>
      <c r="T71" s="2">
        <v>126251</v>
      </c>
      <c r="U71" s="2">
        <v>113067</v>
      </c>
      <c r="V71" s="19">
        <v>-0.10442689562854948</v>
      </c>
    </row>
    <row r="72" spans="3:22">
      <c r="C72" t="s">
        <v>96</v>
      </c>
      <c r="D72" s="8">
        <v>208096.16626853531</v>
      </c>
      <c r="E72" s="8">
        <v>539353.84002948145</v>
      </c>
      <c r="F72" s="19">
        <v>3.2906055785506313E-3</v>
      </c>
      <c r="G72" s="19">
        <v>1.5918489979939299</v>
      </c>
      <c r="H72" s="2">
        <v>33428</v>
      </c>
      <c r="I72" s="2">
        <v>60293</v>
      </c>
      <c r="J72" s="19">
        <v>0.80366758406126604</v>
      </c>
      <c r="N72" s="56"/>
      <c r="O72" t="s">
        <v>316</v>
      </c>
      <c r="P72" s="8">
        <v>329324.76721553435</v>
      </c>
      <c r="Q72" s="8">
        <v>448637.44118551724</v>
      </c>
      <c r="R72" s="19">
        <v>2.7166499915737387E-3</v>
      </c>
      <c r="S72" s="19">
        <v>0.36229487074045635</v>
      </c>
      <c r="T72" s="2">
        <v>58451</v>
      </c>
      <c r="U72" s="2">
        <v>104320</v>
      </c>
      <c r="V72" s="19">
        <v>0.78474277600041065</v>
      </c>
    </row>
    <row r="73" spans="3:22">
      <c r="C73" t="s">
        <v>65</v>
      </c>
      <c r="D73" s="8">
        <v>431235.84094265511</v>
      </c>
      <c r="E73" s="8">
        <v>513404.06588045612</v>
      </c>
      <c r="F73" s="19">
        <v>3.0733265585276225E-3</v>
      </c>
      <c r="G73" s="19">
        <v>0.19054127031321497</v>
      </c>
      <c r="H73" s="2">
        <v>69674</v>
      </c>
      <c r="I73" s="2">
        <v>118421</v>
      </c>
      <c r="J73" s="19">
        <v>0.69964405660648166</v>
      </c>
      <c r="N73" s="56"/>
      <c r="O73" t="s">
        <v>282</v>
      </c>
      <c r="P73" s="8"/>
      <c r="Q73" s="8">
        <v>131194.05386562794</v>
      </c>
      <c r="R73" s="19">
        <v>7.9461833926972785E-4</v>
      </c>
      <c r="S73" s="19"/>
      <c r="T73" s="2"/>
      <c r="U73" s="2">
        <v>101151</v>
      </c>
      <c r="V73" s="19"/>
    </row>
    <row r="74" spans="3:22">
      <c r="C74" t="s">
        <v>77</v>
      </c>
      <c r="D74" s="8">
        <v>357585.58493244683</v>
      </c>
      <c r="E74" s="8">
        <v>494203.80960395356</v>
      </c>
      <c r="F74" s="19">
        <v>2.9873405190781925E-3</v>
      </c>
      <c r="G74" s="19">
        <v>0.38205741626110551</v>
      </c>
      <c r="H74" s="2">
        <v>66703</v>
      </c>
      <c r="I74" s="2">
        <v>74739</v>
      </c>
      <c r="J74" s="19">
        <v>0.12047434148389127</v>
      </c>
      <c r="N74" s="56"/>
      <c r="O74" t="s">
        <v>154</v>
      </c>
      <c r="P74" s="8">
        <v>48961.016172730793</v>
      </c>
      <c r="Q74" s="8">
        <v>162902.61815593537</v>
      </c>
      <c r="R74" s="19">
        <v>1.0023064981747429E-3</v>
      </c>
      <c r="S74" s="19">
        <v>2.327190301386457</v>
      </c>
      <c r="T74" s="2">
        <v>21383</v>
      </c>
      <c r="U74" s="2">
        <v>96992</v>
      </c>
      <c r="V74" s="19">
        <v>3.5359397652340645</v>
      </c>
    </row>
    <row r="75" spans="3:22">
      <c r="C75" t="s">
        <v>89</v>
      </c>
      <c r="D75" s="8">
        <v>337536.01389864233</v>
      </c>
      <c r="E75" s="8">
        <v>488612.98769509059</v>
      </c>
      <c r="F75" s="19">
        <v>2.9069592753291095E-3</v>
      </c>
      <c r="G75" s="19">
        <v>0.44758771679342851</v>
      </c>
      <c r="H75" s="2">
        <v>28750</v>
      </c>
      <c r="I75" s="2">
        <v>39319</v>
      </c>
      <c r="J75" s="19">
        <v>0.36761739130434784</v>
      </c>
      <c r="N75" s="56"/>
      <c r="O75" t="s">
        <v>61</v>
      </c>
      <c r="P75" s="8">
        <v>614159.78032395581</v>
      </c>
      <c r="Q75" s="8">
        <v>1040888.2020378973</v>
      </c>
      <c r="R75" s="19">
        <v>6.2028236072768014E-3</v>
      </c>
      <c r="S75" s="19">
        <v>0.69481661838691489</v>
      </c>
      <c r="T75" s="2">
        <v>70413</v>
      </c>
      <c r="U75" s="2">
        <v>91668</v>
      </c>
      <c r="V75" s="19">
        <v>0.301861872097482</v>
      </c>
    </row>
    <row r="76" spans="3:22">
      <c r="C76" t="s">
        <v>103</v>
      </c>
      <c r="D76" s="8">
        <v>167210.78969736811</v>
      </c>
      <c r="E76" s="8">
        <v>485626.38442041684</v>
      </c>
      <c r="F76" s="19">
        <v>2.9494903900801027E-3</v>
      </c>
      <c r="G76" s="19">
        <v>1.9042766037965826</v>
      </c>
      <c r="H76" s="2">
        <v>76304</v>
      </c>
      <c r="I76" s="2">
        <v>166499</v>
      </c>
      <c r="J76" s="19">
        <v>1.1820481232962885</v>
      </c>
      <c r="N76" s="56"/>
      <c r="O76" t="s">
        <v>118</v>
      </c>
      <c r="P76" s="8">
        <v>150781.94552951181</v>
      </c>
      <c r="Q76" s="8">
        <v>479017.93538922461</v>
      </c>
      <c r="R76" s="19">
        <v>2.9384077785548457E-3</v>
      </c>
      <c r="S76" s="19">
        <v>2.1768918600103135</v>
      </c>
      <c r="T76" s="2">
        <v>42285</v>
      </c>
      <c r="U76" s="2">
        <v>91653</v>
      </c>
      <c r="V76" s="19">
        <v>1.167506207875133</v>
      </c>
    </row>
    <row r="77" spans="3:22">
      <c r="C77" t="s">
        <v>118</v>
      </c>
      <c r="D77" s="8">
        <v>150781.94552951181</v>
      </c>
      <c r="E77" s="8">
        <v>479017.93538922461</v>
      </c>
      <c r="F77" s="19">
        <v>2.9384077785548457E-3</v>
      </c>
      <c r="G77" s="19">
        <v>2.1768918600103135</v>
      </c>
      <c r="H77" s="2">
        <v>42285</v>
      </c>
      <c r="I77" s="2">
        <v>91653</v>
      </c>
      <c r="J77" s="19">
        <v>1.167506207875133</v>
      </c>
      <c r="N77" s="56"/>
      <c r="O77" t="s">
        <v>112</v>
      </c>
      <c r="P77" s="8">
        <v>223693.97239570715</v>
      </c>
      <c r="Q77" s="8">
        <v>1206275.2146918445</v>
      </c>
      <c r="R77" s="19">
        <v>7.6164398194143723E-3</v>
      </c>
      <c r="S77" s="19">
        <v>4.3925244465594453</v>
      </c>
      <c r="T77" s="2">
        <v>20823</v>
      </c>
      <c r="U77" s="2">
        <v>90903</v>
      </c>
      <c r="V77" s="19">
        <v>3.3655092926091341</v>
      </c>
    </row>
    <row r="78" spans="3:22">
      <c r="C78" t="s">
        <v>76</v>
      </c>
      <c r="D78" s="8">
        <v>412577.14208562981</v>
      </c>
      <c r="E78" s="8">
        <v>461464.37030771427</v>
      </c>
      <c r="F78" s="19">
        <v>2.9856877395513606E-3</v>
      </c>
      <c r="G78" s="19">
        <v>0.11849233327603494</v>
      </c>
      <c r="H78" s="2">
        <v>28064</v>
      </c>
      <c r="I78" s="2">
        <v>32685</v>
      </c>
      <c r="J78" s="19">
        <v>0.16465935005701254</v>
      </c>
      <c r="N78" s="56"/>
      <c r="O78" t="s">
        <v>60</v>
      </c>
      <c r="P78" s="8">
        <v>787629.93675401434</v>
      </c>
      <c r="Q78" s="8">
        <v>1314959.4375956773</v>
      </c>
      <c r="R78" s="19">
        <v>8.149262869629503E-3</v>
      </c>
      <c r="S78" s="19">
        <v>0.66951429374929139</v>
      </c>
      <c r="T78" s="2">
        <v>64483</v>
      </c>
      <c r="U78" s="2">
        <v>89709</v>
      </c>
      <c r="V78" s="19">
        <v>0.39120388319402011</v>
      </c>
    </row>
    <row r="79" spans="3:22">
      <c r="C79" t="s">
        <v>66</v>
      </c>
      <c r="D79" s="8">
        <v>462965.7580554717</v>
      </c>
      <c r="E79" s="8">
        <v>453570.69540019735</v>
      </c>
      <c r="F79" s="19">
        <v>2.7572907182607568E-3</v>
      </c>
      <c r="G79" s="19">
        <v>-2.0293212817153208E-2</v>
      </c>
      <c r="H79" s="2">
        <v>126251</v>
      </c>
      <c r="I79" s="2">
        <v>113067</v>
      </c>
      <c r="J79" s="19">
        <v>-0.10442689562854948</v>
      </c>
      <c r="N79" s="56"/>
      <c r="O79" t="s">
        <v>86</v>
      </c>
      <c r="P79" s="8">
        <v>250565.03495700998</v>
      </c>
      <c r="Q79" s="8">
        <v>317427.30445375876</v>
      </c>
      <c r="R79" s="19">
        <v>1.9349622381200338E-3</v>
      </c>
      <c r="S79" s="19">
        <v>0.26684596878499223</v>
      </c>
      <c r="T79" s="2">
        <v>91736</v>
      </c>
      <c r="U79" s="2">
        <v>89510</v>
      </c>
      <c r="V79" s="19">
        <v>-2.4265282985959709E-2</v>
      </c>
    </row>
    <row r="80" spans="3:22">
      <c r="C80" t="s">
        <v>316</v>
      </c>
      <c r="D80" s="8">
        <v>329324.76721553435</v>
      </c>
      <c r="E80" s="8">
        <v>448637.44118551724</v>
      </c>
      <c r="F80" s="19">
        <v>2.7166499915737387E-3</v>
      </c>
      <c r="G80" s="19">
        <v>0.36229487074045635</v>
      </c>
      <c r="H80" s="2">
        <v>58451</v>
      </c>
      <c r="I80" s="2">
        <v>104320</v>
      </c>
      <c r="J80" s="19">
        <v>0.78474277600041065</v>
      </c>
      <c r="N80" s="56"/>
      <c r="O80" t="s">
        <v>123</v>
      </c>
      <c r="P80" s="8">
        <v>97091.243334513609</v>
      </c>
      <c r="Q80" s="8">
        <v>164619.83812119617</v>
      </c>
      <c r="R80" s="19">
        <v>9.9203799506517487E-4</v>
      </c>
      <c r="S80" s="19">
        <v>0.69551684031919037</v>
      </c>
      <c r="T80" s="2">
        <v>68497</v>
      </c>
      <c r="U80" s="2">
        <v>89086</v>
      </c>
      <c r="V80" s="19">
        <v>0.30058250726309182</v>
      </c>
    </row>
    <row r="81" spans="3:22">
      <c r="C81" t="s">
        <v>337</v>
      </c>
      <c r="D81" s="8"/>
      <c r="E81" s="8">
        <v>426933.92679540598</v>
      </c>
      <c r="F81" s="19">
        <v>2.6412295896419808E-3</v>
      </c>
      <c r="G81" s="19"/>
      <c r="H81" s="2"/>
      <c r="I81" s="2">
        <v>83395</v>
      </c>
      <c r="J81" s="19"/>
      <c r="N81" s="56"/>
      <c r="O81" t="s">
        <v>93</v>
      </c>
      <c r="P81" s="8">
        <v>235123.57893304722</v>
      </c>
      <c r="Q81" s="8">
        <v>239873.79140905102</v>
      </c>
      <c r="R81" s="19">
        <v>1.457521062625208E-3</v>
      </c>
      <c r="S81" s="19">
        <v>2.0203045979307964E-2</v>
      </c>
      <c r="T81" s="2">
        <v>116197</v>
      </c>
      <c r="U81" s="2">
        <v>87335</v>
      </c>
      <c r="V81" s="19">
        <v>-0.24838851261220168</v>
      </c>
    </row>
    <row r="82" spans="3:22">
      <c r="C82" t="s">
        <v>72</v>
      </c>
      <c r="D82" s="8">
        <v>338826.34101938253</v>
      </c>
      <c r="E82" s="8">
        <v>423558.87035606737</v>
      </c>
      <c r="F82" s="19">
        <v>2.5194021148594284E-3</v>
      </c>
      <c r="G82" s="19">
        <v>0.25007657043947989</v>
      </c>
      <c r="H82" s="2">
        <v>98366</v>
      </c>
      <c r="I82" s="2">
        <v>73846</v>
      </c>
      <c r="J82" s="19">
        <v>-0.24927312282699307</v>
      </c>
      <c r="N82" s="56"/>
      <c r="O82" t="s">
        <v>107</v>
      </c>
      <c r="P82" s="8">
        <v>147651.15605440253</v>
      </c>
      <c r="Q82" s="8">
        <v>208672.80043964749</v>
      </c>
      <c r="R82" s="19">
        <v>1.2770677418665515E-3</v>
      </c>
      <c r="S82" s="19">
        <v>0.41328253713612201</v>
      </c>
      <c r="T82" s="2">
        <v>64406</v>
      </c>
      <c r="U82" s="2">
        <v>83541</v>
      </c>
      <c r="V82" s="19">
        <v>0.29709964910101544</v>
      </c>
    </row>
    <row r="83" spans="3:22">
      <c r="C83" t="s">
        <v>101</v>
      </c>
      <c r="D83" s="8">
        <v>169486.85050476654</v>
      </c>
      <c r="E83" s="8">
        <v>378564.3528470567</v>
      </c>
      <c r="F83" s="19">
        <v>2.3181893252752443E-3</v>
      </c>
      <c r="G83" s="19">
        <v>1.2335912887614264</v>
      </c>
      <c r="H83" s="2">
        <v>14511</v>
      </c>
      <c r="I83" s="2">
        <v>28217</v>
      </c>
      <c r="J83" s="19">
        <v>0.94452484322238306</v>
      </c>
      <c r="N83" s="56"/>
      <c r="O83" t="s">
        <v>337</v>
      </c>
      <c r="P83" s="8"/>
      <c r="Q83" s="8">
        <v>426933.92679540598</v>
      </c>
      <c r="R83" s="19">
        <v>2.6412295896419808E-3</v>
      </c>
      <c r="S83" s="19"/>
      <c r="T83" s="2"/>
      <c r="U83" s="2">
        <v>83395</v>
      </c>
      <c r="V83" s="19"/>
    </row>
    <row r="84" spans="3:22">
      <c r="C84" t="s">
        <v>83</v>
      </c>
      <c r="D84" s="8">
        <v>297653.42584362993</v>
      </c>
      <c r="E84" s="8">
        <v>370383.37088916748</v>
      </c>
      <c r="F84" s="19">
        <v>2.2353394670972123E-3</v>
      </c>
      <c r="G84" s="19">
        <v>0.24434439092848104</v>
      </c>
      <c r="H84" s="2">
        <v>41938</v>
      </c>
      <c r="I84" s="2">
        <v>34792</v>
      </c>
      <c r="J84" s="19">
        <v>-0.17039439172111212</v>
      </c>
      <c r="N84" s="56"/>
      <c r="O84" t="s">
        <v>70</v>
      </c>
      <c r="P84" s="8">
        <v>344475.14659140666</v>
      </c>
      <c r="Q84" s="8">
        <v>344803.85956114612</v>
      </c>
      <c r="R84" s="19">
        <v>2.1109475792313284E-3</v>
      </c>
      <c r="S84" s="19">
        <v>9.5424291996703333E-4</v>
      </c>
      <c r="T84" s="2">
        <v>81464</v>
      </c>
      <c r="U84" s="2">
        <v>77541</v>
      </c>
      <c r="V84" s="19">
        <v>-4.8156240793479327E-2</v>
      </c>
    </row>
    <row r="85" spans="3:22">
      <c r="C85" t="s">
        <v>3574</v>
      </c>
      <c r="D85" s="8">
        <v>248919.96616448869</v>
      </c>
      <c r="E85" s="8">
        <v>355594.97226932173</v>
      </c>
      <c r="F85" s="19">
        <v>2.2078822097312805E-3</v>
      </c>
      <c r="G85" s="19">
        <v>0.42855142457452039</v>
      </c>
      <c r="H85" s="2">
        <v>42879</v>
      </c>
      <c r="I85" s="2">
        <v>53127</v>
      </c>
      <c r="J85" s="19">
        <v>0.23899811096340867</v>
      </c>
      <c r="N85" s="56"/>
      <c r="O85" t="s">
        <v>55</v>
      </c>
      <c r="P85" s="8">
        <v>626483.30652827781</v>
      </c>
      <c r="Q85" s="8">
        <v>1359633.5422676199</v>
      </c>
      <c r="R85" s="19">
        <v>8.0252829999709688E-3</v>
      </c>
      <c r="S85" s="19">
        <v>1.1702630031790793</v>
      </c>
      <c r="T85" s="2">
        <v>66348</v>
      </c>
      <c r="U85" s="2">
        <v>75711</v>
      </c>
      <c r="V85" s="19">
        <v>0.14111955145595947</v>
      </c>
    </row>
    <row r="86" spans="3:22">
      <c r="C86" t="s">
        <v>99</v>
      </c>
      <c r="D86" s="8">
        <v>176115.23948998068</v>
      </c>
      <c r="E86" s="8">
        <v>346151.8186171765</v>
      </c>
      <c r="F86" s="19">
        <v>2.1415740866268826E-3</v>
      </c>
      <c r="G86" s="19">
        <v>0.96548475656968524</v>
      </c>
      <c r="H86" s="2">
        <v>199255</v>
      </c>
      <c r="I86" s="2">
        <v>377255</v>
      </c>
      <c r="J86" s="19">
        <v>0.89332764547941079</v>
      </c>
      <c r="N86" s="56"/>
      <c r="O86" t="s">
        <v>77</v>
      </c>
      <c r="P86" s="8">
        <v>357585.58493244683</v>
      </c>
      <c r="Q86" s="8">
        <v>494203.80960395356</v>
      </c>
      <c r="R86" s="19">
        <v>2.9873405190781925E-3</v>
      </c>
      <c r="S86" s="19">
        <v>0.38205741626110551</v>
      </c>
      <c r="T86" s="2">
        <v>66703</v>
      </c>
      <c r="U86" s="2">
        <v>74739</v>
      </c>
      <c r="V86" s="19">
        <v>0.12047434148389127</v>
      </c>
    </row>
    <row r="87" spans="3:22">
      <c r="C87" t="s">
        <v>70</v>
      </c>
      <c r="D87" s="8">
        <v>344475.14659140666</v>
      </c>
      <c r="E87" s="8">
        <v>344803.85956114612</v>
      </c>
      <c r="F87" s="19">
        <v>2.1109475792313284E-3</v>
      </c>
      <c r="G87" s="19">
        <v>9.5424291996703333E-4</v>
      </c>
      <c r="H87" s="2">
        <v>81464</v>
      </c>
      <c r="I87" s="2">
        <v>77541</v>
      </c>
      <c r="J87" s="19">
        <v>-4.8156240793479327E-2</v>
      </c>
      <c r="N87" s="56"/>
      <c r="O87" t="s">
        <v>72</v>
      </c>
      <c r="P87" s="8">
        <v>338826.34101938253</v>
      </c>
      <c r="Q87" s="8">
        <v>423558.87035606737</v>
      </c>
      <c r="R87" s="19">
        <v>2.5194021148594284E-3</v>
      </c>
      <c r="S87" s="19">
        <v>0.25007657043947989</v>
      </c>
      <c r="T87" s="2">
        <v>98366</v>
      </c>
      <c r="U87" s="2">
        <v>73846</v>
      </c>
      <c r="V87" s="19">
        <v>-0.24927312282699307</v>
      </c>
    </row>
    <row r="88" spans="3:22">
      <c r="C88" t="s">
        <v>131</v>
      </c>
      <c r="D88" s="8">
        <v>83157.087326801426</v>
      </c>
      <c r="E88" s="8">
        <v>324848.62532440887</v>
      </c>
      <c r="F88" s="19">
        <v>1.9921473162883077E-3</v>
      </c>
      <c r="G88" s="19">
        <v>2.9064454488139648</v>
      </c>
      <c r="H88" s="2">
        <v>39530</v>
      </c>
      <c r="I88" s="2">
        <v>122990</v>
      </c>
      <c r="J88" s="19">
        <v>2.1113078674424486</v>
      </c>
      <c r="N88" s="56"/>
      <c r="O88" t="s">
        <v>63</v>
      </c>
      <c r="P88" s="8">
        <v>572371.94723273208</v>
      </c>
      <c r="Q88" s="8">
        <v>608126.42913957767</v>
      </c>
      <c r="R88" s="19">
        <v>3.6607794138434754E-3</v>
      </c>
      <c r="S88" s="19">
        <v>6.2467215732198454E-2</v>
      </c>
      <c r="T88" s="2">
        <v>83211</v>
      </c>
      <c r="U88" s="2">
        <v>65234</v>
      </c>
      <c r="V88" s="19">
        <v>-0.21604114840585981</v>
      </c>
    </row>
    <row r="89" spans="3:22">
      <c r="C89" t="s">
        <v>86</v>
      </c>
      <c r="D89" s="8">
        <v>250565.03495700998</v>
      </c>
      <c r="E89" s="8">
        <v>317427.30445375876</v>
      </c>
      <c r="F89" s="19">
        <v>1.9349622381200338E-3</v>
      </c>
      <c r="G89" s="19">
        <v>0.26684596878499223</v>
      </c>
      <c r="H89" s="2">
        <v>91736</v>
      </c>
      <c r="I89" s="2">
        <v>89510</v>
      </c>
      <c r="J89" s="19">
        <v>-2.4265282985959709E-2</v>
      </c>
      <c r="N89" s="56"/>
      <c r="O89" t="s">
        <v>132</v>
      </c>
      <c r="P89" s="8">
        <v>78278.050822975667</v>
      </c>
      <c r="Q89" s="8">
        <v>88354.346101055518</v>
      </c>
      <c r="R89" s="19">
        <v>5.4303286092994305E-4</v>
      </c>
      <c r="S89" s="19">
        <v>0.12872440195102972</v>
      </c>
      <c r="T89" s="2">
        <v>70918</v>
      </c>
      <c r="U89" s="2">
        <v>63549</v>
      </c>
      <c r="V89" s="19">
        <v>-0.10390873967116952</v>
      </c>
    </row>
    <row r="90" spans="3:22">
      <c r="C90" t="s">
        <v>98</v>
      </c>
      <c r="D90" s="8">
        <v>196173.10257711474</v>
      </c>
      <c r="E90" s="8">
        <v>313109.22429840389</v>
      </c>
      <c r="F90" s="19">
        <v>1.8799123222578533E-3</v>
      </c>
      <c r="G90" s="19">
        <v>0.59608641646130922</v>
      </c>
      <c r="H90" s="2">
        <v>29795</v>
      </c>
      <c r="I90" s="2">
        <v>34668</v>
      </c>
      <c r="J90" s="19">
        <v>0.16355093136432286</v>
      </c>
      <c r="N90" s="56"/>
      <c r="O90" t="s">
        <v>134</v>
      </c>
      <c r="P90" s="8">
        <v>76234.016239390767</v>
      </c>
      <c r="Q90" s="8">
        <v>133912.3075276482</v>
      </c>
      <c r="R90" s="19">
        <v>7.8208316321545064E-4</v>
      </c>
      <c r="S90" s="19">
        <v>0.75659520688422766</v>
      </c>
      <c r="T90" s="2">
        <v>52371</v>
      </c>
      <c r="U90" s="2">
        <v>60993</v>
      </c>
      <c r="V90" s="19">
        <v>0.16463309847052759</v>
      </c>
    </row>
    <row r="91" spans="3:22">
      <c r="C91" t="s">
        <v>166</v>
      </c>
      <c r="D91" s="8">
        <v>29885.644926444398</v>
      </c>
      <c r="E91" s="8">
        <v>309809.53741112328</v>
      </c>
      <c r="F91" s="19">
        <v>1.9060234873274496E-3</v>
      </c>
      <c r="G91" s="19">
        <v>9.3664999759462262</v>
      </c>
      <c r="H91" s="2">
        <v>26284</v>
      </c>
      <c r="I91" s="2">
        <v>249118</v>
      </c>
      <c r="J91" s="19">
        <v>8.4779333434789219</v>
      </c>
      <c r="N91" s="56"/>
      <c r="O91" t="s">
        <v>96</v>
      </c>
      <c r="P91" s="8">
        <v>208096.16626853531</v>
      </c>
      <c r="Q91" s="8">
        <v>539353.84002948145</v>
      </c>
      <c r="R91" s="19">
        <v>3.2906055785506313E-3</v>
      </c>
      <c r="S91" s="19">
        <v>1.5918489979939299</v>
      </c>
      <c r="T91" s="2">
        <v>33428</v>
      </c>
      <c r="U91" s="2">
        <v>60293</v>
      </c>
      <c r="V91" s="19">
        <v>0.80366758406126604</v>
      </c>
    </row>
    <row r="92" spans="3:22">
      <c r="C92" t="s">
        <v>108</v>
      </c>
      <c r="D92" s="8">
        <v>168746.61243470263</v>
      </c>
      <c r="E92" s="8">
        <v>307597.6483822685</v>
      </c>
      <c r="F92" s="19">
        <v>1.9179361934150531E-3</v>
      </c>
      <c r="G92" s="19">
        <v>0.82283747178210753</v>
      </c>
      <c r="H92" s="2">
        <v>17677</v>
      </c>
      <c r="I92" s="2">
        <v>27260</v>
      </c>
      <c r="J92" s="19">
        <v>0.54211687503535666</v>
      </c>
      <c r="N92" s="56"/>
      <c r="O92" t="s">
        <v>204</v>
      </c>
      <c r="P92" s="8">
        <v>8235.4469178747677</v>
      </c>
      <c r="Q92" s="8">
        <v>87842.539699456873</v>
      </c>
      <c r="R92" s="19">
        <v>5.4046167992433418E-4</v>
      </c>
      <c r="S92" s="19">
        <v>9.6663961987050779</v>
      </c>
      <c r="T92" s="2">
        <v>7449</v>
      </c>
      <c r="U92" s="2">
        <v>59443</v>
      </c>
      <c r="V92" s="19">
        <v>6.979997315075849</v>
      </c>
    </row>
    <row r="93" spans="3:22">
      <c r="C93" t="s">
        <v>102</v>
      </c>
      <c r="D93" s="8">
        <v>165925.26152887597</v>
      </c>
      <c r="E93" s="8">
        <v>298255.48516176461</v>
      </c>
      <c r="F93" s="19">
        <v>1.7739461677325414E-3</v>
      </c>
      <c r="G93" s="19">
        <v>0.79752909480790068</v>
      </c>
      <c r="H93" s="2">
        <v>73611</v>
      </c>
      <c r="I93" s="2">
        <v>143782</v>
      </c>
      <c r="J93" s="19">
        <v>0.95326785398921354</v>
      </c>
      <c r="N93" s="56"/>
      <c r="O93" t="s">
        <v>64</v>
      </c>
      <c r="P93" s="8">
        <v>574882.19616598228</v>
      </c>
      <c r="Q93" s="8">
        <v>575124.07652377931</v>
      </c>
      <c r="R93" s="19">
        <v>3.4811403865614306E-3</v>
      </c>
      <c r="S93" s="19">
        <v>4.2074769302333394E-4</v>
      </c>
      <c r="T93" s="2">
        <v>50507</v>
      </c>
      <c r="U93" s="2">
        <v>59329</v>
      </c>
      <c r="V93" s="19">
        <v>0.1746688577820896</v>
      </c>
    </row>
    <row r="94" spans="3:22">
      <c r="C94" t="s">
        <v>122</v>
      </c>
      <c r="D94" s="8">
        <v>96292.866906729847</v>
      </c>
      <c r="E94" s="8">
        <v>295466.59960991074</v>
      </c>
      <c r="F94" s="19">
        <v>1.8714378393340672E-3</v>
      </c>
      <c r="G94" s="19">
        <v>2.0684162711252787</v>
      </c>
      <c r="H94" s="2">
        <v>13599</v>
      </c>
      <c r="I94" s="2">
        <v>36600</v>
      </c>
      <c r="J94" s="19">
        <v>1.6913743657621885</v>
      </c>
      <c r="N94" s="56"/>
      <c r="O94" t="s">
        <v>128</v>
      </c>
      <c r="P94" s="8">
        <v>93721.816597283323</v>
      </c>
      <c r="Q94" s="8">
        <v>228951.97200255297</v>
      </c>
      <c r="R94" s="19">
        <v>1.3827590917324295E-3</v>
      </c>
      <c r="S94" s="19">
        <v>1.442888756481802</v>
      </c>
      <c r="T94" s="2">
        <v>33156</v>
      </c>
      <c r="U94" s="2">
        <v>58408</v>
      </c>
      <c r="V94" s="19">
        <v>0.76161177464109064</v>
      </c>
    </row>
    <row r="95" spans="3:22">
      <c r="C95" t="s">
        <v>78</v>
      </c>
      <c r="D95" s="8">
        <v>289037.74609231018</v>
      </c>
      <c r="E95" s="8">
        <v>294855.85889933846</v>
      </c>
      <c r="F95" s="19">
        <v>1.808925184201098E-3</v>
      </c>
      <c r="G95" s="19">
        <v>2.0129249157548275E-2</v>
      </c>
      <c r="H95" s="2">
        <v>42969</v>
      </c>
      <c r="I95" s="2">
        <v>32862</v>
      </c>
      <c r="J95" s="19">
        <v>-0.23521608601549954</v>
      </c>
      <c r="N95" s="56"/>
      <c r="O95" t="s">
        <v>84</v>
      </c>
      <c r="P95" s="8">
        <v>252939.55149815799</v>
      </c>
      <c r="Q95" s="8">
        <v>201931.08395143837</v>
      </c>
      <c r="R95" s="19">
        <v>1.1979106167312036E-3</v>
      </c>
      <c r="S95" s="19">
        <v>-0.20166267886772576</v>
      </c>
      <c r="T95" s="2">
        <v>114364</v>
      </c>
      <c r="U95" s="2">
        <v>58341</v>
      </c>
      <c r="V95" s="19">
        <v>-0.48986569200097935</v>
      </c>
    </row>
    <row r="96" spans="3:22">
      <c r="C96" t="s">
        <v>80</v>
      </c>
      <c r="D96" s="8">
        <v>307737.61517766648</v>
      </c>
      <c r="E96" s="8">
        <v>271318.92954549374</v>
      </c>
      <c r="F96" s="19">
        <v>1.6577852667043081E-3</v>
      </c>
      <c r="G96" s="19">
        <v>-0.11834330233288869</v>
      </c>
      <c r="H96" s="2">
        <v>11908</v>
      </c>
      <c r="I96" s="2">
        <v>11695</v>
      </c>
      <c r="J96" s="19">
        <v>-1.7887134699361772E-2</v>
      </c>
      <c r="N96" s="56"/>
      <c r="O96" t="s">
        <v>265</v>
      </c>
      <c r="P96" s="8">
        <v>11405.483511068172</v>
      </c>
      <c r="Q96" s="8">
        <v>165787.75673467133</v>
      </c>
      <c r="R96" s="19">
        <v>1.064608219519445E-3</v>
      </c>
      <c r="S96" s="19">
        <v>13.535793820032852</v>
      </c>
      <c r="T96" s="2">
        <v>6164</v>
      </c>
      <c r="U96" s="2">
        <v>57744</v>
      </c>
      <c r="V96" s="19">
        <v>8.3679428942245302</v>
      </c>
    </row>
    <row r="97" spans="3:22">
      <c r="C97" t="s">
        <v>91</v>
      </c>
      <c r="D97" s="8">
        <v>221019.3448241406</v>
      </c>
      <c r="E97" s="8">
        <v>267406.98140044458</v>
      </c>
      <c r="F97" s="19">
        <v>1.6324866124607308E-3</v>
      </c>
      <c r="G97" s="19">
        <v>0.20988043654374883</v>
      </c>
      <c r="H97" s="2">
        <v>40359</v>
      </c>
      <c r="I97" s="2">
        <v>39395</v>
      </c>
      <c r="J97" s="19">
        <v>-2.3885626502143265E-2</v>
      </c>
      <c r="N97" s="56"/>
      <c r="O97" t="s">
        <v>144</v>
      </c>
      <c r="P97" s="8">
        <v>47561.830257779184</v>
      </c>
      <c r="Q97" s="8">
        <v>163405.25373425358</v>
      </c>
      <c r="R97" s="19">
        <v>1.0278287870304217E-3</v>
      </c>
      <c r="S97" s="19">
        <v>2.4356384699372899</v>
      </c>
      <c r="T97" s="2">
        <v>14930</v>
      </c>
      <c r="U97" s="2">
        <v>55812</v>
      </c>
      <c r="V97" s="19">
        <v>2.7382451440053583</v>
      </c>
    </row>
    <row r="98" spans="3:22">
      <c r="C98" t="s">
        <v>120</v>
      </c>
      <c r="D98" s="8">
        <v>117390.68021961063</v>
      </c>
      <c r="E98" s="8">
        <v>265389.14156777505</v>
      </c>
      <c r="F98" s="19">
        <v>1.6413329240599999E-3</v>
      </c>
      <c r="G98" s="19">
        <v>1.2607343365869741</v>
      </c>
      <c r="H98" s="2">
        <v>25535</v>
      </c>
      <c r="I98" s="2">
        <v>51119</v>
      </c>
      <c r="J98" s="19">
        <v>1.001918934795379</v>
      </c>
      <c r="N98" s="56"/>
      <c r="O98" t="s">
        <v>3574</v>
      </c>
      <c r="P98" s="8">
        <v>248919.96616448869</v>
      </c>
      <c r="Q98" s="8">
        <v>355594.97226932173</v>
      </c>
      <c r="R98" s="19">
        <v>2.2078822097312805E-3</v>
      </c>
      <c r="S98" s="19">
        <v>0.42855142457452039</v>
      </c>
      <c r="T98" s="2">
        <v>42879</v>
      </c>
      <c r="U98" s="2">
        <v>53127</v>
      </c>
      <c r="V98" s="19">
        <v>0.23899811096340867</v>
      </c>
    </row>
    <row r="99" spans="3:22">
      <c r="C99" t="s">
        <v>175</v>
      </c>
      <c r="D99" s="8">
        <v>74270.50983767664</v>
      </c>
      <c r="E99" s="8">
        <v>255416.05338200805</v>
      </c>
      <c r="F99" s="19">
        <v>1.5702230271456188E-3</v>
      </c>
      <c r="G99" s="19">
        <v>2.438996903888738</v>
      </c>
      <c r="H99" s="2">
        <v>13830</v>
      </c>
      <c r="I99" s="2">
        <v>52421</v>
      </c>
      <c r="J99" s="19">
        <v>2.7903832248734637</v>
      </c>
      <c r="N99" s="56"/>
      <c r="O99" t="s">
        <v>175</v>
      </c>
      <c r="P99" s="8">
        <v>74270.50983767664</v>
      </c>
      <c r="Q99" s="8">
        <v>255416.05338200805</v>
      </c>
      <c r="R99" s="19">
        <v>1.5702230271456188E-3</v>
      </c>
      <c r="S99" s="19">
        <v>2.438996903888738</v>
      </c>
      <c r="T99" s="2">
        <v>13830</v>
      </c>
      <c r="U99" s="2">
        <v>52421</v>
      </c>
      <c r="V99" s="19">
        <v>2.7903832248734637</v>
      </c>
    </row>
    <row r="100" spans="3:22">
      <c r="C100" t="s">
        <v>90</v>
      </c>
      <c r="D100" s="8">
        <v>257369.07731241552</v>
      </c>
      <c r="E100" s="8">
        <v>254767.67305584185</v>
      </c>
      <c r="F100" s="19">
        <v>1.5302135734560664E-3</v>
      </c>
      <c r="G100" s="19">
        <v>-1.0107679926970708E-2</v>
      </c>
      <c r="H100" s="2">
        <v>32729</v>
      </c>
      <c r="I100" s="2">
        <v>29844</v>
      </c>
      <c r="J100" s="19">
        <v>-8.8148125515597794E-2</v>
      </c>
      <c r="N100" s="56"/>
      <c r="O100" t="s">
        <v>95</v>
      </c>
      <c r="P100" s="8">
        <v>263163.08950645017</v>
      </c>
      <c r="Q100" s="8">
        <v>752283.17668851116</v>
      </c>
      <c r="R100" s="19">
        <v>4.578368667669524E-3</v>
      </c>
      <c r="S100" s="19">
        <v>1.8586196419086827</v>
      </c>
      <c r="T100" s="2">
        <v>27616</v>
      </c>
      <c r="U100" s="2">
        <v>52076</v>
      </c>
      <c r="V100" s="19">
        <v>0.88571842410196988</v>
      </c>
    </row>
    <row r="101" spans="3:22">
      <c r="C101" t="s">
        <v>100</v>
      </c>
      <c r="D101" s="8">
        <v>151330.59791381517</v>
      </c>
      <c r="E101" s="8">
        <v>253630.32681836715</v>
      </c>
      <c r="F101" s="19">
        <v>1.5092827359690377E-3</v>
      </c>
      <c r="G101" s="19">
        <v>0.67600161708746476</v>
      </c>
      <c r="H101" s="2">
        <v>63443</v>
      </c>
      <c r="I101" s="2">
        <v>142328</v>
      </c>
      <c r="J101" s="19">
        <v>1.2433995870308781</v>
      </c>
      <c r="N101" s="56"/>
      <c r="O101" t="s">
        <v>161</v>
      </c>
      <c r="P101" s="8">
        <v>47651.643181536157</v>
      </c>
      <c r="Q101" s="8">
        <v>217513.94406355731</v>
      </c>
      <c r="R101" s="19">
        <v>1.3244238916588721E-3</v>
      </c>
      <c r="S101" s="19">
        <v>3.5646682788021593</v>
      </c>
      <c r="T101" s="2">
        <v>17049</v>
      </c>
      <c r="U101" s="2">
        <v>51447</v>
      </c>
      <c r="V101" s="19">
        <v>2.0175963399612882</v>
      </c>
    </row>
    <row r="102" spans="3:22">
      <c r="C102" t="s">
        <v>280</v>
      </c>
      <c r="D102" s="8">
        <v>279945.13412694458</v>
      </c>
      <c r="E102" s="8">
        <v>240437.32823984412</v>
      </c>
      <c r="F102" s="19">
        <v>1.4684800286010864E-3</v>
      </c>
      <c r="G102" s="19">
        <v>-0.14112696050357196</v>
      </c>
      <c r="H102" s="2">
        <v>39406</v>
      </c>
      <c r="I102" s="2">
        <v>32404</v>
      </c>
      <c r="J102" s="19">
        <v>-0.17768867685124093</v>
      </c>
      <c r="N102" s="56"/>
      <c r="O102" t="s">
        <v>120</v>
      </c>
      <c r="P102" s="8">
        <v>117390.68021961063</v>
      </c>
      <c r="Q102" s="8">
        <v>265389.14156777505</v>
      </c>
      <c r="R102" s="19">
        <v>1.6413329240599999E-3</v>
      </c>
      <c r="S102" s="19">
        <v>1.2607343365869741</v>
      </c>
      <c r="T102" s="2">
        <v>25535</v>
      </c>
      <c r="U102" s="2">
        <v>51119</v>
      </c>
      <c r="V102" s="19">
        <v>1.001918934795379</v>
      </c>
    </row>
    <row r="103" spans="3:22">
      <c r="C103" t="s">
        <v>93</v>
      </c>
      <c r="D103" s="8">
        <v>235123.57893304722</v>
      </c>
      <c r="E103" s="8">
        <v>239873.79140905102</v>
      </c>
      <c r="F103" s="19">
        <v>1.457521062625208E-3</v>
      </c>
      <c r="G103" s="19">
        <v>2.0203045979307964E-2</v>
      </c>
      <c r="H103" s="2">
        <v>116197</v>
      </c>
      <c r="I103" s="2">
        <v>87335</v>
      </c>
      <c r="J103" s="19">
        <v>-0.24838851261220168</v>
      </c>
      <c r="N103" s="56"/>
      <c r="O103" t="s">
        <v>81</v>
      </c>
      <c r="P103" s="8">
        <v>388635.82704875863</v>
      </c>
      <c r="Q103" s="8">
        <v>765576.41459074512</v>
      </c>
      <c r="R103" s="19">
        <v>4.5332446323092142E-3</v>
      </c>
      <c r="S103" s="19">
        <v>0.96990694451516735</v>
      </c>
      <c r="T103" s="2">
        <v>30451</v>
      </c>
      <c r="U103" s="2">
        <v>51075</v>
      </c>
      <c r="V103" s="19">
        <v>0.67728481823257036</v>
      </c>
    </row>
    <row r="104" spans="3:22">
      <c r="C104" t="s">
        <v>79</v>
      </c>
      <c r="D104" s="8">
        <v>214706.4815804933</v>
      </c>
      <c r="E104" s="8">
        <v>238245.75381207396</v>
      </c>
      <c r="F104" s="19">
        <v>1.48026768166534E-3</v>
      </c>
      <c r="G104" s="19">
        <v>0.10963466057616805</v>
      </c>
      <c r="H104" s="2">
        <v>218028</v>
      </c>
      <c r="I104" s="2">
        <v>226714</v>
      </c>
      <c r="J104" s="19">
        <v>3.9838919771772431E-2</v>
      </c>
      <c r="N104" s="56"/>
      <c r="O104" t="s">
        <v>200</v>
      </c>
      <c r="P104" s="8">
        <v>14115.199319702779</v>
      </c>
      <c r="Q104" s="8">
        <v>79558.628531232782</v>
      </c>
      <c r="R104" s="19">
        <v>4.8944045106041878E-4</v>
      </c>
      <c r="S104" s="19">
        <v>4.6363800984503589</v>
      </c>
      <c r="T104" s="2">
        <v>10339</v>
      </c>
      <c r="U104" s="2">
        <v>46897</v>
      </c>
      <c r="V104" s="19">
        <v>3.5359319083083469</v>
      </c>
    </row>
    <row r="105" spans="3:22">
      <c r="C105" t="s">
        <v>128</v>
      </c>
      <c r="D105" s="8">
        <v>93721.816597283323</v>
      </c>
      <c r="E105" s="8">
        <v>228951.97200255297</v>
      </c>
      <c r="F105" s="19">
        <v>1.3827590917324295E-3</v>
      </c>
      <c r="G105" s="19">
        <v>1.442888756481802</v>
      </c>
      <c r="H105" s="2">
        <v>33156</v>
      </c>
      <c r="I105" s="2">
        <v>58408</v>
      </c>
      <c r="J105" s="19">
        <v>0.76161177464109064</v>
      </c>
      <c r="N105" s="56"/>
      <c r="O105" t="s">
        <v>104</v>
      </c>
      <c r="P105" s="8">
        <v>122886.31482007098</v>
      </c>
      <c r="Q105" s="8">
        <v>115885.72972048054</v>
      </c>
      <c r="R105" s="19">
        <v>7.033581678324328E-4</v>
      </c>
      <c r="S105" s="19">
        <v>-5.6967979793686875E-2</v>
      </c>
      <c r="T105" s="2">
        <v>56713</v>
      </c>
      <c r="U105" s="2">
        <v>46800</v>
      </c>
      <c r="V105" s="19">
        <v>-0.1747923756457955</v>
      </c>
    </row>
    <row r="106" spans="3:22">
      <c r="C106" t="s">
        <v>329</v>
      </c>
      <c r="D106" s="8"/>
      <c r="E106" s="8">
        <v>227856.14569475432</v>
      </c>
      <c r="F106" s="19">
        <v>1.4149768020897846E-3</v>
      </c>
      <c r="G106" s="19"/>
      <c r="H106" s="2"/>
      <c r="I106" s="2">
        <v>32039</v>
      </c>
      <c r="J106" s="19"/>
      <c r="N106" s="56"/>
      <c r="O106" t="s">
        <v>82</v>
      </c>
      <c r="P106" s="8">
        <v>336404.81822531711</v>
      </c>
      <c r="Q106" s="8">
        <v>566403.8777996595</v>
      </c>
      <c r="R106" s="19">
        <v>3.5081723174807339E-3</v>
      </c>
      <c r="S106" s="19">
        <v>0.68369728111412986</v>
      </c>
      <c r="T106" s="2">
        <v>34489</v>
      </c>
      <c r="U106" s="2">
        <v>43806</v>
      </c>
      <c r="V106" s="19">
        <v>0.27014410391719101</v>
      </c>
    </row>
    <row r="107" spans="3:22">
      <c r="C107" t="s">
        <v>87</v>
      </c>
      <c r="D107" s="8">
        <v>180493.95707940665</v>
      </c>
      <c r="E107" s="8">
        <v>219220.87162979925</v>
      </c>
      <c r="F107" s="19">
        <v>1.3186894906892022E-3</v>
      </c>
      <c r="G107" s="19">
        <v>0.21456072644778379</v>
      </c>
      <c r="H107" s="2">
        <v>25300</v>
      </c>
      <c r="I107" s="2">
        <v>31793</v>
      </c>
      <c r="J107" s="19">
        <v>0.25664031620553357</v>
      </c>
      <c r="N107" s="56"/>
      <c r="O107" t="s">
        <v>121</v>
      </c>
      <c r="P107" s="8">
        <v>117720.33290931369</v>
      </c>
      <c r="Q107" s="8">
        <v>152242.16387050171</v>
      </c>
      <c r="R107" s="19">
        <v>9.1706064316514401E-4</v>
      </c>
      <c r="S107" s="19">
        <v>0.29325291653551516</v>
      </c>
      <c r="T107" s="2">
        <v>45688</v>
      </c>
      <c r="U107" s="2">
        <v>42099</v>
      </c>
      <c r="V107" s="19">
        <v>-7.8554543862721066E-2</v>
      </c>
    </row>
    <row r="108" spans="3:22">
      <c r="C108" t="s">
        <v>161</v>
      </c>
      <c r="D108" s="8">
        <v>47651.643181536157</v>
      </c>
      <c r="E108" s="8">
        <v>217513.94406355731</v>
      </c>
      <c r="F108" s="19">
        <v>1.3244238916588721E-3</v>
      </c>
      <c r="G108" s="19">
        <v>3.5646682788021593</v>
      </c>
      <c r="H108" s="2">
        <v>17049</v>
      </c>
      <c r="I108" s="2">
        <v>51447</v>
      </c>
      <c r="J108" s="19">
        <v>2.0175963399612882</v>
      </c>
      <c r="N108" s="56"/>
      <c r="O108" t="s">
        <v>2282</v>
      </c>
      <c r="P108" s="8"/>
      <c r="Q108" s="8">
        <v>32533.760063017362</v>
      </c>
      <c r="R108" s="19">
        <v>1.9812581500132495E-4</v>
      </c>
      <c r="S108" s="19"/>
      <c r="T108" s="2"/>
      <c r="U108" s="2">
        <v>41977</v>
      </c>
      <c r="V108" s="19"/>
    </row>
    <row r="109" spans="3:22">
      <c r="C109" t="s">
        <v>106</v>
      </c>
      <c r="D109" s="8">
        <v>133947.07542350207</v>
      </c>
      <c r="E109" s="8">
        <v>215243.02171487969</v>
      </c>
      <c r="F109" s="19">
        <v>1.3210746711450768E-3</v>
      </c>
      <c r="G109" s="19">
        <v>0.60692587751052607</v>
      </c>
      <c r="H109" s="2">
        <v>34800</v>
      </c>
      <c r="I109" s="2">
        <v>40574</v>
      </c>
      <c r="J109" s="19">
        <v>0.16591954022988506</v>
      </c>
      <c r="N109" s="56"/>
      <c r="O109" t="s">
        <v>150</v>
      </c>
      <c r="P109" s="8">
        <v>62617.930892660348</v>
      </c>
      <c r="Q109" s="8">
        <v>184847.67380954811</v>
      </c>
      <c r="R109" s="19">
        <v>1.1260564015540468E-3</v>
      </c>
      <c r="S109" s="19">
        <v>1.9519926828373488</v>
      </c>
      <c r="T109" s="2">
        <v>9130</v>
      </c>
      <c r="U109" s="2">
        <v>41011</v>
      </c>
      <c r="V109" s="19">
        <v>3.491894852135816</v>
      </c>
    </row>
    <row r="110" spans="3:22">
      <c r="C110" t="s">
        <v>88</v>
      </c>
      <c r="D110" s="8">
        <v>265133.83005939017</v>
      </c>
      <c r="E110" s="8">
        <v>215186.05212040036</v>
      </c>
      <c r="F110" s="19">
        <v>1.3136127306691229E-3</v>
      </c>
      <c r="G110" s="19">
        <v>-0.18838704184902194</v>
      </c>
      <c r="H110" s="2">
        <v>47212</v>
      </c>
      <c r="I110" s="2">
        <v>38641</v>
      </c>
      <c r="J110" s="19">
        <v>-0.18154282809455224</v>
      </c>
      <c r="N110" s="56"/>
      <c r="O110" t="s">
        <v>106</v>
      </c>
      <c r="P110" s="8">
        <v>133947.07542350207</v>
      </c>
      <c r="Q110" s="8">
        <v>215243.02171487969</v>
      </c>
      <c r="R110" s="19">
        <v>1.3210746711450768E-3</v>
      </c>
      <c r="S110" s="19">
        <v>0.60692587751052607</v>
      </c>
      <c r="T110" s="2">
        <v>34800</v>
      </c>
      <c r="U110" s="2">
        <v>40574</v>
      </c>
      <c r="V110" s="19">
        <v>0.16591954022988506</v>
      </c>
    </row>
    <row r="111" spans="3:22">
      <c r="C111" t="s">
        <v>92</v>
      </c>
      <c r="D111" s="8">
        <v>242670.26318003464</v>
      </c>
      <c r="E111" s="8">
        <v>209006.294712031</v>
      </c>
      <c r="F111" s="19">
        <v>1.2936505507768303E-3</v>
      </c>
      <c r="G111" s="19">
        <v>-0.13872308879901235</v>
      </c>
      <c r="H111" s="2">
        <v>47544</v>
      </c>
      <c r="I111" s="2">
        <v>34715</v>
      </c>
      <c r="J111" s="19">
        <v>-0.26983425879185596</v>
      </c>
      <c r="N111" s="56"/>
      <c r="O111" t="s">
        <v>320</v>
      </c>
      <c r="P111" s="8"/>
      <c r="Q111" s="8">
        <v>140996.10203944001</v>
      </c>
      <c r="R111" s="19">
        <v>8.4481361820584332E-4</v>
      </c>
      <c r="S111" s="19"/>
      <c r="T111" s="2"/>
      <c r="U111" s="2">
        <v>40358</v>
      </c>
      <c r="V111" s="19"/>
    </row>
    <row r="112" spans="3:22">
      <c r="C112" t="s">
        <v>116</v>
      </c>
      <c r="D112" s="8">
        <v>94854.135895387721</v>
      </c>
      <c r="E112" s="8">
        <v>208984.71923343989</v>
      </c>
      <c r="F112" s="19">
        <v>1.2959128027593017E-3</v>
      </c>
      <c r="G112" s="19">
        <v>1.2032220025062899</v>
      </c>
      <c r="H112" s="2">
        <v>13138</v>
      </c>
      <c r="I112" s="2">
        <v>28967</v>
      </c>
      <c r="J112" s="19">
        <v>1.2048256964530371</v>
      </c>
      <c r="N112" s="56"/>
      <c r="O112" t="s">
        <v>91</v>
      </c>
      <c r="P112" s="8">
        <v>221019.3448241406</v>
      </c>
      <c r="Q112" s="8">
        <v>267406.98140044458</v>
      </c>
      <c r="R112" s="19">
        <v>1.6324866124607308E-3</v>
      </c>
      <c r="S112" s="19">
        <v>0.20988043654374883</v>
      </c>
      <c r="T112" s="2">
        <v>40359</v>
      </c>
      <c r="U112" s="2">
        <v>39395</v>
      </c>
      <c r="V112" s="19">
        <v>-2.3885626502143265E-2</v>
      </c>
    </row>
    <row r="113" spans="3:22">
      <c r="C113" t="s">
        <v>107</v>
      </c>
      <c r="D113" s="8">
        <v>147651.15605440253</v>
      </c>
      <c r="E113" s="8">
        <v>208672.80043964749</v>
      </c>
      <c r="F113" s="19">
        <v>1.2770677418665515E-3</v>
      </c>
      <c r="G113" s="19">
        <v>0.41328253713612201</v>
      </c>
      <c r="H113" s="2">
        <v>64406</v>
      </c>
      <c r="I113" s="2">
        <v>83541</v>
      </c>
      <c r="J113" s="19">
        <v>0.29709964910101544</v>
      </c>
      <c r="N113" s="56"/>
      <c r="O113" t="s">
        <v>89</v>
      </c>
      <c r="P113" s="8">
        <v>337536.01389864233</v>
      </c>
      <c r="Q113" s="8">
        <v>488612.98769509059</v>
      </c>
      <c r="R113" s="19">
        <v>2.9069592753291095E-3</v>
      </c>
      <c r="S113" s="19">
        <v>0.44758771679342851</v>
      </c>
      <c r="T113" s="2">
        <v>28750</v>
      </c>
      <c r="U113" s="2">
        <v>39319</v>
      </c>
      <c r="V113" s="19">
        <v>0.36761739130434784</v>
      </c>
    </row>
    <row r="114" spans="3:22">
      <c r="C114" t="s">
        <v>84</v>
      </c>
      <c r="D114" s="8">
        <v>252939.55149815799</v>
      </c>
      <c r="E114" s="8">
        <v>201931.08395143837</v>
      </c>
      <c r="F114" s="19">
        <v>1.1979106167312036E-3</v>
      </c>
      <c r="G114" s="19">
        <v>-0.20166267886772576</v>
      </c>
      <c r="H114" s="2">
        <v>114364</v>
      </c>
      <c r="I114" s="2">
        <v>58341</v>
      </c>
      <c r="J114" s="19">
        <v>-0.48986569200097935</v>
      </c>
      <c r="N114" s="56"/>
      <c r="O114" t="s">
        <v>88</v>
      </c>
      <c r="P114" s="8">
        <v>265133.83005939017</v>
      </c>
      <c r="Q114" s="8">
        <v>215186.05212040036</v>
      </c>
      <c r="R114" s="19">
        <v>1.3136127306691229E-3</v>
      </c>
      <c r="S114" s="19">
        <v>-0.18838704184902194</v>
      </c>
      <c r="T114" s="2">
        <v>47212</v>
      </c>
      <c r="U114" s="2">
        <v>38641</v>
      </c>
      <c r="V114" s="19">
        <v>-0.18154282809455224</v>
      </c>
    </row>
    <row r="115" spans="3:22">
      <c r="C115" t="s">
        <v>3575</v>
      </c>
      <c r="D115" s="8"/>
      <c r="E115" s="8">
        <v>194855.50526676729</v>
      </c>
      <c r="F115" s="19">
        <v>1.321904094826474E-3</v>
      </c>
      <c r="G115" s="19"/>
      <c r="H115" s="2"/>
      <c r="I115" s="2">
        <v>30082</v>
      </c>
      <c r="J115" s="19"/>
      <c r="N115" s="56"/>
      <c r="O115" t="s">
        <v>164</v>
      </c>
      <c r="P115" s="8">
        <v>43883.973992420484</v>
      </c>
      <c r="Q115" s="8">
        <v>57096.880050262502</v>
      </c>
      <c r="R115" s="19">
        <v>3.4467277368327941E-4</v>
      </c>
      <c r="S115" s="19">
        <v>0.30108727300139487</v>
      </c>
      <c r="T115" s="2">
        <v>25616</v>
      </c>
      <c r="U115" s="2">
        <v>37026</v>
      </c>
      <c r="V115" s="19">
        <v>0.44542473454091192</v>
      </c>
    </row>
    <row r="116" spans="3:22">
      <c r="C116" t="s">
        <v>150</v>
      </c>
      <c r="D116" s="8">
        <v>62617.930892660348</v>
      </c>
      <c r="E116" s="8">
        <v>184847.67380954811</v>
      </c>
      <c r="F116" s="19">
        <v>1.1260564015540468E-3</v>
      </c>
      <c r="G116" s="19">
        <v>1.9519926828373488</v>
      </c>
      <c r="H116" s="2">
        <v>9130</v>
      </c>
      <c r="I116" s="2">
        <v>41011</v>
      </c>
      <c r="J116" s="19">
        <v>3.491894852135816</v>
      </c>
      <c r="N116" s="56"/>
      <c r="O116" t="s">
        <v>122</v>
      </c>
      <c r="P116" s="8">
        <v>96292.866906729847</v>
      </c>
      <c r="Q116" s="8">
        <v>295466.59960991074</v>
      </c>
      <c r="R116" s="19">
        <v>1.8714378393340672E-3</v>
      </c>
      <c r="S116" s="19">
        <v>2.0684162711252787</v>
      </c>
      <c r="T116" s="2">
        <v>13599</v>
      </c>
      <c r="U116" s="2">
        <v>36600</v>
      </c>
      <c r="V116" s="19">
        <v>1.6913743657621885</v>
      </c>
    </row>
    <row r="117" spans="3:22">
      <c r="C117" t="s">
        <v>109</v>
      </c>
      <c r="D117" s="8">
        <v>117729.55526169128</v>
      </c>
      <c r="E117" s="8">
        <v>181122.0050351962</v>
      </c>
      <c r="F117" s="19">
        <v>1.081103128141848E-3</v>
      </c>
      <c r="G117" s="19">
        <v>0.53845824553227184</v>
      </c>
      <c r="H117" s="2">
        <v>17949</v>
      </c>
      <c r="I117" s="2">
        <v>20750</v>
      </c>
      <c r="J117" s="19">
        <v>0.15605326202016825</v>
      </c>
      <c r="N117" s="56"/>
      <c r="O117" t="s">
        <v>83</v>
      </c>
      <c r="P117" s="8">
        <v>297653.42584362993</v>
      </c>
      <c r="Q117" s="8">
        <v>370383.37088916748</v>
      </c>
      <c r="R117" s="19">
        <v>2.2353394670972123E-3</v>
      </c>
      <c r="S117" s="19">
        <v>0.24434439092848104</v>
      </c>
      <c r="T117" s="2">
        <v>41938</v>
      </c>
      <c r="U117" s="2">
        <v>34792</v>
      </c>
      <c r="V117" s="19">
        <v>-0.17039439172111212</v>
      </c>
    </row>
    <row r="118" spans="3:22">
      <c r="C118" t="s">
        <v>265</v>
      </c>
      <c r="D118" s="8">
        <v>11405.483511068172</v>
      </c>
      <c r="E118" s="8">
        <v>165787.75673467133</v>
      </c>
      <c r="F118" s="19">
        <v>1.064608219519445E-3</v>
      </c>
      <c r="G118" s="19">
        <v>13.535793820032852</v>
      </c>
      <c r="H118" s="2">
        <v>6164</v>
      </c>
      <c r="I118" s="2">
        <v>57744</v>
      </c>
      <c r="J118" s="19">
        <v>8.3679428942245302</v>
      </c>
      <c r="N118" s="56"/>
      <c r="O118" t="s">
        <v>92</v>
      </c>
      <c r="P118" s="8">
        <v>242670.26318003464</v>
      </c>
      <c r="Q118" s="8">
        <v>209006.294712031</v>
      </c>
      <c r="R118" s="19">
        <v>1.2936505507768303E-3</v>
      </c>
      <c r="S118" s="19">
        <v>-0.13872308879901235</v>
      </c>
      <c r="T118" s="2">
        <v>47544</v>
      </c>
      <c r="U118" s="2">
        <v>34715</v>
      </c>
      <c r="V118" s="19">
        <v>-0.26983425879185596</v>
      </c>
    </row>
    <row r="119" spans="3:22">
      <c r="C119" t="s">
        <v>123</v>
      </c>
      <c r="D119" s="8">
        <v>97091.243334513609</v>
      </c>
      <c r="E119" s="8">
        <v>164619.83812119617</v>
      </c>
      <c r="F119" s="19">
        <v>9.9203799506517487E-4</v>
      </c>
      <c r="G119" s="19">
        <v>0.69551684031919037</v>
      </c>
      <c r="H119" s="2">
        <v>68497</v>
      </c>
      <c r="I119" s="2">
        <v>89086</v>
      </c>
      <c r="J119" s="19">
        <v>0.30058250726309182</v>
      </c>
      <c r="N119" s="56"/>
      <c r="O119" t="s">
        <v>98</v>
      </c>
      <c r="P119" s="8">
        <v>196173.10257711474</v>
      </c>
      <c r="Q119" s="8">
        <v>313109.22429840389</v>
      </c>
      <c r="R119" s="19">
        <v>1.8799123222578533E-3</v>
      </c>
      <c r="S119" s="19">
        <v>0.59608641646130922</v>
      </c>
      <c r="T119" s="2">
        <v>29795</v>
      </c>
      <c r="U119" s="2">
        <v>34668</v>
      </c>
      <c r="V119" s="19">
        <v>0.16355093136432286</v>
      </c>
    </row>
    <row r="120" spans="3:22">
      <c r="C120" t="s">
        <v>144</v>
      </c>
      <c r="D120" s="8">
        <v>47561.830257779184</v>
      </c>
      <c r="E120" s="8">
        <v>163405.25373425358</v>
      </c>
      <c r="F120" s="19">
        <v>1.0278287870304217E-3</v>
      </c>
      <c r="G120" s="19">
        <v>2.4356384699372899</v>
      </c>
      <c r="H120" s="2">
        <v>14930</v>
      </c>
      <c r="I120" s="2">
        <v>55812</v>
      </c>
      <c r="J120" s="19">
        <v>2.7382451440053583</v>
      </c>
      <c r="N120" s="56"/>
      <c r="O120" t="s">
        <v>105</v>
      </c>
      <c r="P120" s="8">
        <v>97160.296416370576</v>
      </c>
      <c r="Q120" s="8">
        <v>156830.2197112469</v>
      </c>
      <c r="R120" s="19">
        <v>9.3085753131691407E-4</v>
      </c>
      <c r="S120" s="19">
        <v>0.61413895897524784</v>
      </c>
      <c r="T120" s="2">
        <v>30425</v>
      </c>
      <c r="U120" s="2">
        <v>34392</v>
      </c>
      <c r="V120" s="19">
        <v>0.13038619556285949</v>
      </c>
    </row>
    <row r="121" spans="3:22">
      <c r="C121" t="s">
        <v>154</v>
      </c>
      <c r="D121" s="8">
        <v>48961.016172730793</v>
      </c>
      <c r="E121" s="8">
        <v>162902.61815593537</v>
      </c>
      <c r="F121" s="19">
        <v>1.0023064981747429E-3</v>
      </c>
      <c r="G121" s="19">
        <v>2.327190301386457</v>
      </c>
      <c r="H121" s="2">
        <v>21383</v>
      </c>
      <c r="I121" s="2">
        <v>96992</v>
      </c>
      <c r="J121" s="19">
        <v>3.5359397652340645</v>
      </c>
      <c r="N121" s="56"/>
      <c r="O121" t="s">
        <v>78</v>
      </c>
      <c r="P121" s="8">
        <v>289037.74609231018</v>
      </c>
      <c r="Q121" s="8">
        <v>294855.85889933846</v>
      </c>
      <c r="R121" s="19">
        <v>1.808925184201098E-3</v>
      </c>
      <c r="S121" s="19">
        <v>2.0129249157548275E-2</v>
      </c>
      <c r="T121" s="2">
        <v>42969</v>
      </c>
      <c r="U121" s="2">
        <v>32862</v>
      </c>
      <c r="V121" s="19">
        <v>-0.23521608601549954</v>
      </c>
    </row>
    <row r="122" spans="3:22">
      <c r="C122" t="s">
        <v>114</v>
      </c>
      <c r="D122" s="8">
        <v>94743.174397743642</v>
      </c>
      <c r="E122" s="8">
        <v>158763.43994373886</v>
      </c>
      <c r="F122" s="19">
        <v>9.7003258854991162E-4</v>
      </c>
      <c r="G122" s="19">
        <v>0.67572430365516545</v>
      </c>
      <c r="H122" s="2">
        <v>19115</v>
      </c>
      <c r="I122" s="2">
        <v>28442</v>
      </c>
      <c r="J122" s="19">
        <v>0.4879414072717761</v>
      </c>
      <c r="N122" s="56"/>
      <c r="O122" t="s">
        <v>76</v>
      </c>
      <c r="P122" s="8">
        <v>412577.14208562981</v>
      </c>
      <c r="Q122" s="8">
        <v>461464.37030771427</v>
      </c>
      <c r="R122" s="19">
        <v>2.9856877395513606E-3</v>
      </c>
      <c r="S122" s="19">
        <v>0.11849233327603494</v>
      </c>
      <c r="T122" s="2">
        <v>28064</v>
      </c>
      <c r="U122" s="2">
        <v>32685</v>
      </c>
      <c r="V122" s="19">
        <v>0.16465935005701254</v>
      </c>
    </row>
    <row r="123" spans="3:22">
      <c r="C123" t="s">
        <v>105</v>
      </c>
      <c r="D123" s="8">
        <v>97160.296416370576</v>
      </c>
      <c r="E123" s="8">
        <v>156830.2197112469</v>
      </c>
      <c r="F123" s="19">
        <v>9.3085753131691407E-4</v>
      </c>
      <c r="G123" s="19">
        <v>0.61413895897524784</v>
      </c>
      <c r="H123" s="2">
        <v>30425</v>
      </c>
      <c r="I123" s="2">
        <v>34392</v>
      </c>
      <c r="J123" s="19">
        <v>0.13038619556285949</v>
      </c>
      <c r="N123" s="56"/>
      <c r="O123" t="s">
        <v>188</v>
      </c>
      <c r="P123" s="8">
        <v>16572.765906419085</v>
      </c>
      <c r="Q123" s="8">
        <v>61020.844786210189</v>
      </c>
      <c r="R123" s="19">
        <v>3.7019788422660129E-4</v>
      </c>
      <c r="S123" s="19">
        <v>2.6819952161742147</v>
      </c>
      <c r="T123" s="2">
        <v>8697</v>
      </c>
      <c r="U123" s="2">
        <v>32637</v>
      </c>
      <c r="V123" s="19">
        <v>2.7526733356329767</v>
      </c>
    </row>
    <row r="124" spans="3:22">
      <c r="C124" t="s">
        <v>121</v>
      </c>
      <c r="D124" s="8">
        <v>117720.33290931369</v>
      </c>
      <c r="E124" s="8">
        <v>152242.16387050171</v>
      </c>
      <c r="F124" s="19">
        <v>9.1706064316514401E-4</v>
      </c>
      <c r="G124" s="19">
        <v>0.29325291653551516</v>
      </c>
      <c r="H124" s="2">
        <v>45688</v>
      </c>
      <c r="I124" s="2">
        <v>42099</v>
      </c>
      <c r="J124" s="19">
        <v>-7.8554543862721066E-2</v>
      </c>
      <c r="N124" s="56"/>
      <c r="O124" t="s">
        <v>75</v>
      </c>
      <c r="P124" s="8">
        <v>420726.87126182066</v>
      </c>
      <c r="Q124" s="8">
        <v>583346.72956825315</v>
      </c>
      <c r="R124" s="19">
        <v>3.5598300969482779E-3</v>
      </c>
      <c r="S124" s="19">
        <v>0.38652120749671171</v>
      </c>
      <c r="T124" s="2">
        <v>22690</v>
      </c>
      <c r="U124" s="2">
        <v>32421</v>
      </c>
      <c r="V124" s="19">
        <v>0.42886734244160424</v>
      </c>
    </row>
    <row r="125" spans="3:22">
      <c r="C125" t="s">
        <v>133</v>
      </c>
      <c r="D125" s="8">
        <v>109853.07129492202</v>
      </c>
      <c r="E125" s="8">
        <v>150141.44984817476</v>
      </c>
      <c r="F125" s="19">
        <v>9.1086522847684418E-4</v>
      </c>
      <c r="G125" s="19">
        <v>0.36674785764606183</v>
      </c>
      <c r="H125" s="2">
        <v>4535</v>
      </c>
      <c r="I125" s="2">
        <v>4912</v>
      </c>
      <c r="J125" s="19">
        <v>8.3131201764057333E-2</v>
      </c>
      <c r="N125" s="56"/>
      <c r="O125" t="s">
        <v>280</v>
      </c>
      <c r="P125" s="8">
        <v>279945.13412694458</v>
      </c>
      <c r="Q125" s="8">
        <v>240437.32823984412</v>
      </c>
      <c r="R125" s="19">
        <v>1.4684800286010864E-3</v>
      </c>
      <c r="S125" s="19">
        <v>-0.14112696050357196</v>
      </c>
      <c r="T125" s="2">
        <v>39406</v>
      </c>
      <c r="U125" s="2">
        <v>32404</v>
      </c>
      <c r="V125" s="19">
        <v>-0.17768867685124093</v>
      </c>
    </row>
    <row r="126" spans="3:22">
      <c r="C126" t="s">
        <v>320</v>
      </c>
      <c r="D126" s="8"/>
      <c r="E126" s="8">
        <v>140996.10203944001</v>
      </c>
      <c r="F126" s="19">
        <v>8.4481361820584332E-4</v>
      </c>
      <c r="G126" s="19"/>
      <c r="H126" s="2"/>
      <c r="I126" s="2">
        <v>40358</v>
      </c>
      <c r="J126" s="19"/>
      <c r="N126" s="56"/>
      <c r="O126" t="s">
        <v>329</v>
      </c>
      <c r="P126" s="8"/>
      <c r="Q126" s="8">
        <v>227856.14569475432</v>
      </c>
      <c r="R126" s="19">
        <v>1.4149768020897846E-3</v>
      </c>
      <c r="S126" s="19"/>
      <c r="T126" s="2"/>
      <c r="U126" s="2">
        <v>32039</v>
      </c>
      <c r="V126" s="19"/>
    </row>
    <row r="127" spans="3:22">
      <c r="C127" t="s">
        <v>134</v>
      </c>
      <c r="D127" s="8">
        <v>76234.016239390767</v>
      </c>
      <c r="E127" s="8">
        <v>133912.3075276482</v>
      </c>
      <c r="F127" s="19">
        <v>7.8208316321545064E-4</v>
      </c>
      <c r="G127" s="19">
        <v>0.75659520688422766</v>
      </c>
      <c r="H127" s="2">
        <v>52371</v>
      </c>
      <c r="I127" s="2">
        <v>60993</v>
      </c>
      <c r="J127" s="19">
        <v>0.16463309847052759</v>
      </c>
      <c r="N127" s="56"/>
      <c r="O127" t="s">
        <v>87</v>
      </c>
      <c r="P127" s="8">
        <v>180493.95707940665</v>
      </c>
      <c r="Q127" s="8">
        <v>219220.87162979925</v>
      </c>
      <c r="R127" s="19">
        <v>1.3186894906892022E-3</v>
      </c>
      <c r="S127" s="19">
        <v>0.21456072644778379</v>
      </c>
      <c r="T127" s="2">
        <v>25300</v>
      </c>
      <c r="U127" s="2">
        <v>31793</v>
      </c>
      <c r="V127" s="19">
        <v>0.25664031620553357</v>
      </c>
    </row>
    <row r="128" spans="3:22">
      <c r="C128" t="s">
        <v>119</v>
      </c>
      <c r="D128" s="8">
        <v>108370.83865222191</v>
      </c>
      <c r="E128" s="8">
        <v>131783.58261549316</v>
      </c>
      <c r="F128" s="19">
        <v>7.9278827137841605E-4</v>
      </c>
      <c r="G128" s="19">
        <v>0.21604284191623002</v>
      </c>
      <c r="H128" s="2">
        <v>16925</v>
      </c>
      <c r="I128" s="2">
        <v>21610</v>
      </c>
      <c r="J128" s="19">
        <v>0.27680945347119645</v>
      </c>
      <c r="N128" s="56"/>
      <c r="O128" t="s">
        <v>110</v>
      </c>
      <c r="P128" s="8">
        <v>92836.968271852165</v>
      </c>
      <c r="Q128" s="8">
        <v>105856.6728746174</v>
      </c>
      <c r="R128" s="19">
        <v>6.4881554201211896E-4</v>
      </c>
      <c r="S128" s="19">
        <v>0.14024267320578548</v>
      </c>
      <c r="T128" s="2">
        <v>35777</v>
      </c>
      <c r="U128" s="2">
        <v>31459</v>
      </c>
      <c r="V128" s="19">
        <v>-0.12069206473432652</v>
      </c>
    </row>
    <row r="129" spans="3:22">
      <c r="C129" t="s">
        <v>282</v>
      </c>
      <c r="D129" s="8"/>
      <c r="E129" s="8">
        <v>131194.05386562794</v>
      </c>
      <c r="F129" s="19">
        <v>7.9461833926972785E-4</v>
      </c>
      <c r="G129" s="19"/>
      <c r="H129" s="2"/>
      <c r="I129" s="2">
        <v>101151</v>
      </c>
      <c r="J129" s="19"/>
      <c r="N129" s="56"/>
      <c r="O129" t="s">
        <v>145</v>
      </c>
      <c r="P129" s="8">
        <v>53962.855616592242</v>
      </c>
      <c r="Q129" s="8">
        <v>65584.289705793853</v>
      </c>
      <c r="R129" s="19">
        <v>3.9486875902417857E-4</v>
      </c>
      <c r="S129" s="19">
        <v>0.21535987961371542</v>
      </c>
      <c r="T129" s="2">
        <v>30691</v>
      </c>
      <c r="U129" s="2">
        <v>30118</v>
      </c>
      <c r="V129" s="19">
        <v>-1.8669968394643379E-2</v>
      </c>
    </row>
    <row r="130" spans="3:22">
      <c r="C130" t="s">
        <v>94</v>
      </c>
      <c r="D130" s="8">
        <v>193364.13040867395</v>
      </c>
      <c r="E130" s="8">
        <v>128625.61665853002</v>
      </c>
      <c r="F130" s="19">
        <v>8.0976505280946247E-4</v>
      </c>
      <c r="G130" s="19">
        <v>-0.33480104926037452</v>
      </c>
      <c r="H130" s="2">
        <v>19338</v>
      </c>
      <c r="I130" s="2">
        <v>10860</v>
      </c>
      <c r="J130" s="19">
        <v>-0.43841141793360222</v>
      </c>
      <c r="N130" s="56"/>
      <c r="O130" t="s">
        <v>3575</v>
      </c>
      <c r="P130" s="8"/>
      <c r="Q130" s="8">
        <v>194855.50526676729</v>
      </c>
      <c r="R130" s="19">
        <v>1.321904094826474E-3</v>
      </c>
      <c r="S130" s="19"/>
      <c r="T130" s="2"/>
      <c r="U130" s="2">
        <v>30082</v>
      </c>
      <c r="V130" s="19"/>
    </row>
    <row r="131" spans="3:22">
      <c r="C131" t="s">
        <v>266</v>
      </c>
      <c r="D131" s="8">
        <v>8807.0641134438429</v>
      </c>
      <c r="E131" s="8">
        <v>128431.04116208277</v>
      </c>
      <c r="F131" s="19">
        <v>8.1394248385869379E-4</v>
      </c>
      <c r="G131" s="19">
        <v>13.582730352335556</v>
      </c>
      <c r="H131" s="2">
        <v>944</v>
      </c>
      <c r="I131" s="2">
        <v>12213</v>
      </c>
      <c r="J131" s="19">
        <v>11.9375</v>
      </c>
      <c r="N131" s="56"/>
      <c r="O131" t="s">
        <v>90</v>
      </c>
      <c r="P131" s="8">
        <v>257369.07731241552</v>
      </c>
      <c r="Q131" s="8">
        <v>254767.67305584185</v>
      </c>
      <c r="R131" s="19">
        <v>1.5302135734560664E-3</v>
      </c>
      <c r="S131" s="19">
        <v>-1.0107679926970708E-2</v>
      </c>
      <c r="T131" s="2">
        <v>32729</v>
      </c>
      <c r="U131" s="2">
        <v>29844</v>
      </c>
      <c r="V131" s="19">
        <v>-8.8148125515597794E-2</v>
      </c>
    </row>
    <row r="132" spans="3:22">
      <c r="C132" t="s">
        <v>140</v>
      </c>
      <c r="D132" s="8">
        <v>90254.820911161922</v>
      </c>
      <c r="E132" s="8">
        <v>121386.86623997359</v>
      </c>
      <c r="F132" s="19">
        <v>7.3349922139219123E-4</v>
      </c>
      <c r="G132" s="19">
        <v>0.34493498535058897</v>
      </c>
      <c r="H132" s="2">
        <v>23618</v>
      </c>
      <c r="I132" s="2">
        <v>28063</v>
      </c>
      <c r="J132" s="19">
        <v>0.18820391227030231</v>
      </c>
      <c r="N132" s="56"/>
      <c r="O132" t="s">
        <v>116</v>
      </c>
      <c r="P132" s="8">
        <v>94854.135895387721</v>
      </c>
      <c r="Q132" s="8">
        <v>208984.71923343989</v>
      </c>
      <c r="R132" s="19">
        <v>1.2959128027593017E-3</v>
      </c>
      <c r="S132" s="19">
        <v>1.2032220025062899</v>
      </c>
      <c r="T132" s="2">
        <v>13138</v>
      </c>
      <c r="U132" s="2">
        <v>28967</v>
      </c>
      <c r="V132" s="19">
        <v>1.2048256964530371</v>
      </c>
    </row>
    <row r="133" spans="3:22">
      <c r="C133" t="s">
        <v>181</v>
      </c>
      <c r="D133" s="8">
        <v>33289.915738447242</v>
      </c>
      <c r="E133" s="8">
        <v>118500.50830605201</v>
      </c>
      <c r="F133" s="19">
        <v>7.1698853288602545E-4</v>
      </c>
      <c r="G133" s="19">
        <v>2.5596517947683841</v>
      </c>
      <c r="H133" s="2">
        <v>3614</v>
      </c>
      <c r="I133" s="2">
        <v>10475</v>
      </c>
      <c r="J133" s="19">
        <v>1.8984504703929164</v>
      </c>
      <c r="N133" s="56"/>
      <c r="O133" t="s">
        <v>114</v>
      </c>
      <c r="P133" s="8">
        <v>94743.174397743642</v>
      </c>
      <c r="Q133" s="8">
        <v>158763.43994373886</v>
      </c>
      <c r="R133" s="19">
        <v>9.7003258854991162E-4</v>
      </c>
      <c r="S133" s="19">
        <v>0.67572430365516545</v>
      </c>
      <c r="T133" s="2">
        <v>19115</v>
      </c>
      <c r="U133" s="2">
        <v>28442</v>
      </c>
      <c r="V133" s="19">
        <v>0.4879414072717761</v>
      </c>
    </row>
    <row r="134" spans="3:22">
      <c r="C134" t="s">
        <v>104</v>
      </c>
      <c r="D134" s="8">
        <v>122886.31482007098</v>
      </c>
      <c r="E134" s="8">
        <v>115885.72972048054</v>
      </c>
      <c r="F134" s="19">
        <v>7.033581678324328E-4</v>
      </c>
      <c r="G134" s="19">
        <v>-5.6967979793686875E-2</v>
      </c>
      <c r="H134" s="2">
        <v>56713</v>
      </c>
      <c r="I134" s="2">
        <v>46800</v>
      </c>
      <c r="J134" s="19">
        <v>-0.1747923756457955</v>
      </c>
      <c r="N134" s="56"/>
      <c r="O134" t="s">
        <v>187</v>
      </c>
      <c r="P134" s="8">
        <v>17300.223470348225</v>
      </c>
      <c r="Q134" s="8">
        <v>38613.84375276346</v>
      </c>
      <c r="R134" s="19">
        <v>2.3666353055843212E-4</v>
      </c>
      <c r="S134" s="19">
        <v>1.2319852583954065</v>
      </c>
      <c r="T134" s="2">
        <v>9915</v>
      </c>
      <c r="U134" s="2">
        <v>28440</v>
      </c>
      <c r="V134" s="19">
        <v>1.8683812405446294</v>
      </c>
    </row>
    <row r="135" spans="3:22">
      <c r="C135" t="s">
        <v>125</v>
      </c>
      <c r="D135" s="8">
        <v>77771.095223388445</v>
      </c>
      <c r="E135" s="8">
        <v>114935.26258132326</v>
      </c>
      <c r="F135" s="19">
        <v>7.0837798651600793E-4</v>
      </c>
      <c r="G135" s="19">
        <v>0.47786606645033164</v>
      </c>
      <c r="H135" s="2">
        <v>11129</v>
      </c>
      <c r="I135" s="2">
        <v>13848</v>
      </c>
      <c r="J135" s="19">
        <v>0.24431665019318896</v>
      </c>
      <c r="N135" s="56"/>
      <c r="O135" t="s">
        <v>101</v>
      </c>
      <c r="P135" s="8">
        <v>169486.85050476654</v>
      </c>
      <c r="Q135" s="8">
        <v>378564.3528470567</v>
      </c>
      <c r="R135" s="19">
        <v>2.3181893252752443E-3</v>
      </c>
      <c r="S135" s="19">
        <v>1.2335912887614264</v>
      </c>
      <c r="T135" s="2">
        <v>14511</v>
      </c>
      <c r="U135" s="2">
        <v>28217</v>
      </c>
      <c r="V135" s="19">
        <v>0.94452484322238306</v>
      </c>
    </row>
    <row r="136" spans="3:22">
      <c r="C136" t="s">
        <v>127</v>
      </c>
      <c r="D136" s="8">
        <v>73741.469948855447</v>
      </c>
      <c r="E136" s="8">
        <v>112883.17132127099</v>
      </c>
      <c r="F136" s="19">
        <v>6.8887894194367375E-4</v>
      </c>
      <c r="G136" s="19">
        <v>0.5307963266742971</v>
      </c>
      <c r="H136" s="2">
        <v>11943</v>
      </c>
      <c r="I136" s="2">
        <v>13156</v>
      </c>
      <c r="J136" s="19">
        <v>0.10156577074436908</v>
      </c>
      <c r="N136" s="56"/>
      <c r="O136" t="s">
        <v>140</v>
      </c>
      <c r="P136" s="8">
        <v>90254.820911161922</v>
      </c>
      <c r="Q136" s="8">
        <v>121386.86623997359</v>
      </c>
      <c r="R136" s="19">
        <v>7.3349922139219123E-4</v>
      </c>
      <c r="S136" s="19">
        <v>0.34493498535058897</v>
      </c>
      <c r="T136" s="2">
        <v>23618</v>
      </c>
      <c r="U136" s="2">
        <v>28063</v>
      </c>
      <c r="V136" s="19">
        <v>0.18820391227030231</v>
      </c>
    </row>
    <row r="137" spans="3:22">
      <c r="C137" t="s">
        <v>264</v>
      </c>
      <c r="D137" s="8">
        <v>11391.5394</v>
      </c>
      <c r="E137" s="8">
        <v>112191.82082506537</v>
      </c>
      <c r="F137" s="19">
        <v>6.7953646094759314E-4</v>
      </c>
      <c r="G137" s="19">
        <v>8.8486970799631681</v>
      </c>
      <c r="H137" s="2">
        <v>2643</v>
      </c>
      <c r="I137" s="2">
        <v>26178</v>
      </c>
      <c r="J137" s="19">
        <v>8.9046538024971618</v>
      </c>
      <c r="N137" s="56"/>
      <c r="O137" t="s">
        <v>108</v>
      </c>
      <c r="P137" s="8">
        <v>168746.61243470263</v>
      </c>
      <c r="Q137" s="8">
        <v>307597.6483822685</v>
      </c>
      <c r="R137" s="19">
        <v>1.9179361934150531E-3</v>
      </c>
      <c r="S137" s="19">
        <v>0.82283747178210753</v>
      </c>
      <c r="T137" s="2">
        <v>17677</v>
      </c>
      <c r="U137" s="2">
        <v>27260</v>
      </c>
      <c r="V137" s="19">
        <v>0.54211687503535666</v>
      </c>
    </row>
    <row r="138" spans="3:22">
      <c r="C138" t="s">
        <v>124</v>
      </c>
      <c r="D138" s="8">
        <v>107727.3625697517</v>
      </c>
      <c r="E138" s="8">
        <v>111554.26407321104</v>
      </c>
      <c r="F138" s="19">
        <v>7.0095445348297128E-4</v>
      </c>
      <c r="G138" s="19">
        <v>3.5523950574595113E-2</v>
      </c>
      <c r="H138" s="2">
        <v>9575</v>
      </c>
      <c r="I138" s="2">
        <v>7140</v>
      </c>
      <c r="J138" s="19">
        <v>-0.25430809399477805</v>
      </c>
      <c r="N138" s="56"/>
      <c r="O138" t="s">
        <v>143</v>
      </c>
      <c r="P138" s="8">
        <v>63882.186756267482</v>
      </c>
      <c r="Q138" s="8">
        <v>97028.298506402178</v>
      </c>
      <c r="R138" s="19">
        <v>5.8897615650437484E-4</v>
      </c>
      <c r="S138" s="19">
        <v>0.51886313592548916</v>
      </c>
      <c r="T138" s="2">
        <v>26600</v>
      </c>
      <c r="U138" s="2">
        <v>26581</v>
      </c>
      <c r="V138" s="19">
        <v>-7.1428571428571429E-4</v>
      </c>
    </row>
    <row r="139" spans="3:22">
      <c r="C139" t="s">
        <v>110</v>
      </c>
      <c r="D139" s="8">
        <v>92836.968271852165</v>
      </c>
      <c r="E139" s="8">
        <v>105856.6728746174</v>
      </c>
      <c r="F139" s="19">
        <v>6.4881554201211896E-4</v>
      </c>
      <c r="G139" s="19">
        <v>0.14024267320578548</v>
      </c>
      <c r="H139" s="2">
        <v>35777</v>
      </c>
      <c r="I139" s="2">
        <v>31459</v>
      </c>
      <c r="J139" s="19">
        <v>-0.12069206473432652</v>
      </c>
      <c r="N139" s="56"/>
      <c r="O139" t="s">
        <v>264</v>
      </c>
      <c r="P139" s="8">
        <v>11391.5394</v>
      </c>
      <c r="Q139" s="8">
        <v>112191.82082506537</v>
      </c>
      <c r="R139" s="19">
        <v>6.7953646094759314E-4</v>
      </c>
      <c r="S139" s="19">
        <v>8.8486970799631681</v>
      </c>
      <c r="T139" s="2">
        <v>2643</v>
      </c>
      <c r="U139" s="2">
        <v>26178</v>
      </c>
      <c r="V139" s="19">
        <v>8.9046538024971618</v>
      </c>
    </row>
    <row r="140" spans="3:22">
      <c r="C140" t="s">
        <v>159</v>
      </c>
      <c r="D140" s="8">
        <v>103655.65284458877</v>
      </c>
      <c r="E140" s="8">
        <v>104337.87184584845</v>
      </c>
      <c r="F140" s="19">
        <v>6.3457908741094797E-4</v>
      </c>
      <c r="G140" s="19">
        <v>6.5815899329922396E-3</v>
      </c>
      <c r="H140" s="2">
        <v>16701</v>
      </c>
      <c r="I140" s="2">
        <v>10575</v>
      </c>
      <c r="J140" s="19">
        <v>-0.36680438297107959</v>
      </c>
      <c r="N140" s="56"/>
      <c r="O140" t="s">
        <v>192</v>
      </c>
      <c r="P140" s="8">
        <v>22025.668309640929</v>
      </c>
      <c r="Q140" s="8">
        <v>58953.907708979401</v>
      </c>
      <c r="R140" s="19">
        <v>3.5996984529166812E-4</v>
      </c>
      <c r="S140" s="19">
        <v>1.6766001775834649</v>
      </c>
      <c r="T140" s="2">
        <v>17953</v>
      </c>
      <c r="U140" s="2">
        <v>24387</v>
      </c>
      <c r="V140" s="19">
        <v>0.3583802150058486</v>
      </c>
    </row>
    <row r="141" spans="3:22">
      <c r="C141" t="s">
        <v>173</v>
      </c>
      <c r="D141" s="8">
        <v>23930.517561237906</v>
      </c>
      <c r="E141" s="8">
        <v>100171.43579237307</v>
      </c>
      <c r="F141" s="19">
        <v>6.1922495652130881E-4</v>
      </c>
      <c r="G141" s="19">
        <v>3.1859285130810719</v>
      </c>
      <c r="H141" s="2">
        <v>4095</v>
      </c>
      <c r="I141" s="2">
        <v>18139</v>
      </c>
      <c r="J141" s="19">
        <v>3.4295482295482294</v>
      </c>
      <c r="N141" s="56"/>
      <c r="O141" t="s">
        <v>130</v>
      </c>
      <c r="P141" s="8">
        <v>79138.858223031944</v>
      </c>
      <c r="Q141" s="8">
        <v>58931.637741879662</v>
      </c>
      <c r="R141" s="19">
        <v>3.4720331977519225E-4</v>
      </c>
      <c r="S141" s="19">
        <v>-0.25533879228082335</v>
      </c>
      <c r="T141" s="2">
        <v>35723</v>
      </c>
      <c r="U141" s="2">
        <v>24148</v>
      </c>
      <c r="V141" s="19">
        <v>-0.3240209388909106</v>
      </c>
    </row>
    <row r="142" spans="3:22">
      <c r="C142" t="s">
        <v>143</v>
      </c>
      <c r="D142" s="8">
        <v>63882.186756267482</v>
      </c>
      <c r="E142" s="8">
        <v>97028.298506402178</v>
      </c>
      <c r="F142" s="19">
        <v>5.8897615650437484E-4</v>
      </c>
      <c r="G142" s="19">
        <v>0.51886313592548916</v>
      </c>
      <c r="H142" s="2">
        <v>26600</v>
      </c>
      <c r="I142" s="2">
        <v>26581</v>
      </c>
      <c r="J142" s="19">
        <v>-7.1428571428571429E-4</v>
      </c>
      <c r="N142" s="56"/>
      <c r="O142" t="s">
        <v>2281</v>
      </c>
      <c r="P142" s="8"/>
      <c r="Q142" s="8">
        <v>39669.288810768921</v>
      </c>
      <c r="R142" s="19">
        <v>2.3938158590995837E-4</v>
      </c>
      <c r="S142" s="19"/>
      <c r="T142" s="2"/>
      <c r="U142" s="2">
        <v>23580</v>
      </c>
      <c r="V142" s="19"/>
    </row>
    <row r="143" spans="3:22">
      <c r="C143" t="s">
        <v>284</v>
      </c>
      <c r="D143" s="8"/>
      <c r="E143" s="8">
        <v>96909.194767085326</v>
      </c>
      <c r="F143" s="19">
        <v>6.1116730395052038E-4</v>
      </c>
      <c r="G143" s="19"/>
      <c r="H143" s="2"/>
      <c r="I143" s="2">
        <v>9099</v>
      </c>
      <c r="J143" s="19"/>
      <c r="N143" s="56"/>
      <c r="O143" t="s">
        <v>172</v>
      </c>
      <c r="P143" s="8">
        <v>36187.615567353503</v>
      </c>
      <c r="Q143" s="8">
        <v>84292.287076618784</v>
      </c>
      <c r="R143" s="19">
        <v>5.132125991074057E-4</v>
      </c>
      <c r="S143" s="19">
        <v>1.3293131021504134</v>
      </c>
      <c r="T143" s="2">
        <v>7306</v>
      </c>
      <c r="U143" s="2">
        <v>23063</v>
      </c>
      <c r="V143" s="19">
        <v>2.1567205036955928</v>
      </c>
    </row>
    <row r="144" spans="3:22">
      <c r="C144" t="s">
        <v>138</v>
      </c>
      <c r="D144" s="8">
        <v>73069.125580080363</v>
      </c>
      <c r="E144" s="8">
        <v>92354.160846280909</v>
      </c>
      <c r="F144" s="19">
        <v>5.5199776372498281E-4</v>
      </c>
      <c r="G144" s="19">
        <v>0.26392864445962261</v>
      </c>
      <c r="H144" s="2">
        <v>12615</v>
      </c>
      <c r="I144" s="2">
        <v>8582</v>
      </c>
      <c r="J144" s="19">
        <v>-0.31969877130400315</v>
      </c>
      <c r="N144" s="56"/>
      <c r="O144" t="s">
        <v>3577</v>
      </c>
      <c r="P144" s="8"/>
      <c r="Q144" s="8">
        <v>51888.756974620839</v>
      </c>
      <c r="R144" s="19">
        <v>3.6499293329128049E-4</v>
      </c>
      <c r="S144" s="19"/>
      <c r="T144" s="2"/>
      <c r="U144" s="2">
        <v>22881</v>
      </c>
      <c r="V144" s="19"/>
    </row>
    <row r="145" spans="3:22">
      <c r="C145" t="s">
        <v>142</v>
      </c>
      <c r="D145" s="8">
        <v>50909.926367093693</v>
      </c>
      <c r="E145" s="8">
        <v>91674.554930789353</v>
      </c>
      <c r="F145" s="19">
        <v>5.5900975945632982E-4</v>
      </c>
      <c r="G145" s="19">
        <v>0.80072063490636713</v>
      </c>
      <c r="H145" s="2">
        <v>3829</v>
      </c>
      <c r="I145" s="2">
        <v>6554</v>
      </c>
      <c r="J145" s="19">
        <v>0.71167406633585795</v>
      </c>
      <c r="N145" s="56"/>
      <c r="O145" t="s">
        <v>147</v>
      </c>
      <c r="P145" s="8">
        <v>61305.929514329036</v>
      </c>
      <c r="Q145" s="8">
        <v>81390.160456446232</v>
      </c>
      <c r="R145" s="19">
        <v>4.9601502272443414E-4</v>
      </c>
      <c r="S145" s="19">
        <v>0.32760666221401813</v>
      </c>
      <c r="T145" s="2">
        <v>19286</v>
      </c>
      <c r="U145" s="2">
        <v>22591</v>
      </c>
      <c r="V145" s="19">
        <v>0.17136783158768018</v>
      </c>
    </row>
    <row r="146" spans="3:22">
      <c r="C146" t="s">
        <v>126</v>
      </c>
      <c r="D146" s="8">
        <v>102082.14768528732</v>
      </c>
      <c r="E146" s="8">
        <v>90909.976451451032</v>
      </c>
      <c r="F146" s="19">
        <v>5.3273330367074401E-4</v>
      </c>
      <c r="G146" s="19">
        <v>-0.10944294851906299</v>
      </c>
      <c r="H146" s="2">
        <v>46984</v>
      </c>
      <c r="I146" s="2">
        <v>17499</v>
      </c>
      <c r="J146" s="19">
        <v>-0.62755406095692146</v>
      </c>
      <c r="N146" s="56"/>
      <c r="O146" t="s">
        <v>148</v>
      </c>
      <c r="P146" s="8">
        <v>48615.84660915631</v>
      </c>
      <c r="Q146" s="8">
        <v>73930.045295665797</v>
      </c>
      <c r="R146" s="19">
        <v>4.4906413445002039E-4</v>
      </c>
      <c r="S146" s="19">
        <v>0.52069850577778087</v>
      </c>
      <c r="T146" s="2">
        <v>15397</v>
      </c>
      <c r="U146" s="2">
        <v>21755</v>
      </c>
      <c r="V146" s="19">
        <v>0.41293758524387869</v>
      </c>
    </row>
    <row r="147" spans="3:22">
      <c r="C147" t="s">
        <v>97</v>
      </c>
      <c r="D147" s="8">
        <v>171725.5752578642</v>
      </c>
      <c r="E147" s="8">
        <v>90648.529255463232</v>
      </c>
      <c r="F147" s="19">
        <v>5.5149944225778367E-4</v>
      </c>
      <c r="G147" s="19">
        <v>-0.47213145671898415</v>
      </c>
      <c r="H147" s="2">
        <v>16775</v>
      </c>
      <c r="I147" s="2">
        <v>8267</v>
      </c>
      <c r="J147" s="19">
        <v>-0.50718330849478388</v>
      </c>
      <c r="N147" s="56"/>
      <c r="O147" t="s">
        <v>119</v>
      </c>
      <c r="P147" s="8">
        <v>108370.83865222191</v>
      </c>
      <c r="Q147" s="8">
        <v>131783.58261549316</v>
      </c>
      <c r="R147" s="19">
        <v>7.9278827137841605E-4</v>
      </c>
      <c r="S147" s="19">
        <v>0.21604284191623002</v>
      </c>
      <c r="T147" s="2">
        <v>16925</v>
      </c>
      <c r="U147" s="2">
        <v>21610</v>
      </c>
      <c r="V147" s="19">
        <v>0.27680945347119645</v>
      </c>
    </row>
    <row r="148" spans="3:22">
      <c r="C148" t="s">
        <v>287</v>
      </c>
      <c r="D148" s="8"/>
      <c r="E148" s="8">
        <v>88959.549664744278</v>
      </c>
      <c r="F148" s="19">
        <v>5.7648728345131275E-4</v>
      </c>
      <c r="G148" s="19"/>
      <c r="H148" s="2"/>
      <c r="I148" s="2">
        <v>14633</v>
      </c>
      <c r="J148" s="19"/>
      <c r="N148" s="56"/>
      <c r="O148" t="s">
        <v>141</v>
      </c>
      <c r="P148" s="8">
        <v>44856.181900693358</v>
      </c>
      <c r="Q148" s="8">
        <v>83601.8129544697</v>
      </c>
      <c r="R148" s="19">
        <v>5.1336633362524171E-4</v>
      </c>
      <c r="S148" s="19">
        <v>0.86377461058890159</v>
      </c>
      <c r="T148" s="2">
        <v>15092</v>
      </c>
      <c r="U148" s="2">
        <v>21234</v>
      </c>
      <c r="V148" s="19">
        <v>0.4069705804399682</v>
      </c>
    </row>
    <row r="149" spans="3:22">
      <c r="C149" t="s">
        <v>132</v>
      </c>
      <c r="D149" s="8">
        <v>78278.050822975667</v>
      </c>
      <c r="E149" s="8">
        <v>88354.346101055518</v>
      </c>
      <c r="F149" s="19">
        <v>5.4303286092994305E-4</v>
      </c>
      <c r="G149" s="19">
        <v>0.12872440195102972</v>
      </c>
      <c r="H149" s="2">
        <v>70918</v>
      </c>
      <c r="I149" s="2">
        <v>63549</v>
      </c>
      <c r="J149" s="19">
        <v>-0.10390873967116952</v>
      </c>
      <c r="N149" s="56"/>
      <c r="O149" t="s">
        <v>3537</v>
      </c>
      <c r="P149" s="8"/>
      <c r="Q149" s="8">
        <v>33691.574108699162</v>
      </c>
      <c r="R149" s="19">
        <v>2.2118581632122738E-4</v>
      </c>
      <c r="S149" s="19"/>
      <c r="T149" s="2"/>
      <c r="U149" s="2">
        <v>20898</v>
      </c>
      <c r="V149" s="19"/>
    </row>
    <row r="150" spans="3:22">
      <c r="C150" t="s">
        <v>2287</v>
      </c>
      <c r="D150" s="8">
        <v>107829.07743970015</v>
      </c>
      <c r="E150" s="8">
        <v>87888.937481108165</v>
      </c>
      <c r="F150" s="19">
        <v>5.6442482937829597E-4</v>
      </c>
      <c r="G150" s="19">
        <v>-0.18492358862796401</v>
      </c>
      <c r="H150" s="2">
        <v>77454</v>
      </c>
      <c r="I150" s="2">
        <v>206594</v>
      </c>
      <c r="J150" s="19">
        <v>1.6673122111188576</v>
      </c>
      <c r="N150" s="56"/>
      <c r="O150" t="s">
        <v>109</v>
      </c>
      <c r="P150" s="8">
        <v>117729.55526169128</v>
      </c>
      <c r="Q150" s="8">
        <v>181122.0050351962</v>
      </c>
      <c r="R150" s="19">
        <v>1.081103128141848E-3</v>
      </c>
      <c r="S150" s="19">
        <v>0.53845824553227184</v>
      </c>
      <c r="T150" s="2">
        <v>17949</v>
      </c>
      <c r="U150" s="2">
        <v>20750</v>
      </c>
      <c r="V150" s="19">
        <v>0.15605326202016825</v>
      </c>
    </row>
    <row r="151" spans="3:22">
      <c r="C151" t="s">
        <v>204</v>
      </c>
      <c r="D151" s="8">
        <v>8235.4469178747677</v>
      </c>
      <c r="E151" s="8">
        <v>87842.539699456873</v>
      </c>
      <c r="F151" s="19">
        <v>5.4046167992433418E-4</v>
      </c>
      <c r="G151" s="19">
        <v>9.6663961987050779</v>
      </c>
      <c r="H151" s="2">
        <v>7449</v>
      </c>
      <c r="I151" s="2">
        <v>59443</v>
      </c>
      <c r="J151" s="19">
        <v>6.979997315075849</v>
      </c>
      <c r="N151" s="56"/>
      <c r="O151" t="s">
        <v>137</v>
      </c>
      <c r="P151" s="8">
        <v>63029.211306033256</v>
      </c>
      <c r="Q151" s="8">
        <v>81027.71134511476</v>
      </c>
      <c r="R151" s="19">
        <v>4.9196789590755783E-4</v>
      </c>
      <c r="S151" s="19">
        <v>0.28555807166444203</v>
      </c>
      <c r="T151" s="2">
        <v>13450</v>
      </c>
      <c r="U151" s="2">
        <v>20722</v>
      </c>
      <c r="V151" s="19">
        <v>0.54066914498141261</v>
      </c>
    </row>
    <row r="152" spans="3:22">
      <c r="C152" t="s">
        <v>172</v>
      </c>
      <c r="D152" s="8">
        <v>36187.615567353503</v>
      </c>
      <c r="E152" s="8">
        <v>84292.287076618784</v>
      </c>
      <c r="F152" s="19">
        <v>5.132125991074057E-4</v>
      </c>
      <c r="G152" s="19">
        <v>1.3293131021504134</v>
      </c>
      <c r="H152" s="2">
        <v>7306</v>
      </c>
      <c r="I152" s="2">
        <v>23063</v>
      </c>
      <c r="J152" s="19">
        <v>2.1567205036955928</v>
      </c>
      <c r="N152" s="56"/>
      <c r="O152" t="s">
        <v>341</v>
      </c>
      <c r="P152" s="8"/>
      <c r="Q152" s="8">
        <v>29863.145947428016</v>
      </c>
      <c r="R152" s="19">
        <v>1.8717403480911077E-4</v>
      </c>
      <c r="S152" s="19"/>
      <c r="T152" s="2"/>
      <c r="U152" s="2">
        <v>20381</v>
      </c>
      <c r="V152" s="19"/>
    </row>
    <row r="153" spans="3:22">
      <c r="C153" t="s">
        <v>141</v>
      </c>
      <c r="D153" s="8">
        <v>44856.181900693358</v>
      </c>
      <c r="E153" s="8">
        <v>83601.8129544697</v>
      </c>
      <c r="F153" s="19">
        <v>5.1336633362524171E-4</v>
      </c>
      <c r="G153" s="19">
        <v>0.86377461058890159</v>
      </c>
      <c r="H153" s="2">
        <v>15092</v>
      </c>
      <c r="I153" s="2">
        <v>21234</v>
      </c>
      <c r="J153" s="19">
        <v>0.4069705804399682</v>
      </c>
      <c r="N153" s="56"/>
      <c r="O153" t="s">
        <v>182</v>
      </c>
      <c r="P153" s="8">
        <v>21015.231910925122</v>
      </c>
      <c r="Q153" s="8">
        <v>39822.540077271166</v>
      </c>
      <c r="R153" s="19">
        <v>2.4946315642547572E-4</v>
      </c>
      <c r="S153" s="19">
        <v>0.89493697933301164</v>
      </c>
      <c r="T153" s="2">
        <v>12555</v>
      </c>
      <c r="U153" s="2">
        <v>19897</v>
      </c>
      <c r="V153" s="19">
        <v>0.58478693747510957</v>
      </c>
    </row>
    <row r="154" spans="3:22">
      <c r="C154" t="s">
        <v>139</v>
      </c>
      <c r="D154" s="8">
        <v>46012.422557382153</v>
      </c>
      <c r="E154" s="8">
        <v>83253.584260193384</v>
      </c>
      <c r="F154" s="19">
        <v>5.4183082522337323E-4</v>
      </c>
      <c r="G154" s="19">
        <v>0.80937189639097418</v>
      </c>
      <c r="H154" s="2">
        <v>4958</v>
      </c>
      <c r="I154" s="2">
        <v>6823</v>
      </c>
      <c r="J154" s="19">
        <v>0.37615974183138362</v>
      </c>
      <c r="N154" s="56"/>
      <c r="O154" t="s">
        <v>171</v>
      </c>
      <c r="P154" s="8">
        <v>31370.739331505491</v>
      </c>
      <c r="Q154" s="8">
        <v>30109.785049032223</v>
      </c>
      <c r="R154" s="19">
        <v>1.8670080075107698E-4</v>
      </c>
      <c r="S154" s="19">
        <v>-4.0195236368143115E-2</v>
      </c>
      <c r="T154" s="2">
        <v>20736</v>
      </c>
      <c r="U154" s="2">
        <v>19321</v>
      </c>
      <c r="V154" s="19">
        <v>-6.8238811728395063E-2</v>
      </c>
    </row>
    <row r="155" spans="3:22">
      <c r="C155" t="s">
        <v>147</v>
      </c>
      <c r="D155" s="8">
        <v>61305.929514329036</v>
      </c>
      <c r="E155" s="8">
        <v>81390.160456446232</v>
      </c>
      <c r="F155" s="19">
        <v>4.9601502272443414E-4</v>
      </c>
      <c r="G155" s="19">
        <v>0.32760666221401813</v>
      </c>
      <c r="H155" s="2">
        <v>19286</v>
      </c>
      <c r="I155" s="2">
        <v>22591</v>
      </c>
      <c r="J155" s="19">
        <v>0.17136783158768018</v>
      </c>
      <c r="N155" s="56"/>
      <c r="O155" t="s">
        <v>324</v>
      </c>
      <c r="P155" s="8"/>
      <c r="Q155" s="8">
        <v>80725.274399810776</v>
      </c>
      <c r="R155" s="19">
        <v>5.0373103134809859E-4</v>
      </c>
      <c r="S155" s="19"/>
      <c r="T155" s="2"/>
      <c r="U155" s="2">
        <v>19067</v>
      </c>
      <c r="V155" s="19"/>
    </row>
    <row r="156" spans="3:22">
      <c r="C156" t="s">
        <v>137</v>
      </c>
      <c r="D156" s="8">
        <v>63029.211306033256</v>
      </c>
      <c r="E156" s="8">
        <v>81027.71134511476</v>
      </c>
      <c r="F156" s="19">
        <v>4.9196789590755783E-4</v>
      </c>
      <c r="G156" s="19">
        <v>0.28555807166444203</v>
      </c>
      <c r="H156" s="2">
        <v>13450</v>
      </c>
      <c r="I156" s="2">
        <v>20722</v>
      </c>
      <c r="J156" s="19">
        <v>0.54066914498141261</v>
      </c>
      <c r="N156" s="56"/>
      <c r="O156" t="s">
        <v>173</v>
      </c>
      <c r="P156" s="8">
        <v>23930.517561237906</v>
      </c>
      <c r="Q156" s="8">
        <v>100171.43579237307</v>
      </c>
      <c r="R156" s="19">
        <v>6.1922495652130881E-4</v>
      </c>
      <c r="S156" s="19">
        <v>3.1859285130810719</v>
      </c>
      <c r="T156" s="2">
        <v>4095</v>
      </c>
      <c r="U156" s="2">
        <v>18139</v>
      </c>
      <c r="V156" s="19">
        <v>3.4295482295482294</v>
      </c>
    </row>
    <row r="157" spans="3:22">
      <c r="C157" t="s">
        <v>324</v>
      </c>
      <c r="D157" s="8"/>
      <c r="E157" s="8">
        <v>80725.274399810776</v>
      </c>
      <c r="F157" s="19">
        <v>5.0373103134809859E-4</v>
      </c>
      <c r="G157" s="19"/>
      <c r="H157" s="2"/>
      <c r="I157" s="2">
        <v>19067</v>
      </c>
      <c r="J157" s="19"/>
      <c r="N157" s="56"/>
      <c r="O157" t="s">
        <v>136</v>
      </c>
      <c r="P157" s="8">
        <v>52120.172227241346</v>
      </c>
      <c r="Q157" s="8">
        <v>57160.507041938457</v>
      </c>
      <c r="R157" s="19">
        <v>3.6045542114411191E-4</v>
      </c>
      <c r="S157" s="19">
        <v>9.6706027614826426E-2</v>
      </c>
      <c r="T157" s="2">
        <v>9949</v>
      </c>
      <c r="U157" s="2">
        <v>18134</v>
      </c>
      <c r="V157" s="19">
        <v>0.82269574831641368</v>
      </c>
    </row>
    <row r="158" spans="3:22">
      <c r="C158" t="s">
        <v>200</v>
      </c>
      <c r="D158" s="8">
        <v>14115.199319702779</v>
      </c>
      <c r="E158" s="8">
        <v>79558.628531232782</v>
      </c>
      <c r="F158" s="19">
        <v>4.8944045106041878E-4</v>
      </c>
      <c r="G158" s="19">
        <v>4.6363800984503589</v>
      </c>
      <c r="H158" s="2">
        <v>10339</v>
      </c>
      <c r="I158" s="2">
        <v>46897</v>
      </c>
      <c r="J158" s="19">
        <v>3.5359319083083469</v>
      </c>
      <c r="N158" s="56"/>
      <c r="O158" t="s">
        <v>113</v>
      </c>
      <c r="P158" s="8">
        <v>95716.704535171404</v>
      </c>
      <c r="Q158" s="8">
        <v>51829.006281395341</v>
      </c>
      <c r="R158" s="19">
        <v>3.2999030302083461E-4</v>
      </c>
      <c r="S158" s="19">
        <v>-0.45851660341742534</v>
      </c>
      <c r="T158" s="2">
        <v>47261</v>
      </c>
      <c r="U158" s="2">
        <v>17802</v>
      </c>
      <c r="V158" s="19">
        <v>-0.62332578658936544</v>
      </c>
    </row>
    <row r="159" spans="3:22">
      <c r="C159" t="s">
        <v>317</v>
      </c>
      <c r="D159" s="8"/>
      <c r="E159" s="8">
        <v>78544.682899543914</v>
      </c>
      <c r="F159" s="19">
        <v>4.8446081334367706E-4</v>
      </c>
      <c r="G159" s="19"/>
      <c r="H159" s="2"/>
      <c r="I159" s="2">
        <v>9947</v>
      </c>
      <c r="J159" s="19"/>
      <c r="N159" s="56"/>
      <c r="O159" t="s">
        <v>163</v>
      </c>
      <c r="P159" s="8">
        <v>31029.050157487382</v>
      </c>
      <c r="Q159" s="8">
        <v>21975.428480284521</v>
      </c>
      <c r="R159" s="19">
        <v>1.4451780567541767E-4</v>
      </c>
      <c r="S159" s="19">
        <v>-0.29177888563302351</v>
      </c>
      <c r="T159" s="2">
        <v>20395</v>
      </c>
      <c r="U159" s="2">
        <v>17639</v>
      </c>
      <c r="V159" s="19">
        <v>-0.13513115959794067</v>
      </c>
    </row>
    <row r="160" spans="3:22">
      <c r="C160" t="s">
        <v>115</v>
      </c>
      <c r="D160" s="8">
        <v>95958.477544231908</v>
      </c>
      <c r="E160" s="8">
        <v>76986.508125751308</v>
      </c>
      <c r="F160" s="19">
        <v>4.6270728892641711E-4</v>
      </c>
      <c r="G160" s="19">
        <v>-0.19771019615995367</v>
      </c>
      <c r="H160" s="2">
        <v>12191</v>
      </c>
      <c r="I160" s="2">
        <v>7471</v>
      </c>
      <c r="J160" s="19">
        <v>-0.38717086375194815</v>
      </c>
      <c r="N160" s="56"/>
      <c r="O160" t="s">
        <v>126</v>
      </c>
      <c r="P160" s="8">
        <v>102082.14768528732</v>
      </c>
      <c r="Q160" s="8">
        <v>90909.976451451032</v>
      </c>
      <c r="R160" s="19">
        <v>5.3273330367074401E-4</v>
      </c>
      <c r="S160" s="19">
        <v>-0.10944294851906299</v>
      </c>
      <c r="T160" s="2">
        <v>46984</v>
      </c>
      <c r="U160" s="2">
        <v>17499</v>
      </c>
      <c r="V160" s="19">
        <v>-0.62755406095692146</v>
      </c>
    </row>
    <row r="161" spans="3:22">
      <c r="C161" t="s">
        <v>153</v>
      </c>
      <c r="D161" s="8">
        <v>60250.860864728857</v>
      </c>
      <c r="E161" s="8">
        <v>76195.708002725805</v>
      </c>
      <c r="F161" s="19">
        <v>4.4733733069429597E-4</v>
      </c>
      <c r="G161" s="19">
        <v>0.26464098452958601</v>
      </c>
      <c r="H161" s="2">
        <v>9698</v>
      </c>
      <c r="I161" s="2">
        <v>8188</v>
      </c>
      <c r="J161" s="19">
        <v>-0.15570220664054443</v>
      </c>
      <c r="N161" s="56"/>
      <c r="O161" t="s">
        <v>169</v>
      </c>
      <c r="P161" s="8">
        <v>27374.136116402799</v>
      </c>
      <c r="Q161" s="8">
        <v>25276.033235687406</v>
      </c>
      <c r="R161" s="19">
        <v>1.5334640436077946E-4</v>
      </c>
      <c r="S161" s="19">
        <v>-7.6645446336412154E-2</v>
      </c>
      <c r="T161" s="2">
        <v>24975</v>
      </c>
      <c r="U161" s="2">
        <v>17331</v>
      </c>
      <c r="V161" s="19">
        <v>-0.30606606606606607</v>
      </c>
    </row>
    <row r="162" spans="3:22">
      <c r="C162" t="s">
        <v>152</v>
      </c>
      <c r="D162" s="8">
        <v>44980.361993167753</v>
      </c>
      <c r="E162" s="8">
        <v>74096.642138133204</v>
      </c>
      <c r="F162" s="19">
        <v>4.552026795515365E-4</v>
      </c>
      <c r="G162" s="19">
        <v>0.64731093425588793</v>
      </c>
      <c r="H162" s="2">
        <v>3820</v>
      </c>
      <c r="I162" s="2">
        <v>5235</v>
      </c>
      <c r="J162" s="19">
        <v>0.37041884816753928</v>
      </c>
      <c r="N162" s="56"/>
      <c r="O162" t="s">
        <v>272</v>
      </c>
      <c r="P162" s="8">
        <v>1367.8838000000001</v>
      </c>
      <c r="Q162" s="8">
        <v>9629.5270638046368</v>
      </c>
      <c r="R162" s="19">
        <v>6.3798425150485863E-5</v>
      </c>
      <c r="S162" s="19">
        <v>6.0397259356420747</v>
      </c>
      <c r="T162" s="2">
        <v>2018</v>
      </c>
      <c r="U162" s="2">
        <v>16917</v>
      </c>
      <c r="V162" s="19">
        <v>7.3830525272547076</v>
      </c>
    </row>
    <row r="163" spans="3:22">
      <c r="C163" t="s">
        <v>148</v>
      </c>
      <c r="D163" s="8">
        <v>48615.84660915631</v>
      </c>
      <c r="E163" s="8">
        <v>73930.045295665797</v>
      </c>
      <c r="F163" s="19">
        <v>4.4906413445002039E-4</v>
      </c>
      <c r="G163" s="19">
        <v>0.52069850577778087</v>
      </c>
      <c r="H163" s="2">
        <v>15397</v>
      </c>
      <c r="I163" s="2">
        <v>21755</v>
      </c>
      <c r="J163" s="19">
        <v>0.41293758524387869</v>
      </c>
      <c r="N163" s="56"/>
      <c r="O163" t="s">
        <v>269</v>
      </c>
      <c r="P163" s="8"/>
      <c r="Q163" s="8">
        <v>54261.301350901311</v>
      </c>
      <c r="R163" s="19">
        <v>3.3526251026276983E-4</v>
      </c>
      <c r="S163" s="19"/>
      <c r="T163" s="2"/>
      <c r="U163" s="2">
        <v>16638</v>
      </c>
      <c r="V163" s="19"/>
    </row>
    <row r="164" spans="3:22">
      <c r="C164" t="s">
        <v>146</v>
      </c>
      <c r="D164" s="8">
        <v>57628.417484384649</v>
      </c>
      <c r="E164" s="8">
        <v>71686.142579051768</v>
      </c>
      <c r="F164" s="19">
        <v>4.1615848341858866E-4</v>
      </c>
      <c r="G164" s="19">
        <v>0.24393737861145132</v>
      </c>
      <c r="H164" s="2">
        <v>2613</v>
      </c>
      <c r="I164" s="2">
        <v>1773</v>
      </c>
      <c r="J164" s="19">
        <v>-0.32146957520091851</v>
      </c>
      <c r="N164" s="56"/>
      <c r="O164" t="s">
        <v>338</v>
      </c>
      <c r="P164" s="8"/>
      <c r="Q164" s="8">
        <v>31356.723353034769</v>
      </c>
      <c r="R164" s="19">
        <v>1.9592556390415067E-4</v>
      </c>
      <c r="S164" s="19"/>
      <c r="T164" s="2"/>
      <c r="U164" s="2">
        <v>16503</v>
      </c>
      <c r="V164" s="19"/>
    </row>
    <row r="165" spans="3:22">
      <c r="C165" t="s">
        <v>160</v>
      </c>
      <c r="D165" s="8">
        <v>38533.14438499495</v>
      </c>
      <c r="E165" s="8">
        <v>69974.555164720674</v>
      </c>
      <c r="F165" s="19">
        <v>4.3321267212699819E-4</v>
      </c>
      <c r="G165" s="19">
        <v>0.8159575679987644</v>
      </c>
      <c r="H165" s="2">
        <v>6998</v>
      </c>
      <c r="I165" s="2">
        <v>7205</v>
      </c>
      <c r="J165" s="19">
        <v>2.9579879965704488E-2</v>
      </c>
      <c r="N165" s="56"/>
      <c r="O165" t="s">
        <v>322</v>
      </c>
      <c r="P165" s="8"/>
      <c r="Q165" s="8">
        <v>24475.917740665216</v>
      </c>
      <c r="R165" s="19">
        <v>1.4711136697744505E-4</v>
      </c>
      <c r="S165" s="19"/>
      <c r="T165" s="2"/>
      <c r="U165" s="2">
        <v>15439</v>
      </c>
      <c r="V165" s="19"/>
    </row>
    <row r="166" spans="3:22">
      <c r="C166" t="s">
        <v>199</v>
      </c>
      <c r="D166" s="8">
        <v>27423.147827171346</v>
      </c>
      <c r="E166" s="8">
        <v>66979.682276965425</v>
      </c>
      <c r="F166" s="19">
        <v>3.9703822654258607E-4</v>
      </c>
      <c r="G166" s="19">
        <v>1.4424505421146714</v>
      </c>
      <c r="H166" s="2">
        <v>1726</v>
      </c>
      <c r="I166" s="2">
        <v>4841</v>
      </c>
      <c r="J166" s="19">
        <v>1.8047508690614136</v>
      </c>
      <c r="N166" s="56"/>
      <c r="O166" t="s">
        <v>222</v>
      </c>
      <c r="P166" s="8">
        <v>6544.5839282826719</v>
      </c>
      <c r="Q166" s="8">
        <v>42296.332879988258</v>
      </c>
      <c r="R166" s="19">
        <v>2.7009283435911429E-4</v>
      </c>
      <c r="S166" s="19">
        <v>5.4627993686814875</v>
      </c>
      <c r="T166" s="2">
        <v>1108</v>
      </c>
      <c r="U166" s="2">
        <v>15438</v>
      </c>
      <c r="V166" s="19">
        <v>12.933212996389893</v>
      </c>
    </row>
    <row r="167" spans="3:22">
      <c r="C167" t="s">
        <v>145</v>
      </c>
      <c r="D167" s="8">
        <v>53962.855616592242</v>
      </c>
      <c r="E167" s="8">
        <v>65584.289705793853</v>
      </c>
      <c r="F167" s="19">
        <v>3.9486875902417857E-4</v>
      </c>
      <c r="G167" s="19">
        <v>0.21535987961371542</v>
      </c>
      <c r="H167" s="2">
        <v>30691</v>
      </c>
      <c r="I167" s="2">
        <v>30118</v>
      </c>
      <c r="J167" s="19">
        <v>-1.8669968394643379E-2</v>
      </c>
      <c r="N167" s="56"/>
      <c r="O167" t="s">
        <v>287</v>
      </c>
      <c r="P167" s="8"/>
      <c r="Q167" s="8">
        <v>88959.549664744278</v>
      </c>
      <c r="R167" s="19">
        <v>5.7648728345131275E-4</v>
      </c>
      <c r="S167" s="19"/>
      <c r="T167" s="2"/>
      <c r="U167" s="2">
        <v>14633</v>
      </c>
      <c r="V167" s="19"/>
    </row>
    <row r="168" spans="3:22">
      <c r="C168" t="s">
        <v>188</v>
      </c>
      <c r="D168" s="8">
        <v>16572.765906419085</v>
      </c>
      <c r="E168" s="8">
        <v>61020.844786210189</v>
      </c>
      <c r="F168" s="19">
        <v>3.7019788422660129E-4</v>
      </c>
      <c r="G168" s="19">
        <v>2.6819952161742147</v>
      </c>
      <c r="H168" s="2">
        <v>8697</v>
      </c>
      <c r="I168" s="2">
        <v>32637</v>
      </c>
      <c r="J168" s="19">
        <v>2.7526733356329767</v>
      </c>
      <c r="N168" s="56"/>
      <c r="O168" t="s">
        <v>156</v>
      </c>
      <c r="P168" s="8">
        <v>45745.745895899257</v>
      </c>
      <c r="Q168" s="8">
        <v>45797.647018492222</v>
      </c>
      <c r="R168" s="19">
        <v>2.8271168954304598E-4</v>
      </c>
      <c r="S168" s="19">
        <v>1.1345562647742708E-3</v>
      </c>
      <c r="T168" s="2">
        <v>15886</v>
      </c>
      <c r="U168" s="2">
        <v>14009</v>
      </c>
      <c r="V168" s="19">
        <v>-0.11815434974191112</v>
      </c>
    </row>
    <row r="169" spans="3:22">
      <c r="C169" t="s">
        <v>155</v>
      </c>
      <c r="D169" s="8">
        <v>49491.91814800971</v>
      </c>
      <c r="E169" s="8">
        <v>60571.756548388141</v>
      </c>
      <c r="F169" s="19">
        <v>3.59051538309099E-4</v>
      </c>
      <c r="G169" s="19">
        <v>0.22387167066839578</v>
      </c>
      <c r="H169" s="2">
        <v>7312</v>
      </c>
      <c r="I169" s="2">
        <v>7090</v>
      </c>
      <c r="J169" s="19">
        <v>-3.0361050328227571E-2</v>
      </c>
      <c r="N169" s="56"/>
      <c r="O169" t="s">
        <v>125</v>
      </c>
      <c r="P169" s="8">
        <v>77771.095223388445</v>
      </c>
      <c r="Q169" s="8">
        <v>114935.26258132326</v>
      </c>
      <c r="R169" s="19">
        <v>7.0837798651600793E-4</v>
      </c>
      <c r="S169" s="19">
        <v>0.47786606645033164</v>
      </c>
      <c r="T169" s="2">
        <v>11129</v>
      </c>
      <c r="U169" s="2">
        <v>13848</v>
      </c>
      <c r="V169" s="19">
        <v>0.24431665019318896</v>
      </c>
    </row>
    <row r="170" spans="3:22">
      <c r="C170" t="s">
        <v>192</v>
      </c>
      <c r="D170" s="8">
        <v>22025.668309640929</v>
      </c>
      <c r="E170" s="8">
        <v>58953.907708979401</v>
      </c>
      <c r="F170" s="19">
        <v>3.5996984529166812E-4</v>
      </c>
      <c r="G170" s="19">
        <v>1.6766001775834649</v>
      </c>
      <c r="H170" s="2">
        <v>17953</v>
      </c>
      <c r="I170" s="2">
        <v>24387</v>
      </c>
      <c r="J170" s="19">
        <v>0.3583802150058486</v>
      </c>
      <c r="N170" s="56"/>
      <c r="O170" t="s">
        <v>129</v>
      </c>
      <c r="P170" s="8">
        <v>97852.000734949615</v>
      </c>
      <c r="Q170" s="8">
        <v>41077.778310915586</v>
      </c>
      <c r="R170" s="19">
        <v>2.5075387492714868E-4</v>
      </c>
      <c r="S170" s="19">
        <v>-0.5802050238892672</v>
      </c>
      <c r="T170" s="2">
        <v>30750</v>
      </c>
      <c r="U170" s="2">
        <v>13767</v>
      </c>
      <c r="V170" s="19">
        <v>-0.55229268292682931</v>
      </c>
    </row>
    <row r="171" spans="3:22">
      <c r="C171" t="s">
        <v>130</v>
      </c>
      <c r="D171" s="8">
        <v>79138.858223031944</v>
      </c>
      <c r="E171" s="8">
        <v>58931.637741879662</v>
      </c>
      <c r="F171" s="19">
        <v>3.4720331977519225E-4</v>
      </c>
      <c r="G171" s="19">
        <v>-0.25533879228082335</v>
      </c>
      <c r="H171" s="2">
        <v>35723</v>
      </c>
      <c r="I171" s="2">
        <v>24148</v>
      </c>
      <c r="J171" s="19">
        <v>-0.3240209388909106</v>
      </c>
      <c r="N171" s="56"/>
      <c r="O171" t="s">
        <v>170</v>
      </c>
      <c r="P171" s="8">
        <v>34914.920315577219</v>
      </c>
      <c r="Q171" s="8">
        <v>43617.449813604129</v>
      </c>
      <c r="R171" s="19">
        <v>2.6205552304473878E-4</v>
      </c>
      <c r="S171" s="19">
        <v>0.2492495878372174</v>
      </c>
      <c r="T171" s="2">
        <v>16888</v>
      </c>
      <c r="U171" s="2">
        <v>13492</v>
      </c>
      <c r="V171" s="19">
        <v>-0.20108953102794883</v>
      </c>
    </row>
    <row r="172" spans="3:22">
      <c r="C172" t="s">
        <v>183</v>
      </c>
      <c r="D172" s="8">
        <v>33492.515439615549</v>
      </c>
      <c r="E172" s="8">
        <v>58146.972091029209</v>
      </c>
      <c r="F172" s="19">
        <v>3.4352771104596705E-4</v>
      </c>
      <c r="G172" s="19">
        <v>0.73611839325307671</v>
      </c>
      <c r="H172" s="2">
        <v>2959</v>
      </c>
      <c r="I172" s="2">
        <v>2355</v>
      </c>
      <c r="J172" s="19">
        <v>-0.20412301453193646</v>
      </c>
      <c r="N172" s="56"/>
      <c r="O172" t="s">
        <v>127</v>
      </c>
      <c r="P172" s="8">
        <v>73741.469948855447</v>
      </c>
      <c r="Q172" s="8">
        <v>112883.17132127099</v>
      </c>
      <c r="R172" s="19">
        <v>6.8887894194367375E-4</v>
      </c>
      <c r="S172" s="19">
        <v>0.5307963266742971</v>
      </c>
      <c r="T172" s="2">
        <v>11943</v>
      </c>
      <c r="U172" s="2">
        <v>13156</v>
      </c>
      <c r="V172" s="19">
        <v>0.10156577074436908</v>
      </c>
    </row>
    <row r="173" spans="3:22">
      <c r="C173" t="s">
        <v>136</v>
      </c>
      <c r="D173" s="8">
        <v>52120.172227241346</v>
      </c>
      <c r="E173" s="8">
        <v>57160.507041938457</v>
      </c>
      <c r="F173" s="19">
        <v>3.6045542114411191E-4</v>
      </c>
      <c r="G173" s="19">
        <v>9.6706027614826426E-2</v>
      </c>
      <c r="H173" s="2">
        <v>9949</v>
      </c>
      <c r="I173" s="2">
        <v>18134</v>
      </c>
      <c r="J173" s="19">
        <v>0.82269574831641368</v>
      </c>
      <c r="N173" s="56"/>
      <c r="O173" t="s">
        <v>162</v>
      </c>
      <c r="P173" s="8">
        <v>36291.897289487053</v>
      </c>
      <c r="Q173" s="8">
        <v>50979.608236093241</v>
      </c>
      <c r="R173" s="19">
        <v>3.0778537906668736E-4</v>
      </c>
      <c r="S173" s="19">
        <v>0.40471047378558761</v>
      </c>
      <c r="T173" s="2">
        <v>11582</v>
      </c>
      <c r="U173" s="2">
        <v>12842</v>
      </c>
      <c r="V173" s="19">
        <v>0.10878950094974961</v>
      </c>
    </row>
    <row r="174" spans="3:22">
      <c r="C174" t="s">
        <v>164</v>
      </c>
      <c r="D174" s="8">
        <v>43883.973992420484</v>
      </c>
      <c r="E174" s="8">
        <v>57096.880050262502</v>
      </c>
      <c r="F174" s="19">
        <v>3.4467277368327941E-4</v>
      </c>
      <c r="G174" s="19">
        <v>0.30108727300139487</v>
      </c>
      <c r="H174" s="2">
        <v>25616</v>
      </c>
      <c r="I174" s="2">
        <v>37026</v>
      </c>
      <c r="J174" s="19">
        <v>0.44542473454091192</v>
      </c>
      <c r="N174" s="56"/>
      <c r="O174" t="s">
        <v>117</v>
      </c>
      <c r="P174" s="8">
        <v>76323.115467973301</v>
      </c>
      <c r="Q174" s="8">
        <v>50566.664812618867</v>
      </c>
      <c r="R174" s="19">
        <v>3.1364979755065024E-4</v>
      </c>
      <c r="S174" s="19">
        <v>-0.33746592362522665</v>
      </c>
      <c r="T174" s="2">
        <v>12728</v>
      </c>
      <c r="U174" s="2">
        <v>12669</v>
      </c>
      <c r="V174" s="19">
        <v>-4.6354494028912636E-3</v>
      </c>
    </row>
    <row r="175" spans="3:22">
      <c r="C175" t="s">
        <v>269</v>
      </c>
      <c r="D175" s="8"/>
      <c r="E175" s="8">
        <v>54261.301350901311</v>
      </c>
      <c r="F175" s="19">
        <v>3.3526251026276983E-4</v>
      </c>
      <c r="G175" s="19"/>
      <c r="H175" s="2"/>
      <c r="I175" s="2">
        <v>16638</v>
      </c>
      <c r="J175" s="19"/>
      <c r="N175" s="56"/>
      <c r="O175" t="s">
        <v>266</v>
      </c>
      <c r="P175" s="8">
        <v>8807.0641134438429</v>
      </c>
      <c r="Q175" s="8">
        <v>128431.04116208277</v>
      </c>
      <c r="R175" s="19">
        <v>8.1394248385869379E-4</v>
      </c>
      <c r="S175" s="19">
        <v>13.582730352335556</v>
      </c>
      <c r="T175" s="2">
        <v>944</v>
      </c>
      <c r="U175" s="2">
        <v>12213</v>
      </c>
      <c r="V175" s="19">
        <v>11.9375</v>
      </c>
    </row>
    <row r="176" spans="3:22">
      <c r="C176" t="s">
        <v>158</v>
      </c>
      <c r="D176" s="8">
        <v>41324.015370416375</v>
      </c>
      <c r="E176" s="8">
        <v>53992.24059177946</v>
      </c>
      <c r="F176" s="19">
        <v>3.2509252794424493E-4</v>
      </c>
      <c r="G176" s="19">
        <v>0.30655842874437111</v>
      </c>
      <c r="H176" s="2">
        <v>8490</v>
      </c>
      <c r="I176" s="2">
        <v>7063</v>
      </c>
      <c r="J176" s="19">
        <v>-0.16808009422850412</v>
      </c>
      <c r="N176" s="56"/>
      <c r="O176" t="s">
        <v>80</v>
      </c>
      <c r="P176" s="8">
        <v>307737.61517766648</v>
      </c>
      <c r="Q176" s="8">
        <v>271318.92954549374</v>
      </c>
      <c r="R176" s="19">
        <v>1.6577852667043081E-3</v>
      </c>
      <c r="S176" s="19">
        <v>-0.11834330233288869</v>
      </c>
      <c r="T176" s="2">
        <v>11908</v>
      </c>
      <c r="U176" s="2">
        <v>11695</v>
      </c>
      <c r="V176" s="19">
        <v>-1.7887134699361772E-2</v>
      </c>
    </row>
    <row r="177" spans="3:22">
      <c r="C177" t="s">
        <v>167</v>
      </c>
      <c r="D177" s="8">
        <v>34678.070195672117</v>
      </c>
      <c r="E177" s="8">
        <v>52059.229805707655</v>
      </c>
      <c r="F177" s="19">
        <v>3.1817327722163583E-4</v>
      </c>
      <c r="G177" s="19">
        <v>0.50121473057646493</v>
      </c>
      <c r="H177" s="2">
        <v>8463</v>
      </c>
      <c r="I177" s="2">
        <v>11636</v>
      </c>
      <c r="J177" s="19">
        <v>0.37492614911969752</v>
      </c>
      <c r="N177" s="56"/>
      <c r="O177" t="s">
        <v>167</v>
      </c>
      <c r="P177" s="8">
        <v>34678.070195672117</v>
      </c>
      <c r="Q177" s="8">
        <v>52059.229805707655</v>
      </c>
      <c r="R177" s="19">
        <v>3.1817327722163583E-4</v>
      </c>
      <c r="S177" s="19">
        <v>0.50121473057646493</v>
      </c>
      <c r="T177" s="2">
        <v>8463</v>
      </c>
      <c r="U177" s="2">
        <v>11636</v>
      </c>
      <c r="V177" s="19">
        <v>0.37492614911969752</v>
      </c>
    </row>
    <row r="178" spans="3:22">
      <c r="C178" t="s">
        <v>3577</v>
      </c>
      <c r="D178" s="8"/>
      <c r="E178" s="8">
        <v>51888.756974620839</v>
      </c>
      <c r="F178" s="19">
        <v>3.6499293329128049E-4</v>
      </c>
      <c r="G178" s="19"/>
      <c r="H178" s="2"/>
      <c r="I178" s="2">
        <v>22881</v>
      </c>
      <c r="J178" s="19"/>
      <c r="N178" s="56"/>
      <c r="O178" t="s">
        <v>94</v>
      </c>
      <c r="P178" s="8">
        <v>193364.13040867395</v>
      </c>
      <c r="Q178" s="8">
        <v>128625.61665853002</v>
      </c>
      <c r="R178" s="19">
        <v>8.0976505280946247E-4</v>
      </c>
      <c r="S178" s="19">
        <v>-0.33480104926037452</v>
      </c>
      <c r="T178" s="2">
        <v>19338</v>
      </c>
      <c r="U178" s="2">
        <v>10860</v>
      </c>
      <c r="V178" s="19">
        <v>-0.43841141793360222</v>
      </c>
    </row>
    <row r="179" spans="3:22">
      <c r="C179" t="s">
        <v>113</v>
      </c>
      <c r="D179" s="8">
        <v>95716.704535171404</v>
      </c>
      <c r="E179" s="8">
        <v>51829.006281395341</v>
      </c>
      <c r="F179" s="19">
        <v>3.2999030302083461E-4</v>
      </c>
      <c r="G179" s="19">
        <v>-0.45851660341742534</v>
      </c>
      <c r="H179" s="2">
        <v>47261</v>
      </c>
      <c r="I179" s="2">
        <v>17802</v>
      </c>
      <c r="J179" s="19">
        <v>-0.62332578658936544</v>
      </c>
      <c r="N179" s="56"/>
      <c r="O179" t="s">
        <v>111</v>
      </c>
      <c r="P179" s="8">
        <v>108548.54742289311</v>
      </c>
      <c r="Q179" s="8">
        <v>33208.3121779379</v>
      </c>
      <c r="R179" s="19">
        <v>1.7581461524865949E-4</v>
      </c>
      <c r="S179" s="19">
        <v>-0.69406949271682106</v>
      </c>
      <c r="T179" s="2">
        <v>34098</v>
      </c>
      <c r="U179" s="2">
        <v>10743</v>
      </c>
      <c r="V179" s="19">
        <v>-0.68493753299313742</v>
      </c>
    </row>
    <row r="180" spans="3:22">
      <c r="C180" t="s">
        <v>162</v>
      </c>
      <c r="D180" s="8">
        <v>36291.897289487053</v>
      </c>
      <c r="E180" s="8">
        <v>50979.608236093241</v>
      </c>
      <c r="F180" s="19">
        <v>3.0778537906668736E-4</v>
      </c>
      <c r="G180" s="19">
        <v>0.40471047378558761</v>
      </c>
      <c r="H180" s="2">
        <v>11582</v>
      </c>
      <c r="I180" s="2">
        <v>12842</v>
      </c>
      <c r="J180" s="19">
        <v>0.10878950094974961</v>
      </c>
      <c r="N180" s="56"/>
      <c r="O180" t="s">
        <v>159</v>
      </c>
      <c r="P180" s="8">
        <v>103655.65284458877</v>
      </c>
      <c r="Q180" s="8">
        <v>104337.87184584845</v>
      </c>
      <c r="R180" s="19">
        <v>6.3457908741094797E-4</v>
      </c>
      <c r="S180" s="19">
        <v>6.5815899329922396E-3</v>
      </c>
      <c r="T180" s="2">
        <v>16701</v>
      </c>
      <c r="U180" s="2">
        <v>10575</v>
      </c>
      <c r="V180" s="19">
        <v>-0.36680438297107959</v>
      </c>
    </row>
    <row r="181" spans="3:22">
      <c r="C181" t="s">
        <v>117</v>
      </c>
      <c r="D181" s="8">
        <v>76323.115467973301</v>
      </c>
      <c r="E181" s="8">
        <v>50566.664812618867</v>
      </c>
      <c r="F181" s="19">
        <v>3.1364979755065024E-4</v>
      </c>
      <c r="G181" s="19">
        <v>-0.33746592362522665</v>
      </c>
      <c r="H181" s="2">
        <v>12728</v>
      </c>
      <c r="I181" s="2">
        <v>12669</v>
      </c>
      <c r="J181" s="19">
        <v>-4.6354494028912636E-3</v>
      </c>
      <c r="N181" s="56"/>
      <c r="O181" t="s">
        <v>181</v>
      </c>
      <c r="P181" s="8">
        <v>33289.915738447242</v>
      </c>
      <c r="Q181" s="8">
        <v>118500.50830605201</v>
      </c>
      <c r="R181" s="19">
        <v>7.1698853288602545E-4</v>
      </c>
      <c r="S181" s="19">
        <v>2.5596517947683841</v>
      </c>
      <c r="T181" s="2">
        <v>3614</v>
      </c>
      <c r="U181" s="2">
        <v>10475</v>
      </c>
      <c r="V181" s="19">
        <v>1.8984504703929164</v>
      </c>
    </row>
    <row r="182" spans="3:22">
      <c r="C182" t="s">
        <v>135</v>
      </c>
      <c r="D182" s="8">
        <v>71521.608496623579</v>
      </c>
      <c r="E182" s="8">
        <v>49597.997892987434</v>
      </c>
      <c r="F182" s="19">
        <v>3.0905250609172618E-4</v>
      </c>
      <c r="G182" s="19">
        <v>-0.30653128564175292</v>
      </c>
      <c r="H182" s="2">
        <v>20181</v>
      </c>
      <c r="I182" s="2">
        <v>9755</v>
      </c>
      <c r="J182" s="19">
        <v>-0.5166245478420296</v>
      </c>
      <c r="N182" s="56"/>
      <c r="O182" t="s">
        <v>317</v>
      </c>
      <c r="P182" s="8"/>
      <c r="Q182" s="8">
        <v>78544.682899543914</v>
      </c>
      <c r="R182" s="19">
        <v>4.8446081334367706E-4</v>
      </c>
      <c r="S182" s="19"/>
      <c r="T182" s="2"/>
      <c r="U182" s="2">
        <v>9947</v>
      </c>
      <c r="V182" s="19"/>
    </row>
    <row r="183" spans="3:22">
      <c r="C183" t="s">
        <v>271</v>
      </c>
      <c r="D183" s="8"/>
      <c r="E183" s="8">
        <v>49508.879560175512</v>
      </c>
      <c r="F183" s="19">
        <v>3.0523819504298295E-4</v>
      </c>
      <c r="G183" s="19"/>
      <c r="H183" s="2"/>
      <c r="I183" s="2">
        <v>4909</v>
      </c>
      <c r="J183" s="19"/>
      <c r="N183" s="56"/>
      <c r="O183" t="s">
        <v>135</v>
      </c>
      <c r="P183" s="8">
        <v>71521.608496623579</v>
      </c>
      <c r="Q183" s="8">
        <v>49597.997892987434</v>
      </c>
      <c r="R183" s="19">
        <v>3.0905250609172618E-4</v>
      </c>
      <c r="S183" s="19">
        <v>-0.30653128564175292</v>
      </c>
      <c r="T183" s="2">
        <v>20181</v>
      </c>
      <c r="U183" s="2">
        <v>9755</v>
      </c>
      <c r="V183" s="19">
        <v>-0.5166245478420296</v>
      </c>
    </row>
    <row r="184" spans="3:22">
      <c r="C184" t="s">
        <v>281</v>
      </c>
      <c r="D184" s="8">
        <v>51251.466085187283</v>
      </c>
      <c r="E184" s="8">
        <v>49213.865230167154</v>
      </c>
      <c r="F184" s="19">
        <v>2.9390785391725298E-4</v>
      </c>
      <c r="G184" s="19">
        <v>-3.9756928155642315E-2</v>
      </c>
      <c r="H184" s="2">
        <v>6584</v>
      </c>
      <c r="I184" s="2">
        <v>4995</v>
      </c>
      <c r="J184" s="19">
        <v>-0.24134264884568651</v>
      </c>
      <c r="N184" s="56"/>
      <c r="O184" t="s">
        <v>184</v>
      </c>
      <c r="P184" s="8">
        <v>16591.108857572894</v>
      </c>
      <c r="Q184" s="8">
        <v>26782.083753141127</v>
      </c>
      <c r="R184" s="19">
        <v>1.6888852625815626E-4</v>
      </c>
      <c r="S184" s="19">
        <v>0.61424314571455751</v>
      </c>
      <c r="T184" s="2">
        <v>8403</v>
      </c>
      <c r="U184" s="2">
        <v>9202</v>
      </c>
      <c r="V184" s="19">
        <v>9.5085088658812322E-2</v>
      </c>
    </row>
    <row r="185" spans="3:22">
      <c r="C185" t="s">
        <v>267</v>
      </c>
      <c r="D185" s="8"/>
      <c r="E185" s="8">
        <v>48087.306446574308</v>
      </c>
      <c r="F185" s="19">
        <v>2.9150944918752812E-4</v>
      </c>
      <c r="G185" s="19"/>
      <c r="H185" s="2"/>
      <c r="I185" s="2">
        <v>1658</v>
      </c>
      <c r="J185" s="19"/>
      <c r="N185" s="56"/>
      <c r="O185" t="s">
        <v>284</v>
      </c>
      <c r="P185" s="8"/>
      <c r="Q185" s="8">
        <v>96909.194767085326</v>
      </c>
      <c r="R185" s="19">
        <v>6.1116730395052038E-4</v>
      </c>
      <c r="S185" s="19"/>
      <c r="T185" s="2"/>
      <c r="U185" s="2">
        <v>9099</v>
      </c>
      <c r="V185" s="19"/>
    </row>
    <row r="186" spans="3:22">
      <c r="C186" t="s">
        <v>157</v>
      </c>
      <c r="D186" s="8">
        <v>43498.177603112243</v>
      </c>
      <c r="E186" s="8">
        <v>46492.594675438428</v>
      </c>
      <c r="F186" s="19">
        <v>2.8123938752238497E-4</v>
      </c>
      <c r="G186" s="19">
        <v>6.88400580743396E-2</v>
      </c>
      <c r="H186" s="2">
        <v>4670</v>
      </c>
      <c r="I186" s="2">
        <v>4349</v>
      </c>
      <c r="J186" s="19">
        <v>-6.8736616702355466E-2</v>
      </c>
      <c r="N186" s="56"/>
      <c r="O186" t="s">
        <v>331</v>
      </c>
      <c r="P186" s="8"/>
      <c r="Q186" s="8">
        <v>7738.6659586507685</v>
      </c>
      <c r="R186" s="19">
        <v>4.070504546739951E-5</v>
      </c>
      <c r="S186" s="19"/>
      <c r="T186" s="2"/>
      <c r="U186" s="2">
        <v>8700</v>
      </c>
      <c r="V186" s="19"/>
    </row>
    <row r="187" spans="3:22">
      <c r="C187" t="s">
        <v>156</v>
      </c>
      <c r="D187" s="8">
        <v>45745.745895899257</v>
      </c>
      <c r="E187" s="8">
        <v>45797.647018492222</v>
      </c>
      <c r="F187" s="19">
        <v>2.8271168954304598E-4</v>
      </c>
      <c r="G187" s="19">
        <v>1.1345562647742708E-3</v>
      </c>
      <c r="H187" s="2">
        <v>15886</v>
      </c>
      <c r="I187" s="2">
        <v>14009</v>
      </c>
      <c r="J187" s="19">
        <v>-0.11815434974191112</v>
      </c>
      <c r="N187" s="56"/>
      <c r="O187" t="s">
        <v>319</v>
      </c>
      <c r="P187" s="8"/>
      <c r="Q187" s="8">
        <v>17514.891102513437</v>
      </c>
      <c r="R187" s="19">
        <v>1.0819185486928384E-4</v>
      </c>
      <c r="S187" s="19"/>
      <c r="T187" s="2"/>
      <c r="U187" s="2">
        <v>8619</v>
      </c>
      <c r="V187" s="19"/>
    </row>
    <row r="188" spans="3:22">
      <c r="C188" t="s">
        <v>149</v>
      </c>
      <c r="D188" s="8">
        <v>62389.334924405863</v>
      </c>
      <c r="E188" s="8">
        <v>43736.982529113178</v>
      </c>
      <c r="F188" s="19">
        <v>2.6646403733802737E-4</v>
      </c>
      <c r="G188" s="19">
        <v>-0.29896700161803036</v>
      </c>
      <c r="H188" s="2">
        <v>5243</v>
      </c>
      <c r="I188" s="2">
        <v>2922</v>
      </c>
      <c r="J188" s="19">
        <v>-0.4426854854091169</v>
      </c>
      <c r="N188" s="56"/>
      <c r="O188" t="s">
        <v>138</v>
      </c>
      <c r="P188" s="8">
        <v>73069.125580080363</v>
      </c>
      <c r="Q188" s="8">
        <v>92354.160846280909</v>
      </c>
      <c r="R188" s="19">
        <v>5.5199776372498281E-4</v>
      </c>
      <c r="S188" s="19">
        <v>0.26392864445962261</v>
      </c>
      <c r="T188" s="2">
        <v>12615</v>
      </c>
      <c r="U188" s="2">
        <v>8582</v>
      </c>
      <c r="V188" s="19">
        <v>-0.31969877130400315</v>
      </c>
    </row>
    <row r="189" spans="3:22">
      <c r="C189" t="s">
        <v>170</v>
      </c>
      <c r="D189" s="8">
        <v>34914.920315577219</v>
      </c>
      <c r="E189" s="8">
        <v>43617.449813604129</v>
      </c>
      <c r="F189" s="19">
        <v>2.6205552304473878E-4</v>
      </c>
      <c r="G189" s="19">
        <v>0.2492495878372174</v>
      </c>
      <c r="H189" s="2">
        <v>16888</v>
      </c>
      <c r="I189" s="2">
        <v>13492</v>
      </c>
      <c r="J189" s="19">
        <v>-0.20108953102794883</v>
      </c>
      <c r="N189" s="56"/>
      <c r="O189" t="s">
        <v>97</v>
      </c>
      <c r="P189" s="8">
        <v>171725.5752578642</v>
      </c>
      <c r="Q189" s="8">
        <v>90648.529255463232</v>
      </c>
      <c r="R189" s="19">
        <v>5.5149944225778367E-4</v>
      </c>
      <c r="S189" s="19">
        <v>-0.47213145671898415</v>
      </c>
      <c r="T189" s="2">
        <v>16775</v>
      </c>
      <c r="U189" s="2">
        <v>8267</v>
      </c>
      <c r="V189" s="19">
        <v>-0.50718330849478388</v>
      </c>
    </row>
    <row r="190" spans="3:22">
      <c r="C190" t="s">
        <v>289</v>
      </c>
      <c r="D190" s="8"/>
      <c r="E190" s="8">
        <v>43293.792395347635</v>
      </c>
      <c r="F190" s="19">
        <v>2.739898180756776E-4</v>
      </c>
      <c r="G190" s="19"/>
      <c r="H190" s="2"/>
      <c r="I190" s="2">
        <v>3536</v>
      </c>
      <c r="J190" s="19"/>
      <c r="N190" s="56"/>
      <c r="O190" t="s">
        <v>153</v>
      </c>
      <c r="P190" s="8">
        <v>60250.860864728857</v>
      </c>
      <c r="Q190" s="8">
        <v>76195.708002725805</v>
      </c>
      <c r="R190" s="19">
        <v>4.4733733069429597E-4</v>
      </c>
      <c r="S190" s="19">
        <v>0.26464098452958601</v>
      </c>
      <c r="T190" s="2">
        <v>9698</v>
      </c>
      <c r="U190" s="2">
        <v>8188</v>
      </c>
      <c r="V190" s="19">
        <v>-0.15570220664054443</v>
      </c>
    </row>
    <row r="191" spans="3:22">
      <c r="C191" t="s">
        <v>222</v>
      </c>
      <c r="D191" s="8">
        <v>6544.5839282826719</v>
      </c>
      <c r="E191" s="8">
        <v>42296.332879988258</v>
      </c>
      <c r="F191" s="19">
        <v>2.7009283435911429E-4</v>
      </c>
      <c r="G191" s="19">
        <v>5.4627993686814875</v>
      </c>
      <c r="H191" s="2">
        <v>1108</v>
      </c>
      <c r="I191" s="2">
        <v>15438</v>
      </c>
      <c r="J191" s="19">
        <v>12.933212996389893</v>
      </c>
      <c r="N191" s="56"/>
      <c r="O191" t="s">
        <v>115</v>
      </c>
      <c r="P191" s="8">
        <v>95958.477544231908</v>
      </c>
      <c r="Q191" s="8">
        <v>76986.508125751308</v>
      </c>
      <c r="R191" s="19">
        <v>4.6270728892641711E-4</v>
      </c>
      <c r="S191" s="19">
        <v>-0.19771019615995367</v>
      </c>
      <c r="T191" s="2">
        <v>12191</v>
      </c>
      <c r="U191" s="2">
        <v>7471</v>
      </c>
      <c r="V191" s="19">
        <v>-0.38717086375194815</v>
      </c>
    </row>
    <row r="192" spans="3:22">
      <c r="C192" t="s">
        <v>174</v>
      </c>
      <c r="D192" s="8">
        <v>41548.362445656225</v>
      </c>
      <c r="E192" s="8">
        <v>41923.714215194021</v>
      </c>
      <c r="F192" s="19">
        <v>2.5572061482424818E-4</v>
      </c>
      <c r="G192" s="19">
        <v>9.0340929808904648E-3</v>
      </c>
      <c r="H192" s="2">
        <v>9557</v>
      </c>
      <c r="I192" s="2">
        <v>6323</v>
      </c>
      <c r="J192" s="19">
        <v>-0.33839070838129121</v>
      </c>
      <c r="N192" s="56"/>
      <c r="O192" t="s">
        <v>196</v>
      </c>
      <c r="P192" s="8">
        <v>13086.612100040405</v>
      </c>
      <c r="Q192" s="8">
        <v>19071.839733091259</v>
      </c>
      <c r="R192" s="19">
        <v>1.3027501435234495E-4</v>
      </c>
      <c r="S192" s="19">
        <v>0.45735501192339723</v>
      </c>
      <c r="T192" s="2">
        <v>9433</v>
      </c>
      <c r="U192" s="2">
        <v>7246</v>
      </c>
      <c r="V192" s="19">
        <v>-0.23184564825612211</v>
      </c>
    </row>
    <row r="193" spans="3:22">
      <c r="C193" t="s">
        <v>129</v>
      </c>
      <c r="D193" s="8">
        <v>97852.000734949615</v>
      </c>
      <c r="E193" s="8">
        <v>41077.778310915586</v>
      </c>
      <c r="F193" s="19">
        <v>2.5075387492714868E-4</v>
      </c>
      <c r="G193" s="19">
        <v>-0.5802050238892672</v>
      </c>
      <c r="H193" s="2">
        <v>30750</v>
      </c>
      <c r="I193" s="2">
        <v>13767</v>
      </c>
      <c r="J193" s="19">
        <v>-0.55229268292682931</v>
      </c>
      <c r="N193" s="56"/>
      <c r="O193" t="s">
        <v>160</v>
      </c>
      <c r="P193" s="8">
        <v>38533.14438499495</v>
      </c>
      <c r="Q193" s="8">
        <v>69974.555164720674</v>
      </c>
      <c r="R193" s="19">
        <v>4.3321267212699819E-4</v>
      </c>
      <c r="S193" s="19">
        <v>0.8159575679987644</v>
      </c>
      <c r="T193" s="2">
        <v>6998</v>
      </c>
      <c r="U193" s="2">
        <v>7205</v>
      </c>
      <c r="V193" s="19">
        <v>2.9579879965704488E-2</v>
      </c>
    </row>
    <row r="194" spans="3:22">
      <c r="C194" t="s">
        <v>165</v>
      </c>
      <c r="D194" s="8">
        <v>41676.915855385305</v>
      </c>
      <c r="E194" s="8">
        <v>40312.323020285548</v>
      </c>
      <c r="F194" s="19">
        <v>2.5499074226549838E-4</v>
      </c>
      <c r="G194" s="19">
        <v>-3.2742174105079083E-2</v>
      </c>
      <c r="H194" s="2">
        <v>7149</v>
      </c>
      <c r="I194" s="2">
        <v>6729</v>
      </c>
      <c r="J194" s="19">
        <v>-5.8749475451112046E-2</v>
      </c>
      <c r="N194" s="56"/>
      <c r="O194" t="s">
        <v>124</v>
      </c>
      <c r="P194" s="8">
        <v>107727.3625697517</v>
      </c>
      <c r="Q194" s="8">
        <v>111554.26407321104</v>
      </c>
      <c r="R194" s="19">
        <v>7.0095445348297128E-4</v>
      </c>
      <c r="S194" s="19">
        <v>3.5523950574595113E-2</v>
      </c>
      <c r="T194" s="2">
        <v>9575</v>
      </c>
      <c r="U194" s="2">
        <v>7140</v>
      </c>
      <c r="V194" s="19">
        <v>-0.25430809399477805</v>
      </c>
    </row>
    <row r="195" spans="3:22">
      <c r="C195" t="s">
        <v>182</v>
      </c>
      <c r="D195" s="8">
        <v>21015.231910925122</v>
      </c>
      <c r="E195" s="8">
        <v>39822.540077271166</v>
      </c>
      <c r="F195" s="19">
        <v>2.4946315642547572E-4</v>
      </c>
      <c r="G195" s="19">
        <v>0.89493697933301164</v>
      </c>
      <c r="H195" s="2">
        <v>12555</v>
      </c>
      <c r="I195" s="2">
        <v>19897</v>
      </c>
      <c r="J195" s="19">
        <v>0.58478693747510957</v>
      </c>
      <c r="N195" s="56"/>
      <c r="O195" t="s">
        <v>268</v>
      </c>
      <c r="P195" s="8">
        <v>5881.807135998818</v>
      </c>
      <c r="Q195" s="8">
        <v>39068.454438176552</v>
      </c>
      <c r="R195" s="19">
        <v>2.3831420912426694E-4</v>
      </c>
      <c r="S195" s="19">
        <v>5.6422535684761366</v>
      </c>
      <c r="T195" s="2">
        <v>1246</v>
      </c>
      <c r="U195" s="2">
        <v>7100</v>
      </c>
      <c r="V195" s="19">
        <v>4.6982343499197432</v>
      </c>
    </row>
    <row r="196" spans="3:22">
      <c r="C196" t="s">
        <v>2281</v>
      </c>
      <c r="D196" s="8"/>
      <c r="E196" s="8">
        <v>39669.288810768921</v>
      </c>
      <c r="F196" s="19">
        <v>2.3938158590995837E-4</v>
      </c>
      <c r="G196" s="19"/>
      <c r="H196" s="2"/>
      <c r="I196" s="2">
        <v>23580</v>
      </c>
      <c r="J196" s="19"/>
      <c r="N196" s="56"/>
      <c r="O196" t="s">
        <v>155</v>
      </c>
      <c r="P196" s="8">
        <v>49491.91814800971</v>
      </c>
      <c r="Q196" s="8">
        <v>60571.756548388141</v>
      </c>
      <c r="R196" s="19">
        <v>3.59051538309099E-4</v>
      </c>
      <c r="S196" s="19">
        <v>0.22387167066839578</v>
      </c>
      <c r="T196" s="2">
        <v>7312</v>
      </c>
      <c r="U196" s="2">
        <v>7090</v>
      </c>
      <c r="V196" s="19">
        <v>-3.0361050328227571E-2</v>
      </c>
    </row>
    <row r="197" spans="3:22">
      <c r="C197" t="s">
        <v>268</v>
      </c>
      <c r="D197" s="8">
        <v>5881.807135998818</v>
      </c>
      <c r="E197" s="8">
        <v>39068.454438176552</v>
      </c>
      <c r="F197" s="19">
        <v>2.3831420912426694E-4</v>
      </c>
      <c r="G197" s="19">
        <v>5.6422535684761366</v>
      </c>
      <c r="H197" s="2">
        <v>1246</v>
      </c>
      <c r="I197" s="2">
        <v>7100</v>
      </c>
      <c r="J197" s="19">
        <v>4.6982343499197432</v>
      </c>
      <c r="N197" s="56"/>
      <c r="O197" t="s">
        <v>158</v>
      </c>
      <c r="P197" s="8">
        <v>41324.015370416375</v>
      </c>
      <c r="Q197" s="8">
        <v>53992.24059177946</v>
      </c>
      <c r="R197" s="19">
        <v>3.2509252794424493E-4</v>
      </c>
      <c r="S197" s="19">
        <v>0.30655842874437111</v>
      </c>
      <c r="T197" s="2">
        <v>8490</v>
      </c>
      <c r="U197" s="2">
        <v>7063</v>
      </c>
      <c r="V197" s="19">
        <v>-0.16808009422850412</v>
      </c>
    </row>
    <row r="198" spans="3:22">
      <c r="C198" t="s">
        <v>187</v>
      </c>
      <c r="D198" s="8">
        <v>17300.223470348225</v>
      </c>
      <c r="E198" s="8">
        <v>38613.84375276346</v>
      </c>
      <c r="F198" s="19">
        <v>2.3666353055843212E-4</v>
      </c>
      <c r="G198" s="19">
        <v>1.2319852583954065</v>
      </c>
      <c r="H198" s="2">
        <v>9915</v>
      </c>
      <c r="I198" s="2">
        <v>28440</v>
      </c>
      <c r="J198" s="19">
        <v>1.8683812405446294</v>
      </c>
      <c r="N198" s="56"/>
      <c r="O198" t="s">
        <v>326</v>
      </c>
      <c r="P198" s="8"/>
      <c r="Q198" s="8">
        <v>24006.889528712189</v>
      </c>
      <c r="R198" s="19">
        <v>1.4743872486718158E-4</v>
      </c>
      <c r="S198" s="19"/>
      <c r="T198" s="2"/>
      <c r="U198" s="2">
        <v>7053</v>
      </c>
      <c r="V198" s="19"/>
    </row>
    <row r="199" spans="3:22">
      <c r="C199" t="s">
        <v>328</v>
      </c>
      <c r="D199" s="8"/>
      <c r="E199" s="8">
        <v>37717.633693896343</v>
      </c>
      <c r="F199" s="19">
        <v>2.3661065775403112E-4</v>
      </c>
      <c r="G199" s="19"/>
      <c r="H199" s="2"/>
      <c r="I199" s="2">
        <v>2086</v>
      </c>
      <c r="J199" s="19"/>
      <c r="N199" s="56"/>
      <c r="O199" t="s">
        <v>139</v>
      </c>
      <c r="P199" s="8">
        <v>46012.422557382153</v>
      </c>
      <c r="Q199" s="8">
        <v>83253.584260193384</v>
      </c>
      <c r="R199" s="19">
        <v>5.4183082522337323E-4</v>
      </c>
      <c r="S199" s="19">
        <v>0.80937189639097418</v>
      </c>
      <c r="T199" s="2">
        <v>4958</v>
      </c>
      <c r="U199" s="2">
        <v>6823</v>
      </c>
      <c r="V199" s="19">
        <v>0.37615974183138362</v>
      </c>
    </row>
    <row r="200" spans="3:22">
      <c r="C200" t="s">
        <v>288</v>
      </c>
      <c r="D200" s="8"/>
      <c r="E200" s="8">
        <v>36478.217833262999</v>
      </c>
      <c r="F200" s="19">
        <v>2.2582087410912645E-4</v>
      </c>
      <c r="G200" s="19"/>
      <c r="H200" s="2"/>
      <c r="I200" s="2">
        <v>2397</v>
      </c>
      <c r="J200" s="19"/>
      <c r="N200" s="56"/>
      <c r="O200" t="s">
        <v>165</v>
      </c>
      <c r="P200" s="8">
        <v>41676.915855385305</v>
      </c>
      <c r="Q200" s="8">
        <v>40312.323020285548</v>
      </c>
      <c r="R200" s="19">
        <v>2.5499074226549838E-4</v>
      </c>
      <c r="S200" s="19">
        <v>-3.2742174105079083E-2</v>
      </c>
      <c r="T200" s="2">
        <v>7149</v>
      </c>
      <c r="U200" s="2">
        <v>6729</v>
      </c>
      <c r="V200" s="19">
        <v>-5.8749475451112046E-2</v>
      </c>
    </row>
    <row r="201" spans="3:22">
      <c r="C201" t="s">
        <v>325</v>
      </c>
      <c r="D201" s="8"/>
      <c r="E201" s="8">
        <v>35060.83812669797</v>
      </c>
      <c r="F201" s="19">
        <v>2.1539976299445957E-4</v>
      </c>
      <c r="G201" s="19"/>
      <c r="H201" s="2"/>
      <c r="I201" s="2">
        <v>3507</v>
      </c>
      <c r="J201" s="19"/>
      <c r="N201" s="56"/>
      <c r="O201" t="s">
        <v>142</v>
      </c>
      <c r="P201" s="8">
        <v>50909.926367093693</v>
      </c>
      <c r="Q201" s="8">
        <v>91674.554930789353</v>
      </c>
      <c r="R201" s="19">
        <v>5.5900975945632982E-4</v>
      </c>
      <c r="S201" s="19">
        <v>0.80072063490636713</v>
      </c>
      <c r="T201" s="2">
        <v>3829</v>
      </c>
      <c r="U201" s="2">
        <v>6554</v>
      </c>
      <c r="V201" s="19">
        <v>0.71167406633585795</v>
      </c>
    </row>
    <row r="202" spans="3:22">
      <c r="C202" t="s">
        <v>177</v>
      </c>
      <c r="D202" s="8">
        <v>17790.845445995656</v>
      </c>
      <c r="E202" s="8">
        <v>34822.991050016135</v>
      </c>
      <c r="F202" s="19">
        <v>2.2229809888412211E-4</v>
      </c>
      <c r="G202" s="19">
        <v>0.95735448074807805</v>
      </c>
      <c r="H202" s="2">
        <v>3633</v>
      </c>
      <c r="I202" s="2">
        <v>4169</v>
      </c>
      <c r="J202" s="19">
        <v>0.1475364712358932</v>
      </c>
      <c r="N202" s="56"/>
      <c r="O202" t="s">
        <v>174</v>
      </c>
      <c r="P202" s="8">
        <v>41548.362445656225</v>
      </c>
      <c r="Q202" s="8">
        <v>41923.714215194021</v>
      </c>
      <c r="R202" s="19">
        <v>2.5572061482424818E-4</v>
      </c>
      <c r="S202" s="19">
        <v>9.0340929808904648E-3</v>
      </c>
      <c r="T202" s="2">
        <v>9557</v>
      </c>
      <c r="U202" s="2">
        <v>6323</v>
      </c>
      <c r="V202" s="19">
        <v>-0.33839070838129121</v>
      </c>
    </row>
    <row r="203" spans="3:22">
      <c r="C203" t="s">
        <v>168</v>
      </c>
      <c r="D203" s="8">
        <v>28997.539279829583</v>
      </c>
      <c r="E203" s="8">
        <v>34075.487995107789</v>
      </c>
      <c r="F203" s="19">
        <v>2.0115680865489833E-4</v>
      </c>
      <c r="G203" s="19">
        <v>0.17511653889922926</v>
      </c>
      <c r="H203" s="2">
        <v>6653</v>
      </c>
      <c r="I203" s="2">
        <v>5719</v>
      </c>
      <c r="J203" s="19">
        <v>-0.14038779497970841</v>
      </c>
      <c r="N203" s="56"/>
      <c r="O203" t="s">
        <v>270</v>
      </c>
      <c r="P203" s="8">
        <v>2159.7573000000002</v>
      </c>
      <c r="Q203" s="8">
        <v>31304.89804222752</v>
      </c>
      <c r="R203" s="19">
        <v>2.0369176840770773E-4</v>
      </c>
      <c r="S203" s="19">
        <v>13.494636986400053</v>
      </c>
      <c r="T203" s="2">
        <v>607</v>
      </c>
      <c r="U203" s="2">
        <v>6182</v>
      </c>
      <c r="V203" s="19">
        <v>9.1845140032948933</v>
      </c>
    </row>
    <row r="204" spans="3:22">
      <c r="C204" t="s">
        <v>3537</v>
      </c>
      <c r="D204" s="8"/>
      <c r="E204" s="8">
        <v>33691.574108699162</v>
      </c>
      <c r="F204" s="19">
        <v>2.2118581632122738E-4</v>
      </c>
      <c r="G204" s="19"/>
      <c r="H204" s="2"/>
      <c r="I204" s="2">
        <v>20898</v>
      </c>
      <c r="J204" s="19"/>
      <c r="N204" s="56"/>
      <c r="O204" t="s">
        <v>3540</v>
      </c>
      <c r="P204" s="8"/>
      <c r="Q204" s="8">
        <v>16705.923616549891</v>
      </c>
      <c r="R204" s="19">
        <v>1.1307346912866256E-4</v>
      </c>
      <c r="S204" s="19"/>
      <c r="T204" s="2"/>
      <c r="U204" s="2">
        <v>6026</v>
      </c>
      <c r="V204" s="19"/>
    </row>
    <row r="205" spans="3:22">
      <c r="C205" t="s">
        <v>111</v>
      </c>
      <c r="D205" s="8">
        <v>108548.54742289311</v>
      </c>
      <c r="E205" s="8">
        <v>33208.3121779379</v>
      </c>
      <c r="F205" s="19">
        <v>1.7581461524865949E-4</v>
      </c>
      <c r="G205" s="19">
        <v>-0.69406949271682106</v>
      </c>
      <c r="H205" s="2">
        <v>34098</v>
      </c>
      <c r="I205" s="2">
        <v>10743</v>
      </c>
      <c r="J205" s="19">
        <v>-0.68493753299313742</v>
      </c>
      <c r="N205" s="56"/>
      <c r="O205" t="s">
        <v>323</v>
      </c>
      <c r="P205" s="8"/>
      <c r="Q205" s="8">
        <v>27210.810123903364</v>
      </c>
      <c r="R205" s="19">
        <v>1.6978795843065734E-4</v>
      </c>
      <c r="S205" s="19"/>
      <c r="T205" s="2"/>
      <c r="U205" s="2">
        <v>5942</v>
      </c>
      <c r="V205" s="19"/>
    </row>
    <row r="206" spans="3:22">
      <c r="C206" t="s">
        <v>2282</v>
      </c>
      <c r="D206" s="8"/>
      <c r="E206" s="8">
        <v>32533.760063017362</v>
      </c>
      <c r="F206" s="19">
        <v>1.9812581500132495E-4</v>
      </c>
      <c r="G206" s="19"/>
      <c r="H206" s="2"/>
      <c r="I206" s="2">
        <v>41977</v>
      </c>
      <c r="J206" s="19"/>
      <c r="N206" s="56"/>
      <c r="O206" t="s">
        <v>321</v>
      </c>
      <c r="P206" s="8"/>
      <c r="Q206" s="8">
        <v>5633.5470970149681</v>
      </c>
      <c r="R206" s="19">
        <v>2.6584950659728959E-5</v>
      </c>
      <c r="S206" s="19"/>
      <c r="T206" s="2"/>
      <c r="U206" s="2">
        <v>5823</v>
      </c>
      <c r="V206" s="19"/>
    </row>
    <row r="207" spans="3:22">
      <c r="C207" t="s">
        <v>338</v>
      </c>
      <c r="D207" s="8"/>
      <c r="E207" s="8">
        <v>31356.723353034769</v>
      </c>
      <c r="F207" s="19">
        <v>1.9592556390415067E-4</v>
      </c>
      <c r="G207" s="19"/>
      <c r="H207" s="2"/>
      <c r="I207" s="2">
        <v>16503</v>
      </c>
      <c r="J207" s="19"/>
      <c r="N207" s="56"/>
      <c r="O207" t="s">
        <v>224</v>
      </c>
      <c r="P207" s="8">
        <v>276.984195349294</v>
      </c>
      <c r="Q207" s="8">
        <v>10182.052407732406</v>
      </c>
      <c r="R207" s="19">
        <v>6.3752092101442719E-5</v>
      </c>
      <c r="S207" s="19">
        <v>35.760409361596302</v>
      </c>
      <c r="T207" s="2">
        <v>263</v>
      </c>
      <c r="U207" s="2">
        <v>5778</v>
      </c>
      <c r="V207" s="19">
        <v>20.969581749049429</v>
      </c>
    </row>
    <row r="208" spans="3:22">
      <c r="C208" t="s">
        <v>270</v>
      </c>
      <c r="D208" s="8">
        <v>2159.7573000000002</v>
      </c>
      <c r="E208" s="8">
        <v>31304.89804222752</v>
      </c>
      <c r="F208" s="19">
        <v>2.0369176840770773E-4</v>
      </c>
      <c r="G208" s="19">
        <v>13.494636986400053</v>
      </c>
      <c r="H208" s="2">
        <v>607</v>
      </c>
      <c r="I208" s="2">
        <v>6182</v>
      </c>
      <c r="J208" s="19">
        <v>9.1845140032948933</v>
      </c>
      <c r="N208" s="56"/>
      <c r="O208" t="s">
        <v>168</v>
      </c>
      <c r="P208" s="8">
        <v>28997.539279829583</v>
      </c>
      <c r="Q208" s="8">
        <v>34075.487995107789</v>
      </c>
      <c r="R208" s="19">
        <v>2.0115680865489833E-4</v>
      </c>
      <c r="S208" s="19">
        <v>0.17511653889922926</v>
      </c>
      <c r="T208" s="2">
        <v>6653</v>
      </c>
      <c r="U208" s="2">
        <v>5719</v>
      </c>
      <c r="V208" s="19">
        <v>-0.14038779497970841</v>
      </c>
    </row>
    <row r="209" spans="3:22">
      <c r="C209" t="s">
        <v>185</v>
      </c>
      <c r="D209" s="8">
        <v>20762.349582041432</v>
      </c>
      <c r="E209" s="8">
        <v>31285.542143477185</v>
      </c>
      <c r="F209" s="19">
        <v>1.682802814107511E-4</v>
      </c>
      <c r="G209" s="19">
        <v>0.50684015890657563</v>
      </c>
      <c r="H209" s="2">
        <v>4439</v>
      </c>
      <c r="I209" s="2">
        <v>4444</v>
      </c>
      <c r="J209" s="19">
        <v>1.1263798152737104E-3</v>
      </c>
      <c r="N209" s="56"/>
      <c r="O209" t="s">
        <v>190</v>
      </c>
      <c r="P209" s="8">
        <v>17157.412050066861</v>
      </c>
      <c r="Q209" s="8">
        <v>25195.545901230827</v>
      </c>
      <c r="R209" s="19">
        <v>1.5628549827629624E-4</v>
      </c>
      <c r="S209" s="19">
        <v>0.46849337345911918</v>
      </c>
      <c r="T209" s="2">
        <v>5237</v>
      </c>
      <c r="U209" s="2">
        <v>5687</v>
      </c>
      <c r="V209" s="19">
        <v>8.5927057475654003E-2</v>
      </c>
    </row>
    <row r="210" spans="3:22">
      <c r="C210" t="s">
        <v>171</v>
      </c>
      <c r="D210" s="8">
        <v>31370.739331505491</v>
      </c>
      <c r="E210" s="8">
        <v>30109.785049032223</v>
      </c>
      <c r="F210" s="19">
        <v>1.8670080075107698E-4</v>
      </c>
      <c r="G210" s="19">
        <v>-4.0195236368143115E-2</v>
      </c>
      <c r="H210" s="2">
        <v>20736</v>
      </c>
      <c r="I210" s="2">
        <v>19321</v>
      </c>
      <c r="J210" s="19">
        <v>-6.8238811728395063E-2</v>
      </c>
      <c r="N210" s="56"/>
      <c r="O210" t="s">
        <v>233</v>
      </c>
      <c r="P210" s="8">
        <v>29.646098402348962</v>
      </c>
      <c r="Q210" s="8">
        <v>17687.909901899555</v>
      </c>
      <c r="R210" s="19">
        <v>1.1753985343292164E-4</v>
      </c>
      <c r="S210" s="19">
        <v>595.63533669233448</v>
      </c>
      <c r="T210" s="2">
        <v>18</v>
      </c>
      <c r="U210" s="2">
        <v>5565</v>
      </c>
      <c r="V210" s="19">
        <v>308.16666666666669</v>
      </c>
    </row>
    <row r="211" spans="3:22">
      <c r="C211" t="s">
        <v>341</v>
      </c>
      <c r="D211" s="8"/>
      <c r="E211" s="8">
        <v>29863.145947428016</v>
      </c>
      <c r="F211" s="19">
        <v>1.8717403480911077E-4</v>
      </c>
      <c r="G211" s="19"/>
      <c r="H211" s="2"/>
      <c r="I211" s="2">
        <v>20381</v>
      </c>
      <c r="J211" s="19"/>
      <c r="N211" s="56"/>
      <c r="O211" t="s">
        <v>275</v>
      </c>
      <c r="P211" s="8"/>
      <c r="Q211" s="8">
        <v>9695.3950032108132</v>
      </c>
      <c r="R211" s="19">
        <v>6.0105304434653262E-5</v>
      </c>
      <c r="S211" s="19"/>
      <c r="T211" s="2"/>
      <c r="U211" s="2">
        <v>5245</v>
      </c>
      <c r="V211" s="19"/>
    </row>
    <row r="212" spans="3:22">
      <c r="C212" t="s">
        <v>195</v>
      </c>
      <c r="D212" s="8">
        <v>14635.864323954875</v>
      </c>
      <c r="E212" s="8">
        <v>27372.092140220513</v>
      </c>
      <c r="F212" s="19">
        <v>1.7145000729126031E-4</v>
      </c>
      <c r="G212" s="19">
        <v>0.87020674244840768</v>
      </c>
      <c r="H212" s="2">
        <v>1883</v>
      </c>
      <c r="I212" s="2">
        <v>3057</v>
      </c>
      <c r="J212" s="19">
        <v>0.62347318109399896</v>
      </c>
      <c r="N212" s="56"/>
      <c r="O212" t="s">
        <v>152</v>
      </c>
      <c r="P212" s="8">
        <v>44980.361993167753</v>
      </c>
      <c r="Q212" s="8">
        <v>74096.642138133204</v>
      </c>
      <c r="R212" s="19">
        <v>4.552026795515365E-4</v>
      </c>
      <c r="S212" s="19">
        <v>0.64731093425588793</v>
      </c>
      <c r="T212" s="2">
        <v>3820</v>
      </c>
      <c r="U212" s="2">
        <v>5235</v>
      </c>
      <c r="V212" s="19">
        <v>0.37041884816753928</v>
      </c>
    </row>
    <row r="213" spans="3:22">
      <c r="C213" t="s">
        <v>323</v>
      </c>
      <c r="D213" s="8"/>
      <c r="E213" s="8">
        <v>27210.810123903364</v>
      </c>
      <c r="F213" s="19">
        <v>1.6978795843065734E-4</v>
      </c>
      <c r="G213" s="19"/>
      <c r="H213" s="2"/>
      <c r="I213" s="2">
        <v>5942</v>
      </c>
      <c r="J213" s="19"/>
      <c r="N213" s="56"/>
      <c r="O213" t="s">
        <v>203</v>
      </c>
      <c r="P213" s="8">
        <v>9007.5722262342133</v>
      </c>
      <c r="Q213" s="8">
        <v>8547.6771767524424</v>
      </c>
      <c r="R213" s="19">
        <v>5.1122465613561327E-5</v>
      </c>
      <c r="S213" s="19">
        <v>-5.1056493129452124E-2</v>
      </c>
      <c r="T213" s="2">
        <v>5084</v>
      </c>
      <c r="U213" s="2">
        <v>5157</v>
      </c>
      <c r="V213" s="19">
        <v>1.4358772619984264E-2</v>
      </c>
    </row>
    <row r="214" spans="3:22">
      <c r="C214" t="s">
        <v>3576</v>
      </c>
      <c r="D214" s="8">
        <v>43481.565915029729</v>
      </c>
      <c r="E214" s="8">
        <v>27132.002243033992</v>
      </c>
      <c r="F214" s="19">
        <v>1.5806559241698741E-4</v>
      </c>
      <c r="G214" s="19">
        <v>-0.37601138155754382</v>
      </c>
      <c r="H214" s="2">
        <v>3963</v>
      </c>
      <c r="I214" s="2">
        <v>1413</v>
      </c>
      <c r="J214" s="19">
        <v>-0.64345193035579107</v>
      </c>
      <c r="N214" s="56"/>
      <c r="O214" t="s">
        <v>198</v>
      </c>
      <c r="P214" s="8">
        <v>16492.716726146067</v>
      </c>
      <c r="Q214" s="8">
        <v>22715.680625806996</v>
      </c>
      <c r="R214" s="19">
        <v>1.3974692384103988E-4</v>
      </c>
      <c r="S214" s="19">
        <v>0.37731587845655545</v>
      </c>
      <c r="T214" s="2">
        <v>3184</v>
      </c>
      <c r="U214" s="2">
        <v>5088</v>
      </c>
      <c r="V214" s="19">
        <v>0.59798994974874375</v>
      </c>
    </row>
    <row r="215" spans="3:22">
      <c r="C215" t="s">
        <v>184</v>
      </c>
      <c r="D215" s="8">
        <v>16591.108857572894</v>
      </c>
      <c r="E215" s="8">
        <v>26782.083753141127</v>
      </c>
      <c r="F215" s="19">
        <v>1.6888852625815626E-4</v>
      </c>
      <c r="G215" s="19">
        <v>0.61424314571455751</v>
      </c>
      <c r="H215" s="2">
        <v>8403</v>
      </c>
      <c r="I215" s="2">
        <v>9202</v>
      </c>
      <c r="J215" s="19">
        <v>9.5085088658812322E-2</v>
      </c>
      <c r="N215" s="56"/>
      <c r="O215" t="s">
        <v>281</v>
      </c>
      <c r="P215" s="8">
        <v>51251.466085187283</v>
      </c>
      <c r="Q215" s="8">
        <v>49213.865230167154</v>
      </c>
      <c r="R215" s="19">
        <v>2.9390785391725298E-4</v>
      </c>
      <c r="S215" s="19">
        <v>-3.9756928155642315E-2</v>
      </c>
      <c r="T215" s="2">
        <v>6584</v>
      </c>
      <c r="U215" s="2">
        <v>4995</v>
      </c>
      <c r="V215" s="19">
        <v>-0.24134264884568651</v>
      </c>
    </row>
    <row r="216" spans="3:22">
      <c r="C216" t="s">
        <v>169</v>
      </c>
      <c r="D216" s="8">
        <v>27374.136116402799</v>
      </c>
      <c r="E216" s="8">
        <v>25276.033235687406</v>
      </c>
      <c r="F216" s="19">
        <v>1.5334640436077946E-4</v>
      </c>
      <c r="G216" s="19">
        <v>-7.6645446336412154E-2</v>
      </c>
      <c r="H216" s="2">
        <v>24975</v>
      </c>
      <c r="I216" s="2">
        <v>17331</v>
      </c>
      <c r="J216" s="19">
        <v>-0.30606606606606607</v>
      </c>
      <c r="N216" s="56"/>
      <c r="O216" t="s">
        <v>133</v>
      </c>
      <c r="P216" s="8">
        <v>109853.07129492202</v>
      </c>
      <c r="Q216" s="8">
        <v>150141.44984817476</v>
      </c>
      <c r="R216" s="19">
        <v>9.1086522847684418E-4</v>
      </c>
      <c r="S216" s="19">
        <v>0.36674785764606183</v>
      </c>
      <c r="T216" s="2">
        <v>4535</v>
      </c>
      <c r="U216" s="2">
        <v>4912</v>
      </c>
      <c r="V216" s="19">
        <v>8.3131201764057333E-2</v>
      </c>
    </row>
    <row r="217" spans="3:22">
      <c r="C217" t="s">
        <v>190</v>
      </c>
      <c r="D217" s="8">
        <v>17157.412050066861</v>
      </c>
      <c r="E217" s="8">
        <v>25195.545901230827</v>
      </c>
      <c r="F217" s="19">
        <v>1.5628549827629624E-4</v>
      </c>
      <c r="G217" s="19">
        <v>0.46849337345911918</v>
      </c>
      <c r="H217" s="2">
        <v>5237</v>
      </c>
      <c r="I217" s="2">
        <v>5687</v>
      </c>
      <c r="J217" s="19">
        <v>8.5927057475654003E-2</v>
      </c>
      <c r="N217" s="56"/>
      <c r="O217" t="s">
        <v>271</v>
      </c>
      <c r="P217" s="8"/>
      <c r="Q217" s="8">
        <v>49508.879560175512</v>
      </c>
      <c r="R217" s="19">
        <v>3.0523819504298295E-4</v>
      </c>
      <c r="S217" s="19"/>
      <c r="T217" s="2"/>
      <c r="U217" s="2">
        <v>4909</v>
      </c>
      <c r="V217" s="19"/>
    </row>
    <row r="218" spans="3:22">
      <c r="C218" t="s">
        <v>189</v>
      </c>
      <c r="D218" s="8">
        <v>14429.892752916028</v>
      </c>
      <c r="E218" s="8">
        <v>24646.289467695467</v>
      </c>
      <c r="F218" s="19">
        <v>1.5369122228527085E-4</v>
      </c>
      <c r="G218" s="19">
        <v>0.70800226236711872</v>
      </c>
      <c r="H218" s="2">
        <v>3057</v>
      </c>
      <c r="I218" s="2">
        <v>4533</v>
      </c>
      <c r="J218" s="19">
        <v>0.48282630029440626</v>
      </c>
      <c r="N218" s="56"/>
      <c r="O218" t="s">
        <v>199</v>
      </c>
      <c r="P218" s="8">
        <v>27423.147827171346</v>
      </c>
      <c r="Q218" s="8">
        <v>66979.682276965425</v>
      </c>
      <c r="R218" s="19">
        <v>3.9703822654258607E-4</v>
      </c>
      <c r="S218" s="19">
        <v>1.4424505421146714</v>
      </c>
      <c r="T218" s="2">
        <v>1726</v>
      </c>
      <c r="U218" s="2">
        <v>4841</v>
      </c>
      <c r="V218" s="19">
        <v>1.8047508690614136</v>
      </c>
    </row>
    <row r="219" spans="3:22">
      <c r="C219" t="s">
        <v>322</v>
      </c>
      <c r="D219" s="8"/>
      <c r="E219" s="8">
        <v>24475.917740665216</v>
      </c>
      <c r="F219" s="19">
        <v>1.4711136697744505E-4</v>
      </c>
      <c r="G219" s="19"/>
      <c r="H219" s="2"/>
      <c r="I219" s="2">
        <v>15439</v>
      </c>
      <c r="J219" s="19"/>
      <c r="N219" s="56"/>
      <c r="O219" t="s">
        <v>201</v>
      </c>
      <c r="P219" s="8">
        <v>9673.7553506710465</v>
      </c>
      <c r="Q219" s="8">
        <v>22971.396215506069</v>
      </c>
      <c r="R219" s="19">
        <v>1.4020199426774337E-4</v>
      </c>
      <c r="S219" s="19">
        <v>1.3746100022999439</v>
      </c>
      <c r="T219" s="2">
        <v>2172</v>
      </c>
      <c r="U219" s="2">
        <v>4789</v>
      </c>
      <c r="V219" s="19">
        <v>1.2048802946593002</v>
      </c>
    </row>
    <row r="220" spans="3:22">
      <c r="C220" t="s">
        <v>326</v>
      </c>
      <c r="D220" s="8"/>
      <c r="E220" s="8">
        <v>24006.889528712189</v>
      </c>
      <c r="F220" s="19">
        <v>1.4743872486718158E-4</v>
      </c>
      <c r="G220" s="19"/>
      <c r="H220" s="2"/>
      <c r="I220" s="2">
        <v>7053</v>
      </c>
      <c r="J220" s="19"/>
      <c r="N220" s="56"/>
      <c r="O220" t="s">
        <v>189</v>
      </c>
      <c r="P220" s="8">
        <v>14429.892752916028</v>
      </c>
      <c r="Q220" s="8">
        <v>24646.289467695467</v>
      </c>
      <c r="R220" s="19">
        <v>1.5369122228527085E-4</v>
      </c>
      <c r="S220" s="19">
        <v>0.70800226236711872</v>
      </c>
      <c r="T220" s="2">
        <v>3057</v>
      </c>
      <c r="U220" s="2">
        <v>4533</v>
      </c>
      <c r="V220" s="19">
        <v>0.48282630029440626</v>
      </c>
    </row>
    <row r="221" spans="3:22">
      <c r="C221" t="s">
        <v>228</v>
      </c>
      <c r="D221" s="8">
        <v>96.196700000000007</v>
      </c>
      <c r="E221" s="8">
        <v>23548.086996071102</v>
      </c>
      <c r="F221" s="19">
        <v>1.5074911038835464E-4</v>
      </c>
      <c r="G221" s="19">
        <v>243.79100630345013</v>
      </c>
      <c r="H221" s="2">
        <v>37</v>
      </c>
      <c r="I221" s="2">
        <v>1385</v>
      </c>
      <c r="J221" s="19">
        <v>36.432432432432435</v>
      </c>
      <c r="N221" s="56"/>
      <c r="O221" t="s">
        <v>185</v>
      </c>
      <c r="P221" s="8">
        <v>20762.349582041432</v>
      </c>
      <c r="Q221" s="8">
        <v>31285.542143477185</v>
      </c>
      <c r="R221" s="19">
        <v>1.682802814107511E-4</v>
      </c>
      <c r="S221" s="19">
        <v>0.50684015890657563</v>
      </c>
      <c r="T221" s="2">
        <v>4439</v>
      </c>
      <c r="U221" s="2">
        <v>4444</v>
      </c>
      <c r="V221" s="19">
        <v>1.1263798152737104E-3</v>
      </c>
    </row>
    <row r="222" spans="3:22">
      <c r="C222" t="s">
        <v>201</v>
      </c>
      <c r="D222" s="8">
        <v>9673.7553506710465</v>
      </c>
      <c r="E222" s="8">
        <v>22971.396215506069</v>
      </c>
      <c r="F222" s="19">
        <v>1.4020199426774337E-4</v>
      </c>
      <c r="G222" s="19">
        <v>1.3746100022999439</v>
      </c>
      <c r="H222" s="2">
        <v>2172</v>
      </c>
      <c r="I222" s="2">
        <v>4789</v>
      </c>
      <c r="J222" s="19">
        <v>1.2048802946593002</v>
      </c>
      <c r="N222" s="56"/>
      <c r="O222" t="s">
        <v>274</v>
      </c>
      <c r="P222" s="8"/>
      <c r="Q222" s="8">
        <v>16724.033302835644</v>
      </c>
      <c r="R222" s="19">
        <v>1.029906467139102E-4</v>
      </c>
      <c r="S222" s="19"/>
      <c r="T222" s="2"/>
      <c r="U222" s="2">
        <v>4351</v>
      </c>
      <c r="V222" s="19"/>
    </row>
    <row r="223" spans="3:22">
      <c r="C223" t="s">
        <v>283</v>
      </c>
      <c r="D223" s="8"/>
      <c r="E223" s="8">
        <v>22718.368699999999</v>
      </c>
      <c r="F223" s="19">
        <v>1E-4</v>
      </c>
      <c r="G223" s="19"/>
      <c r="H223" s="2"/>
      <c r="I223" s="2">
        <v>2643</v>
      </c>
      <c r="J223" s="19"/>
      <c r="N223" s="56"/>
      <c r="O223" t="s">
        <v>157</v>
      </c>
      <c r="P223" s="8">
        <v>43498.177603112243</v>
      </c>
      <c r="Q223" s="8">
        <v>46492.594675438428</v>
      </c>
      <c r="R223" s="19">
        <v>2.8123938752238497E-4</v>
      </c>
      <c r="S223" s="19">
        <v>6.88400580743396E-2</v>
      </c>
      <c r="T223" s="2">
        <v>4670</v>
      </c>
      <c r="U223" s="2">
        <v>4349</v>
      </c>
      <c r="V223" s="19">
        <v>-6.8736616702355466E-2</v>
      </c>
    </row>
    <row r="224" spans="3:22">
      <c r="C224" t="s">
        <v>198</v>
      </c>
      <c r="D224" s="8">
        <v>16492.716726146067</v>
      </c>
      <c r="E224" s="8">
        <v>22715.680625806996</v>
      </c>
      <c r="F224" s="19">
        <v>1.3974692384103988E-4</v>
      </c>
      <c r="G224" s="19">
        <v>0.37731587845655545</v>
      </c>
      <c r="H224" s="2">
        <v>3184</v>
      </c>
      <c r="I224" s="2">
        <v>5088</v>
      </c>
      <c r="J224" s="19">
        <v>0.59798994974874375</v>
      </c>
      <c r="N224" s="56"/>
      <c r="O224" t="s">
        <v>177</v>
      </c>
      <c r="P224" s="8">
        <v>17790.845445995656</v>
      </c>
      <c r="Q224" s="8">
        <v>34822.991050016135</v>
      </c>
      <c r="R224" s="19">
        <v>2.2229809888412211E-4</v>
      </c>
      <c r="S224" s="19">
        <v>0.95735448074807805</v>
      </c>
      <c r="T224" s="2">
        <v>3633</v>
      </c>
      <c r="U224" s="2">
        <v>4169</v>
      </c>
      <c r="V224" s="19">
        <v>0.1475364712358932</v>
      </c>
    </row>
    <row r="225" spans="3:22">
      <c r="C225" t="s">
        <v>151</v>
      </c>
      <c r="D225" s="8">
        <v>41527.358086545115</v>
      </c>
      <c r="E225" s="8">
        <v>22289.830528971765</v>
      </c>
      <c r="F225" s="19">
        <v>1.298279501273441E-4</v>
      </c>
      <c r="G225" s="19">
        <v>-0.46324949247870212</v>
      </c>
      <c r="H225" s="2">
        <v>2146</v>
      </c>
      <c r="I225" s="2">
        <v>427</v>
      </c>
      <c r="J225" s="19">
        <v>-0.80102516309412863</v>
      </c>
      <c r="N225" s="56"/>
      <c r="O225" t="s">
        <v>289</v>
      </c>
      <c r="P225" s="8"/>
      <c r="Q225" s="8">
        <v>43293.792395347635</v>
      </c>
      <c r="R225" s="19">
        <v>2.739898180756776E-4</v>
      </c>
      <c r="S225" s="19"/>
      <c r="T225" s="2"/>
      <c r="U225" s="2">
        <v>3536</v>
      </c>
      <c r="V225" s="19"/>
    </row>
    <row r="226" spans="3:22">
      <c r="C226" t="s">
        <v>163</v>
      </c>
      <c r="D226" s="8">
        <v>31029.050157487382</v>
      </c>
      <c r="E226" s="8">
        <v>21975.428480284521</v>
      </c>
      <c r="F226" s="19">
        <v>1.4451780567541767E-4</v>
      </c>
      <c r="G226" s="19">
        <v>-0.29177888563302351</v>
      </c>
      <c r="H226" s="2">
        <v>20395</v>
      </c>
      <c r="I226" s="2">
        <v>17639</v>
      </c>
      <c r="J226" s="19">
        <v>-0.13513115959794067</v>
      </c>
      <c r="N226" s="56"/>
      <c r="O226" t="s">
        <v>325</v>
      </c>
      <c r="P226" s="8"/>
      <c r="Q226" s="8">
        <v>35060.83812669797</v>
      </c>
      <c r="R226" s="19">
        <v>2.1539976299445957E-4</v>
      </c>
      <c r="S226" s="19"/>
      <c r="T226" s="2"/>
      <c r="U226" s="2">
        <v>3507</v>
      </c>
      <c r="V226" s="19"/>
    </row>
    <row r="227" spans="3:22">
      <c r="C227" t="s">
        <v>178</v>
      </c>
      <c r="D227" s="8">
        <v>29796.949651691695</v>
      </c>
      <c r="E227" s="8">
        <v>21204.551652692393</v>
      </c>
      <c r="F227" s="19">
        <v>1.1711268381881246E-4</v>
      </c>
      <c r="G227" s="19">
        <v>-0.28836502056214591</v>
      </c>
      <c r="H227" s="2">
        <v>4143</v>
      </c>
      <c r="I227" s="2">
        <v>2822</v>
      </c>
      <c r="J227" s="19">
        <v>-0.31885107410089308</v>
      </c>
      <c r="N227" s="56"/>
      <c r="O227" t="s">
        <v>273</v>
      </c>
      <c r="P227" s="8">
        <v>508.02499999999998</v>
      </c>
      <c r="Q227" s="8">
        <v>17415.382978012789</v>
      </c>
      <c r="R227" s="19">
        <v>1.1187296951200197E-4</v>
      </c>
      <c r="S227" s="19">
        <v>33.280562921141261</v>
      </c>
      <c r="T227" s="2">
        <v>85</v>
      </c>
      <c r="U227" s="2">
        <v>3244</v>
      </c>
      <c r="V227" s="19">
        <v>37.164705882352941</v>
      </c>
    </row>
    <row r="228" spans="3:22">
      <c r="C228" t="s">
        <v>3580</v>
      </c>
      <c r="D228" s="8"/>
      <c r="E228" s="8">
        <v>20481.749955893571</v>
      </c>
      <c r="F228" s="19">
        <v>1.3982796044673717E-4</v>
      </c>
      <c r="G228" s="19"/>
      <c r="H228" s="2"/>
      <c r="I228" s="2">
        <v>909</v>
      </c>
      <c r="J228" s="19"/>
      <c r="N228" s="56"/>
      <c r="O228" t="s">
        <v>195</v>
      </c>
      <c r="P228" s="8">
        <v>14635.864323954875</v>
      </c>
      <c r="Q228" s="8">
        <v>27372.092140220513</v>
      </c>
      <c r="R228" s="19">
        <v>1.7145000729126031E-4</v>
      </c>
      <c r="S228" s="19">
        <v>0.87020674244840768</v>
      </c>
      <c r="T228" s="2">
        <v>1883</v>
      </c>
      <c r="U228" s="2">
        <v>3057</v>
      </c>
      <c r="V228" s="19">
        <v>0.62347318109399896</v>
      </c>
    </row>
    <row r="229" spans="3:22">
      <c r="C229" t="s">
        <v>208</v>
      </c>
      <c r="D229" s="8">
        <v>9266.5014385705472</v>
      </c>
      <c r="E229" s="8">
        <v>19540.286440525717</v>
      </c>
      <c r="F229" s="19">
        <v>1.1508620071626337E-4</v>
      </c>
      <c r="G229" s="19">
        <v>1.1087016033032642</v>
      </c>
      <c r="H229" s="2">
        <v>436</v>
      </c>
      <c r="I229" s="2">
        <v>525</v>
      </c>
      <c r="J229" s="19">
        <v>0.20412844036697247</v>
      </c>
      <c r="N229" s="56"/>
      <c r="O229" t="s">
        <v>327</v>
      </c>
      <c r="P229" s="8"/>
      <c r="Q229" s="8">
        <v>14738.808519599259</v>
      </c>
      <c r="R229" s="19">
        <v>8.3182378818214526E-5</v>
      </c>
      <c r="S229" s="19"/>
      <c r="T229" s="2"/>
      <c r="U229" s="2">
        <v>2973</v>
      </c>
      <c r="V229" s="19"/>
    </row>
    <row r="230" spans="3:22">
      <c r="C230" t="s">
        <v>196</v>
      </c>
      <c r="D230" s="8">
        <v>13086.612100040405</v>
      </c>
      <c r="E230" s="8">
        <v>19071.839733091259</v>
      </c>
      <c r="F230" s="19">
        <v>1.3027501435234495E-4</v>
      </c>
      <c r="G230" s="19">
        <v>0.45735501192339723</v>
      </c>
      <c r="H230" s="2">
        <v>9433</v>
      </c>
      <c r="I230" s="2">
        <v>7246</v>
      </c>
      <c r="J230" s="19">
        <v>-0.23184564825612211</v>
      </c>
      <c r="N230" s="56"/>
      <c r="O230" t="s">
        <v>149</v>
      </c>
      <c r="P230" s="8">
        <v>62389.334924405863</v>
      </c>
      <c r="Q230" s="8">
        <v>43736.982529113178</v>
      </c>
      <c r="R230" s="19">
        <v>2.6646403733802737E-4</v>
      </c>
      <c r="S230" s="19">
        <v>-0.29896700161803036</v>
      </c>
      <c r="T230" s="2">
        <v>5243</v>
      </c>
      <c r="U230" s="2">
        <v>2922</v>
      </c>
      <c r="V230" s="19">
        <v>-0.4426854854091169</v>
      </c>
    </row>
    <row r="231" spans="3:22">
      <c r="C231" t="s">
        <v>191</v>
      </c>
      <c r="D231" s="8">
        <v>15777.204429520911</v>
      </c>
      <c r="E231" s="8">
        <v>18153.46592039345</v>
      </c>
      <c r="F231" s="19">
        <v>1.0977540363828561E-4</v>
      </c>
      <c r="G231" s="19">
        <v>0.15061359580448158</v>
      </c>
      <c r="H231" s="2">
        <v>1355</v>
      </c>
      <c r="I231" s="2">
        <v>1288</v>
      </c>
      <c r="J231" s="19">
        <v>-4.9446494464944653E-2</v>
      </c>
      <c r="N231" s="56"/>
      <c r="O231" t="s">
        <v>178</v>
      </c>
      <c r="P231" s="8">
        <v>29796.949651691695</v>
      </c>
      <c r="Q231" s="8">
        <v>21204.551652692393</v>
      </c>
      <c r="R231" s="19">
        <v>1.1711268381881246E-4</v>
      </c>
      <c r="S231" s="19">
        <v>-0.28836502056214591</v>
      </c>
      <c r="T231" s="2">
        <v>4143</v>
      </c>
      <c r="U231" s="2">
        <v>2822</v>
      </c>
      <c r="V231" s="19">
        <v>-0.31885107410089308</v>
      </c>
    </row>
    <row r="232" spans="3:22">
      <c r="C232" t="s">
        <v>229</v>
      </c>
      <c r="D232" s="8">
        <v>1003.2522</v>
      </c>
      <c r="E232" s="8">
        <v>18070.905334108535</v>
      </c>
      <c r="F232" s="19">
        <v>1.1019467769409693E-4</v>
      </c>
      <c r="G232" s="19">
        <v>17.012325648634047</v>
      </c>
      <c r="H232" s="2">
        <v>448</v>
      </c>
      <c r="I232" s="2">
        <v>2508</v>
      </c>
      <c r="J232" s="19">
        <v>4.5982142857142856</v>
      </c>
      <c r="N232" s="56"/>
      <c r="O232" t="s">
        <v>3539</v>
      </c>
      <c r="P232" s="8"/>
      <c r="Q232" s="8">
        <v>5588.4633064537056</v>
      </c>
      <c r="R232" s="19">
        <v>3.6899105827840943E-5</v>
      </c>
      <c r="S232" s="19"/>
      <c r="T232" s="2"/>
      <c r="U232" s="2">
        <v>2808</v>
      </c>
      <c r="V232" s="19"/>
    </row>
    <row r="233" spans="3:22">
      <c r="C233" t="s">
        <v>233</v>
      </c>
      <c r="D233" s="8">
        <v>29.646098402348962</v>
      </c>
      <c r="E233" s="8">
        <v>17687.909901899555</v>
      </c>
      <c r="F233" s="19">
        <v>1.1753985343292164E-4</v>
      </c>
      <c r="G233" s="19">
        <v>595.63533669233448</v>
      </c>
      <c r="H233" s="2">
        <v>18</v>
      </c>
      <c r="I233" s="2">
        <v>5565</v>
      </c>
      <c r="J233" s="19">
        <v>308.16666666666669</v>
      </c>
      <c r="N233" s="56"/>
      <c r="O233" t="s">
        <v>283</v>
      </c>
      <c r="P233" s="8"/>
      <c r="Q233" s="8">
        <v>22718.368699999999</v>
      </c>
      <c r="R233" s="19">
        <v>1E-4</v>
      </c>
      <c r="S233" s="19"/>
      <c r="T233" s="2"/>
      <c r="U233" s="2">
        <v>2643</v>
      </c>
      <c r="V233" s="19"/>
    </row>
    <row r="234" spans="3:22">
      <c r="C234" t="s">
        <v>319</v>
      </c>
      <c r="D234" s="8"/>
      <c r="E234" s="8">
        <v>17514.891102513437</v>
      </c>
      <c r="F234" s="19">
        <v>1.0819185486928384E-4</v>
      </c>
      <c r="G234" s="19"/>
      <c r="H234" s="2"/>
      <c r="I234" s="2">
        <v>8619</v>
      </c>
      <c r="J234" s="19"/>
      <c r="N234" s="56"/>
      <c r="O234" t="s">
        <v>229</v>
      </c>
      <c r="P234" s="8">
        <v>1003.2522</v>
      </c>
      <c r="Q234" s="8">
        <v>18070.905334108535</v>
      </c>
      <c r="R234" s="19">
        <v>1.1019467769409693E-4</v>
      </c>
      <c r="S234" s="19">
        <v>17.012325648634047</v>
      </c>
      <c r="T234" s="2">
        <v>448</v>
      </c>
      <c r="U234" s="2">
        <v>2508</v>
      </c>
      <c r="V234" s="19">
        <v>4.5982142857142856</v>
      </c>
    </row>
    <row r="235" spans="3:22">
      <c r="C235" t="s">
        <v>273</v>
      </c>
      <c r="D235" s="8">
        <v>508.02499999999998</v>
      </c>
      <c r="E235" s="8">
        <v>17415.382978012789</v>
      </c>
      <c r="F235" s="19">
        <v>1.1187296951200197E-4</v>
      </c>
      <c r="G235" s="19">
        <v>33.280562921141261</v>
      </c>
      <c r="H235" s="2">
        <v>85</v>
      </c>
      <c r="I235" s="2">
        <v>3244</v>
      </c>
      <c r="J235" s="19">
        <v>37.164705882352941</v>
      </c>
      <c r="N235" s="56"/>
      <c r="O235" t="s">
        <v>3579</v>
      </c>
      <c r="P235" s="8"/>
      <c r="Q235" s="8">
        <v>12534.346355447013</v>
      </c>
      <c r="R235" s="19">
        <v>8.8012814886456948E-5</v>
      </c>
      <c r="S235" s="19"/>
      <c r="T235" s="2"/>
      <c r="U235" s="2">
        <v>2448</v>
      </c>
      <c r="V235" s="19"/>
    </row>
    <row r="236" spans="3:22">
      <c r="C236" t="s">
        <v>274</v>
      </c>
      <c r="D236" s="8"/>
      <c r="E236" s="8">
        <v>16724.033302835644</v>
      </c>
      <c r="F236" s="19">
        <v>1.029906467139102E-4</v>
      </c>
      <c r="G236" s="19"/>
      <c r="H236" s="2"/>
      <c r="I236" s="2">
        <v>4351</v>
      </c>
      <c r="J236" s="19"/>
      <c r="N236" s="56"/>
      <c r="O236" t="s">
        <v>288</v>
      </c>
      <c r="P236" s="8"/>
      <c r="Q236" s="8">
        <v>36478.217833262999</v>
      </c>
      <c r="R236" s="19">
        <v>2.2582087410912645E-4</v>
      </c>
      <c r="S236" s="19"/>
      <c r="T236" s="2"/>
      <c r="U236" s="2">
        <v>2397</v>
      </c>
      <c r="V236" s="19"/>
    </row>
    <row r="237" spans="3:22">
      <c r="C237" t="s">
        <v>3540</v>
      </c>
      <c r="D237" s="8"/>
      <c r="E237" s="8">
        <v>16705.923616549891</v>
      </c>
      <c r="F237" s="19">
        <v>1.1307346912866256E-4</v>
      </c>
      <c r="G237" s="19"/>
      <c r="H237" s="2"/>
      <c r="I237" s="2">
        <v>6026</v>
      </c>
      <c r="J237" s="19"/>
      <c r="N237" s="56"/>
      <c r="O237" t="s">
        <v>183</v>
      </c>
      <c r="P237" s="8">
        <v>33492.515439615549</v>
      </c>
      <c r="Q237" s="8">
        <v>58146.972091029209</v>
      </c>
      <c r="R237" s="19">
        <v>3.4352771104596705E-4</v>
      </c>
      <c r="S237" s="19">
        <v>0.73611839325307671</v>
      </c>
      <c r="T237" s="2">
        <v>2959</v>
      </c>
      <c r="U237" s="2">
        <v>2355</v>
      </c>
      <c r="V237" s="19">
        <v>-0.20412301453193646</v>
      </c>
    </row>
    <row r="238" spans="3:22">
      <c r="C238" t="s">
        <v>3578</v>
      </c>
      <c r="D238" s="8">
        <v>22777.275718792222</v>
      </c>
      <c r="E238" s="8">
        <v>16493.137915874868</v>
      </c>
      <c r="F238" s="19">
        <v>1.0234850187863983E-4</v>
      </c>
      <c r="G238" s="19">
        <v>-0.27589505788581525</v>
      </c>
      <c r="H238" s="2">
        <v>3996</v>
      </c>
      <c r="I238" s="2">
        <v>1709</v>
      </c>
      <c r="J238" s="19">
        <v>-0.57232232232232227</v>
      </c>
      <c r="N238" s="56"/>
      <c r="O238" t="s">
        <v>202</v>
      </c>
      <c r="P238" s="8">
        <v>10507.527286164925</v>
      </c>
      <c r="Q238" s="8">
        <v>14264.502524581239</v>
      </c>
      <c r="R238" s="19">
        <v>7.8477541267773252E-5</v>
      </c>
      <c r="S238" s="19">
        <v>0.35755084294314016</v>
      </c>
      <c r="T238" s="2">
        <v>2560</v>
      </c>
      <c r="U238" s="2">
        <v>2159</v>
      </c>
      <c r="V238" s="19">
        <v>-0.15664062500000001</v>
      </c>
    </row>
    <row r="239" spans="3:22">
      <c r="C239" t="s">
        <v>327</v>
      </c>
      <c r="D239" s="8"/>
      <c r="E239" s="8">
        <v>14738.808519599259</v>
      </c>
      <c r="F239" s="19">
        <v>8.3182378818214526E-5</v>
      </c>
      <c r="G239" s="19"/>
      <c r="H239" s="2"/>
      <c r="I239" s="2">
        <v>2973</v>
      </c>
      <c r="J239" s="19"/>
      <c r="N239" s="56"/>
      <c r="O239" t="s">
        <v>328</v>
      </c>
      <c r="P239" s="8"/>
      <c r="Q239" s="8">
        <v>37717.633693896343</v>
      </c>
      <c r="R239" s="19">
        <v>2.3661065775403112E-4</v>
      </c>
      <c r="S239" s="19"/>
      <c r="T239" s="2"/>
      <c r="U239" s="2">
        <v>2086</v>
      </c>
      <c r="V239" s="19"/>
    </row>
    <row r="240" spans="3:22">
      <c r="C240" t="s">
        <v>220</v>
      </c>
      <c r="D240" s="8">
        <v>13699.982165637488</v>
      </c>
      <c r="E240" s="8">
        <v>14505.774440137886</v>
      </c>
      <c r="F240" s="19">
        <v>8.3790312375735856E-5</v>
      </c>
      <c r="G240" s="19">
        <v>5.8817030909828399E-2</v>
      </c>
      <c r="H240" s="2">
        <v>584</v>
      </c>
      <c r="I240" s="2">
        <v>652</v>
      </c>
      <c r="J240" s="19">
        <v>0.11643835616438356</v>
      </c>
      <c r="N240" s="56"/>
      <c r="O240" t="s">
        <v>207</v>
      </c>
      <c r="P240" s="8">
        <v>8434.1752073336502</v>
      </c>
      <c r="Q240" s="8">
        <v>3084.9984451897171</v>
      </c>
      <c r="R240" s="19">
        <v>1.422214930755697E-5</v>
      </c>
      <c r="S240" s="19">
        <v>-0.63422642174812049</v>
      </c>
      <c r="T240" s="2">
        <v>7969</v>
      </c>
      <c r="U240" s="2">
        <v>1947</v>
      </c>
      <c r="V240" s="19">
        <v>-0.75567825323127114</v>
      </c>
    </row>
    <row r="241" spans="3:22">
      <c r="C241" t="s">
        <v>202</v>
      </c>
      <c r="D241" s="8">
        <v>10507.527286164925</v>
      </c>
      <c r="E241" s="8">
        <v>14264.502524581239</v>
      </c>
      <c r="F241" s="19">
        <v>7.8477541267773252E-5</v>
      </c>
      <c r="G241" s="19">
        <v>0.35755084294314016</v>
      </c>
      <c r="H241" s="2">
        <v>2560</v>
      </c>
      <c r="I241" s="2">
        <v>2159</v>
      </c>
      <c r="J241" s="19">
        <v>-0.15664062500000001</v>
      </c>
      <c r="N241" s="56"/>
      <c r="O241" t="s">
        <v>339</v>
      </c>
      <c r="P241" s="8"/>
      <c r="Q241" s="8">
        <v>6321.5619690453259</v>
      </c>
      <c r="R241" s="19">
        <v>3.7605771634486061E-5</v>
      </c>
      <c r="S241" s="19"/>
      <c r="T241" s="2"/>
      <c r="U241" s="2">
        <v>1911</v>
      </c>
      <c r="V241" s="19"/>
    </row>
    <row r="242" spans="3:22">
      <c r="C242" t="s">
        <v>3579</v>
      </c>
      <c r="D242" s="8"/>
      <c r="E242" s="8">
        <v>12534.346355447013</v>
      </c>
      <c r="F242" s="19">
        <v>8.8012814886456948E-5</v>
      </c>
      <c r="G242" s="19"/>
      <c r="H242" s="2"/>
      <c r="I242" s="2">
        <v>2448</v>
      </c>
      <c r="J242" s="19"/>
      <c r="N242" s="56"/>
      <c r="O242" t="s">
        <v>4207</v>
      </c>
      <c r="P242" s="8"/>
      <c r="Q242" s="8">
        <v>2172.7230306501365</v>
      </c>
      <c r="R242" s="19">
        <v>1.5936540221202832E-5</v>
      </c>
      <c r="S242" s="19"/>
      <c r="T242" s="2"/>
      <c r="U242" s="2">
        <v>1837</v>
      </c>
      <c r="V242" s="19"/>
    </row>
    <row r="243" spans="3:22">
      <c r="C243" t="s">
        <v>194</v>
      </c>
      <c r="D243" s="8">
        <v>12852.218849621317</v>
      </c>
      <c r="E243" s="8">
        <v>12125.377647213545</v>
      </c>
      <c r="F243" s="19">
        <v>7.1443081414991583E-5</v>
      </c>
      <c r="G243" s="19">
        <v>-5.655375238410195E-2</v>
      </c>
      <c r="H243" s="2">
        <v>378</v>
      </c>
      <c r="I243" s="2">
        <v>490</v>
      </c>
      <c r="J243" s="19">
        <v>0.29629629629629628</v>
      </c>
      <c r="N243" s="56"/>
      <c r="O243" t="s">
        <v>146</v>
      </c>
      <c r="P243" s="8">
        <v>57628.417484384649</v>
      </c>
      <c r="Q243" s="8">
        <v>71686.142579051768</v>
      </c>
      <c r="R243" s="19">
        <v>4.1615848341858866E-4</v>
      </c>
      <c r="S243" s="19">
        <v>0.24393737861145132</v>
      </c>
      <c r="T243" s="2">
        <v>2613</v>
      </c>
      <c r="U243" s="2">
        <v>1773</v>
      </c>
      <c r="V243" s="19">
        <v>-0.32146957520091851</v>
      </c>
    </row>
    <row r="244" spans="3:22">
      <c r="C244" t="s">
        <v>186</v>
      </c>
      <c r="D244" s="8">
        <v>26580.540244309268</v>
      </c>
      <c r="E244" s="8">
        <v>11247.08769696536</v>
      </c>
      <c r="F244" s="19">
        <v>6.5305255355196202E-5</v>
      </c>
      <c r="G244" s="19">
        <v>-0.57686760338239196</v>
      </c>
      <c r="H244" s="2">
        <v>8600</v>
      </c>
      <c r="I244" s="2">
        <v>443</v>
      </c>
      <c r="J244" s="19">
        <v>-0.94848837209302328</v>
      </c>
      <c r="N244" s="56"/>
      <c r="O244" t="s">
        <v>3578</v>
      </c>
      <c r="P244" s="8">
        <v>22777.275718792222</v>
      </c>
      <c r="Q244" s="8">
        <v>16493.137915874868</v>
      </c>
      <c r="R244" s="19">
        <v>1.0234850187863983E-4</v>
      </c>
      <c r="S244" s="19">
        <v>-0.27589505788581525</v>
      </c>
      <c r="T244" s="2">
        <v>3996</v>
      </c>
      <c r="U244" s="2">
        <v>1709</v>
      </c>
      <c r="V244" s="19">
        <v>-0.57232232232232227</v>
      </c>
    </row>
    <row r="245" spans="3:22">
      <c r="C245" t="s">
        <v>224</v>
      </c>
      <c r="D245" s="8">
        <v>276.984195349294</v>
      </c>
      <c r="E245" s="8">
        <v>10182.052407732406</v>
      </c>
      <c r="F245" s="19">
        <v>6.3752092101442719E-5</v>
      </c>
      <c r="G245" s="19">
        <v>35.760409361596302</v>
      </c>
      <c r="H245" s="2">
        <v>263</v>
      </c>
      <c r="I245" s="2">
        <v>5778</v>
      </c>
      <c r="J245" s="19">
        <v>20.969581749049429</v>
      </c>
      <c r="N245" s="56"/>
      <c r="O245" t="s">
        <v>267</v>
      </c>
      <c r="P245" s="8"/>
      <c r="Q245" s="8">
        <v>48087.306446574308</v>
      </c>
      <c r="R245" s="19">
        <v>2.9150944918752812E-4</v>
      </c>
      <c r="S245" s="19"/>
      <c r="T245" s="2"/>
      <c r="U245" s="2">
        <v>1658</v>
      </c>
      <c r="V245" s="19"/>
    </row>
    <row r="246" spans="3:22">
      <c r="C246" t="s">
        <v>275</v>
      </c>
      <c r="D246" s="8"/>
      <c r="E246" s="8">
        <v>9695.3950032108132</v>
      </c>
      <c r="F246" s="19">
        <v>6.0105304434653262E-5</v>
      </c>
      <c r="G246" s="19"/>
      <c r="H246" s="2"/>
      <c r="I246" s="2">
        <v>5245</v>
      </c>
      <c r="J246" s="19"/>
      <c r="N246" s="56"/>
      <c r="O246" t="s">
        <v>318</v>
      </c>
      <c r="P246" s="8"/>
      <c r="Q246" s="8">
        <v>825.11097519041641</v>
      </c>
      <c r="R246" s="19">
        <v>4.0958653771010198E-6</v>
      </c>
      <c r="S246" s="19"/>
      <c r="T246" s="2"/>
      <c r="U246" s="2">
        <v>1521</v>
      </c>
      <c r="V246" s="19"/>
    </row>
    <row r="247" spans="3:22">
      <c r="C247" t="s">
        <v>272</v>
      </c>
      <c r="D247" s="8">
        <v>1367.8838000000001</v>
      </c>
      <c r="E247" s="8">
        <v>9629.5270638046368</v>
      </c>
      <c r="F247" s="19">
        <v>6.3798425150485863E-5</v>
      </c>
      <c r="G247" s="19">
        <v>6.0397259356420747</v>
      </c>
      <c r="H247" s="2">
        <v>2018</v>
      </c>
      <c r="I247" s="2">
        <v>16917</v>
      </c>
      <c r="J247" s="19">
        <v>7.3830525272547076</v>
      </c>
      <c r="N247" s="56"/>
      <c r="O247" t="s">
        <v>3576</v>
      </c>
      <c r="P247" s="8">
        <v>43481.565915029729</v>
      </c>
      <c r="Q247" s="8">
        <v>27132.002243033992</v>
      </c>
      <c r="R247" s="19">
        <v>1.5806559241698741E-4</v>
      </c>
      <c r="S247" s="19">
        <v>-0.37601138155754382</v>
      </c>
      <c r="T247" s="2">
        <v>3963</v>
      </c>
      <c r="U247" s="2">
        <v>1413</v>
      </c>
      <c r="V247" s="19">
        <v>-0.64345193035579107</v>
      </c>
    </row>
    <row r="248" spans="3:22">
      <c r="C248" t="s">
        <v>330</v>
      </c>
      <c r="D248" s="8"/>
      <c r="E248" s="8">
        <v>9578.596411566321</v>
      </c>
      <c r="F248" s="19">
        <v>5.988391779325096E-5</v>
      </c>
      <c r="G248" s="19"/>
      <c r="H248" s="2"/>
      <c r="I248" s="2">
        <v>494</v>
      </c>
      <c r="J248" s="19"/>
      <c r="N248" s="56"/>
      <c r="O248" t="s">
        <v>228</v>
      </c>
      <c r="P248" s="8">
        <v>96.196700000000007</v>
      </c>
      <c r="Q248" s="8">
        <v>23548.086996071102</v>
      </c>
      <c r="R248" s="19">
        <v>1.5074911038835464E-4</v>
      </c>
      <c r="S248" s="19">
        <v>243.79100630345013</v>
      </c>
      <c r="T248" s="2">
        <v>37</v>
      </c>
      <c r="U248" s="2">
        <v>1385</v>
      </c>
      <c r="V248" s="19">
        <v>36.432432432432435</v>
      </c>
    </row>
    <row r="249" spans="3:22">
      <c r="C249" t="s">
        <v>203</v>
      </c>
      <c r="D249" s="8">
        <v>9007.5722262342133</v>
      </c>
      <c r="E249" s="8">
        <v>8547.6771767524424</v>
      </c>
      <c r="F249" s="19">
        <v>5.1122465613561327E-5</v>
      </c>
      <c r="G249" s="19">
        <v>-5.1056493129452124E-2</v>
      </c>
      <c r="H249" s="2">
        <v>5084</v>
      </c>
      <c r="I249" s="2">
        <v>5157</v>
      </c>
      <c r="J249" s="19">
        <v>1.4358772619984264E-2</v>
      </c>
      <c r="N249" s="56"/>
      <c r="O249" t="s">
        <v>191</v>
      </c>
      <c r="P249" s="8">
        <v>15777.204429520911</v>
      </c>
      <c r="Q249" s="8">
        <v>18153.46592039345</v>
      </c>
      <c r="R249" s="19">
        <v>1.0977540363828561E-4</v>
      </c>
      <c r="S249" s="19">
        <v>0.15061359580448158</v>
      </c>
      <c r="T249" s="2">
        <v>1355</v>
      </c>
      <c r="U249" s="2">
        <v>1288</v>
      </c>
      <c r="V249" s="19">
        <v>-4.9446494464944653E-2</v>
      </c>
    </row>
    <row r="250" spans="3:22">
      <c r="C250" t="s">
        <v>285</v>
      </c>
      <c r="D250" s="8"/>
      <c r="E250" s="8">
        <v>8431.722173874492</v>
      </c>
      <c r="F250" s="19">
        <v>4.9587687839589409E-5</v>
      </c>
      <c r="G250" s="19"/>
      <c r="H250" s="2"/>
      <c r="I250" s="2">
        <v>1269</v>
      </c>
      <c r="J250" s="19"/>
      <c r="N250" s="56"/>
      <c r="O250" t="s">
        <v>285</v>
      </c>
      <c r="P250" s="8"/>
      <c r="Q250" s="8">
        <v>8431.722173874492</v>
      </c>
      <c r="R250" s="19">
        <v>4.9587687839589409E-5</v>
      </c>
      <c r="S250" s="19"/>
      <c r="T250" s="2"/>
      <c r="U250" s="2">
        <v>1269</v>
      </c>
      <c r="V250" s="19"/>
    </row>
    <row r="251" spans="3:22">
      <c r="C251" t="s">
        <v>3538</v>
      </c>
      <c r="D251" s="8"/>
      <c r="E251" s="8">
        <v>8286.2668077246381</v>
      </c>
      <c r="F251" s="19">
        <v>5.3819142356549577E-5</v>
      </c>
      <c r="G251" s="19"/>
      <c r="H251" s="2"/>
      <c r="I251" s="2">
        <v>437</v>
      </c>
      <c r="J251" s="19"/>
      <c r="N251" s="56"/>
      <c r="O251" t="s">
        <v>3583</v>
      </c>
      <c r="P251" s="8"/>
      <c r="Q251" s="8">
        <v>2921.9375294330507</v>
      </c>
      <c r="R251" s="19">
        <v>2.0918680753541786E-5</v>
      </c>
      <c r="S251" s="19"/>
      <c r="T251" s="2"/>
      <c r="U251" s="2">
        <v>1145</v>
      </c>
      <c r="V251" s="19"/>
    </row>
    <row r="252" spans="3:22">
      <c r="C252" t="s">
        <v>2283</v>
      </c>
      <c r="D252" s="8"/>
      <c r="E252" s="8">
        <v>8227.5476973365312</v>
      </c>
      <c r="F252" s="19">
        <v>5.046679644738956E-5</v>
      </c>
      <c r="G252" s="19"/>
      <c r="H252" s="2"/>
      <c r="I252" s="2">
        <v>961</v>
      </c>
      <c r="J252" s="19"/>
      <c r="N252" s="56"/>
      <c r="O252" t="s">
        <v>2283</v>
      </c>
      <c r="P252" s="8"/>
      <c r="Q252" s="8">
        <v>8227.5476973365312</v>
      </c>
      <c r="R252" s="19">
        <v>5.046679644738956E-5</v>
      </c>
      <c r="S252" s="19"/>
      <c r="T252" s="2"/>
      <c r="U252" s="2">
        <v>961</v>
      </c>
      <c r="V252" s="19"/>
    </row>
    <row r="253" spans="3:22">
      <c r="C253" t="s">
        <v>331</v>
      </c>
      <c r="D253" s="8"/>
      <c r="E253" s="8">
        <v>7738.6659586507685</v>
      </c>
      <c r="F253" s="19">
        <v>4.070504546739951E-5</v>
      </c>
      <c r="G253" s="19"/>
      <c r="H253" s="2"/>
      <c r="I253" s="2">
        <v>8700</v>
      </c>
      <c r="J253" s="19"/>
      <c r="N253" s="56"/>
      <c r="O253" t="s">
        <v>3580</v>
      </c>
      <c r="P253" s="8"/>
      <c r="Q253" s="8">
        <v>20481.749955893571</v>
      </c>
      <c r="R253" s="19">
        <v>1.3982796044673717E-4</v>
      </c>
      <c r="S253" s="19"/>
      <c r="T253" s="2"/>
      <c r="U253" s="2">
        <v>909</v>
      </c>
      <c r="V253" s="19"/>
    </row>
    <row r="254" spans="3:22">
      <c r="C254" t="s">
        <v>339</v>
      </c>
      <c r="D254" s="8"/>
      <c r="E254" s="8">
        <v>6321.5619690453259</v>
      </c>
      <c r="F254" s="19">
        <v>3.7605771634486061E-5</v>
      </c>
      <c r="G254" s="19"/>
      <c r="H254" s="2"/>
      <c r="I254" s="2">
        <v>1911</v>
      </c>
      <c r="J254" s="19"/>
      <c r="N254" s="56"/>
      <c r="O254" t="s">
        <v>4208</v>
      </c>
      <c r="P254" s="8"/>
      <c r="Q254" s="8">
        <v>1407.9848</v>
      </c>
      <c r="R254" s="19">
        <v>0</v>
      </c>
      <c r="S254" s="19"/>
      <c r="T254" s="2"/>
      <c r="U254" s="2">
        <v>677</v>
      </c>
      <c r="V254" s="19"/>
    </row>
    <row r="255" spans="3:22">
      <c r="C255" t="s">
        <v>321</v>
      </c>
      <c r="D255" s="8"/>
      <c r="E255" s="8">
        <v>5633.5470970149681</v>
      </c>
      <c r="F255" s="19">
        <v>2.6584950659728959E-5</v>
      </c>
      <c r="G255" s="19"/>
      <c r="H255" s="2"/>
      <c r="I255" s="2">
        <v>5823</v>
      </c>
      <c r="J255" s="19"/>
      <c r="N255" s="56"/>
      <c r="O255" t="s">
        <v>220</v>
      </c>
      <c r="P255" s="8">
        <v>13699.982165637488</v>
      </c>
      <c r="Q255" s="8">
        <v>14505.774440137886</v>
      </c>
      <c r="R255" s="19">
        <v>8.3790312375735856E-5</v>
      </c>
      <c r="S255" s="19">
        <v>5.8817030909828399E-2</v>
      </c>
      <c r="T255" s="2">
        <v>584</v>
      </c>
      <c r="U255" s="2">
        <v>652</v>
      </c>
      <c r="V255" s="19">
        <v>0.11643835616438356</v>
      </c>
    </row>
    <row r="256" spans="3:22">
      <c r="C256" t="s">
        <v>3539</v>
      </c>
      <c r="D256" s="8"/>
      <c r="E256" s="8">
        <v>5588.4633064537056</v>
      </c>
      <c r="F256" s="19">
        <v>3.6899105827840943E-5</v>
      </c>
      <c r="G256" s="19"/>
      <c r="H256" s="2"/>
      <c r="I256" s="2">
        <v>2808</v>
      </c>
      <c r="J256" s="19"/>
      <c r="N256" s="56"/>
      <c r="O256" t="s">
        <v>208</v>
      </c>
      <c r="P256" s="8">
        <v>9266.5014385705472</v>
      </c>
      <c r="Q256" s="8">
        <v>19540.286440525717</v>
      </c>
      <c r="R256" s="19">
        <v>1.1508620071626337E-4</v>
      </c>
      <c r="S256" s="19">
        <v>1.1087016033032642</v>
      </c>
      <c r="T256" s="2">
        <v>436</v>
      </c>
      <c r="U256" s="2">
        <v>525</v>
      </c>
      <c r="V256" s="19">
        <v>0.20412844036697247</v>
      </c>
    </row>
    <row r="257" spans="3:22">
      <c r="C257" t="s">
        <v>207</v>
      </c>
      <c r="D257" s="8">
        <v>8434.1752073336502</v>
      </c>
      <c r="E257" s="8">
        <v>3084.9984451897171</v>
      </c>
      <c r="F257" s="19">
        <v>1.422214930755697E-5</v>
      </c>
      <c r="G257" s="19">
        <v>-0.63422642174812049</v>
      </c>
      <c r="H257" s="2">
        <v>7969</v>
      </c>
      <c r="I257" s="2">
        <v>1947</v>
      </c>
      <c r="J257" s="19">
        <v>-0.75567825323127114</v>
      </c>
      <c r="N257" s="56"/>
      <c r="O257" t="s">
        <v>330</v>
      </c>
      <c r="P257" s="8"/>
      <c r="Q257" s="8">
        <v>9578.596411566321</v>
      </c>
      <c r="R257" s="19">
        <v>5.988391779325096E-5</v>
      </c>
      <c r="S257" s="19"/>
      <c r="T257" s="2"/>
      <c r="U257" s="2">
        <v>494</v>
      </c>
      <c r="V257" s="19"/>
    </row>
    <row r="258" spans="3:22">
      <c r="C258" t="s">
        <v>3583</v>
      </c>
      <c r="D258" s="8"/>
      <c r="E258" s="8">
        <v>2921.9375294330507</v>
      </c>
      <c r="F258" s="19">
        <v>2.0918680753541786E-5</v>
      </c>
      <c r="G258" s="19"/>
      <c r="H258" s="2"/>
      <c r="I258" s="2">
        <v>1145</v>
      </c>
      <c r="J258" s="19"/>
      <c r="N258" s="56"/>
      <c r="O258" t="s">
        <v>194</v>
      </c>
      <c r="P258" s="8">
        <v>12852.218849621317</v>
      </c>
      <c r="Q258" s="8">
        <v>12125.377647213545</v>
      </c>
      <c r="R258" s="19">
        <v>7.1443081414991583E-5</v>
      </c>
      <c r="S258" s="19">
        <v>-5.655375238410195E-2</v>
      </c>
      <c r="T258" s="2">
        <v>378</v>
      </c>
      <c r="U258" s="2">
        <v>490</v>
      </c>
      <c r="V258" s="19">
        <v>0.29629629629629628</v>
      </c>
    </row>
    <row r="259" spans="3:22">
      <c r="C259" t="s">
        <v>85</v>
      </c>
      <c r="D259" s="8">
        <v>294433.075080549</v>
      </c>
      <c r="E259" s="8">
        <v>2643.2303336625432</v>
      </c>
      <c r="F259" s="19">
        <v>1.2902970036565941E-5</v>
      </c>
      <c r="G259" s="19">
        <v>-0.99102264467760826</v>
      </c>
      <c r="H259" s="2">
        <v>21029</v>
      </c>
      <c r="I259" s="2">
        <v>102</v>
      </c>
      <c r="J259" s="19">
        <v>-0.99514955537590943</v>
      </c>
      <c r="N259" s="56"/>
      <c r="O259" t="s">
        <v>186</v>
      </c>
      <c r="P259" s="8">
        <v>26580.540244309268</v>
      </c>
      <c r="Q259" s="8">
        <v>11247.08769696536</v>
      </c>
      <c r="R259" s="19">
        <v>6.5305255355196202E-5</v>
      </c>
      <c r="S259" s="19">
        <v>-0.57686760338239196</v>
      </c>
      <c r="T259" s="2">
        <v>8600</v>
      </c>
      <c r="U259" s="2">
        <v>443</v>
      </c>
      <c r="V259" s="19">
        <v>-0.94848837209302328</v>
      </c>
    </row>
    <row r="260" spans="3:22">
      <c r="C260" t="s">
        <v>4206</v>
      </c>
      <c r="D260" s="8"/>
      <c r="E260" s="8">
        <v>2545.5918999999999</v>
      </c>
      <c r="F260" s="19">
        <v>0</v>
      </c>
      <c r="G260" s="19"/>
      <c r="H260" s="2"/>
      <c r="I260" s="2">
        <v>180</v>
      </c>
      <c r="J260" s="19"/>
      <c r="N260" s="56"/>
      <c r="O260" t="s">
        <v>3538</v>
      </c>
      <c r="P260" s="8"/>
      <c r="Q260" s="8">
        <v>8286.2668077246381</v>
      </c>
      <c r="R260" s="19">
        <v>5.3819142356549577E-5</v>
      </c>
      <c r="S260" s="19"/>
      <c r="T260" s="2"/>
      <c r="U260" s="2">
        <v>437</v>
      </c>
      <c r="V260" s="19"/>
    </row>
    <row r="261" spans="3:22">
      <c r="C261" t="s">
        <v>4207</v>
      </c>
      <c r="D261" s="8"/>
      <c r="E261" s="8">
        <v>2172.7230306501365</v>
      </c>
      <c r="F261" s="19">
        <v>1.5936540221202832E-5</v>
      </c>
      <c r="G261" s="19"/>
      <c r="H261" s="2"/>
      <c r="I261" s="2">
        <v>1837</v>
      </c>
      <c r="J261" s="19"/>
      <c r="N261" s="56"/>
      <c r="O261" t="s">
        <v>151</v>
      </c>
      <c r="P261" s="8">
        <v>41527.358086545115</v>
      </c>
      <c r="Q261" s="8">
        <v>22289.830528971765</v>
      </c>
      <c r="R261" s="19">
        <v>1.298279501273441E-4</v>
      </c>
      <c r="S261" s="19">
        <v>-0.46324949247870212</v>
      </c>
      <c r="T261" s="2">
        <v>2146</v>
      </c>
      <c r="U261" s="2">
        <v>427</v>
      </c>
      <c r="V261" s="19">
        <v>-0.80102516309412863</v>
      </c>
    </row>
    <row r="262" spans="3:22">
      <c r="C262" t="s">
        <v>3582</v>
      </c>
      <c r="D262" s="8"/>
      <c r="E262" s="8">
        <v>1521.8074999999999</v>
      </c>
      <c r="F262" s="19">
        <v>0</v>
      </c>
      <c r="G262" s="19"/>
      <c r="H262" s="2"/>
      <c r="I262" s="2">
        <v>155</v>
      </c>
      <c r="J262" s="19"/>
      <c r="N262" s="56"/>
      <c r="O262" t="s">
        <v>286</v>
      </c>
      <c r="P262" s="8"/>
      <c r="Q262" s="8">
        <v>462.28949999999998</v>
      </c>
      <c r="R262" s="19">
        <v>0</v>
      </c>
      <c r="S262" s="19"/>
      <c r="T262" s="2"/>
      <c r="U262" s="2">
        <v>245</v>
      </c>
      <c r="V262" s="19"/>
    </row>
    <row r="263" spans="3:22">
      <c r="C263" t="s">
        <v>4208</v>
      </c>
      <c r="D263" s="8"/>
      <c r="E263" s="8">
        <v>1407.9848</v>
      </c>
      <c r="F263" s="19">
        <v>0</v>
      </c>
      <c r="G263" s="19"/>
      <c r="H263" s="2"/>
      <c r="I263" s="2">
        <v>677</v>
      </c>
      <c r="J263" s="19"/>
      <c r="N263" s="56"/>
      <c r="O263" t="s">
        <v>4206</v>
      </c>
      <c r="P263" s="8"/>
      <c r="Q263" s="8">
        <v>2545.5918999999999</v>
      </c>
      <c r="R263" s="19">
        <v>0</v>
      </c>
      <c r="S263" s="19"/>
      <c r="T263" s="2"/>
      <c r="U263" s="2">
        <v>180</v>
      </c>
      <c r="V263" s="19"/>
    </row>
    <row r="264" spans="3:22">
      <c r="C264" t="s">
        <v>340</v>
      </c>
      <c r="D264" s="8"/>
      <c r="E264" s="8">
        <v>1076.2869318962576</v>
      </c>
      <c r="F264" s="19">
        <v>6.0229470345018896E-6</v>
      </c>
      <c r="G264" s="19"/>
      <c r="H264" s="2"/>
      <c r="I264" s="2">
        <v>110</v>
      </c>
      <c r="J264" s="19"/>
      <c r="N264" s="56"/>
      <c r="O264" t="s">
        <v>235</v>
      </c>
      <c r="P264" s="8">
        <v>1814.8938726092026</v>
      </c>
      <c r="Q264" s="8">
        <v>158.36509547758914</v>
      </c>
      <c r="R264" s="19">
        <v>7.3593870978728932E-7</v>
      </c>
      <c r="S264" s="19">
        <v>-0.9127414016501616</v>
      </c>
      <c r="T264" s="2">
        <v>404</v>
      </c>
      <c r="U264" s="2">
        <v>158</v>
      </c>
      <c r="V264" s="19">
        <v>-0.6089108910891089</v>
      </c>
    </row>
    <row r="265" spans="3:22">
      <c r="C265" t="s">
        <v>318</v>
      </c>
      <c r="D265" s="8"/>
      <c r="E265" s="8">
        <v>825.11097519041641</v>
      </c>
      <c r="F265" s="19">
        <v>4.0958653771010198E-6</v>
      </c>
      <c r="G265" s="19"/>
      <c r="H265" s="2"/>
      <c r="I265" s="2">
        <v>1521</v>
      </c>
      <c r="J265" s="19"/>
      <c r="N265" s="56"/>
      <c r="O265" t="s">
        <v>3582</v>
      </c>
      <c r="P265" s="8"/>
      <c r="Q265" s="8">
        <v>1521.8074999999999</v>
      </c>
      <c r="R265" s="19">
        <v>0</v>
      </c>
      <c r="S265" s="19"/>
      <c r="T265" s="2"/>
      <c r="U265" s="2">
        <v>155</v>
      </c>
      <c r="V265" s="19"/>
    </row>
    <row r="266" spans="3:22">
      <c r="C266" t="s">
        <v>286</v>
      </c>
      <c r="D266" s="8"/>
      <c r="E266" s="8">
        <v>462.28949999999998</v>
      </c>
      <c r="F266" s="19">
        <v>0</v>
      </c>
      <c r="G266" s="19"/>
      <c r="H266" s="2"/>
      <c r="I266" s="2">
        <v>245</v>
      </c>
      <c r="J266" s="19"/>
      <c r="N266" s="56"/>
      <c r="O266" t="s">
        <v>340</v>
      </c>
      <c r="P266" s="8"/>
      <c r="Q266" s="8">
        <v>1076.2869318962576</v>
      </c>
      <c r="R266" s="19">
        <v>6.0229470345018896E-6</v>
      </c>
      <c r="S266" s="19"/>
      <c r="T266" s="2"/>
      <c r="U266" s="2">
        <v>110</v>
      </c>
      <c r="V266" s="19"/>
    </row>
    <row r="267" spans="3:22">
      <c r="C267" t="s">
        <v>235</v>
      </c>
      <c r="D267" s="8">
        <v>1814.8938726092026</v>
      </c>
      <c r="E267" s="8">
        <v>158.36509547758914</v>
      </c>
      <c r="F267" s="19">
        <v>7.3593870978728932E-7</v>
      </c>
      <c r="G267" s="19">
        <v>-0.9127414016501616</v>
      </c>
      <c r="H267" s="2">
        <v>404</v>
      </c>
      <c r="I267" s="2">
        <v>158</v>
      </c>
      <c r="J267" s="19">
        <v>-0.6089108910891089</v>
      </c>
      <c r="N267" s="56"/>
      <c r="O267" t="s">
        <v>85</v>
      </c>
      <c r="P267" s="8">
        <v>294433.075080549</v>
      </c>
      <c r="Q267" s="8">
        <v>2643.2303336625432</v>
      </c>
      <c r="R267" s="19">
        <v>1.2902970036565941E-5</v>
      </c>
      <c r="S267" s="19">
        <v>-0.99102264467760826</v>
      </c>
      <c r="T267" s="2">
        <v>21029</v>
      </c>
      <c r="U267" s="2">
        <v>102</v>
      </c>
      <c r="V267" s="19">
        <v>-0.99514955537590943</v>
      </c>
    </row>
    <row r="268" spans="3:22">
      <c r="C268" t="s">
        <v>176</v>
      </c>
      <c r="D268" s="8">
        <v>26866.810728789445</v>
      </c>
      <c r="E268" s="8">
        <v>141.2954</v>
      </c>
      <c r="F268" s="19">
        <v>0</v>
      </c>
      <c r="G268" s="19">
        <v>-0.99474089420488632</v>
      </c>
      <c r="H268" s="2">
        <v>7116</v>
      </c>
      <c r="I268" s="2">
        <v>67</v>
      </c>
      <c r="J268" s="19">
        <v>-0.99058459808881394</v>
      </c>
      <c r="N268" s="56"/>
      <c r="O268" t="s">
        <v>176</v>
      </c>
      <c r="P268" s="8">
        <v>26866.810728789445</v>
      </c>
      <c r="Q268" s="8">
        <v>141.2954</v>
      </c>
      <c r="R268" s="19">
        <v>0</v>
      </c>
      <c r="S268" s="19">
        <v>-0.99474089420488632</v>
      </c>
      <c r="T268" s="2">
        <v>7116</v>
      </c>
      <c r="U268" s="2">
        <v>67</v>
      </c>
      <c r="V268" s="19">
        <v>-0.99058459808881394</v>
      </c>
    </row>
    <row r="269" spans="3:22">
      <c r="C269" t="s">
        <v>227</v>
      </c>
      <c r="D269" s="8">
        <v>224.3578</v>
      </c>
      <c r="E269" s="8">
        <v>68.167199999999994</v>
      </c>
      <c r="F269" s="19">
        <v>0</v>
      </c>
      <c r="G269" s="19">
        <v>-0.69616746108225347</v>
      </c>
      <c r="H269" s="2">
        <v>132</v>
      </c>
      <c r="I269" s="2">
        <v>19</v>
      </c>
      <c r="J269" s="19">
        <v>-0.85606060606060608</v>
      </c>
      <c r="N269" s="56"/>
      <c r="O269" t="s">
        <v>227</v>
      </c>
      <c r="P269" s="8">
        <v>224.3578</v>
      </c>
      <c r="Q269" s="8">
        <v>68.167199999999994</v>
      </c>
      <c r="R269" s="19">
        <v>0</v>
      </c>
      <c r="S269" s="19">
        <v>-0.69616746108225347</v>
      </c>
      <c r="T269" s="2">
        <v>132</v>
      </c>
      <c r="U269" s="2">
        <v>19</v>
      </c>
      <c r="V269" s="19">
        <v>-0.85606060606060608</v>
      </c>
    </row>
    <row r="270" spans="3:22">
      <c r="C270" t="s">
        <v>221</v>
      </c>
      <c r="D270" s="8">
        <v>429.60400815537616</v>
      </c>
      <c r="E270" s="8">
        <v>26.4116</v>
      </c>
      <c r="F270" s="19">
        <v>0</v>
      </c>
      <c r="G270" s="19">
        <v>-0.93852105776804662</v>
      </c>
      <c r="H270" s="2">
        <v>10</v>
      </c>
      <c r="I270" s="2">
        <v>8</v>
      </c>
      <c r="J270" s="19">
        <v>-0.2</v>
      </c>
      <c r="N270" s="56"/>
      <c r="O270" t="s">
        <v>221</v>
      </c>
      <c r="P270" s="8">
        <v>429.60400815537616</v>
      </c>
      <c r="Q270" s="8">
        <v>26.4116</v>
      </c>
      <c r="R270" s="19">
        <v>0</v>
      </c>
      <c r="S270" s="19">
        <v>-0.93852105776804662</v>
      </c>
      <c r="T270" s="2">
        <v>10</v>
      </c>
      <c r="U270" s="2">
        <v>8</v>
      </c>
      <c r="V270" s="19">
        <v>-0.2</v>
      </c>
    </row>
    <row r="271" spans="3:22">
      <c r="C271" t="s">
        <v>205</v>
      </c>
      <c r="D271" s="8">
        <v>4181.8626647448855</v>
      </c>
      <c r="E271" s="8"/>
      <c r="F271" s="19"/>
      <c r="G271" s="19"/>
      <c r="H271" s="2">
        <v>2804</v>
      </c>
      <c r="I271" s="2"/>
      <c r="J271" s="19"/>
      <c r="N271" s="56"/>
      <c r="O271" t="s">
        <v>205</v>
      </c>
      <c r="P271" s="8">
        <v>4181.8626647448855</v>
      </c>
      <c r="Q271" s="8"/>
      <c r="R271" s="19"/>
      <c r="S271" s="19"/>
      <c r="T271" s="2">
        <v>2804</v>
      </c>
      <c r="U271" s="2"/>
      <c r="V271" s="19"/>
    </row>
    <row r="272" spans="3:22">
      <c r="C272" t="s">
        <v>225</v>
      </c>
      <c r="D272" s="8">
        <v>274.50760000000002</v>
      </c>
      <c r="E272" s="8"/>
      <c r="F272" s="19"/>
      <c r="G272" s="19"/>
      <c r="H272" s="2">
        <v>36</v>
      </c>
      <c r="I272" s="2"/>
      <c r="J272" s="19"/>
      <c r="N272" s="56"/>
      <c r="O272" t="s">
        <v>225</v>
      </c>
      <c r="P272" s="8">
        <v>274.50760000000002</v>
      </c>
      <c r="Q272" s="8"/>
      <c r="R272" s="19"/>
      <c r="S272" s="19"/>
      <c r="T272" s="2">
        <v>36</v>
      </c>
      <c r="U272" s="2"/>
      <c r="V272" s="19"/>
    </row>
    <row r="273" spans="3:22">
      <c r="C273" t="s">
        <v>238</v>
      </c>
      <c r="D273" s="8">
        <v>2.0000000000000001E-4</v>
      </c>
      <c r="E273" s="8"/>
      <c r="F273" s="19"/>
      <c r="G273" s="19"/>
      <c r="H273" s="2"/>
      <c r="I273" s="2"/>
      <c r="J273" s="19"/>
      <c r="N273" s="56"/>
      <c r="O273" t="s">
        <v>238</v>
      </c>
      <c r="P273" s="8">
        <v>2.0000000000000001E-4</v>
      </c>
      <c r="Q273" s="8"/>
      <c r="R273" s="19"/>
      <c r="S273" s="19"/>
      <c r="T273" s="2"/>
      <c r="U273" s="2"/>
      <c r="V273" s="19"/>
    </row>
    <row r="274" spans="3:22">
      <c r="C274" t="s">
        <v>210</v>
      </c>
      <c r="D274" s="8">
        <v>1345.007930212658</v>
      </c>
      <c r="E274" s="8"/>
      <c r="F274" s="19"/>
      <c r="G274" s="19"/>
      <c r="H274" s="2">
        <v>67</v>
      </c>
      <c r="I274" s="2"/>
      <c r="J274" s="19"/>
      <c r="N274" s="56"/>
      <c r="O274" t="s">
        <v>210</v>
      </c>
      <c r="P274" s="8">
        <v>1345.007930212658</v>
      </c>
      <c r="Q274" s="8"/>
      <c r="R274" s="19"/>
      <c r="S274" s="19"/>
      <c r="T274" s="2">
        <v>67</v>
      </c>
      <c r="U274" s="2"/>
      <c r="V274" s="19"/>
    </row>
    <row r="275" spans="3:22">
      <c r="C275" t="s">
        <v>206</v>
      </c>
      <c r="D275" s="8">
        <v>6138.3149168032896</v>
      </c>
      <c r="E275" s="8"/>
      <c r="F275" s="19"/>
      <c r="G275" s="19"/>
      <c r="H275" s="2">
        <v>1126</v>
      </c>
      <c r="I275" s="2"/>
      <c r="J275" s="19"/>
      <c r="N275" s="56"/>
      <c r="O275" t="s">
        <v>206</v>
      </c>
      <c r="P275" s="8">
        <v>6138.3149168032896</v>
      </c>
      <c r="Q275" s="8"/>
      <c r="R275" s="19"/>
      <c r="S275" s="19"/>
      <c r="T275" s="2">
        <v>1126</v>
      </c>
      <c r="U275" s="2"/>
      <c r="V275" s="19"/>
    </row>
    <row r="276" spans="3:22">
      <c r="C276" t="s">
        <v>232</v>
      </c>
      <c r="D276" s="8">
        <v>35.957299999999996</v>
      </c>
      <c r="E276" s="8"/>
      <c r="F276" s="19"/>
      <c r="G276" s="19"/>
      <c r="H276" s="2">
        <v>5</v>
      </c>
      <c r="I276" s="2"/>
      <c r="J276" s="19"/>
      <c r="N276" s="56"/>
      <c r="O276" t="s">
        <v>232</v>
      </c>
      <c r="P276" s="8">
        <v>35.957299999999996</v>
      </c>
      <c r="Q276" s="8"/>
      <c r="R276" s="19"/>
      <c r="S276" s="19"/>
      <c r="T276" s="2">
        <v>5</v>
      </c>
      <c r="U276" s="2"/>
      <c r="V276" s="19"/>
    </row>
    <row r="277" spans="3:22">
      <c r="C277" t="s">
        <v>212</v>
      </c>
      <c r="D277" s="8">
        <v>3325.5274502535704</v>
      </c>
      <c r="E277" s="8"/>
      <c r="F277" s="19"/>
      <c r="G277" s="19"/>
      <c r="H277" s="2">
        <v>1500</v>
      </c>
      <c r="I277" s="2"/>
      <c r="J277" s="19"/>
      <c r="N277" s="56"/>
      <c r="O277" t="s">
        <v>212</v>
      </c>
      <c r="P277" s="8">
        <v>3325.5274502535704</v>
      </c>
      <c r="Q277" s="8"/>
      <c r="R277" s="19"/>
      <c r="S277" s="19"/>
      <c r="T277" s="2">
        <v>1500</v>
      </c>
      <c r="U277" s="2"/>
      <c r="V277" s="19"/>
    </row>
    <row r="278" spans="3:22">
      <c r="C278" t="s">
        <v>234</v>
      </c>
      <c r="D278" s="8">
        <v>20.135200000000001</v>
      </c>
      <c r="E278" s="8"/>
      <c r="F278" s="19"/>
      <c r="G278" s="19"/>
      <c r="H278" s="2">
        <v>1</v>
      </c>
      <c r="I278" s="2"/>
      <c r="J278" s="19"/>
      <c r="N278" s="56"/>
      <c r="O278" t="s">
        <v>234</v>
      </c>
      <c r="P278" s="8">
        <v>20.135200000000001</v>
      </c>
      <c r="Q278" s="8"/>
      <c r="R278" s="19"/>
      <c r="S278" s="19"/>
      <c r="T278" s="2">
        <v>1</v>
      </c>
      <c r="U278" s="2"/>
      <c r="V278" s="19"/>
    </row>
    <row r="279" spans="3:22">
      <c r="C279" t="s">
        <v>230</v>
      </c>
      <c r="D279" s="8">
        <v>49.920099999999998</v>
      </c>
      <c r="E279" s="8"/>
      <c r="F279" s="19"/>
      <c r="G279" s="19"/>
      <c r="H279" s="2">
        <v>58</v>
      </c>
      <c r="I279" s="2"/>
      <c r="J279" s="19"/>
      <c r="N279" s="56"/>
      <c r="O279" t="s">
        <v>230</v>
      </c>
      <c r="P279" s="8">
        <v>49.920099999999998</v>
      </c>
      <c r="Q279" s="8"/>
      <c r="R279" s="19"/>
      <c r="S279" s="19"/>
      <c r="T279" s="2">
        <v>58</v>
      </c>
      <c r="U279" s="2"/>
      <c r="V279" s="19"/>
    </row>
    <row r="280" spans="3:22">
      <c r="C280" t="s">
        <v>193</v>
      </c>
      <c r="D280" s="8">
        <v>6990.1490375516405</v>
      </c>
      <c r="E280" s="8"/>
      <c r="F280" s="19"/>
      <c r="G280" s="19"/>
      <c r="H280" s="2">
        <v>1918</v>
      </c>
      <c r="I280" s="2"/>
      <c r="J280" s="19"/>
      <c r="N280" s="56"/>
      <c r="O280" t="s">
        <v>193</v>
      </c>
      <c r="P280" s="8">
        <v>6990.1490375516405</v>
      </c>
      <c r="Q280" s="8"/>
      <c r="R280" s="19"/>
      <c r="S280" s="19"/>
      <c r="T280" s="2">
        <v>1918</v>
      </c>
      <c r="U280" s="2"/>
      <c r="V280" s="19"/>
    </row>
    <row r="281" spans="3:22">
      <c r="C281" t="s">
        <v>179</v>
      </c>
      <c r="D281" s="8">
        <v>11625.587598056611</v>
      </c>
      <c r="E281" s="8"/>
      <c r="F281" s="19"/>
      <c r="G281" s="19"/>
      <c r="H281" s="2">
        <v>1655</v>
      </c>
      <c r="I281" s="2"/>
      <c r="J281" s="19"/>
      <c r="N281" s="56"/>
      <c r="O281" t="s">
        <v>179</v>
      </c>
      <c r="P281" s="8">
        <v>11625.587598056611</v>
      </c>
      <c r="Q281" s="8"/>
      <c r="R281" s="19"/>
      <c r="S281" s="19"/>
      <c r="T281" s="2">
        <v>1655</v>
      </c>
      <c r="U281" s="2"/>
      <c r="V281" s="19"/>
    </row>
    <row r="282" spans="3:22">
      <c r="C282" t="s">
        <v>209</v>
      </c>
      <c r="D282" s="8">
        <v>5532.7157362594753</v>
      </c>
      <c r="E282" s="8"/>
      <c r="F282" s="19"/>
      <c r="G282" s="19"/>
      <c r="H282" s="2">
        <v>740</v>
      </c>
      <c r="I282" s="2"/>
      <c r="J282" s="19"/>
      <c r="N282" s="56"/>
      <c r="O282" t="s">
        <v>209</v>
      </c>
      <c r="P282" s="8">
        <v>5532.7157362594753</v>
      </c>
      <c r="Q282" s="8"/>
      <c r="R282" s="19"/>
      <c r="S282" s="19"/>
      <c r="T282" s="2">
        <v>740</v>
      </c>
      <c r="U282" s="2"/>
      <c r="V282" s="19"/>
    </row>
    <row r="283" spans="3:22">
      <c r="C283" t="s">
        <v>236</v>
      </c>
      <c r="D283" s="8">
        <v>3.8271999999999999</v>
      </c>
      <c r="E283" s="8"/>
      <c r="F283" s="19"/>
      <c r="G283" s="19"/>
      <c r="H283" s="2">
        <v>3</v>
      </c>
      <c r="I283" s="2"/>
      <c r="J283" s="19"/>
      <c r="N283" s="56"/>
      <c r="O283" t="s">
        <v>236</v>
      </c>
      <c r="P283" s="8">
        <v>3.8271999999999999</v>
      </c>
      <c r="Q283" s="8"/>
      <c r="R283" s="19"/>
      <c r="S283" s="19"/>
      <c r="T283" s="2">
        <v>3</v>
      </c>
      <c r="U283" s="2"/>
      <c r="V283" s="19"/>
    </row>
    <row r="284" spans="3:22">
      <c r="C284" t="s">
        <v>237</v>
      </c>
      <c r="D284" s="8">
        <v>0.40429999999999999</v>
      </c>
      <c r="E284" s="8"/>
      <c r="F284" s="19"/>
      <c r="G284" s="19"/>
      <c r="H284" s="2">
        <v>1</v>
      </c>
      <c r="I284" s="2"/>
      <c r="J284" s="19"/>
      <c r="N284" s="56"/>
      <c r="O284" t="s">
        <v>237</v>
      </c>
      <c r="P284" s="8">
        <v>0.40429999999999999</v>
      </c>
      <c r="Q284" s="8"/>
      <c r="R284" s="19"/>
      <c r="S284" s="19"/>
      <c r="T284" s="2">
        <v>1</v>
      </c>
      <c r="U284" s="2"/>
      <c r="V284" s="19"/>
    </row>
    <row r="285" spans="3:22">
      <c r="C285" t="s">
        <v>226</v>
      </c>
      <c r="D285" s="8">
        <v>3877.2859612939924</v>
      </c>
      <c r="E285" s="8"/>
      <c r="F285" s="19"/>
      <c r="G285" s="19"/>
      <c r="H285" s="2">
        <v>226</v>
      </c>
      <c r="I285" s="2"/>
      <c r="J285" s="19"/>
      <c r="N285" s="56"/>
      <c r="O285" t="s">
        <v>226</v>
      </c>
      <c r="P285" s="8">
        <v>3877.2859612939924</v>
      </c>
      <c r="Q285" s="8"/>
      <c r="R285" s="19"/>
      <c r="S285" s="19"/>
      <c r="T285" s="2">
        <v>226</v>
      </c>
      <c r="U285" s="2"/>
      <c r="V285" s="19"/>
    </row>
    <row r="286" spans="3:22">
      <c r="C286" t="s">
        <v>223</v>
      </c>
      <c r="D286" s="8">
        <v>1291.2787513819273</v>
      </c>
      <c r="E286" s="8"/>
      <c r="F286" s="19"/>
      <c r="G286" s="19"/>
      <c r="H286" s="2">
        <v>428</v>
      </c>
      <c r="I286" s="2"/>
      <c r="J286" s="19"/>
      <c r="N286" s="56"/>
      <c r="O286" t="s">
        <v>223</v>
      </c>
      <c r="P286" s="8">
        <v>1291.2787513819273</v>
      </c>
      <c r="Q286" s="8"/>
      <c r="R286" s="19"/>
      <c r="S286" s="19"/>
      <c r="T286" s="2">
        <v>428</v>
      </c>
      <c r="U286" s="2"/>
      <c r="V286" s="19"/>
    </row>
    <row r="287" spans="3:22">
      <c r="C287" t="s">
        <v>231</v>
      </c>
      <c r="D287" s="8">
        <v>43.701599999999999</v>
      </c>
      <c r="E287" s="8"/>
      <c r="F287" s="19"/>
      <c r="G287" s="19"/>
      <c r="H287" s="2">
        <v>8</v>
      </c>
      <c r="I287" s="2"/>
      <c r="J287" s="19"/>
      <c r="N287" s="56"/>
      <c r="O287" t="s">
        <v>231</v>
      </c>
      <c r="P287" s="8">
        <v>43.701599999999999</v>
      </c>
      <c r="Q287" s="8"/>
      <c r="R287" s="19"/>
      <c r="S287" s="19"/>
      <c r="T287" s="2">
        <v>8</v>
      </c>
      <c r="U287" s="2"/>
      <c r="V287" s="19"/>
    </row>
    <row r="288" spans="3:22">
      <c r="C288" t="s">
        <v>180</v>
      </c>
      <c r="D288" s="8">
        <v>10797.334483643903</v>
      </c>
      <c r="E288" s="8"/>
      <c r="F288" s="19"/>
      <c r="G288" s="19"/>
      <c r="H288" s="2">
        <v>1177</v>
      </c>
      <c r="I288" s="2"/>
      <c r="J288" s="19"/>
      <c r="N288" s="56"/>
      <c r="O288" t="s">
        <v>180</v>
      </c>
      <c r="P288" s="8">
        <v>10797.334483643903</v>
      </c>
      <c r="Q288" s="8"/>
      <c r="R288" s="19"/>
      <c r="S288" s="19"/>
      <c r="T288" s="2">
        <v>1177</v>
      </c>
      <c r="U288" s="2"/>
      <c r="V288" s="19"/>
    </row>
    <row r="289" spans="3:22">
      <c r="C289" t="s">
        <v>211</v>
      </c>
      <c r="D289" s="8">
        <v>2087.1468287933631</v>
      </c>
      <c r="E289" s="8"/>
      <c r="F289" s="19"/>
      <c r="G289" s="19"/>
      <c r="H289" s="2">
        <v>753</v>
      </c>
      <c r="I289" s="2"/>
      <c r="J289" s="19"/>
      <c r="N289" s="56"/>
      <c r="O289" t="s">
        <v>211</v>
      </c>
      <c r="P289" s="8">
        <v>2087.1468287933631</v>
      </c>
      <c r="Q289" s="8"/>
      <c r="R289" s="19"/>
      <c r="S289" s="19"/>
      <c r="T289" s="2">
        <v>753</v>
      </c>
      <c r="U289" s="2"/>
      <c r="V289" s="19"/>
    </row>
    <row r="290" spans="3:22">
      <c r="C290" t="s">
        <v>217</v>
      </c>
      <c r="D290" s="8">
        <v>557.84749999999997</v>
      </c>
      <c r="E290" s="8"/>
      <c r="F290" s="19"/>
      <c r="G290" s="19"/>
      <c r="H290" s="2">
        <v>60</v>
      </c>
      <c r="I290" s="2"/>
      <c r="J290" s="19"/>
      <c r="N290" s="56"/>
      <c r="O290" t="s">
        <v>217</v>
      </c>
      <c r="P290" s="8">
        <v>557.84749999999997</v>
      </c>
      <c r="Q290" s="8"/>
      <c r="R290" s="19"/>
      <c r="S290" s="19"/>
      <c r="T290" s="2">
        <v>60</v>
      </c>
      <c r="U290" s="2"/>
      <c r="V290" s="19"/>
    </row>
    <row r="291" spans="3:22">
      <c r="C291" t="s">
        <v>3581</v>
      </c>
      <c r="D291" s="8">
        <v>4173.9794000000002</v>
      </c>
      <c r="E291" s="8"/>
      <c r="F291" s="19"/>
      <c r="G291" s="19"/>
      <c r="H291" s="2">
        <v>162</v>
      </c>
      <c r="I291" s="2"/>
      <c r="J291" s="19"/>
      <c r="N291" s="56"/>
      <c r="O291" t="s">
        <v>3581</v>
      </c>
      <c r="P291" s="8">
        <v>4173.9794000000002</v>
      </c>
      <c r="Q291" s="8"/>
      <c r="R291" s="19"/>
      <c r="S291" s="19"/>
      <c r="T291" s="2">
        <v>162</v>
      </c>
      <c r="U291" s="2"/>
      <c r="V291" s="19"/>
    </row>
    <row r="292" spans="3:22">
      <c r="C292" t="s">
        <v>215</v>
      </c>
      <c r="D292" s="8">
        <v>984.29221593733905</v>
      </c>
      <c r="E292" s="8"/>
      <c r="F292" s="19"/>
      <c r="G292" s="19"/>
      <c r="H292" s="2">
        <v>294</v>
      </c>
      <c r="I292" s="2"/>
      <c r="J292" s="19"/>
      <c r="N292" s="56"/>
      <c r="O292" t="s">
        <v>215</v>
      </c>
      <c r="P292" s="8">
        <v>984.29221593733905</v>
      </c>
      <c r="Q292" s="8"/>
      <c r="R292" s="19"/>
      <c r="S292" s="19"/>
      <c r="T292" s="2">
        <v>294</v>
      </c>
      <c r="U292" s="2"/>
      <c r="V292" s="19"/>
    </row>
    <row r="293" spans="3:22">
      <c r="C293" t="s">
        <v>213</v>
      </c>
      <c r="D293" s="8">
        <v>1041.6352999999999</v>
      </c>
      <c r="E293" s="8"/>
      <c r="F293" s="19"/>
      <c r="G293" s="19"/>
      <c r="H293" s="2">
        <v>184</v>
      </c>
      <c r="I293" s="2"/>
      <c r="J293" s="19"/>
      <c r="N293" s="56"/>
      <c r="O293" t="s">
        <v>213</v>
      </c>
      <c r="P293" s="8">
        <v>1041.6352999999999</v>
      </c>
      <c r="Q293" s="8"/>
      <c r="R293" s="19"/>
      <c r="S293" s="19"/>
      <c r="T293" s="2">
        <v>184</v>
      </c>
      <c r="U293" s="2"/>
      <c r="V293" s="19"/>
    </row>
    <row r="294" spans="3:22">
      <c r="C294" t="s">
        <v>218</v>
      </c>
      <c r="D294" s="8">
        <v>2524.6377000000002</v>
      </c>
      <c r="E294" s="8"/>
      <c r="F294" s="19"/>
      <c r="G294" s="19"/>
      <c r="H294" s="2">
        <v>1300</v>
      </c>
      <c r="I294" s="2"/>
      <c r="J294" s="19"/>
      <c r="N294" s="56"/>
      <c r="O294" t="s">
        <v>218</v>
      </c>
      <c r="P294" s="8">
        <v>2524.6377000000002</v>
      </c>
      <c r="Q294" s="8"/>
      <c r="R294" s="19"/>
      <c r="S294" s="19"/>
      <c r="T294" s="2">
        <v>1300</v>
      </c>
      <c r="U294" s="2"/>
      <c r="V294" s="19"/>
    </row>
    <row r="295" spans="3:22">
      <c r="C295" t="s">
        <v>216</v>
      </c>
      <c r="D295" s="8">
        <v>5539.5242776282239</v>
      </c>
      <c r="E295" s="8"/>
      <c r="F295" s="19"/>
      <c r="G295" s="19"/>
      <c r="H295" s="2">
        <v>241</v>
      </c>
      <c r="I295" s="2"/>
      <c r="J295" s="19"/>
      <c r="N295" s="56"/>
      <c r="O295" t="s">
        <v>216</v>
      </c>
      <c r="P295" s="8">
        <v>5539.5242776282239</v>
      </c>
      <c r="Q295" s="8"/>
      <c r="R295" s="19"/>
      <c r="S295" s="19"/>
      <c r="T295" s="2">
        <v>241</v>
      </c>
      <c r="U295" s="2"/>
      <c r="V295" s="19"/>
    </row>
    <row r="296" spans="3:22">
      <c r="C296" t="s">
        <v>3584</v>
      </c>
      <c r="D296" s="8">
        <v>1.4095</v>
      </c>
      <c r="E296" s="8"/>
      <c r="F296" s="19"/>
      <c r="G296" s="19"/>
      <c r="H296" s="2"/>
      <c r="I296" s="2"/>
      <c r="J296" s="19"/>
      <c r="N296" s="56"/>
      <c r="O296" t="s">
        <v>3584</v>
      </c>
      <c r="P296" s="8">
        <v>1.4095</v>
      </c>
      <c r="Q296" s="8"/>
      <c r="R296" s="19"/>
      <c r="S296" s="19"/>
      <c r="T296" s="2"/>
      <c r="U296" s="2"/>
      <c r="V296" s="19"/>
    </row>
    <row r="297" spans="3:22">
      <c r="C297" t="s">
        <v>197</v>
      </c>
      <c r="D297" s="8">
        <v>10357.559379181237</v>
      </c>
      <c r="E297" s="8"/>
      <c r="F297" s="19"/>
      <c r="G297" s="19"/>
      <c r="H297" s="2">
        <v>2410</v>
      </c>
      <c r="I297" s="2"/>
      <c r="J297" s="19"/>
      <c r="N297" s="56"/>
      <c r="O297" t="s">
        <v>197</v>
      </c>
      <c r="P297" s="8">
        <v>10357.559379181237</v>
      </c>
      <c r="Q297" s="8"/>
      <c r="R297" s="19"/>
      <c r="S297" s="19"/>
      <c r="T297" s="2">
        <v>2410</v>
      </c>
      <c r="U297" s="2"/>
      <c r="V297" s="19"/>
    </row>
    <row r="298" spans="3:22">
      <c r="C298" t="s">
        <v>3585</v>
      </c>
      <c r="D298" s="8">
        <v>1E-4</v>
      </c>
      <c r="E298" s="8"/>
      <c r="F298" s="19"/>
      <c r="G298" s="19"/>
      <c r="H298" s="2"/>
      <c r="I298" s="2"/>
      <c r="J298" s="19"/>
      <c r="N298" s="56"/>
      <c r="O298" t="s">
        <v>3585</v>
      </c>
      <c r="P298" s="8">
        <v>1E-4</v>
      </c>
      <c r="Q298" s="8"/>
      <c r="R298" s="19"/>
      <c r="S298" s="19"/>
      <c r="T298" s="2"/>
      <c r="U298" s="2"/>
      <c r="V298" s="19"/>
    </row>
    <row r="299" spans="3:22">
      <c r="C299" s="35" t="s">
        <v>3586</v>
      </c>
      <c r="D299" s="8">
        <v>4.0000000000000002E-4</v>
      </c>
      <c r="E299" s="8"/>
      <c r="F299" s="19"/>
      <c r="G299" s="19"/>
      <c r="H299" s="2"/>
      <c r="I299" s="2"/>
      <c r="J299" s="19"/>
      <c r="N299" s="56"/>
      <c r="O299" s="35" t="s">
        <v>3586</v>
      </c>
      <c r="P299" s="8">
        <v>4.0000000000000002E-4</v>
      </c>
      <c r="Q299" s="8"/>
      <c r="R299" s="19"/>
      <c r="S299" s="19"/>
      <c r="T299" s="2"/>
      <c r="U299" s="2"/>
      <c r="V299" s="19"/>
    </row>
    <row r="300" spans="3:22">
      <c r="C300" t="s">
        <v>219</v>
      </c>
      <c r="D300">
        <v>614.76873780324763</v>
      </c>
      <c r="E300" s="8"/>
      <c r="F300" s="19"/>
      <c r="G300" s="19"/>
      <c r="H300">
        <v>172</v>
      </c>
      <c r="I300" s="2"/>
      <c r="J300" s="19"/>
      <c r="O300" t="s">
        <v>219</v>
      </c>
      <c r="P300">
        <v>614.76873780324763</v>
      </c>
      <c r="Q300" s="8"/>
      <c r="R300" s="19"/>
      <c r="S300" s="19"/>
      <c r="T300">
        <v>172</v>
      </c>
      <c r="U300" s="2"/>
      <c r="V300" s="19"/>
    </row>
    <row r="301" spans="3:22">
      <c r="C301" t="s">
        <v>214</v>
      </c>
      <c r="D301">
        <v>994.96569999999997</v>
      </c>
      <c r="E301" s="8"/>
      <c r="F301" s="19"/>
      <c r="G301" s="19"/>
      <c r="H301">
        <v>232</v>
      </c>
      <c r="I301" s="2"/>
      <c r="J301" s="19"/>
      <c r="O301" t="s">
        <v>214</v>
      </c>
      <c r="P301">
        <v>994.96569999999997</v>
      </c>
      <c r="Q301" s="8"/>
      <c r="R301" s="19"/>
      <c r="S301" s="19"/>
      <c r="T301">
        <v>232</v>
      </c>
      <c r="U301" s="2"/>
      <c r="V301" s="19"/>
    </row>
    <row r="302" spans="3:22">
      <c r="C302" t="s">
        <v>12</v>
      </c>
      <c r="D302">
        <v>119176951.5273196</v>
      </c>
      <c r="E302">
        <v>163586119.37338325</v>
      </c>
      <c r="F302">
        <v>1</v>
      </c>
      <c r="G302">
        <v>0.3726321849731451</v>
      </c>
      <c r="H302">
        <v>34741097</v>
      </c>
      <c r="I302">
        <v>43383465</v>
      </c>
      <c r="J302">
        <v>0.24876497135366796</v>
      </c>
      <c r="O302" t="s">
        <v>12</v>
      </c>
      <c r="P302">
        <v>119176951.5273196</v>
      </c>
      <c r="Q302">
        <v>163586119.37338325</v>
      </c>
      <c r="R302">
        <v>1</v>
      </c>
      <c r="S302">
        <v>0.3726321849731451</v>
      </c>
      <c r="T302">
        <v>34741097</v>
      </c>
      <c r="U302">
        <v>43383465</v>
      </c>
      <c r="V302">
        <v>0.24876497135366796</v>
      </c>
    </row>
    <row r="303" spans="3:22">
      <c r="E303" s="8"/>
      <c r="F303" s="19"/>
      <c r="G303" s="19"/>
      <c r="I303" s="2"/>
      <c r="J303" s="19"/>
    </row>
    <row r="304" spans="3:22">
      <c r="E304" s="8"/>
      <c r="F304" s="19"/>
      <c r="G304" s="19"/>
      <c r="I304" s="2"/>
      <c r="J304" s="19"/>
    </row>
    <row r="307" spans="3:10">
      <c r="C307" s="35"/>
      <c r="D307" s="35"/>
      <c r="E307" s="9"/>
      <c r="F307" s="36"/>
      <c r="G307" s="36"/>
      <c r="H307" s="35"/>
      <c r="I307" s="3"/>
      <c r="J307" s="36"/>
    </row>
    <row r="308" spans="3:10">
      <c r="E308" s="8"/>
      <c r="F308" s="19"/>
      <c r="G308" s="19"/>
      <c r="I308" s="2"/>
      <c r="J308" s="19"/>
    </row>
    <row r="309" spans="3:10">
      <c r="E309" s="8"/>
      <c r="F309" s="19"/>
      <c r="G309" s="19"/>
      <c r="I309" s="2"/>
      <c r="J309" s="19"/>
    </row>
    <row r="310" spans="3:10">
      <c r="E310" s="8"/>
      <c r="F310" s="19"/>
      <c r="G310" s="19"/>
      <c r="I310" s="2"/>
      <c r="J310" s="19"/>
    </row>
    <row r="311" spans="3:10">
      <c r="E311" s="8"/>
      <c r="F311" s="19"/>
      <c r="G311" s="19"/>
      <c r="I311" s="2"/>
      <c r="J311" s="19"/>
    </row>
    <row r="312" spans="3:10">
      <c r="E312" s="8"/>
      <c r="F312" s="19"/>
      <c r="G312" s="19"/>
      <c r="I312" s="2"/>
      <c r="J312" s="19"/>
    </row>
    <row r="313" spans="3:10">
      <c r="E313" s="8"/>
      <c r="F313" s="19"/>
      <c r="G313" s="19"/>
      <c r="I313" s="2"/>
      <c r="J313" s="19"/>
    </row>
    <row r="314" spans="3:10">
      <c r="E314" s="8"/>
      <c r="F314" s="19"/>
      <c r="G314" s="19"/>
      <c r="I314" s="2"/>
      <c r="J314" s="19"/>
    </row>
    <row r="315" spans="3:10">
      <c r="E315" s="8"/>
      <c r="F315" s="19"/>
      <c r="G315" s="19"/>
      <c r="I315" s="2"/>
      <c r="J315" s="19"/>
    </row>
    <row r="316" spans="3:10">
      <c r="E316" s="8"/>
      <c r="F316" s="19"/>
      <c r="G316" s="19"/>
      <c r="I316" s="2"/>
      <c r="J316" s="19"/>
    </row>
    <row r="317" spans="3:10">
      <c r="E317" s="8"/>
      <c r="F317" s="19"/>
      <c r="G317" s="19"/>
      <c r="I317" s="2"/>
      <c r="J317" s="19"/>
    </row>
    <row r="318" spans="3:10">
      <c r="E318" s="8"/>
      <c r="F318" s="19"/>
      <c r="G318" s="19"/>
      <c r="I318" s="2"/>
      <c r="J318" s="19"/>
    </row>
    <row r="319" spans="3:10">
      <c r="E319" s="8"/>
      <c r="F319" s="19"/>
      <c r="G319" s="19"/>
      <c r="I319" s="2"/>
      <c r="J319" s="19"/>
    </row>
    <row r="320" spans="3:10">
      <c r="E320" s="8"/>
      <c r="F320" s="19"/>
      <c r="G320" s="19"/>
      <c r="I320" s="2"/>
      <c r="J320" s="19"/>
    </row>
    <row r="321" spans="5:10">
      <c r="E321" s="8"/>
      <c r="F321" s="19"/>
      <c r="G321" s="19"/>
      <c r="I321" s="2"/>
      <c r="J321" s="19"/>
    </row>
    <row r="322" spans="5:10">
      <c r="E322" s="8"/>
      <c r="F322" s="19"/>
      <c r="G322" s="19"/>
      <c r="I322" s="2"/>
      <c r="J322" s="19"/>
    </row>
    <row r="323" spans="5:10">
      <c r="E323" s="8"/>
      <c r="F323" s="19"/>
      <c r="G323" s="19"/>
      <c r="I323" s="2"/>
      <c r="J323" s="19"/>
    </row>
    <row r="324" spans="5:10">
      <c r="E324" s="8"/>
      <c r="F324" s="19"/>
      <c r="G324" s="19"/>
      <c r="I324" s="2"/>
      <c r="J324" s="19"/>
    </row>
    <row r="325" spans="5:10">
      <c r="E325" s="8"/>
      <c r="F325" s="19"/>
      <c r="G325" s="19"/>
      <c r="I325" s="2"/>
      <c r="J325" s="19"/>
    </row>
    <row r="326" spans="5:10">
      <c r="E326" s="8"/>
      <c r="F326" s="19"/>
      <c r="G326" s="19"/>
      <c r="I326" s="2"/>
      <c r="J326" s="19"/>
    </row>
    <row r="327" spans="5:10">
      <c r="E327" s="8"/>
      <c r="F327" s="19"/>
      <c r="G327" s="19"/>
      <c r="I327" s="2"/>
      <c r="J327" s="19"/>
    </row>
    <row r="328" spans="5:10">
      <c r="E328" s="8"/>
      <c r="F328" s="19"/>
      <c r="G328" s="19"/>
      <c r="I328" s="2"/>
      <c r="J328" s="19"/>
    </row>
    <row r="329" spans="5:10">
      <c r="E329" s="8"/>
      <c r="F329" s="19"/>
      <c r="G329" s="19"/>
      <c r="I329" s="2"/>
      <c r="J329" s="19"/>
    </row>
    <row r="330" spans="5:10">
      <c r="E330" s="8"/>
      <c r="F330" s="19"/>
      <c r="G330" s="19"/>
      <c r="I330" s="2"/>
      <c r="J330" s="19"/>
    </row>
    <row r="331" spans="5:10">
      <c r="E331" s="8"/>
      <c r="F331" s="19"/>
      <c r="G331" s="19"/>
      <c r="I331" s="2"/>
      <c r="J331" s="19"/>
    </row>
    <row r="332" spans="5:10">
      <c r="E332" s="8"/>
      <c r="F332" s="19"/>
      <c r="G332" s="19"/>
      <c r="I332" s="2"/>
      <c r="J332" s="19"/>
    </row>
  </sheetData>
  <sortState xmlns:xlrd2="http://schemas.microsoft.com/office/spreadsheetml/2017/richdata2" ref="O24:V301">
    <sortCondition descending="1" ref="U24:U30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B318-7D3A-4384-98DD-0C96AC3155E7}">
  <dimension ref="A2:N22"/>
  <sheetViews>
    <sheetView showGridLines="0" workbookViewId="0">
      <selection activeCell="K28" sqref="K28"/>
    </sheetView>
  </sheetViews>
  <sheetFormatPr baseColWidth="10" defaultRowHeight="14.5"/>
  <cols>
    <col min="1" max="1" width="18.1796875" customWidth="1"/>
    <col min="2" max="2" width="15.7265625" customWidth="1"/>
    <col min="3" max="3" width="17.36328125" bestFit="1" customWidth="1"/>
    <col min="11" max="11" width="36.26953125" bestFit="1" customWidth="1"/>
    <col min="12" max="12" width="16.7265625" style="39" bestFit="1" customWidth="1"/>
  </cols>
  <sheetData>
    <row r="2" spans="1:14" ht="43.5">
      <c r="A2" s="25" t="s">
        <v>240</v>
      </c>
      <c r="B2" s="23" t="s">
        <v>17</v>
      </c>
      <c r="C2" s="23" t="s">
        <v>18</v>
      </c>
      <c r="D2" s="23" t="s">
        <v>19</v>
      </c>
      <c r="E2" s="23" t="s">
        <v>20</v>
      </c>
      <c r="F2" s="23" t="s">
        <v>21</v>
      </c>
      <c r="G2" s="23" t="s">
        <v>22</v>
      </c>
      <c r="H2" s="23" t="s">
        <v>23</v>
      </c>
    </row>
    <row r="3" spans="1:14">
      <c r="A3" s="30" t="s">
        <v>241</v>
      </c>
      <c r="B3" s="8">
        <v>100975996.93345372</v>
      </c>
      <c r="C3" s="8">
        <v>131532859.78106014</v>
      </c>
      <c r="D3" s="19">
        <v>0.80211254019064981</v>
      </c>
      <c r="E3" s="29">
        <v>0.30261511424090587</v>
      </c>
      <c r="F3" s="2">
        <v>30290718</v>
      </c>
      <c r="G3" s="2">
        <v>35165955</v>
      </c>
      <c r="H3" s="29">
        <v>0.16094821522553543</v>
      </c>
    </row>
    <row r="4" spans="1:14">
      <c r="A4" s="30" t="s">
        <v>242</v>
      </c>
      <c r="B4" s="8">
        <v>18197300.948042329</v>
      </c>
      <c r="C4" s="8">
        <v>32047947.098518621</v>
      </c>
      <c r="D4" s="19">
        <v>0.19785280057562946</v>
      </c>
      <c r="E4" s="28">
        <v>0.76113739010104875</v>
      </c>
      <c r="F4" s="2">
        <v>4450379</v>
      </c>
      <c r="G4" s="2">
        <v>8217510</v>
      </c>
      <c r="H4" s="28">
        <v>0.84647419916371169</v>
      </c>
    </row>
    <row r="5" spans="1:14">
      <c r="A5" s="31" t="s">
        <v>12</v>
      </c>
      <c r="B5" s="10">
        <v>119176951.52731954</v>
      </c>
      <c r="C5" s="10">
        <v>163586119.37338328</v>
      </c>
      <c r="D5" s="24">
        <v>1</v>
      </c>
      <c r="E5" s="24">
        <v>0.37263218497314532</v>
      </c>
      <c r="F5" s="5">
        <v>34741097</v>
      </c>
      <c r="G5" s="5">
        <v>43383465</v>
      </c>
      <c r="H5" s="24">
        <v>0.24876497135366796</v>
      </c>
    </row>
    <row r="7" spans="1:14">
      <c r="B7" s="32"/>
      <c r="C7" s="32"/>
      <c r="D7" s="32"/>
      <c r="E7" s="32"/>
      <c r="F7" s="32"/>
      <c r="G7" s="32"/>
      <c r="H7" s="32"/>
      <c r="N7" s="40"/>
    </row>
    <row r="10" spans="1:14">
      <c r="K10">
        <v>0</v>
      </c>
    </row>
    <row r="11" spans="1:14" ht="43.5">
      <c r="A11" s="25" t="s">
        <v>243</v>
      </c>
      <c r="B11" s="23" t="s">
        <v>17</v>
      </c>
      <c r="C11" s="23" t="s">
        <v>18</v>
      </c>
      <c r="D11" s="23" t="s">
        <v>19</v>
      </c>
      <c r="E11" s="23" t="s">
        <v>20</v>
      </c>
      <c r="F11" s="23" t="s">
        <v>21</v>
      </c>
      <c r="G11" s="23" t="s">
        <v>22</v>
      </c>
      <c r="H11" s="23" t="s">
        <v>23</v>
      </c>
    </row>
    <row r="12" spans="1:14">
      <c r="A12" s="30" t="s">
        <v>244</v>
      </c>
      <c r="B12" s="8">
        <v>100469602.15255995</v>
      </c>
      <c r="C12" s="8">
        <v>130416817.14190957</v>
      </c>
      <c r="D12" s="19">
        <v>0.79513432346871449</v>
      </c>
      <c r="E12" s="29">
        <v>0.29807239550800357</v>
      </c>
      <c r="F12" s="2">
        <v>30199137</v>
      </c>
      <c r="G12" s="2">
        <v>34996124</v>
      </c>
      <c r="H12" s="29">
        <v>0.15884516832384979</v>
      </c>
    </row>
    <row r="13" spans="1:14">
      <c r="A13" s="30" t="s">
        <v>245</v>
      </c>
      <c r="B13" s="8">
        <v>7682445.2442232417</v>
      </c>
      <c r="C13" s="8">
        <v>12023738.028276863</v>
      </c>
      <c r="D13" s="19">
        <v>7.4471386031833287E-2</v>
      </c>
      <c r="E13" s="28">
        <v>0.56509257743399133</v>
      </c>
      <c r="F13" s="2">
        <v>1244083</v>
      </c>
      <c r="G13" s="2">
        <v>1631403</v>
      </c>
      <c r="H13" s="29">
        <v>0.31132971031675538</v>
      </c>
    </row>
    <row r="14" spans="1:14">
      <c r="A14" s="30" t="s">
        <v>246</v>
      </c>
      <c r="B14" s="8">
        <v>6975548.6932895444</v>
      </c>
      <c r="C14" s="8">
        <v>11914345.876446817</v>
      </c>
      <c r="D14" s="19">
        <v>7.3102825803886079E-2</v>
      </c>
      <c r="E14" s="28">
        <v>0.70801558419459965</v>
      </c>
      <c r="F14" s="2">
        <v>2598567</v>
      </c>
      <c r="G14" s="2">
        <v>5060580</v>
      </c>
      <c r="H14" s="28">
        <v>0.94745026778220454</v>
      </c>
    </row>
    <row r="15" spans="1:14">
      <c r="A15" s="30" t="s">
        <v>247</v>
      </c>
      <c r="B15" s="8">
        <v>3537704.8931511766</v>
      </c>
      <c r="C15" s="8">
        <v>8107056.9328873185</v>
      </c>
      <c r="D15" s="19">
        <v>5.026055941113905E-2</v>
      </c>
      <c r="E15" s="28">
        <v>1.2916148117900348</v>
      </c>
      <c r="F15" s="2">
        <v>607729</v>
      </c>
      <c r="G15" s="2">
        <v>1525527</v>
      </c>
      <c r="H15" s="28">
        <v>1.5102093202726874</v>
      </c>
    </row>
    <row r="16" spans="1:14">
      <c r="A16" s="30" t="s">
        <v>248</v>
      </c>
      <c r="B16" s="8">
        <v>506394.78082514205</v>
      </c>
      <c r="C16" s="8">
        <v>1116042.639004068</v>
      </c>
      <c r="D16" s="19">
        <v>6.978216721935407E-3</v>
      </c>
      <c r="E16" s="28">
        <v>1.2038983837581003</v>
      </c>
      <c r="F16" s="2">
        <v>91581</v>
      </c>
      <c r="G16" s="2">
        <v>169831</v>
      </c>
      <c r="H16" s="28">
        <v>0.85443487186206746</v>
      </c>
    </row>
    <row r="17" spans="1:11">
      <c r="A17" s="31" t="s">
        <v>12</v>
      </c>
      <c r="B17" s="10">
        <v>119176951.5273196</v>
      </c>
      <c r="C17" s="10">
        <v>163586119.37338328</v>
      </c>
      <c r="D17" s="24">
        <v>1</v>
      </c>
      <c r="E17" s="24">
        <v>0.37263218497314532</v>
      </c>
      <c r="F17" s="5">
        <v>34741097</v>
      </c>
      <c r="G17" s="5">
        <v>43383465</v>
      </c>
      <c r="H17" s="24">
        <v>0.24876497135366796</v>
      </c>
    </row>
    <row r="19" spans="1:11">
      <c r="A19" s="33"/>
      <c r="B19" s="33"/>
      <c r="C19" s="33"/>
      <c r="D19" s="33"/>
      <c r="E19" s="33"/>
      <c r="F19" s="33"/>
      <c r="G19" s="33"/>
      <c r="H19" s="33"/>
    </row>
    <row r="22" spans="1:11">
      <c r="K22">
        <v>0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0443-DC50-4747-AF51-7D2254FF5469}">
  <dimension ref="A1:M3368"/>
  <sheetViews>
    <sheetView showGridLines="0" workbookViewId="0">
      <pane xSplit="14" topLeftCell="O1" activePane="topRight" state="frozen"/>
      <selection pane="topRight" activeCell="C31" sqref="C31"/>
    </sheetView>
  </sheetViews>
  <sheetFormatPr baseColWidth="10" defaultRowHeight="14.5"/>
  <cols>
    <col min="1" max="1" width="7.1796875" style="56" customWidth="1"/>
    <col min="2" max="2" width="7.08984375" customWidth="1"/>
    <col min="3" max="3" width="44.08984375" customWidth="1"/>
    <col min="4" max="5" width="12.7265625" bestFit="1" customWidth="1"/>
    <col min="6" max="6" width="12.1796875" style="6" customWidth="1"/>
    <col min="9" max="9" width="6.08984375" customWidth="1"/>
    <col min="10" max="10" width="27.08984375" customWidth="1"/>
    <col min="11" max="11" width="12.7265625" bestFit="1" customWidth="1"/>
    <col min="12" max="12" width="13.7265625" bestFit="1" customWidth="1"/>
    <col min="13" max="13" width="10.90625" style="6"/>
  </cols>
  <sheetData>
    <row r="1" spans="1:13" ht="43.5">
      <c r="A1" s="23" t="s">
        <v>2265</v>
      </c>
      <c r="B1" s="23" t="s">
        <v>2241</v>
      </c>
      <c r="C1" s="23" t="s">
        <v>2240</v>
      </c>
      <c r="D1" s="23" t="s">
        <v>2239</v>
      </c>
      <c r="E1" s="23" t="s">
        <v>4204</v>
      </c>
      <c r="F1" s="23" t="s">
        <v>2238</v>
      </c>
      <c r="I1" s="23" t="s">
        <v>2265</v>
      </c>
      <c r="J1" s="23" t="s">
        <v>2242</v>
      </c>
      <c r="K1" s="23" t="s">
        <v>2239</v>
      </c>
      <c r="L1" s="23" t="s">
        <v>4204</v>
      </c>
      <c r="M1" s="62" t="s">
        <v>2238</v>
      </c>
    </row>
    <row r="2" spans="1:13">
      <c r="A2" s="56">
        <v>1</v>
      </c>
      <c r="B2" s="1" t="s">
        <v>2288</v>
      </c>
      <c r="C2" s="60" t="s">
        <v>2289</v>
      </c>
      <c r="D2" s="8">
        <v>169825.98505744778</v>
      </c>
      <c r="E2" s="8">
        <v>725727.80893942667</v>
      </c>
      <c r="F2" s="14">
        <v>3.2733613981036624</v>
      </c>
      <c r="I2" s="56">
        <v>1</v>
      </c>
      <c r="J2" t="s">
        <v>2243</v>
      </c>
      <c r="K2" s="8">
        <v>6085690.092948135</v>
      </c>
      <c r="L2" s="8">
        <v>7810394.6551924227</v>
      </c>
      <c r="M2" s="122">
        <v>0.28340328473886789</v>
      </c>
    </row>
    <row r="3" spans="1:13">
      <c r="A3" s="56">
        <v>2</v>
      </c>
      <c r="B3" s="1" t="s">
        <v>2232</v>
      </c>
      <c r="C3" s="60" t="s">
        <v>2231</v>
      </c>
      <c r="D3" s="8">
        <v>404779.58013471612</v>
      </c>
      <c r="E3" s="8">
        <v>584458.53475632763</v>
      </c>
      <c r="F3" s="122">
        <v>0.44389332723209973</v>
      </c>
      <c r="I3" s="56">
        <v>2</v>
      </c>
      <c r="J3" t="s">
        <v>2247</v>
      </c>
      <c r="K3" s="8">
        <v>3663893.7946132575</v>
      </c>
      <c r="L3" s="8">
        <v>7444209.2989527192</v>
      </c>
      <c r="M3" s="14">
        <v>1.0317754051433941</v>
      </c>
    </row>
    <row r="4" spans="1:13">
      <c r="A4" s="56">
        <v>3</v>
      </c>
      <c r="B4" s="1" t="s">
        <v>2236</v>
      </c>
      <c r="C4" s="60" t="s">
        <v>2235</v>
      </c>
      <c r="D4" s="8">
        <v>505560.98852942325</v>
      </c>
      <c r="E4" s="8">
        <v>517967.71861638315</v>
      </c>
      <c r="F4" s="122">
        <v>2.4540521061659826E-2</v>
      </c>
      <c r="I4" s="56">
        <v>3</v>
      </c>
      <c r="J4" t="s">
        <v>2246</v>
      </c>
      <c r="K4" s="8">
        <v>3437912.0392709789</v>
      </c>
      <c r="L4" s="8">
        <v>7245167.4646018185</v>
      </c>
      <c r="M4" s="14">
        <v>1.1074324711746208</v>
      </c>
    </row>
    <row r="5" spans="1:13">
      <c r="A5" s="56">
        <v>4</v>
      </c>
      <c r="B5" s="1" t="s">
        <v>2234</v>
      </c>
      <c r="C5" s="60" t="s">
        <v>2233</v>
      </c>
      <c r="D5" s="8">
        <v>355215.55512133904</v>
      </c>
      <c r="E5" s="8">
        <v>435267.97023593955</v>
      </c>
      <c r="F5" s="122">
        <v>0.2253629210783159</v>
      </c>
      <c r="I5" s="56">
        <v>4</v>
      </c>
      <c r="J5" t="s">
        <v>2245</v>
      </c>
      <c r="K5" s="8">
        <v>3725734.0233295197</v>
      </c>
      <c r="L5" s="8">
        <v>6633672.2348597664</v>
      </c>
      <c r="M5" s="14">
        <v>0.78050075322648893</v>
      </c>
    </row>
    <row r="6" spans="1:13">
      <c r="A6" s="56">
        <v>5</v>
      </c>
      <c r="B6" s="1" t="s">
        <v>2225</v>
      </c>
      <c r="C6" s="60" t="s">
        <v>2224</v>
      </c>
      <c r="D6" s="8">
        <v>165381.03897691541</v>
      </c>
      <c r="E6" s="8">
        <v>303966.70596538624</v>
      </c>
      <c r="F6" s="14">
        <v>0.83797796800523905</v>
      </c>
      <c r="I6" s="56">
        <v>5</v>
      </c>
      <c r="J6" s="42" t="s">
        <v>2244</v>
      </c>
      <c r="K6" s="8">
        <v>3957862.101754074</v>
      </c>
      <c r="L6" s="8">
        <v>4785955.5387572562</v>
      </c>
      <c r="M6" s="122">
        <v>0.20922746061217801</v>
      </c>
    </row>
    <row r="7" spans="1:13">
      <c r="A7" s="56">
        <v>6</v>
      </c>
      <c r="B7" s="1" t="s">
        <v>2209</v>
      </c>
      <c r="C7" s="60" t="s">
        <v>2208</v>
      </c>
      <c r="D7" s="8">
        <v>86727.086965330338</v>
      </c>
      <c r="E7" s="8">
        <v>297998.04074494797</v>
      </c>
      <c r="F7" s="14">
        <v>2.4360434689115573</v>
      </c>
      <c r="I7" s="56">
        <v>6</v>
      </c>
      <c r="J7" t="s">
        <v>2253</v>
      </c>
      <c r="K7" s="8">
        <v>876248.80588288524</v>
      </c>
      <c r="L7" s="8">
        <v>2357885.4727181508</v>
      </c>
      <c r="M7" s="14">
        <v>1.6908858042236159</v>
      </c>
    </row>
    <row r="8" spans="1:13">
      <c r="A8" s="56">
        <v>7</v>
      </c>
      <c r="B8" s="1" t="s">
        <v>2230</v>
      </c>
      <c r="C8" s="60" t="s">
        <v>2229</v>
      </c>
      <c r="D8" s="8">
        <v>300526.14694754267</v>
      </c>
      <c r="E8" s="8">
        <v>288155.86226279353</v>
      </c>
      <c r="F8" s="37">
        <v>-4.116209125360526E-2</v>
      </c>
      <c r="I8" s="56">
        <v>7</v>
      </c>
      <c r="J8" t="s">
        <v>2255</v>
      </c>
      <c r="K8" s="8">
        <v>979859.91263523232</v>
      </c>
      <c r="L8" s="8">
        <v>2318691.7646766873</v>
      </c>
      <c r="M8" s="14">
        <v>1.3663502657648321</v>
      </c>
    </row>
    <row r="9" spans="1:13">
      <c r="A9" s="56">
        <v>8</v>
      </c>
      <c r="B9" s="1" t="s">
        <v>2221</v>
      </c>
      <c r="C9" s="60" t="s">
        <v>2220</v>
      </c>
      <c r="D9" s="8">
        <v>190003.17909386056</v>
      </c>
      <c r="E9" s="8">
        <v>245783.90967211279</v>
      </c>
      <c r="F9" s="122">
        <v>0.29357788035060639</v>
      </c>
      <c r="I9" s="56">
        <v>8</v>
      </c>
      <c r="J9" s="42" t="s">
        <v>2237</v>
      </c>
      <c r="K9" s="8">
        <v>2275046.4586181417</v>
      </c>
      <c r="L9" s="8">
        <v>2111832.554206125</v>
      </c>
      <c r="M9" s="37">
        <v>-7.1740910517999912E-2</v>
      </c>
    </row>
    <row r="10" spans="1:13">
      <c r="A10" s="56">
        <v>9</v>
      </c>
      <c r="B10" s="1" t="s">
        <v>2226</v>
      </c>
      <c r="C10" s="60" t="s">
        <v>630</v>
      </c>
      <c r="D10" s="8">
        <v>177473.29193816765</v>
      </c>
      <c r="E10" s="8">
        <v>240662.8574837604</v>
      </c>
      <c r="F10" s="122">
        <v>0.35605112665407823</v>
      </c>
      <c r="I10" s="56">
        <v>9</v>
      </c>
      <c r="J10" t="s">
        <v>2248</v>
      </c>
      <c r="K10" s="8">
        <v>1947750.484152742</v>
      </c>
      <c r="L10" s="8">
        <v>1991788.8557053655</v>
      </c>
      <c r="M10" s="122">
        <v>2.2609862973172357E-2</v>
      </c>
    </row>
    <row r="11" spans="1:13">
      <c r="A11" s="56">
        <v>10</v>
      </c>
      <c r="B11" s="1" t="s">
        <v>2223</v>
      </c>
      <c r="C11" s="60" t="s">
        <v>2222</v>
      </c>
      <c r="D11" s="8">
        <v>150030.38677621246</v>
      </c>
      <c r="E11" s="8">
        <v>229258.45423760859</v>
      </c>
      <c r="F11" s="14">
        <v>0.5280801387226568</v>
      </c>
      <c r="I11" s="56">
        <v>10</v>
      </c>
      <c r="J11" t="s">
        <v>2260</v>
      </c>
      <c r="K11" s="8">
        <v>1075646.4206484645</v>
      </c>
      <c r="L11" s="8">
        <v>1958767.564061584</v>
      </c>
      <c r="M11" s="14">
        <v>0.82101434677830354</v>
      </c>
    </row>
    <row r="12" spans="1:13">
      <c r="A12" s="56">
        <v>11</v>
      </c>
      <c r="B12" s="1" t="s">
        <v>2228</v>
      </c>
      <c r="C12" s="60" t="s">
        <v>2227</v>
      </c>
      <c r="D12" s="8">
        <v>211744.64045128878</v>
      </c>
      <c r="E12" s="8">
        <v>218480.75069938958</v>
      </c>
      <c r="F12" s="122">
        <v>3.181242384102001E-2</v>
      </c>
      <c r="I12" s="56">
        <v>11</v>
      </c>
      <c r="J12" t="s">
        <v>2254</v>
      </c>
      <c r="K12" s="8">
        <v>1392708.3843948774</v>
      </c>
      <c r="L12" s="8">
        <v>1804113.1154729924</v>
      </c>
      <c r="M12" s="122">
        <v>0.2953990481337323</v>
      </c>
    </row>
    <row r="13" spans="1:13">
      <c r="A13" s="56">
        <v>12</v>
      </c>
      <c r="B13" s="1" t="s">
        <v>2303</v>
      </c>
      <c r="C13" s="60" t="s">
        <v>2304</v>
      </c>
      <c r="D13" s="8">
        <v>44069.02259133273</v>
      </c>
      <c r="E13" s="8">
        <v>210832.82548942685</v>
      </c>
      <c r="F13" s="14">
        <v>3.7841502509495726</v>
      </c>
      <c r="I13" s="56">
        <v>12</v>
      </c>
      <c r="J13" t="s">
        <v>2259</v>
      </c>
      <c r="K13" s="8">
        <v>1270091.1341924148</v>
      </c>
      <c r="L13" s="8">
        <v>1788038.8366829972</v>
      </c>
      <c r="M13" s="122">
        <v>0.40780357294590397</v>
      </c>
    </row>
    <row r="14" spans="1:13">
      <c r="A14" s="56">
        <v>13</v>
      </c>
      <c r="B14" s="1" t="s">
        <v>2217</v>
      </c>
      <c r="C14" s="60" t="s">
        <v>2216</v>
      </c>
      <c r="D14" s="8">
        <v>110132.79952432151</v>
      </c>
      <c r="E14" s="8">
        <v>195654.53294352232</v>
      </c>
      <c r="F14" s="14">
        <v>0.77653282027316806</v>
      </c>
      <c r="I14" s="56">
        <v>13</v>
      </c>
      <c r="J14" t="s">
        <v>2258</v>
      </c>
      <c r="K14" s="8">
        <v>1087106.8308857081</v>
      </c>
      <c r="L14" s="8">
        <v>1743097.0122730087</v>
      </c>
      <c r="M14" s="14">
        <v>0.60342752225449625</v>
      </c>
    </row>
    <row r="15" spans="1:13">
      <c r="A15" s="56">
        <v>14</v>
      </c>
      <c r="B15" s="1" t="s">
        <v>2219</v>
      </c>
      <c r="C15" s="60" t="s">
        <v>2218</v>
      </c>
      <c r="D15" s="8">
        <v>136341.41699999999</v>
      </c>
      <c r="E15" s="8">
        <v>192233.15650000001</v>
      </c>
      <c r="F15" s="122">
        <v>0.40993955270393001</v>
      </c>
      <c r="I15" s="56">
        <v>14</v>
      </c>
      <c r="J15" t="s">
        <v>2263</v>
      </c>
      <c r="K15" s="8">
        <v>562204.10876222525</v>
      </c>
      <c r="L15" s="8">
        <v>1657434.1517169815</v>
      </c>
      <c r="M15" s="14">
        <v>1.9481003889602762</v>
      </c>
    </row>
    <row r="16" spans="1:13">
      <c r="A16" s="56">
        <v>15</v>
      </c>
      <c r="B16" s="1" t="s">
        <v>2181</v>
      </c>
      <c r="C16" s="60" t="s">
        <v>2180</v>
      </c>
      <c r="D16" s="8">
        <v>45370.2353</v>
      </c>
      <c r="E16" s="8">
        <v>164751.64549274195</v>
      </c>
      <c r="F16" s="14">
        <v>2.631271568316992</v>
      </c>
      <c r="I16" s="56">
        <v>15</v>
      </c>
      <c r="J16" s="42" t="s">
        <v>2256</v>
      </c>
      <c r="K16" s="8">
        <v>1069943.4813833137</v>
      </c>
      <c r="L16" s="8">
        <v>1653340.1653469191</v>
      </c>
      <c r="M16" s="14">
        <v>0.54525934697909539</v>
      </c>
    </row>
    <row r="17" spans="1:13">
      <c r="A17" s="56">
        <v>16</v>
      </c>
      <c r="B17" s="1" t="s">
        <v>2211</v>
      </c>
      <c r="C17" s="60" t="s">
        <v>2210</v>
      </c>
      <c r="D17" s="8">
        <v>99628.127155799593</v>
      </c>
      <c r="E17" s="8">
        <v>160302.74205418603</v>
      </c>
      <c r="F17" s="14">
        <v>0.60901089512104134</v>
      </c>
      <c r="I17" s="56">
        <v>16</v>
      </c>
      <c r="J17" t="s">
        <v>2250</v>
      </c>
      <c r="K17" s="8">
        <v>1695740.8352819539</v>
      </c>
      <c r="L17" s="8">
        <v>1592206.3012135089</v>
      </c>
      <c r="M17" s="37">
        <v>-6.1055635339011038E-2</v>
      </c>
    </row>
    <row r="18" spans="1:13">
      <c r="A18" s="56">
        <v>17</v>
      </c>
      <c r="B18" s="1" t="s">
        <v>2213</v>
      </c>
      <c r="C18" s="60" t="s">
        <v>2212</v>
      </c>
      <c r="D18" s="8">
        <v>126880.24111728942</v>
      </c>
      <c r="E18" s="8">
        <v>158769.67365145052</v>
      </c>
      <c r="F18" s="122">
        <v>0.25133489858899449</v>
      </c>
      <c r="I18" s="56">
        <v>17</v>
      </c>
      <c r="J18" t="s">
        <v>2262</v>
      </c>
      <c r="K18" s="8">
        <v>387222.53060915897</v>
      </c>
      <c r="L18" s="8">
        <v>1557500.7656975184</v>
      </c>
      <c r="M18" s="14">
        <v>3.0222369376268903</v>
      </c>
    </row>
    <row r="19" spans="1:13">
      <c r="A19" s="56">
        <v>18</v>
      </c>
      <c r="B19" s="1" t="s">
        <v>2203</v>
      </c>
      <c r="C19" s="60" t="s">
        <v>2202</v>
      </c>
      <c r="D19" s="8">
        <v>44881.223899999997</v>
      </c>
      <c r="E19" s="8">
        <v>152875.44879238421</v>
      </c>
      <c r="F19" s="14">
        <v>2.4062228145339017</v>
      </c>
      <c r="I19" s="56">
        <v>18</v>
      </c>
      <c r="J19" t="s">
        <v>2261</v>
      </c>
      <c r="K19" s="8">
        <v>839844.3300316094</v>
      </c>
      <c r="L19" s="8">
        <v>1512794.4725157316</v>
      </c>
      <c r="M19" s="14">
        <v>0.80127961625792521</v>
      </c>
    </row>
    <row r="20" spans="1:13">
      <c r="A20" s="56">
        <v>19</v>
      </c>
      <c r="B20" s="1" t="s">
        <v>2215</v>
      </c>
      <c r="C20" s="60" t="s">
        <v>2214</v>
      </c>
      <c r="D20" s="8">
        <v>30856.266018865532</v>
      </c>
      <c r="E20" s="8">
        <v>152586.57661531519</v>
      </c>
      <c r="F20" s="14">
        <v>3.9450758728234874</v>
      </c>
      <c r="I20" s="56">
        <v>19</v>
      </c>
      <c r="J20" t="s">
        <v>2252</v>
      </c>
      <c r="K20" s="8">
        <v>2597489.9529465102</v>
      </c>
      <c r="L20" s="8">
        <v>1471074.5860432014</v>
      </c>
      <c r="M20" s="37">
        <v>-0.43365533161178893</v>
      </c>
    </row>
    <row r="21" spans="1:13">
      <c r="A21" s="56">
        <v>20</v>
      </c>
      <c r="B21" s="1" t="s">
        <v>2205</v>
      </c>
      <c r="C21" s="60" t="s">
        <v>2204</v>
      </c>
      <c r="D21" s="8">
        <v>86631.40703045472</v>
      </c>
      <c r="E21" s="8">
        <v>147151.40349658235</v>
      </c>
      <c r="F21" s="14">
        <v>0.69859186801447448</v>
      </c>
      <c r="I21" s="56">
        <v>20</v>
      </c>
      <c r="J21" s="42" t="s">
        <v>2249</v>
      </c>
      <c r="K21" s="8">
        <v>1924114.2039591006</v>
      </c>
      <c r="L21" s="8">
        <v>1372954.6854990341</v>
      </c>
      <c r="M21" s="37">
        <v>-0.28644844330237174</v>
      </c>
    </row>
    <row r="22" spans="1:13">
      <c r="B22" s="1"/>
      <c r="C22" s="60"/>
      <c r="D22" s="8"/>
      <c r="E22" s="8"/>
      <c r="F22" s="122"/>
      <c r="I22" s="56"/>
      <c r="K22" s="8"/>
      <c r="L22" s="8"/>
      <c r="M22" s="14"/>
    </row>
    <row r="23" spans="1:13">
      <c r="B23" s="1"/>
      <c r="C23" s="60"/>
      <c r="D23" s="8"/>
      <c r="E23" s="8"/>
      <c r="F23" s="122"/>
      <c r="I23" s="56"/>
      <c r="K23" s="8"/>
      <c r="L23" s="8"/>
      <c r="M23" s="14"/>
    </row>
    <row r="24" spans="1:13">
      <c r="B24" s="1"/>
      <c r="C24" s="60"/>
      <c r="D24" s="8"/>
      <c r="E24" s="8"/>
      <c r="F24" s="122"/>
      <c r="I24" s="56"/>
      <c r="K24" s="8"/>
      <c r="L24" s="8"/>
      <c r="M24" s="14"/>
    </row>
    <row r="25" spans="1:13">
      <c r="B25" s="1"/>
      <c r="C25" s="60"/>
      <c r="D25" s="8"/>
      <c r="E25" s="8"/>
      <c r="F25" s="37"/>
      <c r="I25" s="56"/>
      <c r="K25" s="8"/>
      <c r="L25" s="8"/>
      <c r="M25" s="14"/>
    </row>
    <row r="26" spans="1:13">
      <c r="B26" s="1"/>
      <c r="C26" s="60"/>
      <c r="D26" s="8"/>
      <c r="E26" s="8"/>
      <c r="F26" s="14"/>
      <c r="K26" s="8"/>
      <c r="L26" s="8"/>
    </row>
    <row r="27" spans="1:13">
      <c r="B27" s="1"/>
      <c r="C27" s="60"/>
      <c r="D27" s="8"/>
      <c r="E27" s="8"/>
      <c r="F27" s="122"/>
      <c r="I27" s="56"/>
      <c r="K27" s="8"/>
      <c r="L27" s="8"/>
    </row>
    <row r="28" spans="1:13">
      <c r="B28" s="1"/>
      <c r="C28" s="60"/>
      <c r="D28" s="8"/>
      <c r="E28" s="8"/>
      <c r="F28" s="14"/>
      <c r="I28" s="56"/>
      <c r="K28" s="8"/>
      <c r="L28" s="8"/>
      <c r="M28" s="14"/>
    </row>
    <row r="29" spans="1:13">
      <c r="B29" s="1"/>
      <c r="C29" s="60"/>
      <c r="D29" s="8"/>
      <c r="E29" s="8"/>
      <c r="F29" s="14"/>
      <c r="K29" s="8"/>
      <c r="L29" s="8"/>
    </row>
    <row r="30" spans="1:13">
      <c r="B30" s="1"/>
      <c r="C30" s="60"/>
      <c r="D30" s="8"/>
      <c r="E30" s="8"/>
      <c r="F30" s="14"/>
      <c r="K30" s="8"/>
      <c r="L30" s="8"/>
    </row>
    <row r="31" spans="1:13">
      <c r="B31" s="1"/>
      <c r="C31" s="60"/>
      <c r="D31" s="8"/>
      <c r="E31" s="8"/>
      <c r="F31" s="37"/>
      <c r="K31" s="8"/>
      <c r="L31" s="8"/>
    </row>
    <row r="32" spans="1:13">
      <c r="B32" s="1"/>
      <c r="C32" s="60"/>
      <c r="D32" s="8"/>
      <c r="E32" s="8"/>
      <c r="F32" s="14"/>
      <c r="K32" s="8"/>
      <c r="L32" s="8"/>
    </row>
    <row r="33" spans="2:12">
      <c r="B33" s="1"/>
      <c r="C33" s="60"/>
      <c r="D33" s="8"/>
      <c r="E33" s="8"/>
      <c r="F33" s="14"/>
      <c r="K33" s="8"/>
      <c r="L33" s="122"/>
    </row>
    <row r="34" spans="2:12">
      <c r="B34" s="1"/>
      <c r="C34" s="60"/>
      <c r="D34" s="8"/>
      <c r="E34" s="8"/>
      <c r="F34" s="14"/>
      <c r="K34" s="8"/>
      <c r="L34" s="8"/>
    </row>
    <row r="35" spans="2:12">
      <c r="B35" s="1"/>
      <c r="C35" s="60"/>
      <c r="D35" s="8"/>
      <c r="E35" s="8"/>
      <c r="F35" s="37"/>
      <c r="K35" s="8"/>
      <c r="L35" s="8"/>
    </row>
    <row r="36" spans="2:12">
      <c r="B36" s="1"/>
      <c r="C36" s="60"/>
      <c r="D36" s="8"/>
      <c r="E36" s="8"/>
      <c r="F36" s="37"/>
      <c r="K36" s="8"/>
      <c r="L36" s="8"/>
    </row>
    <row r="37" spans="2:12">
      <c r="B37" s="1"/>
      <c r="C37" s="60"/>
      <c r="D37" s="8"/>
      <c r="E37" s="8"/>
      <c r="F37" s="14"/>
      <c r="K37" s="8"/>
      <c r="L37" s="8"/>
    </row>
    <row r="38" spans="2:12">
      <c r="B38" s="1"/>
      <c r="C38" s="60"/>
      <c r="D38" s="8"/>
      <c r="E38" s="8"/>
      <c r="F38" s="14"/>
      <c r="K38" s="8"/>
      <c r="L38" s="8"/>
    </row>
    <row r="39" spans="2:12">
      <c r="B39" s="1"/>
      <c r="C39" s="60"/>
      <c r="D39" s="8"/>
      <c r="E39" s="8"/>
      <c r="F39" s="14"/>
      <c r="K39" s="8"/>
      <c r="L39" s="8"/>
    </row>
    <row r="40" spans="2:12">
      <c r="B40" s="1"/>
      <c r="C40" s="60"/>
      <c r="D40" s="8"/>
      <c r="E40" s="8"/>
      <c r="F40" s="37"/>
      <c r="K40" s="8"/>
      <c r="L40" s="8"/>
    </row>
    <row r="41" spans="2:12">
      <c r="B41" s="1"/>
      <c r="C41" s="60"/>
      <c r="D41" s="8"/>
      <c r="E41" s="8"/>
      <c r="F41" s="14"/>
      <c r="K41" s="8"/>
      <c r="L41" s="8"/>
    </row>
    <row r="42" spans="2:12">
      <c r="B42" s="1"/>
      <c r="C42" s="60"/>
      <c r="D42" s="8"/>
      <c r="E42" s="8"/>
      <c r="F42" s="14"/>
      <c r="K42" s="8"/>
      <c r="L42" s="8"/>
    </row>
    <row r="43" spans="2:12">
      <c r="B43" s="1"/>
      <c r="C43" s="60"/>
      <c r="D43" s="8"/>
      <c r="E43" s="8"/>
      <c r="F43" s="14"/>
      <c r="K43" s="8"/>
      <c r="L43" s="8"/>
    </row>
    <row r="44" spans="2:12">
      <c r="B44" s="1"/>
      <c r="C44" s="60"/>
      <c r="D44" s="8"/>
      <c r="E44" s="8"/>
      <c r="F44" s="14"/>
      <c r="K44" s="8"/>
      <c r="L44" s="8"/>
    </row>
    <row r="45" spans="2:12">
      <c r="B45" s="1"/>
      <c r="C45" s="60"/>
      <c r="D45" s="8"/>
      <c r="E45" s="8"/>
      <c r="F45" s="14"/>
      <c r="K45" s="8"/>
      <c r="L45" s="8"/>
    </row>
    <row r="46" spans="2:12">
      <c r="B46" s="1"/>
      <c r="C46" s="60"/>
      <c r="D46" s="8"/>
      <c r="E46" s="8"/>
      <c r="F46" s="37"/>
      <c r="K46" s="8"/>
      <c r="L46" s="8"/>
    </row>
    <row r="47" spans="2:12">
      <c r="B47" s="1"/>
      <c r="C47" s="60"/>
      <c r="D47" s="8"/>
      <c r="E47" s="8"/>
      <c r="F47" s="14"/>
      <c r="K47" s="8"/>
      <c r="L47" s="8"/>
    </row>
    <row r="48" spans="2:12">
      <c r="B48" s="1"/>
      <c r="C48" s="60"/>
      <c r="D48" s="8"/>
      <c r="E48" s="8"/>
      <c r="F48" s="14"/>
      <c r="K48" s="8"/>
      <c r="L48" s="8"/>
    </row>
    <row r="49" spans="2:12">
      <c r="B49" s="1"/>
      <c r="C49" s="60"/>
      <c r="D49" s="8"/>
      <c r="E49" s="8"/>
      <c r="F49" s="14"/>
      <c r="K49" s="8"/>
      <c r="L49" s="8"/>
    </row>
    <row r="50" spans="2:12">
      <c r="B50" s="1"/>
      <c r="C50" s="60"/>
      <c r="D50" s="8"/>
      <c r="E50" s="8"/>
      <c r="F50" s="37"/>
      <c r="K50" s="8"/>
      <c r="L50" s="8"/>
    </row>
    <row r="51" spans="2:12">
      <c r="B51" s="1"/>
      <c r="C51" s="60"/>
      <c r="D51" s="8"/>
      <c r="E51" s="8"/>
      <c r="F51" s="14"/>
      <c r="K51" s="8"/>
      <c r="L51" s="8"/>
    </row>
    <row r="52" spans="2:12">
      <c r="B52" s="1"/>
      <c r="C52" s="60"/>
      <c r="D52" s="8"/>
      <c r="E52" s="8"/>
      <c r="F52" s="14"/>
      <c r="K52" s="8"/>
      <c r="L52" s="8"/>
    </row>
    <row r="53" spans="2:12">
      <c r="B53" s="1"/>
      <c r="C53" s="60"/>
      <c r="D53" s="8"/>
      <c r="E53" s="8"/>
      <c r="F53" s="14"/>
      <c r="K53" s="8"/>
      <c r="L53" s="8"/>
    </row>
    <row r="54" spans="2:12">
      <c r="B54" s="1"/>
      <c r="C54" s="60"/>
      <c r="D54" s="8"/>
      <c r="E54" s="8"/>
      <c r="F54" s="14"/>
      <c r="K54" s="8"/>
      <c r="L54" s="8"/>
    </row>
    <row r="55" spans="2:12">
      <c r="B55" s="1"/>
      <c r="C55" s="60"/>
      <c r="D55" s="8"/>
      <c r="E55" s="8"/>
      <c r="F55" s="14"/>
      <c r="K55" s="8"/>
      <c r="L55" s="8"/>
    </row>
    <row r="56" spans="2:12">
      <c r="B56" s="1"/>
      <c r="C56" s="60"/>
      <c r="D56" s="8"/>
      <c r="E56" s="8"/>
      <c r="F56" s="37"/>
      <c r="K56" s="8"/>
      <c r="L56" s="8"/>
    </row>
    <row r="57" spans="2:12">
      <c r="B57" s="1"/>
      <c r="C57" s="60"/>
      <c r="D57" s="8"/>
      <c r="E57" s="8"/>
      <c r="F57" s="37"/>
      <c r="K57" s="8"/>
      <c r="L57" s="8"/>
    </row>
    <row r="58" spans="2:12">
      <c r="B58" s="1"/>
      <c r="C58" s="60"/>
      <c r="D58" s="8"/>
      <c r="E58" s="8"/>
      <c r="F58" s="14"/>
      <c r="K58" s="8"/>
      <c r="L58" s="8"/>
    </row>
    <row r="59" spans="2:12">
      <c r="B59" s="1"/>
      <c r="C59" s="60"/>
      <c r="D59" s="8"/>
      <c r="E59" s="8"/>
      <c r="F59" s="14"/>
      <c r="K59" s="8"/>
      <c r="L59" s="8"/>
    </row>
    <row r="60" spans="2:12">
      <c r="B60" s="1"/>
      <c r="C60" s="60"/>
      <c r="D60" s="8"/>
      <c r="E60" s="8"/>
      <c r="F60" s="37"/>
      <c r="K60" s="8"/>
      <c r="L60" s="8"/>
    </row>
    <row r="61" spans="2:12">
      <c r="B61" s="1"/>
      <c r="C61" s="60"/>
      <c r="D61" s="8"/>
      <c r="E61" s="8"/>
      <c r="F61" s="14"/>
      <c r="K61" s="8"/>
      <c r="L61" s="8"/>
    </row>
    <row r="62" spans="2:12">
      <c r="B62" s="1"/>
      <c r="C62" s="60"/>
      <c r="D62" s="8"/>
      <c r="E62" s="8"/>
      <c r="F62" s="37"/>
      <c r="K62" s="8"/>
      <c r="L62" s="8"/>
    </row>
    <row r="63" spans="2:12">
      <c r="B63" s="1"/>
      <c r="C63" s="60"/>
      <c r="D63" s="8"/>
      <c r="E63" s="8"/>
      <c r="F63" s="14"/>
      <c r="K63" s="8"/>
      <c r="L63" s="8"/>
    </row>
    <row r="64" spans="2:12">
      <c r="B64" s="1"/>
      <c r="C64" s="60"/>
      <c r="D64" s="8"/>
      <c r="E64" s="8"/>
      <c r="F64" s="14"/>
      <c r="K64" s="8"/>
      <c r="L64" s="8"/>
    </row>
    <row r="65" spans="2:12">
      <c r="B65" s="1"/>
      <c r="C65" s="60"/>
      <c r="D65" s="8"/>
      <c r="E65" s="8"/>
      <c r="F65" s="37"/>
      <c r="K65" s="8"/>
      <c r="L65" s="8"/>
    </row>
    <row r="66" spans="2:12">
      <c r="B66" s="1"/>
      <c r="C66" s="60"/>
      <c r="D66" s="8"/>
      <c r="E66" s="8"/>
      <c r="F66" s="14"/>
      <c r="K66" s="8"/>
      <c r="L66" s="8"/>
    </row>
    <row r="67" spans="2:12">
      <c r="B67" s="1"/>
      <c r="C67" s="60"/>
      <c r="D67" s="8"/>
      <c r="E67" s="8"/>
      <c r="F67" s="14"/>
      <c r="K67" s="8"/>
      <c r="L67" s="8"/>
    </row>
    <row r="68" spans="2:12">
      <c r="B68" s="1"/>
      <c r="C68" s="60"/>
      <c r="D68" s="8"/>
      <c r="E68" s="8"/>
      <c r="F68" s="14"/>
      <c r="K68" s="8"/>
      <c r="L68" s="8"/>
    </row>
    <row r="69" spans="2:12">
      <c r="B69" s="1"/>
      <c r="C69" s="60"/>
      <c r="D69" s="8"/>
      <c r="E69" s="8"/>
      <c r="F69" s="37"/>
      <c r="K69" s="8"/>
      <c r="L69" s="8"/>
    </row>
    <row r="70" spans="2:12">
      <c r="B70" s="1"/>
      <c r="C70" s="60"/>
      <c r="D70" s="8"/>
      <c r="E70" s="8"/>
      <c r="F70" s="14"/>
      <c r="K70" s="8"/>
      <c r="L70" s="8"/>
    </row>
    <row r="71" spans="2:12">
      <c r="B71" s="1"/>
      <c r="C71" s="60"/>
      <c r="D71" s="8"/>
      <c r="E71" s="8"/>
      <c r="F71" s="14"/>
      <c r="K71" s="8"/>
      <c r="L71" s="8"/>
    </row>
    <row r="72" spans="2:12">
      <c r="B72" s="1"/>
      <c r="C72" s="60"/>
      <c r="D72" s="8"/>
      <c r="E72" s="8"/>
      <c r="F72" s="14"/>
      <c r="K72" s="8"/>
      <c r="L72" s="8"/>
    </row>
    <row r="73" spans="2:12">
      <c r="B73" s="1"/>
      <c r="C73" s="60"/>
      <c r="D73" s="8"/>
      <c r="E73" s="8"/>
      <c r="F73" s="14"/>
      <c r="K73" s="8"/>
      <c r="L73" s="8"/>
    </row>
    <row r="74" spans="2:12">
      <c r="B74" s="1"/>
      <c r="C74" s="60"/>
      <c r="D74" s="8"/>
      <c r="E74" s="8"/>
      <c r="F74" s="37"/>
      <c r="K74" s="8"/>
      <c r="L74" s="8"/>
    </row>
    <row r="75" spans="2:12">
      <c r="B75" s="1"/>
      <c r="C75" s="60"/>
      <c r="D75" s="8"/>
      <c r="E75" s="8"/>
      <c r="F75" s="14"/>
      <c r="K75" s="8"/>
      <c r="L75" s="8"/>
    </row>
    <row r="76" spans="2:12">
      <c r="B76" s="1"/>
      <c r="C76" s="60"/>
      <c r="D76" s="8"/>
      <c r="E76" s="8"/>
      <c r="F76" s="14"/>
      <c r="K76" s="8"/>
      <c r="L76" s="8"/>
    </row>
    <row r="77" spans="2:12">
      <c r="B77" s="1"/>
      <c r="C77" s="60"/>
      <c r="D77" s="8"/>
      <c r="E77" s="8"/>
      <c r="F77" s="14"/>
      <c r="K77" s="8"/>
      <c r="L77" s="8"/>
    </row>
    <row r="78" spans="2:12">
      <c r="B78" s="1"/>
      <c r="C78" s="60"/>
      <c r="D78" s="8"/>
      <c r="E78" s="8"/>
      <c r="F78" s="14"/>
      <c r="K78" s="8"/>
      <c r="L78" s="8"/>
    </row>
    <row r="79" spans="2:12">
      <c r="B79" s="1"/>
      <c r="C79" s="60"/>
      <c r="D79" s="8"/>
      <c r="E79" s="8"/>
      <c r="F79" s="14"/>
      <c r="K79" s="8"/>
      <c r="L79" s="8"/>
    </row>
    <row r="80" spans="2:12">
      <c r="B80" s="1"/>
      <c r="C80" s="60"/>
      <c r="D80" s="8"/>
      <c r="E80" s="8"/>
      <c r="F80" s="14"/>
      <c r="K80" s="8"/>
      <c r="L80" s="8"/>
    </row>
    <row r="81" spans="2:12">
      <c r="B81" s="1"/>
      <c r="C81" s="60"/>
      <c r="D81" s="8"/>
      <c r="E81" s="8"/>
      <c r="F81" s="14"/>
      <c r="K81" s="8"/>
      <c r="L81" s="8"/>
    </row>
    <row r="82" spans="2:12">
      <c r="B82" s="1"/>
      <c r="C82" s="60"/>
      <c r="D82" s="8"/>
      <c r="E82" s="8"/>
      <c r="F82" s="14"/>
      <c r="K82" s="8"/>
      <c r="L82" s="8"/>
    </row>
    <row r="83" spans="2:12">
      <c r="B83" s="1"/>
      <c r="C83" s="60"/>
      <c r="D83" s="8"/>
      <c r="E83" s="8"/>
      <c r="F83" s="37"/>
      <c r="K83" s="8"/>
      <c r="L83" s="8"/>
    </row>
    <row r="84" spans="2:12">
      <c r="B84" s="1"/>
      <c r="C84" s="60"/>
      <c r="D84" s="8"/>
      <c r="E84" s="8"/>
      <c r="F84" s="37"/>
      <c r="K84" s="8"/>
      <c r="L84" s="8"/>
    </row>
    <row r="85" spans="2:12">
      <c r="B85" s="1"/>
      <c r="C85" s="60"/>
      <c r="D85" s="8"/>
      <c r="E85" s="8"/>
      <c r="F85" s="14"/>
      <c r="K85" s="8"/>
      <c r="L85" s="8"/>
    </row>
    <row r="86" spans="2:12">
      <c r="B86" s="1"/>
      <c r="C86" s="60"/>
      <c r="D86" s="8"/>
      <c r="E86" s="8"/>
      <c r="F86" s="37"/>
      <c r="K86" s="8"/>
      <c r="L86" s="8"/>
    </row>
    <row r="87" spans="2:12">
      <c r="B87" s="1"/>
      <c r="C87" s="60"/>
      <c r="D87" s="8"/>
      <c r="E87" s="8"/>
      <c r="F87" s="14"/>
      <c r="K87" s="8"/>
      <c r="L87" s="8"/>
    </row>
    <row r="88" spans="2:12">
      <c r="B88" s="1"/>
      <c r="C88" s="60"/>
      <c r="D88" s="8"/>
      <c r="E88" s="8"/>
      <c r="F88" s="14"/>
      <c r="K88" s="8"/>
      <c r="L88" s="8"/>
    </row>
    <row r="89" spans="2:12">
      <c r="B89" s="1"/>
      <c r="C89" s="60"/>
      <c r="D89" s="8"/>
      <c r="E89" s="8"/>
      <c r="F89" s="14"/>
      <c r="K89" s="8"/>
      <c r="L89" s="8"/>
    </row>
    <row r="90" spans="2:12">
      <c r="B90" s="1"/>
      <c r="C90" s="60"/>
      <c r="D90" s="8"/>
      <c r="E90" s="8"/>
      <c r="F90" s="14"/>
      <c r="K90" s="8"/>
      <c r="L90" s="8"/>
    </row>
    <row r="91" spans="2:12">
      <c r="B91" s="1"/>
      <c r="C91" s="60"/>
      <c r="D91" s="8"/>
      <c r="E91" s="8"/>
      <c r="F91" s="14"/>
      <c r="K91" s="8"/>
      <c r="L91" s="8"/>
    </row>
    <row r="92" spans="2:12">
      <c r="B92" s="1"/>
      <c r="C92" s="60"/>
      <c r="D92" s="8"/>
      <c r="E92" s="8"/>
      <c r="F92" s="37"/>
      <c r="K92" s="8"/>
      <c r="L92" s="8"/>
    </row>
    <row r="93" spans="2:12">
      <c r="B93" s="1"/>
      <c r="C93" s="60"/>
      <c r="D93" s="8"/>
      <c r="E93" s="8"/>
      <c r="F93" s="37"/>
      <c r="K93" s="8"/>
      <c r="L93" s="8"/>
    </row>
    <row r="94" spans="2:12">
      <c r="B94" s="1"/>
      <c r="C94" s="60"/>
      <c r="D94" s="8"/>
      <c r="E94" s="8"/>
      <c r="F94" s="14"/>
      <c r="K94" s="8"/>
      <c r="L94" s="8"/>
    </row>
    <row r="95" spans="2:12">
      <c r="B95" s="1"/>
      <c r="C95" s="60"/>
      <c r="D95" s="8"/>
      <c r="E95" s="8"/>
      <c r="F95" s="37"/>
      <c r="K95" s="8"/>
      <c r="L95" s="8"/>
    </row>
    <row r="96" spans="2:12">
      <c r="B96" s="1"/>
      <c r="C96" s="60"/>
      <c r="D96" s="8"/>
      <c r="E96" s="8"/>
      <c r="F96" s="14"/>
      <c r="K96" s="8"/>
      <c r="L96" s="8"/>
    </row>
    <row r="97" spans="2:12">
      <c r="B97" s="1"/>
      <c r="C97" s="60"/>
      <c r="D97" s="8"/>
      <c r="E97" s="8"/>
      <c r="F97" s="37"/>
      <c r="K97" s="8"/>
      <c r="L97" s="8"/>
    </row>
    <row r="98" spans="2:12">
      <c r="B98" s="1"/>
      <c r="C98" s="60"/>
      <c r="D98" s="8"/>
      <c r="E98" s="8"/>
      <c r="F98" s="37"/>
      <c r="K98" s="8"/>
      <c r="L98" s="8"/>
    </row>
    <row r="99" spans="2:12">
      <c r="B99" s="1"/>
      <c r="C99" s="60"/>
      <c r="D99" s="8"/>
      <c r="E99" s="8"/>
      <c r="F99" s="37"/>
      <c r="K99" s="8"/>
      <c r="L99" s="8"/>
    </row>
    <row r="100" spans="2:12">
      <c r="B100" s="1"/>
      <c r="C100" s="60"/>
      <c r="D100" s="8"/>
      <c r="E100" s="8"/>
      <c r="F100" s="37"/>
      <c r="K100" s="8"/>
      <c r="L100" s="8"/>
    </row>
    <row r="101" spans="2:12">
      <c r="B101" s="1"/>
      <c r="C101" s="60"/>
      <c r="D101" s="8"/>
      <c r="E101" s="8"/>
      <c r="F101" s="37"/>
      <c r="K101" s="8"/>
      <c r="L101" s="8"/>
    </row>
    <row r="102" spans="2:12">
      <c r="B102" s="1"/>
      <c r="C102" s="60"/>
      <c r="D102" s="8"/>
      <c r="E102" s="8"/>
      <c r="F102" s="14"/>
      <c r="K102" s="8"/>
      <c r="L102" s="8"/>
    </row>
    <row r="103" spans="2:12">
      <c r="B103" s="1"/>
      <c r="C103" s="60"/>
      <c r="D103" s="8"/>
      <c r="E103" s="8"/>
      <c r="F103" s="14"/>
      <c r="K103" s="8"/>
      <c r="L103" s="8"/>
    </row>
    <row r="104" spans="2:12">
      <c r="B104" s="1"/>
      <c r="C104" s="60"/>
      <c r="D104" s="8"/>
      <c r="E104" s="8"/>
      <c r="F104" s="14"/>
      <c r="K104" s="8"/>
      <c r="L104" s="8"/>
    </row>
    <row r="105" spans="2:12">
      <c r="B105" s="1"/>
      <c r="C105" s="60"/>
      <c r="D105" s="8"/>
      <c r="E105" s="8"/>
      <c r="F105" s="37"/>
      <c r="K105" s="8"/>
      <c r="L105" s="8"/>
    </row>
    <row r="106" spans="2:12">
      <c r="B106" s="1"/>
      <c r="C106" s="60"/>
      <c r="D106" s="8"/>
      <c r="E106" s="8"/>
      <c r="F106" s="14"/>
      <c r="K106" s="8"/>
      <c r="L106" s="8"/>
    </row>
    <row r="107" spans="2:12">
      <c r="B107" s="1"/>
      <c r="C107" s="60"/>
      <c r="D107" s="8"/>
      <c r="E107" s="8"/>
      <c r="F107" s="14"/>
      <c r="K107" s="8"/>
      <c r="L107" s="8"/>
    </row>
    <row r="108" spans="2:12">
      <c r="B108" s="1"/>
      <c r="C108" s="60"/>
      <c r="D108" s="8"/>
      <c r="E108" s="8"/>
      <c r="F108" s="14"/>
      <c r="K108" s="8"/>
      <c r="L108" s="8"/>
    </row>
    <row r="109" spans="2:12">
      <c r="B109" s="1"/>
      <c r="C109" s="60"/>
      <c r="D109" s="8"/>
      <c r="E109" s="8"/>
      <c r="F109" s="14"/>
      <c r="K109" s="8"/>
      <c r="L109" s="8"/>
    </row>
    <row r="110" spans="2:12">
      <c r="B110" s="1"/>
      <c r="C110" s="60"/>
      <c r="D110" s="8"/>
      <c r="E110" s="8"/>
      <c r="F110" s="14"/>
      <c r="K110" s="8"/>
      <c r="L110" s="8"/>
    </row>
    <row r="111" spans="2:12">
      <c r="B111" s="1"/>
      <c r="C111" s="60"/>
      <c r="D111" s="8"/>
      <c r="E111" s="8"/>
      <c r="F111" s="37"/>
      <c r="K111" s="8"/>
      <c r="L111" s="8"/>
    </row>
    <row r="112" spans="2:12">
      <c r="B112" s="1"/>
      <c r="C112" s="60"/>
      <c r="D112" s="8"/>
      <c r="E112" s="8"/>
      <c r="F112" s="14"/>
      <c r="K112" s="8"/>
      <c r="L112" s="8"/>
    </row>
    <row r="113" spans="2:12">
      <c r="B113" s="1"/>
      <c r="C113" s="60"/>
      <c r="D113" s="8"/>
      <c r="E113" s="8"/>
      <c r="F113" s="14"/>
      <c r="K113" s="8"/>
      <c r="L113" s="8"/>
    </row>
    <row r="114" spans="2:12">
      <c r="B114" s="1"/>
      <c r="C114" s="60"/>
      <c r="D114" s="8"/>
      <c r="E114" s="8"/>
      <c r="F114" s="14"/>
      <c r="K114" s="8"/>
      <c r="L114" s="8"/>
    </row>
    <row r="115" spans="2:12">
      <c r="B115" s="1"/>
      <c r="C115" s="60"/>
      <c r="D115" s="8"/>
      <c r="E115" s="8"/>
      <c r="F115" s="14"/>
      <c r="K115" s="8"/>
      <c r="L115" s="8"/>
    </row>
    <row r="116" spans="2:12">
      <c r="B116" s="1"/>
      <c r="C116" s="60"/>
      <c r="D116" s="8"/>
      <c r="E116" s="8"/>
      <c r="F116" s="14"/>
      <c r="K116" s="8"/>
      <c r="L116" s="8"/>
    </row>
    <row r="117" spans="2:12">
      <c r="B117" s="1"/>
      <c r="C117" s="60"/>
      <c r="D117" s="8"/>
      <c r="E117" s="8"/>
      <c r="F117" s="14"/>
      <c r="K117" s="8"/>
      <c r="L117" s="8"/>
    </row>
    <row r="118" spans="2:12">
      <c r="B118" s="1"/>
      <c r="C118" s="60"/>
      <c r="D118" s="8"/>
      <c r="E118" s="8"/>
      <c r="F118" s="14"/>
      <c r="K118" s="8"/>
      <c r="L118" s="8"/>
    </row>
    <row r="119" spans="2:12">
      <c r="B119" s="1"/>
      <c r="C119" s="60"/>
      <c r="D119" s="8"/>
      <c r="E119" s="8"/>
      <c r="F119" s="14"/>
      <c r="K119" s="8"/>
      <c r="L119" s="8"/>
    </row>
    <row r="120" spans="2:12">
      <c r="B120" s="1"/>
      <c r="C120" s="60"/>
      <c r="D120" s="8"/>
      <c r="E120" s="8"/>
      <c r="F120" s="14"/>
      <c r="K120" s="8"/>
      <c r="L120" s="8"/>
    </row>
    <row r="121" spans="2:12">
      <c r="B121" s="1"/>
      <c r="C121" s="60"/>
      <c r="D121" s="8"/>
      <c r="E121" s="8"/>
      <c r="F121" s="14"/>
      <c r="K121" s="8"/>
      <c r="L121" s="8"/>
    </row>
    <row r="122" spans="2:12">
      <c r="B122" s="1"/>
      <c r="C122" s="60"/>
      <c r="D122" s="8"/>
      <c r="E122" s="8"/>
      <c r="F122" s="14"/>
      <c r="K122" s="8"/>
      <c r="L122" s="8"/>
    </row>
    <row r="123" spans="2:12">
      <c r="B123" s="1"/>
      <c r="C123" s="60"/>
      <c r="D123" s="8"/>
      <c r="E123" s="8"/>
      <c r="F123" s="14"/>
      <c r="K123" s="8"/>
      <c r="L123" s="8"/>
    </row>
    <row r="124" spans="2:12">
      <c r="B124" s="1"/>
      <c r="C124" s="60"/>
      <c r="D124" s="8"/>
      <c r="E124" s="8"/>
      <c r="F124" s="14"/>
      <c r="K124" s="8"/>
      <c r="L124" s="8"/>
    </row>
    <row r="125" spans="2:12">
      <c r="B125" s="1"/>
      <c r="C125" s="60"/>
      <c r="D125" s="8"/>
      <c r="E125" s="8"/>
      <c r="F125" s="14"/>
      <c r="K125" s="8"/>
      <c r="L125" s="8"/>
    </row>
    <row r="126" spans="2:12">
      <c r="B126" s="1"/>
      <c r="C126" s="60"/>
      <c r="D126" s="8"/>
      <c r="E126" s="8"/>
      <c r="F126" s="37"/>
      <c r="K126" s="8"/>
      <c r="L126" s="8"/>
    </row>
    <row r="127" spans="2:12">
      <c r="B127" s="1"/>
      <c r="C127" s="60"/>
      <c r="D127" s="8"/>
      <c r="E127" s="8"/>
      <c r="F127" s="14"/>
      <c r="K127" s="8"/>
      <c r="L127" s="8"/>
    </row>
    <row r="128" spans="2:12">
      <c r="B128" s="1"/>
      <c r="C128" s="60"/>
      <c r="D128" s="8"/>
      <c r="E128" s="8"/>
      <c r="F128" s="37"/>
      <c r="K128" s="8"/>
      <c r="L128" s="8"/>
    </row>
    <row r="129" spans="2:12">
      <c r="B129" s="1"/>
      <c r="C129" s="60"/>
      <c r="D129" s="8"/>
      <c r="E129" s="8"/>
      <c r="F129" s="14"/>
      <c r="K129" s="8"/>
      <c r="L129" s="8"/>
    </row>
    <row r="130" spans="2:12">
      <c r="B130" s="1"/>
      <c r="C130" s="60"/>
      <c r="D130" s="8"/>
      <c r="E130" s="8"/>
      <c r="F130" s="37"/>
      <c r="K130" s="8"/>
      <c r="L130" s="8"/>
    </row>
    <row r="131" spans="2:12">
      <c r="B131" s="1"/>
      <c r="C131" s="60"/>
      <c r="D131" s="8"/>
      <c r="E131" s="8"/>
      <c r="F131" s="14"/>
      <c r="K131" s="8"/>
      <c r="L131" s="8"/>
    </row>
    <row r="132" spans="2:12">
      <c r="B132" s="1"/>
      <c r="C132" s="60"/>
      <c r="D132" s="8"/>
      <c r="E132" s="8"/>
      <c r="F132" s="14"/>
      <c r="K132" s="8"/>
      <c r="L132" s="8"/>
    </row>
    <row r="133" spans="2:12">
      <c r="B133" s="1"/>
      <c r="C133" s="60"/>
      <c r="D133" s="8"/>
      <c r="E133" s="8"/>
      <c r="F133" s="14"/>
      <c r="K133" s="8"/>
      <c r="L133" s="8"/>
    </row>
    <row r="134" spans="2:12">
      <c r="B134" s="1"/>
      <c r="C134" s="60"/>
      <c r="D134" s="8"/>
      <c r="E134" s="8"/>
      <c r="F134" s="37"/>
      <c r="K134" s="8"/>
      <c r="L134" s="8"/>
    </row>
    <row r="135" spans="2:12">
      <c r="B135" s="1"/>
      <c r="C135" s="60"/>
      <c r="D135" s="8"/>
      <c r="E135" s="8"/>
      <c r="F135" s="14"/>
      <c r="K135" s="8"/>
      <c r="L135" s="8"/>
    </row>
    <row r="136" spans="2:12">
      <c r="B136" s="1"/>
      <c r="C136" s="60"/>
      <c r="D136" s="8"/>
      <c r="E136" s="8"/>
      <c r="F136" s="37"/>
      <c r="K136" s="8"/>
      <c r="L136" s="8"/>
    </row>
    <row r="137" spans="2:12">
      <c r="B137" s="1"/>
      <c r="C137" s="60"/>
      <c r="D137" s="8"/>
      <c r="E137" s="8"/>
      <c r="F137" s="14"/>
      <c r="K137" s="8"/>
      <c r="L137" s="8"/>
    </row>
    <row r="138" spans="2:12">
      <c r="B138" s="1"/>
      <c r="C138" s="60"/>
      <c r="D138" s="8"/>
      <c r="E138" s="8"/>
      <c r="F138" s="37"/>
      <c r="K138" s="8"/>
      <c r="L138" s="8"/>
    </row>
    <row r="139" spans="2:12">
      <c r="B139" s="1"/>
      <c r="C139" s="60"/>
      <c r="D139" s="8"/>
      <c r="E139" s="8"/>
      <c r="F139" s="14"/>
      <c r="K139" s="8"/>
      <c r="L139" s="8"/>
    </row>
    <row r="140" spans="2:12">
      <c r="B140" s="1"/>
      <c r="C140" s="60"/>
      <c r="D140" s="8"/>
      <c r="E140" s="8"/>
      <c r="F140" s="14"/>
      <c r="K140" s="8"/>
      <c r="L140" s="8"/>
    </row>
    <row r="141" spans="2:12">
      <c r="B141" s="1"/>
      <c r="C141" s="60"/>
      <c r="D141" s="8"/>
      <c r="E141" s="8"/>
      <c r="F141" s="14"/>
      <c r="K141" s="8"/>
      <c r="L141" s="8"/>
    </row>
    <row r="142" spans="2:12">
      <c r="B142" s="1"/>
      <c r="C142" s="60"/>
      <c r="D142" s="8"/>
      <c r="E142" s="8"/>
      <c r="F142" s="37"/>
      <c r="K142" s="8"/>
      <c r="L142" s="8"/>
    </row>
    <row r="143" spans="2:12">
      <c r="B143" s="1"/>
      <c r="C143" s="60"/>
      <c r="D143" s="8"/>
      <c r="E143" s="8"/>
      <c r="F143" s="14"/>
      <c r="K143" s="8"/>
      <c r="L143" s="8"/>
    </row>
    <row r="144" spans="2:12">
      <c r="B144" s="1"/>
      <c r="C144" s="60"/>
      <c r="D144" s="8"/>
      <c r="E144" s="8"/>
      <c r="F144" s="14"/>
      <c r="K144" s="8"/>
      <c r="L144" s="8"/>
    </row>
    <row r="145" spans="2:12">
      <c r="B145" s="1"/>
      <c r="C145" s="60"/>
      <c r="D145" s="8"/>
      <c r="E145" s="8"/>
      <c r="F145" s="14"/>
      <c r="K145" s="8"/>
      <c r="L145" s="8"/>
    </row>
    <row r="146" spans="2:12">
      <c r="B146" s="1"/>
      <c r="C146" s="60"/>
      <c r="D146" s="8"/>
      <c r="E146" s="8"/>
      <c r="F146" s="14"/>
      <c r="K146" s="8"/>
      <c r="L146" s="8"/>
    </row>
    <row r="147" spans="2:12">
      <c r="B147" s="1"/>
      <c r="C147" s="60"/>
      <c r="D147" s="8"/>
      <c r="E147" s="8"/>
      <c r="F147" s="14"/>
      <c r="K147" s="8"/>
      <c r="L147" s="8"/>
    </row>
    <row r="148" spans="2:12">
      <c r="B148" s="1"/>
      <c r="C148" s="60"/>
      <c r="D148" s="8"/>
      <c r="E148" s="8"/>
      <c r="F148" s="37"/>
      <c r="K148" s="8"/>
      <c r="L148" s="8"/>
    </row>
    <row r="149" spans="2:12">
      <c r="B149" s="1"/>
      <c r="C149" s="60"/>
      <c r="D149" s="8"/>
      <c r="E149" s="8"/>
      <c r="F149" s="14"/>
      <c r="K149" s="8"/>
      <c r="L149" s="8"/>
    </row>
    <row r="150" spans="2:12">
      <c r="B150" s="1"/>
      <c r="C150" s="60"/>
      <c r="D150" s="8"/>
      <c r="E150" s="8"/>
      <c r="F150" s="14"/>
      <c r="K150" s="8"/>
      <c r="L150" s="8"/>
    </row>
    <row r="151" spans="2:12">
      <c r="B151" s="1"/>
      <c r="C151" s="60"/>
      <c r="D151" s="8"/>
      <c r="E151" s="8"/>
      <c r="F151" s="14"/>
      <c r="K151" s="8"/>
      <c r="L151" s="8"/>
    </row>
    <row r="152" spans="2:12">
      <c r="B152" s="1"/>
      <c r="C152" s="60"/>
      <c r="D152" s="8"/>
      <c r="E152" s="8"/>
      <c r="F152" s="37"/>
      <c r="K152" s="8"/>
      <c r="L152" s="8"/>
    </row>
    <row r="153" spans="2:12">
      <c r="B153" s="1"/>
      <c r="C153" s="60"/>
      <c r="D153" s="8"/>
      <c r="E153" s="8"/>
      <c r="F153" s="37"/>
      <c r="K153" s="8"/>
      <c r="L153" s="8"/>
    </row>
    <row r="154" spans="2:12">
      <c r="B154" s="1"/>
      <c r="C154" s="60"/>
      <c r="D154" s="8"/>
      <c r="E154" s="8"/>
      <c r="F154" s="14"/>
      <c r="K154" s="8"/>
      <c r="L154" s="8"/>
    </row>
    <row r="155" spans="2:12">
      <c r="B155" s="1"/>
      <c r="C155" s="60"/>
      <c r="D155" s="8"/>
      <c r="E155" s="8"/>
      <c r="F155" s="14"/>
      <c r="K155" s="8"/>
      <c r="L155" s="8"/>
    </row>
    <row r="156" spans="2:12">
      <c r="B156" s="1"/>
      <c r="C156" s="60"/>
      <c r="D156" s="8"/>
      <c r="E156" s="8"/>
      <c r="F156" s="14"/>
      <c r="K156" s="8"/>
      <c r="L156" s="8"/>
    </row>
    <row r="157" spans="2:12">
      <c r="B157" s="1"/>
      <c r="C157" s="60"/>
      <c r="D157" s="8"/>
      <c r="E157" s="8"/>
      <c r="F157" s="14"/>
      <c r="K157" s="8"/>
      <c r="L157" s="8"/>
    </row>
    <row r="158" spans="2:12">
      <c r="B158" s="1"/>
      <c r="C158" s="60"/>
      <c r="D158" s="8"/>
      <c r="E158" s="8"/>
      <c r="F158" s="14"/>
      <c r="K158" s="8"/>
      <c r="L158" s="8"/>
    </row>
    <row r="159" spans="2:12">
      <c r="B159" s="1"/>
      <c r="C159" s="60"/>
      <c r="D159" s="8"/>
      <c r="E159" s="8"/>
      <c r="F159" s="14"/>
      <c r="K159" s="8"/>
      <c r="L159" s="8"/>
    </row>
    <row r="160" spans="2:12">
      <c r="B160" s="1"/>
      <c r="C160" s="60"/>
      <c r="D160" s="8"/>
      <c r="E160" s="8"/>
      <c r="F160" s="14"/>
      <c r="K160" s="8"/>
      <c r="L160" s="8"/>
    </row>
    <row r="161" spans="2:12">
      <c r="B161" s="1"/>
      <c r="C161" s="60"/>
      <c r="D161" s="8"/>
      <c r="E161" s="8"/>
      <c r="F161" s="14"/>
      <c r="K161" s="8"/>
      <c r="L161" s="8"/>
    </row>
    <row r="162" spans="2:12">
      <c r="B162" s="1"/>
      <c r="C162" s="60"/>
      <c r="D162" s="8"/>
      <c r="E162" s="8"/>
      <c r="F162" s="14"/>
      <c r="K162" s="8"/>
      <c r="L162" s="8"/>
    </row>
    <row r="163" spans="2:12">
      <c r="B163" s="1"/>
      <c r="C163" s="60"/>
      <c r="D163" s="8"/>
      <c r="E163" s="8"/>
      <c r="F163" s="37"/>
      <c r="K163" s="8"/>
      <c r="L163" s="8"/>
    </row>
    <row r="164" spans="2:12">
      <c r="B164" s="1"/>
      <c r="C164" s="60"/>
      <c r="D164" s="8"/>
      <c r="E164" s="8"/>
      <c r="F164" s="37"/>
      <c r="K164" s="8"/>
      <c r="L164" s="8"/>
    </row>
    <row r="165" spans="2:12">
      <c r="B165" s="1"/>
      <c r="C165" s="60"/>
      <c r="D165" s="8"/>
      <c r="E165" s="8"/>
      <c r="F165" s="14"/>
      <c r="K165" s="8"/>
      <c r="L165" s="8"/>
    </row>
    <row r="166" spans="2:12">
      <c r="B166" s="1"/>
      <c r="C166" s="60"/>
      <c r="D166" s="8"/>
      <c r="E166" s="8"/>
      <c r="F166" s="14"/>
      <c r="K166" s="8"/>
      <c r="L166" s="8"/>
    </row>
    <row r="167" spans="2:12">
      <c r="B167" s="1"/>
      <c r="C167" s="60"/>
      <c r="D167" s="8"/>
      <c r="E167" s="8"/>
      <c r="F167" s="14"/>
      <c r="K167" s="8"/>
      <c r="L167" s="8"/>
    </row>
    <row r="168" spans="2:12">
      <c r="B168" s="1"/>
      <c r="C168" s="60"/>
      <c r="D168" s="8"/>
      <c r="E168" s="8"/>
      <c r="F168" s="37"/>
      <c r="K168" s="8"/>
      <c r="L168" s="8"/>
    </row>
    <row r="169" spans="2:12">
      <c r="B169" s="1"/>
      <c r="C169" s="60"/>
      <c r="D169" s="8"/>
      <c r="E169" s="8"/>
      <c r="F169" s="14"/>
      <c r="K169" s="8"/>
      <c r="L169" s="8"/>
    </row>
    <row r="170" spans="2:12">
      <c r="B170" s="1"/>
      <c r="C170" s="60"/>
      <c r="D170" s="8"/>
      <c r="E170" s="8"/>
      <c r="F170" s="14"/>
      <c r="K170" s="8"/>
      <c r="L170" s="8"/>
    </row>
    <row r="171" spans="2:12">
      <c r="B171" s="1"/>
      <c r="C171" s="60"/>
      <c r="D171" s="8"/>
      <c r="E171" s="8"/>
      <c r="F171" s="14"/>
      <c r="K171" s="8"/>
      <c r="L171" s="8"/>
    </row>
    <row r="172" spans="2:12">
      <c r="B172" s="1"/>
      <c r="C172" s="60"/>
      <c r="D172" s="8"/>
      <c r="E172" s="8"/>
      <c r="F172" s="14"/>
      <c r="K172" s="8"/>
      <c r="L172" s="8"/>
    </row>
    <row r="173" spans="2:12">
      <c r="B173" s="1"/>
      <c r="C173" s="60"/>
      <c r="D173" s="8"/>
      <c r="E173" s="8"/>
      <c r="F173" s="37"/>
      <c r="K173" s="8"/>
      <c r="L173" s="8"/>
    </row>
    <row r="174" spans="2:12">
      <c r="B174" s="1"/>
      <c r="C174" s="60"/>
      <c r="D174" s="8"/>
      <c r="E174" s="8"/>
      <c r="F174" s="37"/>
      <c r="K174" s="8"/>
      <c r="L174" s="8"/>
    </row>
    <row r="175" spans="2:12">
      <c r="B175" s="1"/>
      <c r="C175" s="60"/>
      <c r="D175" s="8"/>
      <c r="E175" s="8"/>
      <c r="F175" s="14"/>
      <c r="K175" s="8"/>
      <c r="L175" s="8"/>
    </row>
    <row r="176" spans="2:12">
      <c r="B176" s="1"/>
      <c r="C176" s="60"/>
      <c r="D176" s="8"/>
      <c r="E176" s="8"/>
      <c r="F176" s="14"/>
      <c r="K176" s="8"/>
      <c r="L176" s="8"/>
    </row>
    <row r="177" spans="2:12">
      <c r="B177" s="1"/>
      <c r="C177" s="60"/>
      <c r="D177" s="8"/>
      <c r="E177" s="8"/>
      <c r="F177" s="14"/>
      <c r="K177" s="8"/>
      <c r="L177" s="8"/>
    </row>
    <row r="178" spans="2:12">
      <c r="B178" s="1"/>
      <c r="C178" s="60"/>
      <c r="D178" s="8"/>
      <c r="E178" s="8"/>
      <c r="F178" s="14"/>
      <c r="K178" s="8"/>
      <c r="L178" s="8"/>
    </row>
    <row r="179" spans="2:12">
      <c r="B179" s="1"/>
      <c r="C179" s="60"/>
      <c r="D179" s="8"/>
      <c r="E179" s="8"/>
      <c r="F179" s="14"/>
      <c r="K179" s="8"/>
      <c r="L179" s="8"/>
    </row>
    <row r="180" spans="2:12">
      <c r="B180" s="1"/>
      <c r="C180" s="60"/>
      <c r="D180" s="8"/>
      <c r="E180" s="8"/>
      <c r="F180" s="14"/>
      <c r="K180" s="8"/>
      <c r="L180" s="8"/>
    </row>
    <row r="181" spans="2:12">
      <c r="B181" s="1"/>
      <c r="C181" s="60"/>
      <c r="D181" s="8"/>
      <c r="E181" s="8"/>
      <c r="F181" s="14"/>
      <c r="K181" s="8"/>
      <c r="L181" s="8"/>
    </row>
    <row r="182" spans="2:12">
      <c r="B182" s="1"/>
      <c r="C182" s="60"/>
      <c r="D182" s="8"/>
      <c r="E182" s="8"/>
      <c r="F182" s="14"/>
      <c r="K182" s="8"/>
      <c r="L182" s="8"/>
    </row>
    <row r="183" spans="2:12">
      <c r="B183" s="1"/>
      <c r="C183" s="60"/>
      <c r="D183" s="8"/>
      <c r="E183" s="8"/>
      <c r="F183" s="14"/>
      <c r="K183" s="8"/>
      <c r="L183" s="8"/>
    </row>
    <row r="184" spans="2:12">
      <c r="B184" s="1"/>
      <c r="C184" s="60"/>
      <c r="D184" s="8"/>
      <c r="E184" s="8"/>
      <c r="F184" s="14"/>
      <c r="K184" s="8"/>
      <c r="L184" s="8"/>
    </row>
    <row r="185" spans="2:12">
      <c r="B185" s="1"/>
      <c r="C185" s="60"/>
      <c r="D185" s="8"/>
      <c r="E185" s="8"/>
      <c r="F185" s="37"/>
      <c r="K185" s="8"/>
      <c r="L185" s="8"/>
    </row>
    <row r="186" spans="2:12">
      <c r="B186" s="1"/>
      <c r="C186" s="60"/>
      <c r="D186" s="8"/>
      <c r="E186" s="8"/>
      <c r="F186" s="14"/>
      <c r="K186" s="8"/>
      <c r="L186" s="8"/>
    </row>
    <row r="187" spans="2:12">
      <c r="B187" s="1"/>
      <c r="C187" s="60"/>
      <c r="D187" s="8"/>
      <c r="E187" s="8"/>
      <c r="F187" s="14"/>
      <c r="K187" s="8"/>
      <c r="L187" s="8"/>
    </row>
    <row r="188" spans="2:12">
      <c r="B188" s="1"/>
      <c r="C188" s="60"/>
      <c r="D188" s="8"/>
      <c r="E188" s="8"/>
      <c r="F188" s="37"/>
      <c r="K188" s="8"/>
      <c r="L188" s="8"/>
    </row>
    <row r="189" spans="2:12">
      <c r="B189" s="1"/>
      <c r="C189" s="60"/>
      <c r="D189" s="8"/>
      <c r="E189" s="8"/>
      <c r="F189" s="37"/>
      <c r="K189" s="8"/>
      <c r="L189" s="8"/>
    </row>
    <row r="190" spans="2:12">
      <c r="B190" s="1"/>
      <c r="C190" s="60"/>
      <c r="D190" s="8"/>
      <c r="E190" s="8"/>
      <c r="F190" s="14"/>
      <c r="K190" s="8"/>
      <c r="L190" s="8"/>
    </row>
    <row r="191" spans="2:12">
      <c r="B191" s="1"/>
      <c r="C191" s="60"/>
      <c r="D191" s="8"/>
      <c r="E191" s="8"/>
      <c r="F191" s="14"/>
      <c r="K191" s="8"/>
      <c r="L191" s="8"/>
    </row>
    <row r="192" spans="2:12">
      <c r="B192" s="1"/>
      <c r="C192" s="60"/>
      <c r="D192" s="8"/>
      <c r="E192" s="8"/>
      <c r="F192" s="37"/>
      <c r="K192" s="8"/>
      <c r="L192" s="8"/>
    </row>
    <row r="193" spans="2:12">
      <c r="B193" s="1"/>
      <c r="C193" s="60"/>
      <c r="D193" s="8"/>
      <c r="E193" s="8"/>
      <c r="F193" s="37"/>
      <c r="K193" s="8"/>
      <c r="L193" s="8"/>
    </row>
    <row r="194" spans="2:12">
      <c r="B194" s="1"/>
      <c r="C194" s="60"/>
      <c r="D194" s="8"/>
      <c r="E194" s="8"/>
      <c r="F194" s="14"/>
      <c r="K194" s="8"/>
      <c r="L194" s="8"/>
    </row>
    <row r="195" spans="2:12">
      <c r="B195" s="1"/>
      <c r="C195" s="60"/>
      <c r="D195" s="8"/>
      <c r="E195" s="8"/>
      <c r="F195" s="37"/>
      <c r="K195" s="8"/>
      <c r="L195" s="8"/>
    </row>
    <row r="196" spans="2:12">
      <c r="B196" s="1"/>
      <c r="C196" s="60"/>
      <c r="D196" s="8"/>
      <c r="E196" s="8"/>
      <c r="F196" s="14"/>
      <c r="K196" s="8"/>
      <c r="L196" s="8"/>
    </row>
    <row r="197" spans="2:12">
      <c r="B197" s="1"/>
      <c r="C197" s="60"/>
      <c r="D197" s="8"/>
      <c r="E197" s="8"/>
      <c r="F197" s="37"/>
      <c r="K197" s="8"/>
      <c r="L197" s="8"/>
    </row>
    <row r="198" spans="2:12">
      <c r="B198" s="1"/>
      <c r="C198" s="60"/>
      <c r="D198" s="8"/>
      <c r="E198" s="8"/>
      <c r="F198" s="37"/>
      <c r="K198" s="8"/>
      <c r="L198" s="8"/>
    </row>
    <row r="199" spans="2:12">
      <c r="B199" s="1"/>
      <c r="C199" s="60"/>
      <c r="D199" s="8"/>
      <c r="E199" s="8"/>
      <c r="F199" s="37"/>
      <c r="K199" s="8"/>
      <c r="L199" s="8"/>
    </row>
    <row r="200" spans="2:12">
      <c r="B200" s="1"/>
      <c r="C200" s="60"/>
      <c r="D200" s="8"/>
      <c r="E200" s="8"/>
      <c r="F200" s="14"/>
      <c r="K200" s="8"/>
      <c r="L200" s="8"/>
    </row>
    <row r="201" spans="2:12">
      <c r="B201" s="1"/>
      <c r="C201" s="60"/>
      <c r="D201" s="8"/>
      <c r="E201" s="8"/>
      <c r="F201" s="14"/>
      <c r="K201" s="8"/>
      <c r="L201" s="8"/>
    </row>
    <row r="202" spans="2:12">
      <c r="B202" s="1"/>
      <c r="C202" s="60"/>
      <c r="D202" s="8"/>
      <c r="E202" s="8"/>
      <c r="F202" s="14"/>
      <c r="K202" s="8"/>
      <c r="L202" s="8"/>
    </row>
    <row r="203" spans="2:12">
      <c r="B203" s="1"/>
      <c r="C203" s="60"/>
      <c r="D203" s="8"/>
      <c r="E203" s="8"/>
      <c r="F203" s="14"/>
      <c r="K203" s="8"/>
      <c r="L203" s="8"/>
    </row>
    <row r="204" spans="2:12">
      <c r="B204" s="1"/>
      <c r="C204" s="60"/>
      <c r="D204" s="8"/>
      <c r="E204" s="8"/>
      <c r="F204" s="37"/>
      <c r="K204" s="8"/>
      <c r="L204" s="8"/>
    </row>
    <row r="205" spans="2:12">
      <c r="B205" s="1"/>
      <c r="C205" s="60"/>
      <c r="D205" s="8"/>
      <c r="E205" s="8"/>
      <c r="F205" s="14"/>
      <c r="K205" s="8"/>
      <c r="L205" s="8"/>
    </row>
    <row r="206" spans="2:12">
      <c r="B206" s="1"/>
      <c r="C206" s="60"/>
      <c r="D206" s="8"/>
      <c r="E206" s="8"/>
      <c r="F206" s="14"/>
      <c r="K206" s="8"/>
      <c r="L206" s="8"/>
    </row>
    <row r="207" spans="2:12">
      <c r="B207" s="1"/>
      <c r="C207" s="60"/>
      <c r="D207" s="8"/>
      <c r="E207" s="8"/>
      <c r="F207" s="14"/>
      <c r="K207" s="8"/>
      <c r="L207" s="8"/>
    </row>
    <row r="208" spans="2:12">
      <c r="B208" s="1"/>
      <c r="C208" s="60"/>
      <c r="D208" s="8"/>
      <c r="E208" s="8"/>
      <c r="F208" s="14"/>
      <c r="K208" s="8"/>
      <c r="L208" s="8"/>
    </row>
    <row r="209" spans="2:12">
      <c r="B209" s="1"/>
      <c r="C209" s="60"/>
      <c r="D209" s="8"/>
      <c r="E209" s="8"/>
      <c r="F209" s="37"/>
      <c r="K209" s="8"/>
      <c r="L209" s="8"/>
    </row>
    <row r="210" spans="2:12">
      <c r="B210" s="1"/>
      <c r="C210" s="60"/>
      <c r="D210" s="8"/>
      <c r="E210" s="8"/>
      <c r="F210" s="37"/>
      <c r="K210" s="8"/>
      <c r="L210" s="8"/>
    </row>
    <row r="211" spans="2:12">
      <c r="B211" s="1"/>
      <c r="C211" s="60"/>
      <c r="D211" s="8"/>
      <c r="E211" s="8"/>
      <c r="F211" s="14"/>
      <c r="K211" s="8"/>
      <c r="L211" s="8"/>
    </row>
    <row r="212" spans="2:12">
      <c r="B212" s="1"/>
      <c r="C212" s="60"/>
      <c r="D212" s="8"/>
      <c r="E212" s="8"/>
      <c r="F212" s="37"/>
      <c r="K212" s="8"/>
      <c r="L212" s="8"/>
    </row>
    <row r="213" spans="2:12">
      <c r="B213" s="1"/>
      <c r="C213" s="60"/>
      <c r="D213" s="8"/>
      <c r="E213" s="8"/>
      <c r="F213" s="14"/>
      <c r="K213" s="8"/>
      <c r="L213" s="8"/>
    </row>
    <row r="214" spans="2:12">
      <c r="B214" s="1"/>
      <c r="C214" s="60"/>
      <c r="D214" s="8"/>
      <c r="E214" s="8"/>
      <c r="F214" s="14"/>
      <c r="K214" s="8"/>
      <c r="L214" s="8"/>
    </row>
    <row r="215" spans="2:12">
      <c r="B215" s="1"/>
      <c r="C215" s="60"/>
      <c r="D215" s="8"/>
      <c r="E215" s="8"/>
      <c r="F215" s="37"/>
      <c r="K215" s="8"/>
      <c r="L215" s="8"/>
    </row>
    <row r="216" spans="2:12">
      <c r="B216" s="1"/>
      <c r="C216" s="60"/>
      <c r="D216" s="8"/>
      <c r="E216" s="8"/>
      <c r="F216" s="14"/>
      <c r="K216" s="8"/>
      <c r="L216" s="8"/>
    </row>
    <row r="217" spans="2:12">
      <c r="B217" s="1"/>
      <c r="C217" s="60"/>
      <c r="D217" s="8"/>
      <c r="E217" s="8"/>
      <c r="F217" s="14"/>
      <c r="K217" s="8"/>
      <c r="L217" s="8"/>
    </row>
    <row r="218" spans="2:12">
      <c r="B218" s="1"/>
      <c r="C218" s="60"/>
      <c r="D218" s="8"/>
      <c r="E218" s="8"/>
      <c r="F218" s="14"/>
      <c r="K218" s="8"/>
      <c r="L218" s="8"/>
    </row>
    <row r="219" spans="2:12">
      <c r="B219" s="1"/>
      <c r="C219" s="60"/>
      <c r="D219" s="8"/>
      <c r="E219" s="8"/>
      <c r="F219" s="14"/>
      <c r="K219" s="8"/>
      <c r="L219" s="8"/>
    </row>
    <row r="220" spans="2:12">
      <c r="B220" s="1"/>
      <c r="C220" s="60"/>
      <c r="D220" s="8"/>
      <c r="E220" s="8"/>
      <c r="F220" s="14"/>
      <c r="K220" s="8"/>
      <c r="L220" s="8"/>
    </row>
    <row r="221" spans="2:12">
      <c r="B221" s="1"/>
      <c r="C221" s="60"/>
      <c r="D221" s="8"/>
      <c r="E221" s="8"/>
      <c r="F221" s="14"/>
      <c r="K221" s="8"/>
      <c r="L221" s="8"/>
    </row>
    <row r="222" spans="2:12">
      <c r="B222" s="1"/>
      <c r="C222" s="60"/>
      <c r="D222" s="8"/>
      <c r="E222" s="8"/>
      <c r="F222" s="14"/>
      <c r="K222" s="8"/>
      <c r="L222" s="8"/>
    </row>
    <row r="223" spans="2:12">
      <c r="B223" s="1"/>
      <c r="C223" s="60"/>
      <c r="D223" s="8"/>
      <c r="E223" s="8"/>
      <c r="F223" s="14"/>
      <c r="K223" s="8"/>
      <c r="L223" s="8"/>
    </row>
    <row r="224" spans="2:12">
      <c r="B224" s="1"/>
      <c r="C224" s="60"/>
      <c r="D224" s="8"/>
      <c r="E224" s="8"/>
      <c r="F224" s="14"/>
      <c r="K224" s="8"/>
      <c r="L224" s="8"/>
    </row>
    <row r="225" spans="2:12">
      <c r="B225" s="1"/>
      <c r="C225" s="60"/>
      <c r="D225" s="8"/>
      <c r="E225" s="8"/>
      <c r="F225" s="14"/>
      <c r="K225" s="8"/>
      <c r="L225" s="8"/>
    </row>
    <row r="226" spans="2:12">
      <c r="B226" s="1"/>
      <c r="C226" s="60"/>
      <c r="D226" s="8"/>
      <c r="E226" s="8"/>
      <c r="F226" s="37"/>
      <c r="K226" s="8"/>
      <c r="L226" s="8"/>
    </row>
    <row r="227" spans="2:12">
      <c r="B227" s="1"/>
      <c r="C227" s="60"/>
      <c r="D227" s="8"/>
      <c r="E227" s="8"/>
      <c r="F227" s="37"/>
      <c r="K227" s="8"/>
      <c r="L227" s="8"/>
    </row>
    <row r="228" spans="2:12">
      <c r="B228" s="1"/>
      <c r="C228" s="60"/>
      <c r="D228" s="8"/>
      <c r="E228" s="8"/>
      <c r="F228" s="37"/>
      <c r="K228" s="8"/>
      <c r="L228" s="8"/>
    </row>
    <row r="229" spans="2:12">
      <c r="B229" s="1"/>
      <c r="C229" s="60"/>
      <c r="D229" s="8"/>
      <c r="E229" s="8"/>
      <c r="F229" s="14"/>
      <c r="K229" s="8"/>
      <c r="L229" s="8"/>
    </row>
    <row r="230" spans="2:12">
      <c r="B230" s="1"/>
      <c r="C230" s="60"/>
      <c r="D230" s="8"/>
      <c r="E230" s="8"/>
      <c r="F230" s="14"/>
      <c r="K230" s="8"/>
      <c r="L230" s="8"/>
    </row>
    <row r="231" spans="2:12">
      <c r="B231" s="1"/>
      <c r="C231" s="60"/>
      <c r="D231" s="8"/>
      <c r="E231" s="8"/>
      <c r="F231" s="37"/>
      <c r="K231" s="8"/>
      <c r="L231" s="8"/>
    </row>
    <row r="232" spans="2:12">
      <c r="B232" s="1"/>
      <c r="C232" s="60"/>
      <c r="D232" s="8"/>
      <c r="E232" s="8"/>
      <c r="F232" s="37"/>
      <c r="K232" s="8"/>
      <c r="L232" s="8"/>
    </row>
    <row r="233" spans="2:12">
      <c r="B233" s="1"/>
      <c r="C233" s="60"/>
      <c r="D233" s="8"/>
      <c r="E233" s="8"/>
      <c r="F233" s="37"/>
      <c r="K233" s="8"/>
      <c r="L233" s="8"/>
    </row>
    <row r="234" spans="2:12">
      <c r="B234" s="1"/>
      <c r="C234" s="60"/>
      <c r="D234" s="8"/>
      <c r="E234" s="8"/>
      <c r="F234" s="37"/>
      <c r="K234" s="8"/>
      <c r="L234" s="8"/>
    </row>
    <row r="235" spans="2:12">
      <c r="B235" s="1"/>
      <c r="C235" s="60"/>
      <c r="D235" s="8"/>
      <c r="E235" s="8"/>
      <c r="F235" s="14"/>
      <c r="K235" s="8"/>
      <c r="L235" s="8"/>
    </row>
    <row r="236" spans="2:12">
      <c r="B236" s="1"/>
      <c r="C236" s="60"/>
      <c r="D236" s="8"/>
      <c r="E236" s="8"/>
      <c r="F236" s="14"/>
      <c r="K236" s="8"/>
      <c r="L236" s="8"/>
    </row>
    <row r="237" spans="2:12">
      <c r="B237" s="1"/>
      <c r="C237" s="60"/>
      <c r="D237" s="8"/>
      <c r="E237" s="8"/>
      <c r="F237" s="14"/>
      <c r="K237" s="8"/>
      <c r="L237" s="8"/>
    </row>
    <row r="238" spans="2:12">
      <c r="B238" s="1"/>
      <c r="C238" s="60"/>
      <c r="D238" s="8"/>
      <c r="E238" s="8"/>
      <c r="F238" s="14"/>
      <c r="K238" s="8"/>
      <c r="L238" s="8"/>
    </row>
    <row r="239" spans="2:12">
      <c r="B239" s="1"/>
      <c r="C239" s="60"/>
      <c r="D239" s="8"/>
      <c r="E239" s="8"/>
      <c r="F239" s="37"/>
      <c r="K239" s="8"/>
      <c r="L239" s="8"/>
    </row>
    <row r="240" spans="2:12">
      <c r="B240" s="1"/>
      <c r="C240" s="60"/>
      <c r="D240" s="8"/>
      <c r="E240" s="8"/>
      <c r="F240" s="14"/>
      <c r="K240" s="8"/>
      <c r="L240" s="8"/>
    </row>
    <row r="241" spans="2:12">
      <c r="B241" s="1"/>
      <c r="C241" s="60"/>
      <c r="D241" s="8"/>
      <c r="E241" s="8"/>
      <c r="F241" s="14"/>
      <c r="K241" s="8"/>
      <c r="L241" s="8"/>
    </row>
    <row r="242" spans="2:12">
      <c r="B242" s="1"/>
      <c r="C242" s="60"/>
      <c r="D242" s="8"/>
      <c r="E242" s="8"/>
      <c r="F242" s="14"/>
      <c r="K242" s="8"/>
      <c r="L242" s="8"/>
    </row>
    <row r="243" spans="2:12">
      <c r="B243" s="1"/>
      <c r="C243" s="60"/>
      <c r="D243" s="8"/>
      <c r="E243" s="8"/>
      <c r="F243" s="14"/>
      <c r="K243" s="8"/>
      <c r="L243" s="8"/>
    </row>
    <row r="244" spans="2:12">
      <c r="B244" s="1"/>
      <c r="C244" s="60"/>
      <c r="D244" s="8"/>
      <c r="E244" s="8"/>
      <c r="F244" s="14"/>
      <c r="K244" s="8"/>
      <c r="L244" s="8"/>
    </row>
    <row r="245" spans="2:12">
      <c r="B245" s="1"/>
      <c r="C245" s="60"/>
      <c r="D245" s="8"/>
      <c r="E245" s="8"/>
      <c r="F245" s="14"/>
      <c r="K245" s="8"/>
      <c r="L245" s="8"/>
    </row>
    <row r="246" spans="2:12">
      <c r="B246" s="1"/>
      <c r="C246" s="60"/>
      <c r="D246" s="8"/>
      <c r="E246" s="8"/>
      <c r="F246" s="14"/>
      <c r="K246" s="8"/>
      <c r="L246" s="8"/>
    </row>
    <row r="247" spans="2:12">
      <c r="B247" s="1"/>
      <c r="C247" s="60"/>
      <c r="D247" s="8"/>
      <c r="E247" s="8"/>
      <c r="F247" s="37"/>
      <c r="K247" s="8"/>
      <c r="L247" s="8"/>
    </row>
    <row r="248" spans="2:12">
      <c r="B248" s="1"/>
      <c r="C248" s="60"/>
      <c r="D248" s="8"/>
      <c r="E248" s="8"/>
      <c r="F248" s="37"/>
      <c r="K248" s="8"/>
      <c r="L248" s="8"/>
    </row>
    <row r="249" spans="2:12">
      <c r="B249" s="1"/>
      <c r="C249" s="60"/>
      <c r="D249" s="8"/>
      <c r="E249" s="8"/>
      <c r="F249" s="14"/>
      <c r="K249" s="8"/>
      <c r="L249" s="8"/>
    </row>
    <row r="250" spans="2:12">
      <c r="B250" s="1"/>
      <c r="C250" s="60"/>
      <c r="D250" s="8"/>
      <c r="E250" s="8"/>
      <c r="F250" s="14"/>
      <c r="K250" s="8"/>
      <c r="L250" s="8"/>
    </row>
    <row r="251" spans="2:12">
      <c r="B251" s="1"/>
      <c r="C251" s="60"/>
      <c r="D251" s="8"/>
      <c r="E251" s="8"/>
      <c r="F251" s="14"/>
      <c r="K251" s="8"/>
      <c r="L251" s="8"/>
    </row>
    <row r="252" spans="2:12">
      <c r="B252" s="1"/>
      <c r="C252" s="60"/>
      <c r="D252" s="8"/>
      <c r="E252" s="8"/>
      <c r="F252" s="14"/>
      <c r="K252" s="8"/>
      <c r="L252" s="8"/>
    </row>
    <row r="253" spans="2:12">
      <c r="B253" s="1"/>
      <c r="C253" s="60"/>
      <c r="D253" s="8"/>
      <c r="E253" s="8"/>
      <c r="F253" s="14"/>
      <c r="K253" s="8"/>
      <c r="L253" s="8"/>
    </row>
    <row r="254" spans="2:12">
      <c r="B254" s="1"/>
      <c r="C254" s="60"/>
      <c r="D254" s="8"/>
      <c r="E254" s="8"/>
      <c r="F254" s="14"/>
      <c r="K254" s="8"/>
      <c r="L254" s="8"/>
    </row>
    <row r="255" spans="2:12">
      <c r="B255" s="1"/>
      <c r="C255" s="60"/>
      <c r="D255" s="8"/>
      <c r="E255" s="8"/>
      <c r="F255" s="37"/>
      <c r="K255" s="8"/>
      <c r="L255" s="8"/>
    </row>
    <row r="256" spans="2:12">
      <c r="B256" s="1"/>
      <c r="C256" s="60"/>
      <c r="D256" s="8"/>
      <c r="E256" s="8"/>
      <c r="F256" s="14"/>
      <c r="K256" s="8"/>
      <c r="L256" s="8"/>
    </row>
    <row r="257" spans="2:12">
      <c r="B257" s="1"/>
      <c r="C257" s="60"/>
      <c r="D257" s="8"/>
      <c r="E257" s="8"/>
      <c r="F257" s="37"/>
      <c r="K257" s="8"/>
      <c r="L257" s="8"/>
    </row>
    <row r="258" spans="2:12">
      <c r="B258" s="1"/>
      <c r="C258" s="60"/>
      <c r="D258" s="8"/>
      <c r="E258" s="8"/>
      <c r="F258" s="14"/>
      <c r="K258" s="8"/>
      <c r="L258" s="8"/>
    </row>
    <row r="259" spans="2:12">
      <c r="B259" s="1"/>
      <c r="C259" s="60"/>
      <c r="D259" s="8"/>
      <c r="E259" s="8"/>
      <c r="F259" s="14"/>
      <c r="K259" s="8"/>
      <c r="L259" s="8"/>
    </row>
    <row r="260" spans="2:12">
      <c r="B260" s="1"/>
      <c r="C260" s="60"/>
      <c r="D260" s="8"/>
      <c r="E260" s="8"/>
      <c r="F260" s="14"/>
      <c r="K260" s="8"/>
      <c r="L260" s="8"/>
    </row>
    <row r="261" spans="2:12">
      <c r="B261" s="1"/>
      <c r="C261" s="60"/>
      <c r="D261" s="8"/>
      <c r="E261" s="8"/>
      <c r="F261" s="37"/>
      <c r="K261" s="8"/>
      <c r="L261" s="8"/>
    </row>
    <row r="262" spans="2:12">
      <c r="B262" s="1"/>
      <c r="C262" s="60"/>
      <c r="D262" s="8"/>
      <c r="E262" s="8"/>
      <c r="F262" s="14"/>
      <c r="K262" s="8"/>
      <c r="L262" s="8"/>
    </row>
    <row r="263" spans="2:12">
      <c r="B263" s="1"/>
      <c r="C263" s="60"/>
      <c r="D263" s="8"/>
      <c r="E263" s="8"/>
      <c r="F263" s="14"/>
      <c r="K263" s="8"/>
      <c r="L263" s="8"/>
    </row>
    <row r="264" spans="2:12">
      <c r="B264" s="1"/>
      <c r="C264" s="60"/>
      <c r="D264" s="8"/>
      <c r="E264" s="8"/>
      <c r="F264" s="14"/>
      <c r="K264" s="8"/>
      <c r="L264" s="8"/>
    </row>
    <row r="265" spans="2:12">
      <c r="B265" s="1"/>
      <c r="C265" s="60"/>
      <c r="D265" s="8"/>
      <c r="E265" s="8"/>
      <c r="F265" s="14"/>
      <c r="K265" s="8"/>
      <c r="L265" s="8"/>
    </row>
    <row r="266" spans="2:12">
      <c r="B266" s="1"/>
      <c r="C266" s="60"/>
      <c r="D266" s="8"/>
      <c r="E266" s="8"/>
      <c r="F266" s="14"/>
      <c r="K266" s="8"/>
      <c r="L266" s="8"/>
    </row>
    <row r="267" spans="2:12">
      <c r="B267" s="1"/>
      <c r="C267" s="60"/>
      <c r="D267" s="8"/>
      <c r="E267" s="8"/>
      <c r="F267" s="37"/>
      <c r="K267" s="8"/>
      <c r="L267" s="8"/>
    </row>
    <row r="268" spans="2:12">
      <c r="B268" s="1"/>
      <c r="C268" s="60"/>
      <c r="D268" s="8"/>
      <c r="E268" s="8"/>
      <c r="F268" s="14"/>
      <c r="K268" s="8"/>
      <c r="L268" s="8"/>
    </row>
    <row r="269" spans="2:12">
      <c r="B269" s="1"/>
      <c r="C269" s="60"/>
      <c r="D269" s="8"/>
      <c r="E269" s="8"/>
      <c r="F269" s="14"/>
      <c r="K269" s="8"/>
      <c r="L269" s="8"/>
    </row>
    <row r="270" spans="2:12">
      <c r="B270" s="1"/>
      <c r="C270" s="60"/>
      <c r="D270" s="8"/>
      <c r="E270" s="8"/>
      <c r="F270" s="37"/>
      <c r="K270" s="8"/>
      <c r="L270" s="8"/>
    </row>
    <row r="271" spans="2:12">
      <c r="B271" s="1"/>
      <c r="C271" s="60"/>
      <c r="D271" s="8"/>
      <c r="E271" s="8"/>
      <c r="F271" s="37"/>
      <c r="K271" s="8"/>
      <c r="L271" s="8"/>
    </row>
    <row r="272" spans="2:12">
      <c r="B272" s="1"/>
      <c r="C272" s="60"/>
      <c r="D272" s="8"/>
      <c r="E272" s="8"/>
      <c r="F272" s="14"/>
      <c r="K272" s="8"/>
      <c r="L272" s="8"/>
    </row>
    <row r="273" spans="2:12">
      <c r="B273" s="1"/>
      <c r="C273" s="60"/>
      <c r="D273" s="8"/>
      <c r="E273" s="8"/>
      <c r="F273" s="14"/>
      <c r="K273" s="8"/>
      <c r="L273" s="8"/>
    </row>
    <row r="274" spans="2:12">
      <c r="B274" s="1"/>
      <c r="C274" s="60"/>
      <c r="D274" s="8"/>
      <c r="E274" s="8"/>
      <c r="F274" s="14"/>
      <c r="K274" s="8"/>
      <c r="L274" s="8"/>
    </row>
    <row r="275" spans="2:12">
      <c r="B275" s="1"/>
      <c r="C275" s="60"/>
      <c r="D275" s="8"/>
      <c r="E275" s="8"/>
      <c r="F275" s="37"/>
      <c r="K275" s="8"/>
      <c r="L275" s="8"/>
    </row>
    <row r="276" spans="2:12">
      <c r="B276" s="1"/>
      <c r="C276" s="60"/>
      <c r="D276" s="8"/>
      <c r="E276" s="8"/>
      <c r="F276" s="14"/>
      <c r="K276" s="8"/>
      <c r="L276" s="8"/>
    </row>
    <row r="277" spans="2:12">
      <c r="B277" s="1"/>
      <c r="C277" s="60"/>
      <c r="D277" s="8"/>
      <c r="E277" s="8"/>
      <c r="F277" s="37"/>
      <c r="K277" s="8"/>
      <c r="L277" s="8"/>
    </row>
    <row r="278" spans="2:12">
      <c r="B278" s="1"/>
      <c r="C278" s="60"/>
      <c r="D278" s="8"/>
      <c r="E278" s="8"/>
      <c r="F278" s="37"/>
      <c r="K278" s="8"/>
      <c r="L278" s="8"/>
    </row>
    <row r="279" spans="2:12">
      <c r="B279" s="1"/>
      <c r="C279" s="60"/>
      <c r="D279" s="8"/>
      <c r="E279" s="8"/>
      <c r="F279" s="14"/>
      <c r="K279" s="8"/>
      <c r="L279" s="8"/>
    </row>
    <row r="280" spans="2:12">
      <c r="B280" s="1"/>
      <c r="C280" s="60"/>
      <c r="D280" s="8"/>
      <c r="E280" s="8"/>
      <c r="F280" s="14"/>
      <c r="K280" s="8"/>
      <c r="L280" s="8"/>
    </row>
    <row r="281" spans="2:12">
      <c r="B281" s="1"/>
      <c r="C281" s="60"/>
      <c r="D281" s="8"/>
      <c r="E281" s="8"/>
      <c r="F281" s="14"/>
      <c r="K281" s="8"/>
      <c r="L281" s="8"/>
    </row>
    <row r="282" spans="2:12">
      <c r="B282" s="1"/>
      <c r="C282" s="60"/>
      <c r="D282" s="8"/>
      <c r="E282" s="8"/>
      <c r="F282" s="14"/>
      <c r="K282" s="8"/>
      <c r="L282" s="8"/>
    </row>
    <row r="283" spans="2:12">
      <c r="B283" s="1"/>
      <c r="C283" s="60"/>
      <c r="D283" s="8"/>
      <c r="E283" s="8"/>
      <c r="F283" s="14"/>
      <c r="K283" s="8"/>
      <c r="L283" s="8"/>
    </row>
    <row r="284" spans="2:12">
      <c r="B284" s="1"/>
      <c r="C284" s="60"/>
      <c r="D284" s="8"/>
      <c r="E284" s="8"/>
      <c r="F284" s="14"/>
      <c r="K284" s="8"/>
      <c r="L284" s="8"/>
    </row>
    <row r="285" spans="2:12">
      <c r="B285" s="1"/>
      <c r="C285" s="60"/>
      <c r="D285" s="8"/>
      <c r="E285" s="8"/>
      <c r="F285" s="14"/>
      <c r="K285" s="8"/>
      <c r="L285" s="8"/>
    </row>
    <row r="286" spans="2:12">
      <c r="B286" s="1"/>
      <c r="C286" s="60"/>
      <c r="D286" s="8"/>
      <c r="E286" s="8"/>
      <c r="F286" s="14"/>
      <c r="K286" s="8"/>
      <c r="L286" s="8"/>
    </row>
    <row r="287" spans="2:12">
      <c r="B287" s="1"/>
      <c r="C287" s="60"/>
      <c r="D287" s="8"/>
      <c r="E287" s="8"/>
      <c r="F287" s="14"/>
      <c r="K287" s="8"/>
      <c r="L287" s="8"/>
    </row>
    <row r="288" spans="2:12">
      <c r="B288" s="1"/>
      <c r="C288" s="60"/>
      <c r="D288" s="8"/>
      <c r="E288" s="8"/>
      <c r="F288" s="14"/>
      <c r="K288" s="8"/>
      <c r="L288" s="8"/>
    </row>
    <row r="289" spans="2:12">
      <c r="B289" s="1"/>
      <c r="C289" s="60"/>
      <c r="D289" s="8"/>
      <c r="E289" s="8"/>
      <c r="F289" s="14"/>
      <c r="K289" s="8"/>
      <c r="L289" s="8"/>
    </row>
    <row r="290" spans="2:12">
      <c r="B290" s="1"/>
      <c r="C290" s="60"/>
      <c r="D290" s="8"/>
      <c r="E290" s="8"/>
      <c r="F290" s="37"/>
      <c r="K290" s="8"/>
      <c r="L290" s="8"/>
    </row>
    <row r="291" spans="2:12">
      <c r="B291" s="1"/>
      <c r="C291" s="60"/>
      <c r="D291" s="8"/>
      <c r="E291" s="8"/>
      <c r="F291" s="37"/>
      <c r="K291" s="8"/>
      <c r="L291" s="8"/>
    </row>
    <row r="292" spans="2:12">
      <c r="B292" s="1"/>
      <c r="C292" s="60"/>
      <c r="D292" s="8"/>
      <c r="E292" s="8"/>
      <c r="F292" s="37"/>
      <c r="K292" s="8"/>
      <c r="L292" s="8"/>
    </row>
    <row r="293" spans="2:12">
      <c r="B293" s="1"/>
      <c r="C293" s="60"/>
      <c r="D293" s="8"/>
      <c r="E293" s="8"/>
      <c r="F293" s="14"/>
      <c r="K293" s="8"/>
      <c r="L293" s="8"/>
    </row>
    <row r="294" spans="2:12">
      <c r="B294" s="1"/>
      <c r="C294" s="60"/>
      <c r="D294" s="8"/>
      <c r="E294" s="8"/>
      <c r="F294" s="14"/>
      <c r="K294" s="8"/>
      <c r="L294" s="8"/>
    </row>
    <row r="295" spans="2:12">
      <c r="B295" s="1"/>
      <c r="C295" s="60"/>
      <c r="D295" s="8"/>
      <c r="E295" s="8"/>
      <c r="F295" s="14"/>
      <c r="K295" s="8"/>
      <c r="L295" s="8"/>
    </row>
    <row r="296" spans="2:12">
      <c r="B296" s="1"/>
      <c r="C296" s="60"/>
      <c r="D296" s="8"/>
      <c r="E296" s="8"/>
      <c r="F296" s="37"/>
      <c r="K296" s="8"/>
      <c r="L296" s="8"/>
    </row>
    <row r="297" spans="2:12">
      <c r="B297" s="1"/>
      <c r="C297" s="60"/>
      <c r="D297" s="8"/>
      <c r="E297" s="8"/>
      <c r="F297" s="37"/>
      <c r="K297" s="8"/>
      <c r="L297" s="8"/>
    </row>
    <row r="298" spans="2:12">
      <c r="B298" s="1"/>
      <c r="C298" s="60"/>
      <c r="D298" s="8"/>
      <c r="E298" s="8"/>
      <c r="F298" s="37"/>
      <c r="K298" s="8"/>
      <c r="L298" s="8"/>
    </row>
    <row r="299" spans="2:12">
      <c r="B299" s="1"/>
      <c r="C299" s="60"/>
      <c r="D299" s="8"/>
      <c r="E299" s="8"/>
      <c r="F299" s="37"/>
      <c r="K299" s="8"/>
      <c r="L299" s="8"/>
    </row>
    <row r="300" spans="2:12">
      <c r="B300" s="1"/>
      <c r="C300" s="60"/>
      <c r="D300" s="8"/>
      <c r="E300" s="8"/>
      <c r="F300" s="14"/>
      <c r="K300" s="8"/>
      <c r="L300" s="8"/>
    </row>
    <row r="301" spans="2:12">
      <c r="B301" s="1"/>
      <c r="C301" s="60"/>
      <c r="D301" s="8"/>
      <c r="E301" s="8"/>
      <c r="F301" s="37"/>
      <c r="K301" s="8"/>
      <c r="L301" s="8"/>
    </row>
    <row r="302" spans="2:12">
      <c r="B302" s="1"/>
      <c r="C302" s="60"/>
      <c r="D302" s="8"/>
      <c r="E302" s="8"/>
      <c r="F302" s="37"/>
      <c r="K302" s="8"/>
      <c r="L302" s="8"/>
    </row>
    <row r="303" spans="2:12">
      <c r="B303" s="1"/>
      <c r="C303" s="60"/>
      <c r="D303" s="8"/>
      <c r="E303" s="8"/>
      <c r="F303" s="37"/>
      <c r="K303" s="8"/>
      <c r="L303" s="8"/>
    </row>
    <row r="304" spans="2:12">
      <c r="B304" s="1"/>
      <c r="C304" s="60"/>
      <c r="D304" s="8"/>
      <c r="E304" s="8"/>
      <c r="F304" s="37"/>
      <c r="K304" s="8"/>
      <c r="L304" s="8"/>
    </row>
    <row r="305" spans="2:12">
      <c r="B305" s="1"/>
      <c r="C305" s="60"/>
      <c r="D305" s="8"/>
      <c r="E305" s="8"/>
      <c r="F305" s="37"/>
      <c r="K305" s="8"/>
      <c r="L305" s="8"/>
    </row>
    <row r="306" spans="2:12">
      <c r="B306" s="1"/>
      <c r="C306" s="60"/>
      <c r="D306" s="8"/>
      <c r="E306" s="8"/>
      <c r="F306" s="37"/>
      <c r="K306" s="8"/>
      <c r="L306" s="8"/>
    </row>
    <row r="307" spans="2:12">
      <c r="B307" s="1"/>
      <c r="C307" s="60"/>
      <c r="D307" s="8"/>
      <c r="E307" s="8"/>
      <c r="F307" s="14"/>
      <c r="K307" s="8"/>
      <c r="L307" s="8"/>
    </row>
    <row r="308" spans="2:12">
      <c r="B308" s="1"/>
      <c r="C308" s="60"/>
      <c r="D308" s="8"/>
      <c r="E308" s="8"/>
      <c r="F308" s="14"/>
      <c r="K308" s="8"/>
      <c r="L308" s="8"/>
    </row>
    <row r="309" spans="2:12">
      <c r="B309" s="1"/>
      <c r="C309" s="60"/>
      <c r="D309" s="8"/>
      <c r="E309" s="8"/>
      <c r="F309" s="14"/>
      <c r="K309" s="8"/>
      <c r="L309" s="8"/>
    </row>
    <row r="310" spans="2:12">
      <c r="B310" s="1"/>
      <c r="C310" s="60"/>
      <c r="D310" s="8"/>
      <c r="E310" s="8"/>
      <c r="F310" s="37"/>
      <c r="K310" s="8"/>
      <c r="L310" s="8"/>
    </row>
    <row r="311" spans="2:12">
      <c r="B311" s="1"/>
      <c r="C311" s="60"/>
      <c r="D311" s="8"/>
      <c r="E311" s="8"/>
      <c r="F311" s="37"/>
      <c r="K311" s="8"/>
      <c r="L311" s="8"/>
    </row>
    <row r="312" spans="2:12">
      <c r="B312" s="1"/>
      <c r="C312" s="60"/>
      <c r="D312" s="8"/>
      <c r="E312" s="8"/>
      <c r="F312" s="14"/>
      <c r="K312" s="8"/>
      <c r="L312" s="8"/>
    </row>
    <row r="313" spans="2:12">
      <c r="B313" s="1"/>
      <c r="C313" s="60"/>
      <c r="D313" s="8"/>
      <c r="E313" s="8"/>
      <c r="F313" s="14"/>
      <c r="K313" s="8"/>
      <c r="L313" s="8"/>
    </row>
    <row r="314" spans="2:12">
      <c r="B314" s="1"/>
      <c r="C314" s="60"/>
      <c r="D314" s="8"/>
      <c r="E314" s="8"/>
      <c r="F314" s="14"/>
      <c r="K314" s="8"/>
      <c r="L314" s="8"/>
    </row>
    <row r="315" spans="2:12">
      <c r="B315" s="1"/>
      <c r="C315" s="60"/>
      <c r="D315" s="8"/>
      <c r="E315" s="8"/>
      <c r="F315" s="14"/>
      <c r="K315" s="8"/>
      <c r="L315" s="8"/>
    </row>
    <row r="316" spans="2:12">
      <c r="B316" s="1"/>
      <c r="C316" s="60"/>
      <c r="D316" s="8"/>
      <c r="E316" s="8"/>
      <c r="F316" s="37"/>
      <c r="K316" s="8"/>
      <c r="L316" s="8"/>
    </row>
    <row r="317" spans="2:12">
      <c r="B317" s="1"/>
      <c r="C317" s="60"/>
      <c r="D317" s="8"/>
      <c r="E317" s="8"/>
      <c r="F317" s="37"/>
      <c r="K317" s="8"/>
      <c r="L317" s="8"/>
    </row>
    <row r="318" spans="2:12">
      <c r="B318" s="1"/>
      <c r="C318" s="60"/>
      <c r="D318" s="8"/>
      <c r="E318" s="8"/>
      <c r="F318" s="14"/>
      <c r="K318" s="8"/>
      <c r="L318" s="8"/>
    </row>
    <row r="319" spans="2:12">
      <c r="B319" s="1"/>
      <c r="C319" s="60"/>
      <c r="D319" s="8"/>
      <c r="E319" s="8"/>
      <c r="F319" s="14"/>
      <c r="K319" s="8"/>
      <c r="L319" s="8"/>
    </row>
    <row r="320" spans="2:12">
      <c r="B320" s="1"/>
      <c r="C320" s="60"/>
      <c r="D320" s="8"/>
      <c r="E320" s="8"/>
      <c r="F320" s="37"/>
      <c r="K320" s="8"/>
      <c r="L320" s="8"/>
    </row>
    <row r="321" spans="2:12">
      <c r="B321" s="1"/>
      <c r="C321" s="60"/>
      <c r="D321" s="8"/>
      <c r="E321" s="8"/>
      <c r="F321" s="37"/>
      <c r="K321" s="8"/>
      <c r="L321" s="8"/>
    </row>
    <row r="322" spans="2:12">
      <c r="B322" s="1"/>
      <c r="C322" s="60"/>
      <c r="D322" s="8"/>
      <c r="E322" s="8"/>
      <c r="F322" s="37"/>
      <c r="K322" s="8"/>
      <c r="L322" s="8"/>
    </row>
    <row r="323" spans="2:12">
      <c r="B323" s="1"/>
      <c r="C323" s="60"/>
      <c r="D323" s="8"/>
      <c r="E323" s="8"/>
      <c r="F323" s="14"/>
      <c r="K323" s="8"/>
      <c r="L323" s="8"/>
    </row>
    <row r="324" spans="2:12">
      <c r="B324" s="1"/>
      <c r="C324" s="60"/>
      <c r="D324" s="8"/>
      <c r="E324" s="8"/>
      <c r="F324" s="14"/>
      <c r="K324" s="8"/>
      <c r="L324" s="8"/>
    </row>
    <row r="325" spans="2:12">
      <c r="B325" s="1"/>
      <c r="C325" s="60"/>
      <c r="D325" s="8"/>
      <c r="E325" s="8"/>
      <c r="F325" s="37"/>
      <c r="K325" s="8"/>
      <c r="L325" s="8"/>
    </row>
    <row r="326" spans="2:12">
      <c r="B326" s="1"/>
      <c r="C326" s="60"/>
      <c r="D326" s="8"/>
      <c r="E326" s="8"/>
      <c r="F326" s="14"/>
      <c r="K326" s="8"/>
      <c r="L326" s="8"/>
    </row>
    <row r="327" spans="2:12">
      <c r="B327" s="1"/>
      <c r="C327" s="60"/>
      <c r="D327" s="8"/>
      <c r="E327" s="8"/>
      <c r="F327" s="37"/>
      <c r="K327" s="8"/>
      <c r="L327" s="8"/>
    </row>
    <row r="328" spans="2:12">
      <c r="B328" s="1"/>
      <c r="C328" s="60"/>
      <c r="D328" s="8"/>
      <c r="E328" s="8"/>
      <c r="F328" s="14"/>
      <c r="K328" s="8"/>
      <c r="L328" s="8"/>
    </row>
    <row r="329" spans="2:12">
      <c r="B329" s="1"/>
      <c r="C329" s="60"/>
      <c r="D329" s="8"/>
      <c r="E329" s="8"/>
      <c r="F329" s="14"/>
      <c r="K329" s="8"/>
      <c r="L329" s="8"/>
    </row>
    <row r="330" spans="2:12">
      <c r="B330" s="1"/>
      <c r="C330" s="60"/>
      <c r="D330" s="8"/>
      <c r="E330" s="8"/>
      <c r="F330" s="14"/>
      <c r="K330" s="8"/>
      <c r="L330" s="8"/>
    </row>
    <row r="331" spans="2:12">
      <c r="B331" s="1"/>
      <c r="C331" s="60"/>
      <c r="D331" s="8"/>
      <c r="E331" s="8"/>
      <c r="F331" s="14"/>
      <c r="K331" s="8"/>
      <c r="L331" s="8"/>
    </row>
    <row r="332" spans="2:12">
      <c r="B332" s="1"/>
      <c r="C332" s="60"/>
      <c r="D332" s="8"/>
      <c r="E332" s="8"/>
      <c r="F332" s="37"/>
      <c r="K332" s="8"/>
      <c r="L332" s="8"/>
    </row>
    <row r="333" spans="2:12">
      <c r="B333" s="1"/>
      <c r="C333" s="60"/>
      <c r="D333" s="8"/>
      <c r="E333" s="8"/>
      <c r="F333" s="14"/>
      <c r="K333" s="8"/>
      <c r="L333" s="8"/>
    </row>
    <row r="334" spans="2:12">
      <c r="B334" s="1"/>
      <c r="C334" s="60"/>
      <c r="D334" s="8"/>
      <c r="E334" s="8"/>
      <c r="F334" s="14"/>
      <c r="K334" s="8"/>
      <c r="L334" s="8"/>
    </row>
    <row r="335" spans="2:12">
      <c r="B335" s="1"/>
      <c r="C335" s="60"/>
      <c r="D335" s="8"/>
      <c r="E335" s="8"/>
      <c r="F335" s="14"/>
      <c r="K335" s="8"/>
      <c r="L335" s="8"/>
    </row>
    <row r="336" spans="2:12">
      <c r="B336" s="1"/>
      <c r="C336" s="60"/>
      <c r="D336" s="8"/>
      <c r="E336" s="8"/>
      <c r="F336" s="37"/>
      <c r="K336" s="8"/>
      <c r="L336" s="8"/>
    </row>
    <row r="337" spans="2:12">
      <c r="B337" s="1"/>
      <c r="C337" s="60"/>
      <c r="D337" s="8"/>
      <c r="E337" s="8"/>
      <c r="F337" s="37"/>
      <c r="K337" s="8"/>
      <c r="L337" s="8"/>
    </row>
    <row r="338" spans="2:12">
      <c r="B338" s="1"/>
      <c r="C338" s="60"/>
      <c r="D338" s="8"/>
      <c r="E338" s="8"/>
      <c r="F338" s="37"/>
      <c r="K338" s="8"/>
      <c r="L338" s="8"/>
    </row>
    <row r="339" spans="2:12">
      <c r="B339" s="1"/>
      <c r="C339" s="60"/>
      <c r="D339" s="8"/>
      <c r="E339" s="8"/>
      <c r="F339" s="14"/>
      <c r="K339" s="8"/>
      <c r="L339" s="8"/>
    </row>
    <row r="340" spans="2:12">
      <c r="B340" s="1"/>
      <c r="C340" s="60"/>
      <c r="D340" s="8"/>
      <c r="E340" s="8"/>
      <c r="F340" s="14"/>
      <c r="K340" s="8"/>
      <c r="L340" s="8"/>
    </row>
    <row r="341" spans="2:12">
      <c r="B341" s="1"/>
      <c r="C341" s="60"/>
      <c r="D341" s="8"/>
      <c r="E341" s="8"/>
      <c r="F341" s="37"/>
      <c r="K341" s="8"/>
      <c r="L341" s="8"/>
    </row>
    <row r="342" spans="2:12">
      <c r="B342" s="1"/>
      <c r="C342" s="60"/>
      <c r="D342" s="8"/>
      <c r="E342" s="8"/>
      <c r="F342" s="37"/>
      <c r="K342" s="8"/>
      <c r="L342" s="8"/>
    </row>
    <row r="343" spans="2:12">
      <c r="B343" s="1"/>
      <c r="C343" s="60"/>
      <c r="D343" s="8"/>
      <c r="E343" s="8"/>
      <c r="F343" s="37"/>
      <c r="K343" s="8"/>
      <c r="L343" s="8"/>
    </row>
    <row r="344" spans="2:12">
      <c r="B344" s="1"/>
      <c r="C344" s="60"/>
      <c r="D344" s="8"/>
      <c r="E344" s="8"/>
      <c r="F344" s="14"/>
      <c r="K344" s="8"/>
      <c r="L344" s="8"/>
    </row>
    <row r="345" spans="2:12">
      <c r="B345" s="1"/>
      <c r="C345" s="60"/>
      <c r="D345" s="8"/>
      <c r="E345" s="8"/>
      <c r="F345" s="37"/>
      <c r="K345" s="8"/>
      <c r="L345" s="8"/>
    </row>
    <row r="346" spans="2:12">
      <c r="B346" s="1"/>
      <c r="C346" s="60"/>
      <c r="D346" s="8"/>
      <c r="E346" s="8"/>
      <c r="F346" s="37"/>
      <c r="K346" s="8"/>
      <c r="L346" s="8"/>
    </row>
    <row r="347" spans="2:12">
      <c r="B347" s="1"/>
      <c r="C347" s="60"/>
      <c r="D347" s="8"/>
      <c r="E347" s="8"/>
      <c r="F347" s="14"/>
      <c r="K347" s="8"/>
      <c r="L347" s="8"/>
    </row>
    <row r="348" spans="2:12">
      <c r="B348" s="1"/>
      <c r="C348" s="60"/>
      <c r="D348" s="8"/>
      <c r="E348" s="8"/>
      <c r="F348" s="14"/>
      <c r="K348" s="8"/>
      <c r="L348" s="8"/>
    </row>
    <row r="349" spans="2:12">
      <c r="B349" s="1"/>
      <c r="C349" s="60"/>
      <c r="D349" s="8"/>
      <c r="E349" s="8"/>
      <c r="F349" s="14"/>
      <c r="K349" s="8"/>
      <c r="L349" s="8"/>
    </row>
    <row r="350" spans="2:12">
      <c r="B350" s="1"/>
      <c r="C350" s="60"/>
      <c r="D350" s="8"/>
      <c r="E350" s="8"/>
      <c r="F350" s="14"/>
      <c r="K350" s="8"/>
      <c r="L350" s="8"/>
    </row>
    <row r="351" spans="2:12">
      <c r="B351" s="1"/>
      <c r="C351" s="60"/>
      <c r="D351" s="8"/>
      <c r="E351" s="8"/>
      <c r="F351" s="37"/>
      <c r="K351" s="8"/>
      <c r="L351" s="8"/>
    </row>
    <row r="352" spans="2:12">
      <c r="B352" s="1"/>
      <c r="C352" s="60"/>
      <c r="D352" s="8"/>
      <c r="E352" s="8"/>
      <c r="F352" s="37"/>
      <c r="K352" s="8"/>
      <c r="L352" s="8"/>
    </row>
    <row r="353" spans="2:12">
      <c r="B353" s="1"/>
      <c r="C353" s="60"/>
      <c r="D353" s="8"/>
      <c r="E353" s="8"/>
      <c r="F353" s="14"/>
      <c r="K353" s="8"/>
      <c r="L353" s="8"/>
    </row>
    <row r="354" spans="2:12">
      <c r="B354" s="1"/>
      <c r="C354" s="60"/>
      <c r="D354" s="8"/>
      <c r="E354" s="8"/>
      <c r="F354" s="14"/>
      <c r="K354" s="8"/>
      <c r="L354" s="8"/>
    </row>
    <row r="355" spans="2:12">
      <c r="B355" s="1"/>
      <c r="C355" s="60"/>
      <c r="D355" s="8"/>
      <c r="E355" s="8"/>
      <c r="F355" s="14"/>
      <c r="K355" s="8"/>
      <c r="L355" s="8"/>
    </row>
    <row r="356" spans="2:12">
      <c r="B356" s="1"/>
      <c r="C356" s="60"/>
      <c r="D356" s="8"/>
      <c r="E356" s="8"/>
      <c r="F356" s="14"/>
      <c r="K356" s="8"/>
      <c r="L356" s="8"/>
    </row>
    <row r="357" spans="2:12">
      <c r="B357" s="1"/>
      <c r="C357" s="60"/>
      <c r="D357" s="8"/>
      <c r="E357" s="8"/>
      <c r="F357" s="14"/>
      <c r="K357" s="8"/>
      <c r="L357" s="8"/>
    </row>
    <row r="358" spans="2:12">
      <c r="B358" s="1"/>
      <c r="C358" s="60"/>
      <c r="D358" s="8"/>
      <c r="E358" s="8"/>
      <c r="F358" s="14"/>
      <c r="K358" s="8"/>
      <c r="L358" s="8"/>
    </row>
    <row r="359" spans="2:12">
      <c r="B359" s="1"/>
      <c r="C359" s="60"/>
      <c r="D359" s="8"/>
      <c r="E359" s="8"/>
      <c r="F359" s="37"/>
      <c r="K359" s="8"/>
      <c r="L359" s="8"/>
    </row>
    <row r="360" spans="2:12">
      <c r="B360" s="1"/>
      <c r="C360" s="60"/>
      <c r="D360" s="8"/>
      <c r="E360" s="8"/>
      <c r="F360" s="37"/>
      <c r="K360" s="8"/>
      <c r="L360" s="8"/>
    </row>
    <row r="361" spans="2:12">
      <c r="B361" s="1"/>
      <c r="C361" s="60"/>
      <c r="D361" s="8"/>
      <c r="E361" s="8"/>
      <c r="F361" s="14"/>
      <c r="K361" s="8"/>
      <c r="L361" s="8"/>
    </row>
    <row r="362" spans="2:12">
      <c r="B362" s="1"/>
      <c r="C362" s="60"/>
      <c r="D362" s="8"/>
      <c r="E362" s="8"/>
      <c r="F362" s="14"/>
      <c r="K362" s="8"/>
      <c r="L362" s="8"/>
    </row>
    <row r="363" spans="2:12">
      <c r="B363" s="1"/>
      <c r="C363" s="60"/>
      <c r="D363" s="8"/>
      <c r="E363" s="8"/>
      <c r="F363" s="14"/>
      <c r="K363" s="8"/>
      <c r="L363" s="8"/>
    </row>
    <row r="364" spans="2:12">
      <c r="B364" s="1"/>
      <c r="C364" s="60"/>
      <c r="D364" s="8"/>
      <c r="E364" s="8"/>
      <c r="F364" s="14"/>
      <c r="K364" s="8"/>
      <c r="L364" s="8"/>
    </row>
    <row r="365" spans="2:12">
      <c r="B365" s="1"/>
      <c r="C365" s="60"/>
      <c r="D365" s="8"/>
      <c r="E365" s="8"/>
      <c r="F365" s="14"/>
      <c r="K365" s="8"/>
      <c r="L365" s="8"/>
    </row>
    <row r="366" spans="2:12">
      <c r="B366" s="1"/>
      <c r="C366" s="60"/>
      <c r="D366" s="8"/>
      <c r="E366" s="8"/>
      <c r="F366" s="14"/>
      <c r="K366" s="8"/>
      <c r="L366" s="8"/>
    </row>
    <row r="367" spans="2:12">
      <c r="B367" s="1"/>
      <c r="C367" s="60"/>
      <c r="D367" s="8"/>
      <c r="E367" s="8"/>
      <c r="F367" s="14"/>
      <c r="K367" s="8"/>
      <c r="L367" s="8"/>
    </row>
    <row r="368" spans="2:12">
      <c r="B368" s="1"/>
      <c r="C368" s="60"/>
      <c r="D368" s="8"/>
      <c r="E368" s="8"/>
      <c r="F368" s="37"/>
      <c r="K368" s="8"/>
      <c r="L368" s="8"/>
    </row>
    <row r="369" spans="2:12">
      <c r="B369" s="1"/>
      <c r="C369" s="60"/>
      <c r="D369" s="8"/>
      <c r="E369" s="8"/>
      <c r="F369" s="14"/>
      <c r="K369" s="8"/>
      <c r="L369" s="8"/>
    </row>
    <row r="370" spans="2:12">
      <c r="B370" s="1"/>
      <c r="C370" s="60"/>
      <c r="D370" s="8"/>
      <c r="E370" s="8"/>
      <c r="F370" s="37"/>
      <c r="K370" s="8"/>
      <c r="L370" s="8"/>
    </row>
    <row r="371" spans="2:12">
      <c r="B371" s="1"/>
      <c r="C371" s="60"/>
      <c r="D371" s="8"/>
      <c r="E371" s="8"/>
      <c r="F371" s="14"/>
      <c r="K371" s="8"/>
      <c r="L371" s="8"/>
    </row>
    <row r="372" spans="2:12">
      <c r="B372" s="1"/>
      <c r="C372" s="60"/>
      <c r="D372" s="8"/>
      <c r="E372" s="8"/>
      <c r="F372" s="37"/>
      <c r="K372" s="8"/>
      <c r="L372" s="8"/>
    </row>
    <row r="373" spans="2:12">
      <c r="B373" s="1"/>
      <c r="C373" s="60"/>
      <c r="D373" s="8"/>
      <c r="E373" s="8"/>
      <c r="F373" s="37"/>
      <c r="K373" s="8"/>
      <c r="L373" s="8"/>
    </row>
    <row r="374" spans="2:12">
      <c r="B374" s="1"/>
      <c r="C374" s="60"/>
      <c r="D374" s="8"/>
      <c r="E374" s="8"/>
      <c r="F374" s="14"/>
      <c r="K374" s="8"/>
      <c r="L374" s="8"/>
    </row>
    <row r="375" spans="2:12">
      <c r="B375" s="1"/>
      <c r="C375" s="60"/>
      <c r="D375" s="8"/>
      <c r="E375" s="8"/>
      <c r="F375" s="14"/>
      <c r="K375" s="8"/>
      <c r="L375" s="8"/>
    </row>
    <row r="376" spans="2:12">
      <c r="B376" s="1"/>
      <c r="C376" s="60"/>
      <c r="D376" s="8"/>
      <c r="E376" s="8"/>
      <c r="F376" s="14"/>
      <c r="K376" s="8"/>
      <c r="L376" s="8"/>
    </row>
    <row r="377" spans="2:12">
      <c r="B377" s="1"/>
      <c r="C377" s="60"/>
      <c r="D377" s="8"/>
      <c r="E377" s="8"/>
      <c r="F377" s="14"/>
      <c r="K377" s="8"/>
      <c r="L377" s="8"/>
    </row>
    <row r="378" spans="2:12">
      <c r="B378" s="1"/>
      <c r="C378" s="60"/>
      <c r="D378" s="8"/>
      <c r="E378" s="8"/>
      <c r="F378" s="37"/>
      <c r="K378" s="8"/>
      <c r="L378" s="8"/>
    </row>
    <row r="379" spans="2:12">
      <c r="B379" s="1"/>
      <c r="C379" s="60"/>
      <c r="D379" s="8"/>
      <c r="E379" s="8"/>
      <c r="F379" s="14"/>
      <c r="K379" s="8"/>
      <c r="L379" s="8"/>
    </row>
    <row r="380" spans="2:12">
      <c r="B380" s="1"/>
      <c r="C380" s="60"/>
      <c r="D380" s="8"/>
      <c r="E380" s="8"/>
      <c r="F380" s="37"/>
      <c r="K380" s="8"/>
      <c r="L380" s="8"/>
    </row>
    <row r="381" spans="2:12">
      <c r="B381" s="1"/>
      <c r="C381" s="60"/>
      <c r="D381" s="8"/>
      <c r="E381" s="8"/>
      <c r="F381" s="14"/>
      <c r="K381" s="8"/>
      <c r="L381" s="8"/>
    </row>
    <row r="382" spans="2:12">
      <c r="B382" s="1"/>
      <c r="C382" s="60"/>
      <c r="D382" s="8"/>
      <c r="E382" s="8"/>
      <c r="F382" s="37"/>
      <c r="K382" s="8"/>
      <c r="L382" s="8"/>
    </row>
    <row r="383" spans="2:12">
      <c r="B383" s="1"/>
      <c r="C383" s="60"/>
      <c r="D383" s="8"/>
      <c r="E383" s="8"/>
      <c r="F383" s="14"/>
      <c r="K383" s="8"/>
      <c r="L383" s="8"/>
    </row>
    <row r="384" spans="2:12">
      <c r="B384" s="1"/>
      <c r="C384" s="60"/>
      <c r="D384" s="8"/>
      <c r="E384" s="8"/>
      <c r="F384" s="37"/>
      <c r="K384" s="8"/>
      <c r="L384" s="8"/>
    </row>
    <row r="385" spans="2:12">
      <c r="B385" s="1"/>
      <c r="C385" s="60"/>
      <c r="D385" s="8"/>
      <c r="E385" s="8"/>
      <c r="F385" s="37"/>
      <c r="K385" s="8"/>
      <c r="L385" s="8"/>
    </row>
    <row r="386" spans="2:12">
      <c r="B386" s="1"/>
      <c r="C386" s="60"/>
      <c r="D386" s="8"/>
      <c r="E386" s="8"/>
      <c r="F386" s="14"/>
      <c r="K386" s="8"/>
      <c r="L386" s="8"/>
    </row>
    <row r="387" spans="2:12">
      <c r="B387" s="1"/>
      <c r="C387" s="60"/>
      <c r="D387" s="8"/>
      <c r="E387" s="8"/>
      <c r="F387" s="14"/>
      <c r="K387" s="8"/>
      <c r="L387" s="8"/>
    </row>
    <row r="388" spans="2:12">
      <c r="B388" s="1"/>
      <c r="C388" s="60"/>
      <c r="D388" s="8"/>
      <c r="E388" s="8"/>
      <c r="F388" s="14"/>
      <c r="K388" s="8"/>
      <c r="L388" s="8"/>
    </row>
    <row r="389" spans="2:12">
      <c r="B389" s="1"/>
      <c r="C389" s="60"/>
      <c r="D389" s="8"/>
      <c r="E389" s="8"/>
      <c r="F389" s="14"/>
      <c r="K389" s="8"/>
      <c r="L389" s="8"/>
    </row>
    <row r="390" spans="2:12">
      <c r="B390" s="1"/>
      <c r="C390" s="60"/>
      <c r="D390" s="8"/>
      <c r="E390" s="8"/>
      <c r="F390" s="14"/>
      <c r="K390" s="8"/>
      <c r="L390" s="8"/>
    </row>
    <row r="391" spans="2:12">
      <c r="B391" s="1"/>
      <c r="C391" s="60"/>
      <c r="D391" s="8"/>
      <c r="E391" s="8"/>
      <c r="F391" s="37"/>
      <c r="K391" s="8"/>
      <c r="L391" s="8"/>
    </row>
    <row r="392" spans="2:12">
      <c r="B392" s="1"/>
      <c r="C392" s="60"/>
      <c r="D392" s="8"/>
      <c r="E392" s="8"/>
      <c r="F392" s="14"/>
      <c r="K392" s="8"/>
      <c r="L392" s="8"/>
    </row>
    <row r="393" spans="2:12">
      <c r="B393" s="1"/>
      <c r="C393" s="60"/>
      <c r="D393" s="8"/>
      <c r="E393" s="8"/>
      <c r="F393" s="14"/>
      <c r="K393" s="8"/>
      <c r="L393" s="8"/>
    </row>
    <row r="394" spans="2:12">
      <c r="B394" s="1"/>
      <c r="C394" s="60"/>
      <c r="D394" s="8"/>
      <c r="E394" s="8"/>
      <c r="F394" s="14"/>
      <c r="K394" s="8"/>
      <c r="L394" s="8"/>
    </row>
    <row r="395" spans="2:12">
      <c r="B395" s="1"/>
      <c r="C395" s="60"/>
      <c r="D395" s="8"/>
      <c r="E395" s="8"/>
      <c r="F395" s="14"/>
      <c r="K395" s="8"/>
      <c r="L395" s="8"/>
    </row>
    <row r="396" spans="2:12">
      <c r="B396" s="1"/>
      <c r="C396" s="60"/>
      <c r="D396" s="8"/>
      <c r="E396" s="8"/>
      <c r="F396" s="37"/>
      <c r="K396" s="8"/>
      <c r="L396" s="8"/>
    </row>
    <row r="397" spans="2:12">
      <c r="B397" s="1"/>
      <c r="C397" s="60"/>
      <c r="D397" s="8"/>
      <c r="E397" s="8"/>
      <c r="F397" s="14"/>
      <c r="K397" s="8"/>
      <c r="L397" s="8"/>
    </row>
    <row r="398" spans="2:12">
      <c r="B398" s="1"/>
      <c r="C398" s="60"/>
      <c r="D398" s="8"/>
      <c r="E398" s="8"/>
      <c r="F398" s="37"/>
      <c r="K398" s="8"/>
      <c r="L398" s="8"/>
    </row>
    <row r="399" spans="2:12">
      <c r="B399" s="1"/>
      <c r="C399" s="60"/>
      <c r="D399" s="8"/>
      <c r="E399" s="8"/>
      <c r="F399" s="14"/>
      <c r="K399" s="8"/>
      <c r="L399" s="8"/>
    </row>
    <row r="400" spans="2:12">
      <c r="B400" s="1"/>
      <c r="C400" s="60"/>
      <c r="D400" s="8"/>
      <c r="E400" s="8"/>
      <c r="F400" s="14"/>
      <c r="K400" s="8"/>
      <c r="L400" s="8"/>
    </row>
    <row r="401" spans="2:12">
      <c r="B401" s="1"/>
      <c r="C401" s="60"/>
      <c r="D401" s="8"/>
      <c r="E401" s="8"/>
      <c r="F401" s="37"/>
      <c r="K401" s="8"/>
      <c r="L401" s="8"/>
    </row>
    <row r="402" spans="2:12">
      <c r="B402" s="1"/>
      <c r="C402" s="60"/>
      <c r="D402" s="8"/>
      <c r="E402" s="8"/>
      <c r="F402" s="14"/>
      <c r="K402" s="8"/>
      <c r="L402" s="8"/>
    </row>
    <row r="403" spans="2:12">
      <c r="B403" s="1"/>
      <c r="C403" s="60"/>
      <c r="D403" s="8"/>
      <c r="E403" s="8"/>
      <c r="F403" s="14"/>
      <c r="K403" s="8"/>
      <c r="L403" s="8"/>
    </row>
    <row r="404" spans="2:12">
      <c r="B404" s="1"/>
      <c r="C404" s="60"/>
      <c r="D404" s="8"/>
      <c r="E404" s="8"/>
      <c r="F404" s="14"/>
      <c r="K404" s="8"/>
      <c r="L404" s="8"/>
    </row>
    <row r="405" spans="2:12">
      <c r="B405" s="1"/>
      <c r="C405" s="60"/>
      <c r="D405" s="8"/>
      <c r="E405" s="8"/>
      <c r="F405" s="14"/>
      <c r="K405" s="8"/>
      <c r="L405" s="8"/>
    </row>
    <row r="406" spans="2:12">
      <c r="B406" s="1"/>
      <c r="C406" s="60"/>
      <c r="D406" s="8"/>
      <c r="E406" s="8"/>
      <c r="F406" s="14"/>
      <c r="K406" s="8"/>
      <c r="L406" s="8"/>
    </row>
    <row r="407" spans="2:12">
      <c r="B407" s="1"/>
      <c r="C407" s="60"/>
      <c r="D407" s="8"/>
      <c r="E407" s="8"/>
      <c r="F407" s="14"/>
      <c r="K407" s="8"/>
      <c r="L407" s="8"/>
    </row>
    <row r="408" spans="2:12">
      <c r="B408" s="1"/>
      <c r="C408" s="60"/>
      <c r="D408" s="8"/>
      <c r="E408" s="8"/>
      <c r="F408" s="14"/>
      <c r="K408" s="8"/>
      <c r="L408" s="8"/>
    </row>
    <row r="409" spans="2:12">
      <c r="B409" s="1"/>
      <c r="C409" s="60"/>
      <c r="D409" s="8"/>
      <c r="E409" s="8"/>
      <c r="F409" s="14"/>
      <c r="K409" s="8"/>
      <c r="L409" s="8"/>
    </row>
    <row r="410" spans="2:12">
      <c r="B410" s="1"/>
      <c r="C410" s="60"/>
      <c r="D410" s="8"/>
      <c r="E410" s="8"/>
      <c r="F410" s="14"/>
      <c r="K410" s="8"/>
      <c r="L410" s="8"/>
    </row>
    <row r="411" spans="2:12">
      <c r="B411" s="1"/>
      <c r="C411" s="60"/>
      <c r="D411" s="8"/>
      <c r="E411" s="8"/>
      <c r="F411" s="14"/>
      <c r="K411" s="8"/>
      <c r="L411" s="8"/>
    </row>
    <row r="412" spans="2:12">
      <c r="B412" s="1"/>
      <c r="C412" s="60"/>
      <c r="D412" s="8"/>
      <c r="E412" s="8"/>
      <c r="F412" s="14"/>
      <c r="K412" s="8"/>
      <c r="L412" s="8"/>
    </row>
    <row r="413" spans="2:12">
      <c r="B413" s="1"/>
      <c r="C413" s="60"/>
      <c r="D413" s="8"/>
      <c r="E413" s="8"/>
      <c r="F413" s="37"/>
      <c r="K413" s="8"/>
      <c r="L413" s="8"/>
    </row>
    <row r="414" spans="2:12">
      <c r="B414" s="1"/>
      <c r="C414" s="60"/>
      <c r="D414" s="8"/>
      <c r="E414" s="8"/>
      <c r="F414" s="37"/>
      <c r="K414" s="8"/>
      <c r="L414" s="8"/>
    </row>
    <row r="415" spans="2:12">
      <c r="B415" s="1"/>
      <c r="C415" s="60"/>
      <c r="D415" s="8"/>
      <c r="E415" s="8"/>
      <c r="F415" s="37"/>
      <c r="K415" s="8"/>
      <c r="L415" s="8"/>
    </row>
    <row r="416" spans="2:12">
      <c r="B416" s="1"/>
      <c r="C416" s="60"/>
      <c r="D416" s="8"/>
      <c r="E416" s="8"/>
      <c r="F416" s="14"/>
      <c r="K416" s="8"/>
      <c r="L416" s="8"/>
    </row>
    <row r="417" spans="2:12">
      <c r="B417" s="1"/>
      <c r="C417" s="60"/>
      <c r="D417" s="8"/>
      <c r="E417" s="8"/>
      <c r="F417" s="14"/>
      <c r="K417" s="8"/>
      <c r="L417" s="8"/>
    </row>
    <row r="418" spans="2:12">
      <c r="B418" s="1"/>
      <c r="C418" s="60"/>
      <c r="D418" s="8"/>
      <c r="E418" s="8"/>
      <c r="F418" s="14"/>
      <c r="K418" s="8"/>
      <c r="L418" s="8"/>
    </row>
    <row r="419" spans="2:12">
      <c r="B419" s="1"/>
      <c r="C419" s="60"/>
      <c r="D419" s="8"/>
      <c r="E419" s="8"/>
      <c r="F419" s="14"/>
      <c r="K419" s="8"/>
      <c r="L419" s="8"/>
    </row>
    <row r="420" spans="2:12">
      <c r="B420" s="1"/>
      <c r="C420" s="60"/>
      <c r="D420" s="8"/>
      <c r="E420" s="8"/>
      <c r="F420" s="14"/>
      <c r="K420" s="8"/>
      <c r="L420" s="8"/>
    </row>
    <row r="421" spans="2:12">
      <c r="B421" s="1"/>
      <c r="C421" s="60"/>
      <c r="D421" s="8"/>
      <c r="E421" s="8"/>
      <c r="F421" s="37"/>
      <c r="K421" s="8"/>
      <c r="L421" s="8"/>
    </row>
    <row r="422" spans="2:12">
      <c r="B422" s="1"/>
      <c r="C422" s="60"/>
      <c r="D422" s="8"/>
      <c r="E422" s="8"/>
      <c r="F422" s="14"/>
      <c r="K422" s="8"/>
      <c r="L422" s="8"/>
    </row>
    <row r="423" spans="2:12">
      <c r="B423" s="1"/>
      <c r="C423" s="60"/>
      <c r="D423" s="8"/>
      <c r="E423" s="8"/>
      <c r="F423" s="14"/>
      <c r="K423" s="8"/>
      <c r="L423" s="8"/>
    </row>
    <row r="424" spans="2:12">
      <c r="B424" s="1"/>
      <c r="C424" s="60"/>
      <c r="D424" s="8"/>
      <c r="E424" s="8"/>
      <c r="F424" s="37"/>
      <c r="K424" s="8"/>
      <c r="L424" s="8"/>
    </row>
    <row r="425" spans="2:12">
      <c r="B425" s="1"/>
      <c r="C425" s="60"/>
      <c r="D425" s="8"/>
      <c r="E425" s="8"/>
      <c r="F425" s="14"/>
      <c r="K425" s="8"/>
      <c r="L425" s="8"/>
    </row>
    <row r="426" spans="2:12">
      <c r="B426" s="1"/>
      <c r="C426" s="60"/>
      <c r="D426" s="8"/>
      <c r="E426" s="8"/>
      <c r="F426" s="14"/>
      <c r="K426" s="8"/>
      <c r="L426" s="8"/>
    </row>
    <row r="427" spans="2:12">
      <c r="B427" s="1"/>
      <c r="C427" s="60"/>
      <c r="D427" s="8"/>
      <c r="E427" s="8"/>
      <c r="F427" s="14"/>
      <c r="K427" s="8"/>
      <c r="L427" s="8"/>
    </row>
    <row r="428" spans="2:12">
      <c r="B428" s="1"/>
      <c r="C428" s="60"/>
      <c r="D428" s="8"/>
      <c r="E428" s="8"/>
      <c r="F428" s="14"/>
      <c r="K428" s="8"/>
      <c r="L428" s="8"/>
    </row>
    <row r="429" spans="2:12">
      <c r="B429" s="1"/>
      <c r="C429" s="60"/>
      <c r="D429" s="8"/>
      <c r="E429" s="8"/>
      <c r="F429" s="14"/>
      <c r="K429" s="8"/>
      <c r="L429" s="8"/>
    </row>
    <row r="430" spans="2:12">
      <c r="B430" s="1"/>
      <c r="C430" s="60"/>
      <c r="D430" s="8"/>
      <c r="E430" s="8"/>
      <c r="F430" s="14"/>
      <c r="K430" s="8"/>
      <c r="L430" s="8"/>
    </row>
    <row r="431" spans="2:12">
      <c r="B431" s="1"/>
      <c r="C431" s="60"/>
      <c r="D431" s="8"/>
      <c r="E431" s="8"/>
      <c r="F431" s="14"/>
    </row>
    <row r="432" spans="2:12">
      <c r="B432" s="1"/>
      <c r="C432" s="60"/>
      <c r="D432" s="8"/>
      <c r="E432" s="8"/>
      <c r="F432" s="37"/>
    </row>
    <row r="433" spans="2:6">
      <c r="B433" s="1"/>
      <c r="C433" s="60"/>
      <c r="D433" s="8"/>
      <c r="E433" s="8"/>
      <c r="F433" s="37"/>
    </row>
    <row r="434" spans="2:6">
      <c r="B434" s="1"/>
      <c r="C434" s="60"/>
      <c r="D434" s="8"/>
      <c r="E434" s="8"/>
      <c r="F434" s="14"/>
    </row>
    <row r="435" spans="2:6">
      <c r="B435" s="1"/>
      <c r="C435" s="60"/>
      <c r="D435" s="8"/>
      <c r="E435" s="8"/>
      <c r="F435" s="14"/>
    </row>
    <row r="436" spans="2:6">
      <c r="B436" s="1"/>
      <c r="C436" s="60"/>
      <c r="D436" s="8"/>
      <c r="E436" s="8"/>
      <c r="F436" s="14"/>
    </row>
    <row r="437" spans="2:6">
      <c r="B437" s="1"/>
      <c r="C437" s="60"/>
      <c r="D437" s="8"/>
      <c r="E437" s="8"/>
      <c r="F437" s="14"/>
    </row>
    <row r="438" spans="2:6">
      <c r="B438" s="1"/>
      <c r="C438" s="60"/>
      <c r="D438" s="8"/>
      <c r="E438" s="8"/>
      <c r="F438" s="14"/>
    </row>
    <row r="439" spans="2:6">
      <c r="B439" s="1"/>
      <c r="C439" s="60"/>
      <c r="D439" s="8"/>
      <c r="E439" s="8"/>
      <c r="F439" s="14"/>
    </row>
    <row r="440" spans="2:6">
      <c r="B440" s="1"/>
      <c r="C440" s="60"/>
      <c r="D440" s="8"/>
      <c r="E440" s="8"/>
      <c r="F440" s="14"/>
    </row>
    <row r="441" spans="2:6">
      <c r="B441" s="1"/>
      <c r="C441" s="60"/>
      <c r="D441" s="8"/>
      <c r="E441" s="8"/>
      <c r="F441" s="37"/>
    </row>
    <row r="442" spans="2:6">
      <c r="B442" s="1"/>
      <c r="C442" s="60"/>
      <c r="D442" s="8"/>
      <c r="E442" s="8"/>
      <c r="F442" s="14"/>
    </row>
    <row r="443" spans="2:6">
      <c r="B443" s="1"/>
      <c r="C443" s="60"/>
      <c r="D443" s="8"/>
      <c r="E443" s="8"/>
      <c r="F443" s="37"/>
    </row>
    <row r="444" spans="2:6">
      <c r="B444" s="1"/>
      <c r="C444" s="60"/>
      <c r="D444" s="8"/>
      <c r="E444" s="8"/>
      <c r="F444" s="14"/>
    </row>
    <row r="445" spans="2:6">
      <c r="B445" s="1"/>
      <c r="C445" s="60"/>
      <c r="D445" s="8"/>
      <c r="E445" s="8"/>
      <c r="F445" s="37"/>
    </row>
    <row r="446" spans="2:6">
      <c r="B446" s="1"/>
      <c r="C446" s="60"/>
      <c r="D446" s="8"/>
      <c r="E446" s="8"/>
      <c r="F446" s="14"/>
    </row>
    <row r="447" spans="2:6">
      <c r="B447" s="1"/>
      <c r="C447" s="60"/>
      <c r="D447" s="8"/>
      <c r="E447" s="8"/>
      <c r="F447" s="14"/>
    </row>
    <row r="448" spans="2:6">
      <c r="B448" s="1"/>
      <c r="C448" s="60"/>
      <c r="D448" s="8"/>
      <c r="E448" s="8"/>
      <c r="F448" s="14"/>
    </row>
    <row r="449" spans="2:6">
      <c r="B449" s="1"/>
      <c r="C449" s="60"/>
      <c r="D449" s="8"/>
      <c r="E449" s="8"/>
      <c r="F449" s="37"/>
    </row>
    <row r="450" spans="2:6">
      <c r="B450" s="1"/>
      <c r="C450" s="60"/>
      <c r="D450" s="8"/>
      <c r="E450" s="8"/>
      <c r="F450" s="14"/>
    </row>
    <row r="451" spans="2:6">
      <c r="B451" s="1"/>
      <c r="C451" s="60"/>
      <c r="D451" s="8"/>
      <c r="E451" s="8"/>
      <c r="F451" s="37"/>
    </row>
    <row r="452" spans="2:6">
      <c r="B452" s="1"/>
      <c r="C452" s="60"/>
      <c r="D452" s="8"/>
      <c r="E452" s="8"/>
      <c r="F452" s="14"/>
    </row>
    <row r="453" spans="2:6">
      <c r="B453" s="1"/>
      <c r="C453" s="60"/>
      <c r="D453" s="8"/>
      <c r="E453" s="8"/>
      <c r="F453" s="14"/>
    </row>
    <row r="454" spans="2:6">
      <c r="B454" s="1"/>
      <c r="C454" s="60"/>
      <c r="D454" s="8"/>
      <c r="E454" s="8"/>
      <c r="F454" s="14"/>
    </row>
    <row r="455" spans="2:6">
      <c r="B455" s="1"/>
      <c r="C455" s="60"/>
      <c r="D455" s="8"/>
      <c r="E455" s="8"/>
      <c r="F455" s="37"/>
    </row>
    <row r="456" spans="2:6">
      <c r="B456" s="1"/>
      <c r="C456" s="60"/>
      <c r="D456" s="8"/>
      <c r="E456" s="8"/>
      <c r="F456" s="37"/>
    </row>
    <row r="457" spans="2:6">
      <c r="B457" s="1"/>
      <c r="C457" s="60"/>
      <c r="D457" s="8"/>
      <c r="E457" s="8"/>
      <c r="F457" s="37"/>
    </row>
    <row r="458" spans="2:6">
      <c r="B458" s="1"/>
      <c r="C458" s="60"/>
      <c r="D458" s="8"/>
      <c r="E458" s="8"/>
      <c r="F458" s="37"/>
    </row>
    <row r="459" spans="2:6">
      <c r="B459" s="1"/>
      <c r="C459" s="60"/>
      <c r="D459" s="8"/>
      <c r="E459" s="8"/>
      <c r="F459" s="37"/>
    </row>
    <row r="460" spans="2:6">
      <c r="B460" s="1"/>
      <c r="C460" s="60"/>
      <c r="D460" s="8"/>
      <c r="E460" s="8"/>
      <c r="F460" s="14"/>
    </row>
    <row r="461" spans="2:6">
      <c r="B461" s="1"/>
      <c r="C461" s="60"/>
      <c r="D461" s="8"/>
      <c r="E461" s="8"/>
      <c r="F461" s="14"/>
    </row>
    <row r="462" spans="2:6">
      <c r="B462" s="1"/>
      <c r="C462" s="60"/>
      <c r="D462" s="8"/>
      <c r="E462" s="8"/>
      <c r="F462" s="14"/>
    </row>
    <row r="463" spans="2:6">
      <c r="B463" s="1"/>
      <c r="C463" s="60"/>
      <c r="D463" s="8"/>
      <c r="E463" s="8"/>
      <c r="F463" s="14"/>
    </row>
    <row r="464" spans="2:6">
      <c r="B464" s="1"/>
      <c r="C464" s="60"/>
      <c r="D464" s="8"/>
      <c r="E464" s="8"/>
      <c r="F464" s="37"/>
    </row>
    <row r="465" spans="2:6">
      <c r="B465" s="1"/>
      <c r="C465" s="60"/>
      <c r="D465" s="8"/>
      <c r="E465" s="8"/>
      <c r="F465" s="14"/>
    </row>
    <row r="466" spans="2:6">
      <c r="B466" s="1"/>
      <c r="C466" s="60"/>
      <c r="D466" s="8"/>
      <c r="E466" s="8"/>
      <c r="F466" s="37"/>
    </row>
    <row r="467" spans="2:6">
      <c r="B467" s="1"/>
      <c r="C467" s="60"/>
      <c r="D467" s="8"/>
      <c r="E467" s="8"/>
      <c r="F467" s="37"/>
    </row>
    <row r="468" spans="2:6">
      <c r="B468" s="1"/>
      <c r="C468" s="60"/>
      <c r="D468" s="8"/>
      <c r="E468" s="8"/>
      <c r="F468" s="37"/>
    </row>
    <row r="469" spans="2:6">
      <c r="B469" s="1"/>
      <c r="C469" s="60"/>
      <c r="D469" s="8"/>
      <c r="E469" s="8"/>
      <c r="F469" s="14"/>
    </row>
    <row r="470" spans="2:6">
      <c r="B470" s="1"/>
      <c r="C470" s="60"/>
      <c r="D470" s="8"/>
      <c r="E470" s="8"/>
      <c r="F470" s="37"/>
    </row>
    <row r="471" spans="2:6">
      <c r="B471" s="1"/>
      <c r="C471" s="60"/>
      <c r="D471" s="8"/>
      <c r="E471" s="8"/>
      <c r="F471" s="14"/>
    </row>
    <row r="472" spans="2:6">
      <c r="B472" s="1"/>
      <c r="C472" s="60"/>
      <c r="D472" s="8"/>
      <c r="E472" s="8"/>
      <c r="F472" s="14"/>
    </row>
    <row r="473" spans="2:6">
      <c r="B473" s="1"/>
      <c r="C473" s="60"/>
      <c r="D473" s="8"/>
      <c r="E473" s="8"/>
      <c r="F473" s="37"/>
    </row>
    <row r="474" spans="2:6">
      <c r="B474" s="1"/>
      <c r="C474" s="60"/>
      <c r="D474" s="8"/>
      <c r="E474" s="8"/>
      <c r="F474" s="14"/>
    </row>
    <row r="475" spans="2:6">
      <c r="B475" s="1"/>
      <c r="C475" s="60"/>
      <c r="D475" s="8"/>
      <c r="E475" s="8"/>
      <c r="F475" s="14"/>
    </row>
    <row r="476" spans="2:6">
      <c r="B476" s="1"/>
      <c r="C476" s="60"/>
      <c r="D476" s="8"/>
      <c r="E476" s="8"/>
      <c r="F476" s="14"/>
    </row>
    <row r="477" spans="2:6">
      <c r="B477" s="1"/>
      <c r="C477" s="60"/>
      <c r="D477" s="8"/>
      <c r="E477" s="8"/>
      <c r="F477" s="14"/>
    </row>
    <row r="478" spans="2:6">
      <c r="B478" s="1"/>
      <c r="C478" s="60"/>
      <c r="D478" s="8"/>
      <c r="E478" s="8"/>
      <c r="F478" s="14"/>
    </row>
    <row r="479" spans="2:6">
      <c r="B479" s="1"/>
      <c r="C479" s="60"/>
      <c r="D479" s="8"/>
      <c r="E479" s="8"/>
      <c r="F479" s="14"/>
    </row>
    <row r="480" spans="2:6">
      <c r="B480" s="1"/>
      <c r="C480" s="60"/>
      <c r="D480" s="8"/>
      <c r="E480" s="8"/>
      <c r="F480" s="14"/>
    </row>
    <row r="481" spans="2:6">
      <c r="B481" s="1"/>
      <c r="C481" s="60"/>
      <c r="D481" s="8"/>
      <c r="E481" s="8"/>
      <c r="F481" s="37"/>
    </row>
    <row r="482" spans="2:6">
      <c r="B482" s="1"/>
      <c r="C482" s="60"/>
      <c r="D482" s="8"/>
      <c r="E482" s="8"/>
      <c r="F482" s="37"/>
    </row>
    <row r="483" spans="2:6">
      <c r="B483" s="1"/>
      <c r="C483" s="60"/>
      <c r="D483" s="8"/>
      <c r="E483" s="8"/>
      <c r="F483" s="14"/>
    </row>
    <row r="484" spans="2:6">
      <c r="B484" s="1"/>
      <c r="C484" s="60"/>
      <c r="D484" s="8"/>
      <c r="E484" s="8"/>
      <c r="F484" s="14"/>
    </row>
    <row r="485" spans="2:6">
      <c r="B485" s="1"/>
      <c r="C485" s="60"/>
      <c r="D485" s="8"/>
      <c r="E485" s="8"/>
      <c r="F485" s="37"/>
    </row>
    <row r="486" spans="2:6">
      <c r="B486" s="1"/>
      <c r="C486" s="60"/>
      <c r="D486" s="8"/>
      <c r="E486" s="8"/>
      <c r="F486" s="14"/>
    </row>
    <row r="487" spans="2:6">
      <c r="B487" s="1"/>
      <c r="C487" s="60"/>
      <c r="D487" s="8"/>
      <c r="E487" s="8"/>
      <c r="F487" s="14"/>
    </row>
    <row r="488" spans="2:6">
      <c r="B488" s="1"/>
      <c r="C488" s="60"/>
      <c r="D488" s="8"/>
      <c r="E488" s="8"/>
      <c r="F488" s="14"/>
    </row>
    <row r="489" spans="2:6">
      <c r="B489" s="1"/>
      <c r="C489" s="60"/>
      <c r="D489" s="8"/>
      <c r="E489" s="8"/>
      <c r="F489" s="37"/>
    </row>
    <row r="490" spans="2:6">
      <c r="B490" s="1"/>
      <c r="C490" s="60"/>
      <c r="D490" s="8"/>
      <c r="E490" s="8"/>
      <c r="F490" s="14"/>
    </row>
    <row r="491" spans="2:6">
      <c r="B491" s="1"/>
      <c r="C491" s="60"/>
      <c r="D491" s="8"/>
      <c r="E491" s="8"/>
      <c r="F491" s="37"/>
    </row>
    <row r="492" spans="2:6">
      <c r="B492" s="1"/>
      <c r="C492" s="60"/>
      <c r="D492" s="8"/>
      <c r="E492" s="8"/>
      <c r="F492" s="14"/>
    </row>
    <row r="493" spans="2:6">
      <c r="B493" s="1"/>
      <c r="C493" s="60"/>
      <c r="D493" s="8"/>
      <c r="E493" s="8"/>
      <c r="F493" s="37"/>
    </row>
    <row r="494" spans="2:6">
      <c r="B494" s="1"/>
      <c r="C494" s="60"/>
      <c r="D494" s="8"/>
      <c r="E494" s="8"/>
      <c r="F494" s="14"/>
    </row>
    <row r="495" spans="2:6">
      <c r="B495" s="1"/>
      <c r="C495" s="60"/>
      <c r="D495" s="8"/>
      <c r="E495" s="8"/>
      <c r="F495" s="14"/>
    </row>
    <row r="496" spans="2:6">
      <c r="B496" s="1"/>
      <c r="C496" s="60"/>
      <c r="D496" s="8"/>
      <c r="E496" s="8"/>
      <c r="F496" s="37"/>
    </row>
    <row r="497" spans="2:6">
      <c r="B497" s="1"/>
      <c r="C497" s="60"/>
      <c r="D497" s="8"/>
      <c r="E497" s="8"/>
      <c r="F497" s="14"/>
    </row>
    <row r="498" spans="2:6">
      <c r="B498" s="1"/>
      <c r="C498" s="60"/>
      <c r="D498" s="8"/>
      <c r="E498" s="8"/>
      <c r="F498" s="14"/>
    </row>
    <row r="499" spans="2:6">
      <c r="B499" s="1"/>
      <c r="C499" s="60"/>
      <c r="D499" s="8"/>
      <c r="E499" s="8"/>
      <c r="F499" s="14"/>
    </row>
    <row r="500" spans="2:6">
      <c r="B500" s="1"/>
      <c r="C500" s="60"/>
      <c r="D500" s="8"/>
      <c r="E500" s="8"/>
      <c r="F500" s="37"/>
    </row>
    <row r="501" spans="2:6">
      <c r="B501" s="1"/>
      <c r="C501" s="60"/>
      <c r="D501" s="8"/>
      <c r="E501" s="8"/>
      <c r="F501" s="14"/>
    </row>
    <row r="502" spans="2:6">
      <c r="B502" s="1"/>
      <c r="C502" s="60"/>
      <c r="D502" s="8"/>
      <c r="E502" s="8"/>
      <c r="F502" s="37"/>
    </row>
    <row r="503" spans="2:6">
      <c r="B503" s="1"/>
      <c r="C503" s="60"/>
      <c r="D503" s="8"/>
      <c r="E503" s="8"/>
      <c r="F503" s="14"/>
    </row>
    <row r="504" spans="2:6">
      <c r="B504" s="1"/>
      <c r="C504" s="60"/>
      <c r="D504" s="8"/>
      <c r="E504" s="8"/>
      <c r="F504" s="37"/>
    </row>
    <row r="505" spans="2:6">
      <c r="B505" s="1"/>
      <c r="C505" s="60"/>
      <c r="D505" s="8"/>
      <c r="E505" s="8"/>
      <c r="F505" s="14"/>
    </row>
    <row r="506" spans="2:6">
      <c r="B506" s="1"/>
      <c r="C506" s="60"/>
      <c r="D506" s="8"/>
      <c r="E506" s="8"/>
      <c r="F506" s="37"/>
    </row>
    <row r="507" spans="2:6">
      <c r="B507" s="1"/>
      <c r="C507" s="60"/>
      <c r="D507" s="8"/>
      <c r="E507" s="8"/>
      <c r="F507" s="14"/>
    </row>
    <row r="508" spans="2:6">
      <c r="B508" s="1"/>
      <c r="C508" s="60"/>
      <c r="D508" s="8"/>
      <c r="E508" s="8"/>
      <c r="F508" s="14"/>
    </row>
    <row r="509" spans="2:6">
      <c r="B509" s="1"/>
      <c r="C509" s="60"/>
      <c r="D509" s="8"/>
      <c r="E509" s="8"/>
      <c r="F509" s="14"/>
    </row>
    <row r="510" spans="2:6">
      <c r="B510" s="1"/>
      <c r="C510" s="60"/>
      <c r="D510" s="8"/>
      <c r="E510" s="8"/>
      <c r="F510" s="37"/>
    </row>
    <row r="511" spans="2:6">
      <c r="B511" s="1"/>
      <c r="C511" s="60"/>
      <c r="D511" s="8"/>
      <c r="E511" s="8"/>
      <c r="F511" s="14"/>
    </row>
    <row r="512" spans="2:6">
      <c r="B512" s="1"/>
      <c r="C512" s="60"/>
      <c r="D512" s="8"/>
      <c r="E512" s="8"/>
      <c r="F512" s="37"/>
    </row>
    <row r="513" spans="2:6">
      <c r="B513" s="1"/>
      <c r="C513" s="60"/>
      <c r="D513" s="8"/>
      <c r="E513" s="8"/>
      <c r="F513" s="14"/>
    </row>
    <row r="514" spans="2:6">
      <c r="B514" s="1"/>
      <c r="C514" s="60"/>
      <c r="D514" s="8"/>
      <c r="E514" s="8"/>
      <c r="F514" s="37"/>
    </row>
    <row r="515" spans="2:6">
      <c r="B515" s="1"/>
      <c r="C515" s="60"/>
      <c r="D515" s="8"/>
      <c r="E515" s="8"/>
      <c r="F515" s="14"/>
    </row>
    <row r="516" spans="2:6">
      <c r="B516" s="1"/>
      <c r="C516" s="60"/>
      <c r="D516" s="8"/>
      <c r="E516" s="8"/>
      <c r="F516" s="37"/>
    </row>
    <row r="517" spans="2:6">
      <c r="B517" s="1"/>
      <c r="C517" s="60"/>
      <c r="D517" s="8"/>
      <c r="E517" s="8"/>
      <c r="F517" s="14"/>
    </row>
    <row r="518" spans="2:6">
      <c r="B518" s="1"/>
      <c r="C518" s="60"/>
      <c r="D518" s="8"/>
      <c r="E518" s="8"/>
      <c r="F518" s="37"/>
    </row>
    <row r="519" spans="2:6">
      <c r="B519" s="1"/>
      <c r="C519" s="60"/>
      <c r="D519" s="8"/>
      <c r="E519" s="8"/>
      <c r="F519" s="37"/>
    </row>
    <row r="520" spans="2:6">
      <c r="B520" s="1"/>
      <c r="C520" s="60"/>
      <c r="D520" s="8"/>
      <c r="E520" s="8"/>
      <c r="F520" s="14"/>
    </row>
    <row r="521" spans="2:6">
      <c r="B521" s="1"/>
      <c r="C521" s="60"/>
      <c r="D521" s="8"/>
      <c r="E521" s="8"/>
      <c r="F521" s="37"/>
    </row>
    <row r="522" spans="2:6">
      <c r="B522" s="1"/>
      <c r="C522" s="60"/>
      <c r="D522" s="8"/>
      <c r="E522" s="8"/>
      <c r="F522" s="37"/>
    </row>
    <row r="523" spans="2:6">
      <c r="B523" s="1"/>
      <c r="C523" s="60"/>
      <c r="D523" s="8"/>
      <c r="E523" s="8"/>
      <c r="F523" s="37"/>
    </row>
    <row r="524" spans="2:6">
      <c r="B524" s="1"/>
      <c r="C524" s="60"/>
      <c r="D524" s="8"/>
      <c r="E524" s="8"/>
      <c r="F524" s="37"/>
    </row>
    <row r="525" spans="2:6">
      <c r="B525" s="1"/>
      <c r="C525" s="60"/>
      <c r="D525" s="8"/>
      <c r="E525" s="8"/>
      <c r="F525" s="37"/>
    </row>
    <row r="526" spans="2:6">
      <c r="B526" s="1"/>
      <c r="C526" s="60"/>
      <c r="D526" s="8"/>
      <c r="E526" s="8"/>
      <c r="F526" s="14"/>
    </row>
    <row r="527" spans="2:6">
      <c r="B527" s="1"/>
      <c r="C527" s="60"/>
      <c r="D527" s="8"/>
      <c r="E527" s="8"/>
      <c r="F527" s="14"/>
    </row>
    <row r="528" spans="2:6">
      <c r="B528" s="1"/>
      <c r="C528" s="60"/>
      <c r="D528" s="8"/>
      <c r="E528" s="8"/>
      <c r="F528" s="14"/>
    </row>
    <row r="529" spans="2:6">
      <c r="B529" s="1"/>
      <c r="C529" s="60"/>
      <c r="D529" s="8"/>
      <c r="E529" s="8"/>
      <c r="F529" s="14"/>
    </row>
    <row r="530" spans="2:6">
      <c r="B530" s="1"/>
      <c r="C530" s="60"/>
      <c r="D530" s="8"/>
      <c r="E530" s="8"/>
      <c r="F530" s="37"/>
    </row>
    <row r="531" spans="2:6">
      <c r="B531" s="1"/>
      <c r="C531" s="60"/>
      <c r="D531" s="8"/>
      <c r="E531" s="8"/>
      <c r="F531" s="37"/>
    </row>
    <row r="532" spans="2:6">
      <c r="B532" s="1"/>
      <c r="C532" s="60"/>
      <c r="D532" s="8"/>
      <c r="E532" s="8"/>
      <c r="F532" s="14"/>
    </row>
    <row r="533" spans="2:6">
      <c r="B533" s="1"/>
      <c r="C533" s="60"/>
      <c r="D533" s="8"/>
      <c r="E533" s="8"/>
      <c r="F533" s="14"/>
    </row>
    <row r="534" spans="2:6">
      <c r="B534" s="1"/>
      <c r="C534" s="60"/>
      <c r="D534" s="8"/>
      <c r="E534" s="8"/>
      <c r="F534" s="14"/>
    </row>
    <row r="535" spans="2:6">
      <c r="B535" s="1"/>
      <c r="C535" s="60"/>
      <c r="D535" s="8"/>
      <c r="E535" s="8"/>
      <c r="F535" s="14"/>
    </row>
    <row r="536" spans="2:6">
      <c r="B536" s="1"/>
      <c r="C536" s="60"/>
      <c r="D536" s="8"/>
      <c r="E536" s="8"/>
      <c r="F536" s="14"/>
    </row>
    <row r="537" spans="2:6">
      <c r="B537" s="1"/>
      <c r="C537" s="60"/>
      <c r="D537" s="8"/>
      <c r="E537" s="8"/>
      <c r="F537" s="14"/>
    </row>
    <row r="538" spans="2:6">
      <c r="B538" s="1"/>
      <c r="C538" s="60"/>
      <c r="D538" s="8"/>
      <c r="E538" s="8"/>
      <c r="F538" s="14"/>
    </row>
    <row r="539" spans="2:6">
      <c r="B539" s="1"/>
      <c r="C539" s="60"/>
      <c r="D539" s="8"/>
      <c r="E539" s="8"/>
      <c r="F539" s="37"/>
    </row>
    <row r="540" spans="2:6">
      <c r="B540" s="1"/>
      <c r="C540" s="60"/>
      <c r="D540" s="8"/>
      <c r="E540" s="8"/>
      <c r="F540" s="14"/>
    </row>
    <row r="541" spans="2:6">
      <c r="B541" s="1"/>
      <c r="C541" s="60"/>
      <c r="D541" s="8"/>
      <c r="E541" s="8"/>
      <c r="F541" s="37"/>
    </row>
    <row r="542" spans="2:6">
      <c r="B542" s="1"/>
      <c r="C542" s="60"/>
      <c r="D542" s="8"/>
      <c r="E542" s="8"/>
      <c r="F542" s="37"/>
    </row>
    <row r="543" spans="2:6">
      <c r="B543" s="1"/>
      <c r="C543" s="60"/>
      <c r="D543" s="8"/>
      <c r="E543" s="8"/>
      <c r="F543" s="14"/>
    </row>
    <row r="544" spans="2:6">
      <c r="B544" s="1"/>
      <c r="C544" s="60"/>
      <c r="D544" s="8"/>
      <c r="E544" s="8"/>
      <c r="F544" s="14"/>
    </row>
    <row r="545" spans="2:6">
      <c r="B545" s="1"/>
      <c r="C545" s="60"/>
      <c r="D545" s="8"/>
      <c r="E545" s="8"/>
      <c r="F545" s="14"/>
    </row>
    <row r="546" spans="2:6">
      <c r="B546" s="1"/>
      <c r="C546" s="60"/>
      <c r="D546" s="8"/>
      <c r="E546" s="8"/>
      <c r="F546" s="37"/>
    </row>
    <row r="547" spans="2:6">
      <c r="B547" s="1"/>
      <c r="C547" s="60"/>
      <c r="D547" s="8"/>
      <c r="E547" s="8"/>
      <c r="F547" s="14"/>
    </row>
    <row r="548" spans="2:6">
      <c r="B548" s="1"/>
      <c r="C548" s="60"/>
      <c r="D548" s="8"/>
      <c r="E548" s="8"/>
      <c r="F548" s="14"/>
    </row>
    <row r="549" spans="2:6">
      <c r="B549" s="1"/>
      <c r="C549" s="60"/>
      <c r="D549" s="8"/>
      <c r="E549" s="8"/>
      <c r="F549" s="37"/>
    </row>
    <row r="550" spans="2:6">
      <c r="B550" s="1"/>
      <c r="C550" s="60"/>
      <c r="D550" s="8"/>
      <c r="E550" s="8"/>
      <c r="F550" s="37"/>
    </row>
    <row r="551" spans="2:6">
      <c r="B551" s="1"/>
      <c r="C551" s="60"/>
      <c r="D551" s="8"/>
      <c r="E551" s="8"/>
      <c r="F551" s="14"/>
    </row>
    <row r="552" spans="2:6">
      <c r="B552" s="1"/>
      <c r="C552" s="60"/>
      <c r="D552" s="8"/>
      <c r="E552" s="8"/>
      <c r="F552" s="14"/>
    </row>
    <row r="553" spans="2:6">
      <c r="B553" s="1"/>
      <c r="C553" s="60"/>
      <c r="D553" s="8"/>
      <c r="E553" s="8"/>
      <c r="F553" s="37"/>
    </row>
    <row r="554" spans="2:6">
      <c r="B554" s="1"/>
      <c r="C554" s="60"/>
      <c r="D554" s="8"/>
      <c r="E554" s="8"/>
      <c r="F554" s="14"/>
    </row>
    <row r="555" spans="2:6">
      <c r="B555" s="1"/>
      <c r="C555" s="60"/>
      <c r="D555" s="8"/>
      <c r="E555" s="8"/>
      <c r="F555" s="37"/>
    </row>
    <row r="556" spans="2:6">
      <c r="B556" s="1"/>
      <c r="C556" s="60"/>
      <c r="D556" s="8"/>
      <c r="E556" s="8"/>
      <c r="F556" s="37"/>
    </row>
    <row r="557" spans="2:6">
      <c r="B557" s="1"/>
      <c r="C557" s="60"/>
      <c r="D557" s="8"/>
      <c r="E557" s="8"/>
      <c r="F557" s="37"/>
    </row>
    <row r="558" spans="2:6">
      <c r="B558" s="1"/>
      <c r="C558" s="60"/>
      <c r="D558" s="8"/>
      <c r="E558" s="8"/>
      <c r="F558" s="14"/>
    </row>
    <row r="559" spans="2:6">
      <c r="B559" s="1"/>
      <c r="C559" s="60"/>
      <c r="D559" s="8"/>
      <c r="E559" s="8"/>
      <c r="F559" s="37"/>
    </row>
    <row r="560" spans="2:6">
      <c r="B560" s="1"/>
      <c r="C560" s="60"/>
      <c r="D560" s="8"/>
      <c r="E560" s="8"/>
      <c r="F560" s="14"/>
    </row>
    <row r="561" spans="2:6">
      <c r="B561" s="1"/>
      <c r="C561" s="60"/>
      <c r="D561" s="8"/>
      <c r="E561" s="8"/>
      <c r="F561" s="37"/>
    </row>
    <row r="562" spans="2:6">
      <c r="B562" s="1"/>
      <c r="C562" s="60"/>
      <c r="D562" s="8"/>
      <c r="E562" s="8"/>
      <c r="F562" s="14"/>
    </row>
    <row r="563" spans="2:6">
      <c r="B563" s="1"/>
      <c r="C563" s="60"/>
      <c r="D563" s="8"/>
      <c r="E563" s="8"/>
      <c r="F563" s="14"/>
    </row>
    <row r="564" spans="2:6">
      <c r="B564" s="1"/>
      <c r="C564" s="60"/>
      <c r="D564" s="8"/>
      <c r="E564" s="8"/>
      <c r="F564" s="37"/>
    </row>
    <row r="565" spans="2:6">
      <c r="B565" s="1"/>
      <c r="C565" s="60"/>
      <c r="D565" s="8"/>
      <c r="E565" s="8"/>
      <c r="F565" s="37"/>
    </row>
    <row r="566" spans="2:6">
      <c r="B566" s="1"/>
      <c r="C566" s="60"/>
      <c r="D566" s="8"/>
      <c r="E566" s="8"/>
      <c r="F566" s="37"/>
    </row>
    <row r="567" spans="2:6">
      <c r="B567" s="1"/>
      <c r="C567" s="60"/>
      <c r="D567" s="8"/>
      <c r="E567" s="8"/>
      <c r="F567" s="14"/>
    </row>
    <row r="568" spans="2:6">
      <c r="B568" s="1"/>
      <c r="C568" s="60"/>
      <c r="D568" s="8"/>
      <c r="E568" s="8"/>
      <c r="F568" s="14"/>
    </row>
    <row r="569" spans="2:6">
      <c r="B569" s="1"/>
      <c r="C569" s="60"/>
      <c r="D569" s="8"/>
      <c r="E569" s="8"/>
      <c r="F569" s="37"/>
    </row>
    <row r="570" spans="2:6">
      <c r="B570" s="1"/>
      <c r="C570" s="60"/>
      <c r="D570" s="8"/>
      <c r="E570" s="8"/>
      <c r="F570" s="14"/>
    </row>
    <row r="571" spans="2:6">
      <c r="B571" s="1"/>
      <c r="C571" s="60"/>
      <c r="D571" s="8"/>
      <c r="E571" s="8"/>
      <c r="F571" s="37"/>
    </row>
    <row r="572" spans="2:6">
      <c r="B572" s="1"/>
      <c r="C572" s="60"/>
      <c r="D572" s="8"/>
      <c r="E572" s="8"/>
      <c r="F572" s="14"/>
    </row>
    <row r="573" spans="2:6">
      <c r="B573" s="1"/>
      <c r="C573" s="60"/>
      <c r="D573" s="8"/>
      <c r="E573" s="8"/>
      <c r="F573" s="14"/>
    </row>
    <row r="574" spans="2:6">
      <c r="B574" s="1"/>
      <c r="C574" s="60"/>
      <c r="D574" s="8"/>
      <c r="E574" s="8"/>
      <c r="F574" s="14"/>
    </row>
    <row r="575" spans="2:6">
      <c r="B575" s="1"/>
      <c r="C575" s="60"/>
      <c r="D575" s="8"/>
      <c r="E575" s="8"/>
      <c r="F575" s="37"/>
    </row>
    <row r="576" spans="2:6">
      <c r="B576" s="1"/>
      <c r="C576" s="60"/>
      <c r="D576" s="8"/>
      <c r="E576" s="8"/>
      <c r="F576" s="37"/>
    </row>
    <row r="577" spans="2:6">
      <c r="B577" s="1"/>
      <c r="C577" s="60"/>
      <c r="D577" s="8"/>
      <c r="E577" s="8"/>
      <c r="F577" s="37"/>
    </row>
    <row r="578" spans="2:6">
      <c r="B578" s="1"/>
      <c r="C578" s="60"/>
      <c r="D578" s="8"/>
      <c r="E578" s="8"/>
      <c r="F578" s="14"/>
    </row>
    <row r="579" spans="2:6">
      <c r="B579" s="1"/>
      <c r="C579" s="60"/>
      <c r="D579" s="8"/>
      <c r="E579" s="8"/>
      <c r="F579" s="14"/>
    </row>
    <row r="580" spans="2:6">
      <c r="B580" s="1"/>
      <c r="C580" s="60"/>
      <c r="D580" s="8"/>
      <c r="E580" s="8"/>
      <c r="F580" s="37"/>
    </row>
    <row r="581" spans="2:6">
      <c r="B581" s="1"/>
      <c r="C581" s="60"/>
      <c r="D581" s="8"/>
      <c r="E581" s="8"/>
      <c r="F581" s="14"/>
    </row>
    <row r="582" spans="2:6">
      <c r="B582" s="1"/>
      <c r="C582" s="60"/>
      <c r="D582" s="8"/>
      <c r="E582" s="8"/>
      <c r="F582" s="14"/>
    </row>
    <row r="583" spans="2:6">
      <c r="B583" s="1"/>
      <c r="C583" s="60"/>
      <c r="D583" s="8"/>
      <c r="E583" s="8"/>
      <c r="F583" s="14"/>
    </row>
    <row r="584" spans="2:6">
      <c r="B584" s="1"/>
      <c r="C584" s="60"/>
      <c r="D584" s="8"/>
      <c r="E584" s="8"/>
      <c r="F584" s="37"/>
    </row>
    <row r="585" spans="2:6">
      <c r="B585" s="1"/>
      <c r="C585" s="60"/>
      <c r="D585" s="8"/>
      <c r="E585" s="8"/>
      <c r="F585" s="14"/>
    </row>
    <row r="586" spans="2:6">
      <c r="B586" s="1"/>
      <c r="C586" s="60"/>
      <c r="D586" s="8"/>
      <c r="E586" s="8"/>
      <c r="F586" s="14"/>
    </row>
    <row r="587" spans="2:6">
      <c r="B587" s="1"/>
      <c r="C587" s="60"/>
      <c r="D587" s="8"/>
      <c r="E587" s="8"/>
      <c r="F587" s="14"/>
    </row>
    <row r="588" spans="2:6">
      <c r="B588" s="1"/>
      <c r="C588" s="60"/>
      <c r="D588" s="8"/>
      <c r="E588" s="8"/>
      <c r="F588" s="14"/>
    </row>
    <row r="589" spans="2:6">
      <c r="B589" s="1"/>
      <c r="C589" s="60"/>
      <c r="D589" s="8"/>
      <c r="E589" s="8"/>
      <c r="F589" s="14"/>
    </row>
    <row r="590" spans="2:6">
      <c r="B590" s="1"/>
      <c r="C590" s="60"/>
      <c r="D590" s="8"/>
      <c r="E590" s="8"/>
      <c r="F590" s="14"/>
    </row>
    <row r="591" spans="2:6">
      <c r="B591" s="1"/>
      <c r="C591" s="60"/>
      <c r="D591" s="8"/>
      <c r="E591" s="8"/>
      <c r="F591" s="14"/>
    </row>
    <row r="592" spans="2:6">
      <c r="B592" s="1"/>
      <c r="C592" s="60"/>
      <c r="D592" s="8"/>
      <c r="E592" s="8"/>
      <c r="F592" s="37"/>
    </row>
    <row r="593" spans="2:6">
      <c r="B593" s="1"/>
      <c r="C593" s="60"/>
      <c r="D593" s="8"/>
      <c r="E593" s="8"/>
      <c r="F593" s="14"/>
    </row>
    <row r="594" spans="2:6">
      <c r="B594" s="1"/>
      <c r="C594" s="60"/>
      <c r="D594" s="8"/>
      <c r="E594" s="8"/>
      <c r="F594" s="37"/>
    </row>
    <row r="595" spans="2:6">
      <c r="B595" s="1"/>
      <c r="C595" s="60"/>
      <c r="D595" s="8"/>
      <c r="E595" s="8"/>
      <c r="F595" s="37"/>
    </row>
    <row r="596" spans="2:6">
      <c r="B596" s="1"/>
      <c r="C596" s="60"/>
      <c r="D596" s="8"/>
      <c r="E596" s="8"/>
      <c r="F596" s="14"/>
    </row>
    <row r="597" spans="2:6">
      <c r="B597" s="1"/>
      <c r="C597" s="60"/>
      <c r="D597" s="8"/>
      <c r="E597" s="8"/>
      <c r="F597" s="14"/>
    </row>
    <row r="598" spans="2:6">
      <c r="B598" s="1"/>
      <c r="C598" s="60"/>
      <c r="D598" s="8"/>
      <c r="E598" s="8"/>
      <c r="F598" s="37"/>
    </row>
    <row r="599" spans="2:6">
      <c r="B599" s="1"/>
      <c r="C599" s="60"/>
      <c r="D599" s="8"/>
      <c r="E599" s="8"/>
      <c r="F599" s="14"/>
    </row>
    <row r="600" spans="2:6">
      <c r="B600" s="1"/>
      <c r="C600" s="60"/>
      <c r="D600" s="8"/>
      <c r="E600" s="8"/>
      <c r="F600" s="37"/>
    </row>
    <row r="601" spans="2:6">
      <c r="B601" s="1"/>
      <c r="C601" s="60"/>
      <c r="D601" s="8"/>
      <c r="E601" s="8"/>
      <c r="F601" s="14"/>
    </row>
    <row r="602" spans="2:6">
      <c r="B602" s="1"/>
      <c r="C602" s="60"/>
      <c r="D602" s="8"/>
      <c r="E602" s="8"/>
      <c r="F602" s="14"/>
    </row>
    <row r="603" spans="2:6">
      <c r="B603" s="1"/>
      <c r="C603" s="60"/>
      <c r="D603" s="8"/>
      <c r="E603" s="8"/>
      <c r="F603" s="37"/>
    </row>
    <row r="604" spans="2:6">
      <c r="B604" s="1"/>
      <c r="C604" s="60"/>
      <c r="D604" s="8"/>
      <c r="E604" s="8"/>
      <c r="F604" s="14"/>
    </row>
    <row r="605" spans="2:6">
      <c r="B605" s="1"/>
      <c r="C605" s="60"/>
      <c r="D605" s="8"/>
      <c r="E605" s="8"/>
      <c r="F605" s="37"/>
    </row>
    <row r="606" spans="2:6">
      <c r="B606" s="1"/>
      <c r="C606" s="60"/>
      <c r="D606" s="8"/>
      <c r="E606" s="8"/>
      <c r="F606" s="14"/>
    </row>
    <row r="607" spans="2:6">
      <c r="B607" s="1"/>
      <c r="C607" s="60"/>
      <c r="D607" s="8"/>
      <c r="E607" s="8"/>
      <c r="F607" s="14"/>
    </row>
    <row r="608" spans="2:6">
      <c r="B608" s="1"/>
      <c r="C608" s="60"/>
      <c r="D608" s="8"/>
      <c r="E608" s="8"/>
      <c r="F608" s="14"/>
    </row>
    <row r="609" spans="2:6">
      <c r="B609" s="1"/>
      <c r="C609" s="60"/>
      <c r="D609" s="8"/>
      <c r="E609" s="8"/>
      <c r="F609" s="14"/>
    </row>
    <row r="610" spans="2:6">
      <c r="B610" s="1"/>
      <c r="C610" s="60"/>
      <c r="D610" s="8"/>
      <c r="E610" s="8"/>
      <c r="F610" s="37"/>
    </row>
    <row r="611" spans="2:6">
      <c r="B611" s="1"/>
      <c r="C611" s="60"/>
      <c r="D611" s="8"/>
      <c r="E611" s="8"/>
      <c r="F611" s="14"/>
    </row>
    <row r="612" spans="2:6">
      <c r="B612" s="1"/>
      <c r="C612" s="60"/>
      <c r="D612" s="8"/>
      <c r="E612" s="8"/>
      <c r="F612" s="37"/>
    </row>
    <row r="613" spans="2:6">
      <c r="B613" s="1"/>
      <c r="C613" s="60"/>
      <c r="D613" s="8"/>
      <c r="E613" s="8"/>
      <c r="F613" s="14"/>
    </row>
    <row r="614" spans="2:6">
      <c r="B614" s="1"/>
      <c r="C614" s="60"/>
      <c r="D614" s="8"/>
      <c r="E614" s="8"/>
      <c r="F614" s="14"/>
    </row>
    <row r="615" spans="2:6">
      <c r="B615" s="1"/>
      <c r="C615" s="60"/>
      <c r="D615" s="8"/>
      <c r="E615" s="8"/>
      <c r="F615" s="37"/>
    </row>
    <row r="616" spans="2:6">
      <c r="B616" s="1"/>
      <c r="C616" s="60"/>
      <c r="D616" s="8"/>
      <c r="E616" s="8"/>
      <c r="F616" s="37"/>
    </row>
    <row r="617" spans="2:6">
      <c r="B617" s="1"/>
      <c r="C617" s="60"/>
      <c r="D617" s="8"/>
      <c r="E617" s="8"/>
      <c r="F617" s="14"/>
    </row>
    <row r="618" spans="2:6">
      <c r="B618" s="1"/>
      <c r="C618" s="60"/>
      <c r="D618" s="8"/>
      <c r="E618" s="8"/>
      <c r="F618" s="37"/>
    </row>
    <row r="619" spans="2:6">
      <c r="B619" s="1"/>
      <c r="C619" s="60"/>
      <c r="D619" s="8"/>
      <c r="E619" s="8"/>
      <c r="F619" s="14"/>
    </row>
    <row r="620" spans="2:6">
      <c r="B620" s="1"/>
      <c r="C620" s="60"/>
      <c r="D620" s="8"/>
      <c r="E620" s="8"/>
      <c r="F620" s="37"/>
    </row>
    <row r="621" spans="2:6">
      <c r="B621" s="1"/>
      <c r="C621" s="60"/>
      <c r="D621" s="8"/>
      <c r="E621" s="8"/>
      <c r="F621" s="14"/>
    </row>
    <row r="622" spans="2:6">
      <c r="B622" s="1"/>
      <c r="C622" s="60"/>
      <c r="D622" s="8"/>
      <c r="E622" s="8"/>
      <c r="F622" s="37"/>
    </row>
    <row r="623" spans="2:6">
      <c r="B623" s="1"/>
      <c r="C623" s="60"/>
      <c r="D623" s="8"/>
      <c r="E623" s="8"/>
      <c r="F623" s="37"/>
    </row>
    <row r="624" spans="2:6">
      <c r="B624" s="1"/>
      <c r="C624" s="60"/>
      <c r="D624" s="8"/>
      <c r="E624" s="8"/>
      <c r="F624" s="37"/>
    </row>
    <row r="625" spans="2:6">
      <c r="B625" s="1"/>
      <c r="C625" s="60"/>
      <c r="D625" s="8"/>
      <c r="E625" s="8"/>
      <c r="F625" s="37"/>
    </row>
    <row r="626" spans="2:6">
      <c r="B626" s="1"/>
      <c r="C626" s="60"/>
      <c r="D626" s="8"/>
      <c r="E626" s="8"/>
      <c r="F626" s="14"/>
    </row>
    <row r="627" spans="2:6">
      <c r="B627" s="1"/>
      <c r="C627" s="60"/>
      <c r="D627" s="8"/>
      <c r="E627" s="8"/>
      <c r="F627" s="14"/>
    </row>
    <row r="628" spans="2:6">
      <c r="B628" s="1"/>
      <c r="C628" s="60"/>
      <c r="D628" s="8"/>
      <c r="E628" s="8"/>
      <c r="F628" s="14"/>
    </row>
    <row r="629" spans="2:6">
      <c r="B629" s="1"/>
      <c r="C629" s="60"/>
      <c r="D629" s="8"/>
      <c r="E629" s="8"/>
      <c r="F629" s="37"/>
    </row>
    <row r="630" spans="2:6">
      <c r="B630" s="1"/>
      <c r="C630" s="60"/>
      <c r="D630" s="8"/>
      <c r="E630" s="8"/>
      <c r="F630" s="14"/>
    </row>
    <row r="631" spans="2:6">
      <c r="B631" s="1"/>
      <c r="C631" s="60"/>
      <c r="D631" s="8"/>
      <c r="E631" s="8"/>
      <c r="F631" s="14"/>
    </row>
    <row r="632" spans="2:6">
      <c r="B632" s="1"/>
      <c r="C632" s="60"/>
      <c r="D632" s="8"/>
      <c r="E632" s="8"/>
      <c r="F632" s="14"/>
    </row>
    <row r="633" spans="2:6">
      <c r="B633" s="1"/>
      <c r="C633" s="60"/>
      <c r="D633" s="8"/>
      <c r="E633" s="8"/>
      <c r="F633" s="14"/>
    </row>
    <row r="634" spans="2:6">
      <c r="B634" s="1"/>
      <c r="C634" s="60"/>
      <c r="D634" s="8"/>
      <c r="E634" s="8"/>
      <c r="F634" s="14"/>
    </row>
    <row r="635" spans="2:6">
      <c r="B635" s="1"/>
      <c r="C635" s="60"/>
      <c r="D635" s="8"/>
      <c r="E635" s="8"/>
      <c r="F635" s="14"/>
    </row>
    <row r="636" spans="2:6">
      <c r="B636" s="1"/>
      <c r="C636" s="60"/>
      <c r="D636" s="8"/>
      <c r="E636" s="8"/>
      <c r="F636" s="14"/>
    </row>
    <row r="637" spans="2:6">
      <c r="B637" s="1"/>
      <c r="C637" s="60"/>
      <c r="D637" s="8"/>
      <c r="E637" s="8"/>
      <c r="F637" s="14"/>
    </row>
    <row r="638" spans="2:6">
      <c r="B638" s="1"/>
      <c r="C638" s="60"/>
      <c r="D638" s="8"/>
      <c r="E638" s="8"/>
      <c r="F638" s="37"/>
    </row>
    <row r="639" spans="2:6">
      <c r="B639" s="1"/>
      <c r="C639" s="60"/>
      <c r="D639" s="8"/>
      <c r="E639" s="8"/>
      <c r="F639" s="37"/>
    </row>
    <row r="640" spans="2:6">
      <c r="B640" s="1"/>
      <c r="C640" s="60"/>
      <c r="D640" s="8"/>
      <c r="E640" s="8"/>
      <c r="F640" s="14"/>
    </row>
    <row r="641" spans="2:6">
      <c r="B641" s="1"/>
      <c r="C641" s="60"/>
      <c r="D641" s="8"/>
      <c r="E641" s="8"/>
      <c r="F641" s="14"/>
    </row>
    <row r="642" spans="2:6">
      <c r="B642" s="1"/>
      <c r="C642" s="60"/>
      <c r="D642" s="8"/>
      <c r="E642" s="8"/>
      <c r="F642" s="14"/>
    </row>
    <row r="643" spans="2:6">
      <c r="B643" s="1"/>
      <c r="C643" s="60"/>
      <c r="D643" s="8"/>
      <c r="E643" s="8"/>
      <c r="F643" s="14"/>
    </row>
    <row r="644" spans="2:6">
      <c r="B644" s="1"/>
      <c r="C644" s="60"/>
      <c r="D644" s="8"/>
      <c r="E644" s="8"/>
      <c r="F644" s="14"/>
    </row>
    <row r="645" spans="2:6">
      <c r="B645" s="1"/>
      <c r="C645" s="60"/>
      <c r="D645" s="8"/>
      <c r="E645" s="8"/>
      <c r="F645" s="14"/>
    </row>
    <row r="646" spans="2:6">
      <c r="B646" s="1"/>
      <c r="C646" s="60"/>
      <c r="D646" s="8"/>
      <c r="E646" s="8"/>
      <c r="F646" s="14"/>
    </row>
    <row r="647" spans="2:6">
      <c r="B647" s="1"/>
      <c r="C647" s="60"/>
      <c r="D647" s="8"/>
      <c r="E647" s="8"/>
      <c r="F647" s="14"/>
    </row>
    <row r="648" spans="2:6">
      <c r="B648" s="1"/>
      <c r="C648" s="60"/>
      <c r="D648" s="8"/>
      <c r="E648" s="8"/>
      <c r="F648" s="14"/>
    </row>
    <row r="649" spans="2:6">
      <c r="B649" s="1"/>
      <c r="C649" s="60"/>
      <c r="D649" s="8"/>
      <c r="E649" s="8"/>
      <c r="F649" s="37"/>
    </row>
    <row r="650" spans="2:6">
      <c r="B650" s="1"/>
      <c r="C650" s="60"/>
      <c r="D650" s="8"/>
      <c r="E650" s="8"/>
      <c r="F650" s="37"/>
    </row>
    <row r="651" spans="2:6">
      <c r="B651" s="1"/>
      <c r="C651" s="60"/>
      <c r="D651" s="8"/>
      <c r="E651" s="8"/>
      <c r="F651" s="37"/>
    </row>
    <row r="652" spans="2:6">
      <c r="B652" s="1"/>
      <c r="C652" s="60"/>
      <c r="D652" s="8"/>
      <c r="E652" s="8"/>
      <c r="F652" s="14"/>
    </row>
    <row r="653" spans="2:6">
      <c r="B653" s="1"/>
      <c r="C653" s="60"/>
      <c r="D653" s="8"/>
      <c r="E653" s="8"/>
      <c r="F653" s="37"/>
    </row>
    <row r="654" spans="2:6">
      <c r="B654" s="1"/>
      <c r="C654" s="60"/>
      <c r="D654" s="8"/>
      <c r="E654" s="8"/>
      <c r="F654" s="14"/>
    </row>
    <row r="655" spans="2:6">
      <c r="B655" s="1"/>
      <c r="C655" s="60"/>
      <c r="D655" s="8"/>
      <c r="E655" s="8"/>
      <c r="F655" s="14"/>
    </row>
    <row r="656" spans="2:6">
      <c r="B656" s="1"/>
      <c r="C656" s="60"/>
      <c r="D656" s="8"/>
      <c r="E656" s="8"/>
      <c r="F656" s="14"/>
    </row>
    <row r="657" spans="2:6">
      <c r="B657" s="1"/>
      <c r="C657" s="60"/>
      <c r="D657" s="8"/>
      <c r="E657" s="8"/>
      <c r="F657" s="37"/>
    </row>
    <row r="658" spans="2:6">
      <c r="B658" s="1"/>
      <c r="C658" s="60"/>
      <c r="D658" s="8"/>
      <c r="E658" s="8"/>
      <c r="F658" s="14"/>
    </row>
    <row r="659" spans="2:6">
      <c r="B659" s="1"/>
      <c r="C659" s="60"/>
      <c r="D659" s="8"/>
      <c r="E659" s="8"/>
      <c r="F659" s="14"/>
    </row>
    <row r="660" spans="2:6">
      <c r="B660" s="1"/>
      <c r="C660" s="60"/>
      <c r="D660" s="8"/>
      <c r="E660" s="8"/>
      <c r="F660" s="14"/>
    </row>
    <row r="661" spans="2:6">
      <c r="B661" s="1"/>
      <c r="C661" s="60"/>
      <c r="D661" s="8"/>
      <c r="E661" s="8"/>
      <c r="F661" s="37"/>
    </row>
    <row r="662" spans="2:6">
      <c r="B662" s="1"/>
      <c r="C662" s="60"/>
      <c r="D662" s="8"/>
      <c r="E662" s="8"/>
      <c r="F662" s="37"/>
    </row>
    <row r="663" spans="2:6">
      <c r="B663" s="1"/>
      <c r="C663" s="60"/>
      <c r="D663" s="8"/>
      <c r="E663" s="8"/>
      <c r="F663" s="37"/>
    </row>
    <row r="664" spans="2:6">
      <c r="B664" s="1"/>
      <c r="C664" s="60"/>
      <c r="D664" s="8"/>
      <c r="E664" s="8"/>
      <c r="F664" s="14"/>
    </row>
    <row r="665" spans="2:6">
      <c r="B665" s="1"/>
      <c r="C665" s="60"/>
      <c r="D665" s="8"/>
      <c r="E665" s="8"/>
      <c r="F665" s="14"/>
    </row>
    <row r="666" spans="2:6">
      <c r="B666" s="1"/>
      <c r="C666" s="60"/>
      <c r="D666" s="8"/>
      <c r="E666" s="8"/>
      <c r="F666" s="14"/>
    </row>
    <row r="667" spans="2:6">
      <c r="B667" s="1"/>
      <c r="C667" s="60"/>
      <c r="D667" s="8"/>
      <c r="E667" s="8"/>
      <c r="F667" s="37"/>
    </row>
    <row r="668" spans="2:6">
      <c r="B668" s="1"/>
      <c r="C668" s="60"/>
      <c r="D668" s="8"/>
      <c r="E668" s="8"/>
      <c r="F668" s="14"/>
    </row>
    <row r="669" spans="2:6">
      <c r="B669" s="1"/>
      <c r="C669" s="60"/>
      <c r="D669" s="8"/>
      <c r="E669" s="8"/>
      <c r="F669" s="37"/>
    </row>
    <row r="670" spans="2:6">
      <c r="B670" s="1"/>
      <c r="C670" s="60"/>
      <c r="D670" s="8"/>
      <c r="E670" s="8"/>
      <c r="F670" s="14"/>
    </row>
    <row r="671" spans="2:6">
      <c r="B671" s="1"/>
      <c r="C671" s="60"/>
      <c r="D671" s="8"/>
      <c r="E671" s="8"/>
      <c r="F671" s="37"/>
    </row>
    <row r="672" spans="2:6">
      <c r="B672" s="1"/>
      <c r="C672" s="60"/>
      <c r="D672" s="8"/>
      <c r="E672" s="8"/>
      <c r="F672" s="37"/>
    </row>
    <row r="673" spans="2:6">
      <c r="B673" s="1"/>
      <c r="C673" s="60"/>
      <c r="D673" s="8"/>
      <c r="E673" s="8"/>
      <c r="F673" s="37"/>
    </row>
    <row r="674" spans="2:6">
      <c r="B674" s="1"/>
      <c r="C674" s="60"/>
      <c r="D674" s="8"/>
      <c r="E674" s="8"/>
      <c r="F674" s="14"/>
    </row>
    <row r="675" spans="2:6">
      <c r="B675" s="1"/>
      <c r="C675" s="60"/>
      <c r="D675" s="8"/>
      <c r="E675" s="8"/>
      <c r="F675" s="14"/>
    </row>
    <row r="676" spans="2:6">
      <c r="B676" s="1"/>
      <c r="C676" s="60"/>
      <c r="D676" s="8"/>
      <c r="E676" s="8"/>
      <c r="F676" s="14"/>
    </row>
    <row r="677" spans="2:6">
      <c r="B677" s="1"/>
      <c r="C677" s="60"/>
      <c r="D677" s="8"/>
      <c r="E677" s="8"/>
      <c r="F677" s="14"/>
    </row>
    <row r="678" spans="2:6">
      <c r="B678" s="1"/>
      <c r="C678" s="60"/>
      <c r="D678" s="8"/>
      <c r="E678" s="8"/>
      <c r="F678" s="37"/>
    </row>
    <row r="679" spans="2:6">
      <c r="B679" s="1"/>
      <c r="C679" s="60"/>
      <c r="D679" s="8"/>
      <c r="E679" s="8"/>
      <c r="F679" s="14"/>
    </row>
    <row r="680" spans="2:6">
      <c r="B680" s="1"/>
      <c r="C680" s="60"/>
      <c r="D680" s="8"/>
      <c r="E680" s="8"/>
      <c r="F680" s="14"/>
    </row>
    <row r="681" spans="2:6">
      <c r="B681" s="1"/>
      <c r="C681" s="60"/>
      <c r="D681" s="8"/>
      <c r="E681" s="8"/>
      <c r="F681" s="14"/>
    </row>
    <row r="682" spans="2:6">
      <c r="B682" s="1"/>
      <c r="C682" s="60"/>
      <c r="D682" s="8"/>
      <c r="E682" s="8"/>
      <c r="F682" s="14"/>
    </row>
    <row r="683" spans="2:6">
      <c r="B683" s="1"/>
      <c r="C683" s="60"/>
      <c r="D683" s="8"/>
      <c r="E683" s="8"/>
      <c r="F683" s="14"/>
    </row>
    <row r="684" spans="2:6">
      <c r="B684" s="1"/>
      <c r="C684" s="60"/>
      <c r="D684" s="8"/>
      <c r="E684" s="8"/>
      <c r="F684" s="14"/>
    </row>
    <row r="685" spans="2:6">
      <c r="B685" s="1"/>
      <c r="C685" s="60"/>
      <c r="D685" s="8"/>
      <c r="E685" s="8"/>
      <c r="F685" s="14"/>
    </row>
    <row r="686" spans="2:6">
      <c r="B686" s="1"/>
      <c r="C686" s="60"/>
      <c r="D686" s="8"/>
      <c r="E686" s="8"/>
      <c r="F686" s="37"/>
    </row>
    <row r="687" spans="2:6">
      <c r="B687" s="1"/>
      <c r="C687" s="60"/>
      <c r="D687" s="8"/>
      <c r="E687" s="8"/>
      <c r="F687" s="14"/>
    </row>
    <row r="688" spans="2:6">
      <c r="B688" s="1"/>
      <c r="C688" s="60"/>
      <c r="D688" s="8"/>
      <c r="E688" s="8"/>
      <c r="F688" s="37"/>
    </row>
    <row r="689" spans="2:6">
      <c r="B689" s="1"/>
      <c r="C689" s="60"/>
      <c r="D689" s="8"/>
      <c r="E689" s="8"/>
      <c r="F689" s="37"/>
    </row>
    <row r="690" spans="2:6">
      <c r="B690" s="1"/>
      <c r="C690" s="60"/>
      <c r="D690" s="8"/>
      <c r="E690" s="8"/>
      <c r="F690" s="14"/>
    </row>
    <row r="691" spans="2:6">
      <c r="B691" s="1"/>
      <c r="C691" s="60"/>
      <c r="D691" s="8"/>
      <c r="E691" s="8"/>
      <c r="F691" s="14"/>
    </row>
    <row r="692" spans="2:6">
      <c r="B692" s="1"/>
      <c r="C692" s="60"/>
      <c r="D692" s="8"/>
      <c r="E692" s="8"/>
      <c r="F692" s="14"/>
    </row>
    <row r="693" spans="2:6">
      <c r="B693" s="1"/>
      <c r="C693" s="60"/>
      <c r="D693" s="8"/>
      <c r="E693" s="8"/>
      <c r="F693" s="37"/>
    </row>
    <row r="694" spans="2:6">
      <c r="B694" s="1"/>
      <c r="C694" s="60"/>
      <c r="D694" s="8"/>
      <c r="E694" s="8"/>
      <c r="F694" s="14"/>
    </row>
    <row r="695" spans="2:6">
      <c r="B695" s="1"/>
      <c r="C695" s="60"/>
      <c r="D695" s="8"/>
      <c r="E695" s="8"/>
      <c r="F695" s="37"/>
    </row>
    <row r="696" spans="2:6">
      <c r="B696" s="1"/>
      <c r="C696" s="60"/>
      <c r="D696" s="8"/>
      <c r="E696" s="8"/>
      <c r="F696" s="37"/>
    </row>
    <row r="697" spans="2:6">
      <c r="B697" s="1"/>
      <c r="C697" s="60"/>
      <c r="D697" s="8"/>
      <c r="E697" s="8"/>
      <c r="F697" s="14"/>
    </row>
    <row r="698" spans="2:6">
      <c r="B698" s="1"/>
      <c r="C698" s="60"/>
      <c r="D698" s="8"/>
      <c r="E698" s="8"/>
      <c r="F698" s="37"/>
    </row>
    <row r="699" spans="2:6">
      <c r="B699" s="1"/>
      <c r="C699" s="60"/>
      <c r="D699" s="8"/>
      <c r="E699" s="8"/>
      <c r="F699" s="37"/>
    </row>
    <row r="700" spans="2:6">
      <c r="B700" s="1"/>
      <c r="C700" s="60"/>
      <c r="D700" s="8"/>
      <c r="E700" s="8"/>
      <c r="F700" s="37"/>
    </row>
    <row r="701" spans="2:6">
      <c r="B701" s="1"/>
      <c r="C701" s="60"/>
      <c r="D701" s="8"/>
      <c r="E701" s="8"/>
      <c r="F701" s="14"/>
    </row>
    <row r="702" spans="2:6">
      <c r="B702" s="1"/>
      <c r="C702" s="60"/>
      <c r="D702" s="8"/>
      <c r="E702" s="8"/>
      <c r="F702" s="14"/>
    </row>
    <row r="703" spans="2:6">
      <c r="B703" s="1"/>
      <c r="C703" s="60"/>
      <c r="D703" s="8"/>
      <c r="E703" s="8"/>
      <c r="F703" s="14"/>
    </row>
    <row r="704" spans="2:6">
      <c r="B704" s="1"/>
      <c r="C704" s="60"/>
      <c r="D704" s="8"/>
      <c r="E704" s="8"/>
      <c r="F704" s="14"/>
    </row>
    <row r="705" spans="2:6">
      <c r="B705" s="1"/>
      <c r="C705" s="60"/>
      <c r="D705" s="8"/>
      <c r="E705" s="8"/>
      <c r="F705" s="14"/>
    </row>
    <row r="706" spans="2:6">
      <c r="B706" s="1"/>
      <c r="C706" s="60"/>
      <c r="D706" s="8"/>
      <c r="E706" s="8"/>
      <c r="F706" s="37"/>
    </row>
    <row r="707" spans="2:6">
      <c r="B707" s="1"/>
      <c r="C707" s="60"/>
      <c r="D707" s="8"/>
      <c r="E707" s="8"/>
      <c r="F707" s="14"/>
    </row>
    <row r="708" spans="2:6">
      <c r="B708" s="1"/>
      <c r="C708" s="60"/>
      <c r="D708" s="8"/>
      <c r="E708" s="8"/>
      <c r="F708" s="14"/>
    </row>
    <row r="709" spans="2:6">
      <c r="B709" s="1"/>
      <c r="C709" s="60"/>
      <c r="D709" s="8"/>
      <c r="E709" s="8"/>
      <c r="F709" s="37"/>
    </row>
    <row r="710" spans="2:6">
      <c r="B710" s="1"/>
      <c r="C710" s="60"/>
      <c r="D710" s="8"/>
      <c r="E710" s="8"/>
      <c r="F710" s="37"/>
    </row>
    <row r="711" spans="2:6">
      <c r="B711" s="1"/>
      <c r="C711" s="60"/>
      <c r="D711" s="8"/>
      <c r="E711" s="8"/>
      <c r="F711" s="37"/>
    </row>
    <row r="712" spans="2:6">
      <c r="B712" s="1"/>
      <c r="C712" s="60"/>
      <c r="D712" s="8"/>
      <c r="E712" s="8"/>
      <c r="F712" s="37"/>
    </row>
    <row r="713" spans="2:6">
      <c r="B713" s="1"/>
      <c r="C713" s="60"/>
      <c r="D713" s="8"/>
      <c r="E713" s="8"/>
      <c r="F713" s="14"/>
    </row>
    <row r="714" spans="2:6">
      <c r="B714" s="1"/>
      <c r="C714" s="60"/>
      <c r="D714" s="8"/>
      <c r="E714" s="8"/>
      <c r="F714" s="14"/>
    </row>
    <row r="715" spans="2:6">
      <c r="B715" s="1"/>
      <c r="C715" s="60"/>
      <c r="D715" s="8"/>
      <c r="E715" s="8"/>
      <c r="F715" s="37"/>
    </row>
    <row r="716" spans="2:6">
      <c r="B716" s="1"/>
      <c r="C716" s="60"/>
      <c r="D716" s="8"/>
      <c r="E716" s="8"/>
      <c r="F716" s="14"/>
    </row>
    <row r="717" spans="2:6">
      <c r="B717" s="1"/>
      <c r="C717" s="60"/>
      <c r="D717" s="8"/>
      <c r="E717" s="8"/>
      <c r="F717" s="14"/>
    </row>
    <row r="718" spans="2:6">
      <c r="B718" s="1"/>
      <c r="C718" s="60"/>
      <c r="D718" s="8"/>
      <c r="E718" s="8"/>
      <c r="F718" s="37"/>
    </row>
    <row r="719" spans="2:6">
      <c r="B719" s="1"/>
      <c r="C719" s="60"/>
      <c r="D719" s="8"/>
      <c r="E719" s="8"/>
      <c r="F719" s="14"/>
    </row>
    <row r="720" spans="2:6">
      <c r="B720" s="1"/>
      <c r="C720" s="60"/>
      <c r="D720" s="8"/>
      <c r="E720" s="8"/>
      <c r="F720" s="14"/>
    </row>
    <row r="721" spans="2:6">
      <c r="B721" s="1"/>
      <c r="C721" s="60"/>
      <c r="D721" s="8"/>
      <c r="E721" s="8"/>
      <c r="F721" s="37"/>
    </row>
    <row r="722" spans="2:6">
      <c r="B722" s="1"/>
      <c r="C722" s="60"/>
      <c r="D722" s="8"/>
      <c r="E722" s="8"/>
      <c r="F722" s="37"/>
    </row>
    <row r="723" spans="2:6">
      <c r="B723" s="1"/>
      <c r="C723" s="60"/>
      <c r="D723" s="8"/>
      <c r="E723" s="8"/>
      <c r="F723" s="37"/>
    </row>
    <row r="724" spans="2:6">
      <c r="B724" s="1"/>
      <c r="C724" s="60"/>
      <c r="D724" s="8"/>
      <c r="E724" s="8"/>
      <c r="F724" s="14"/>
    </row>
    <row r="725" spans="2:6">
      <c r="B725" s="1"/>
      <c r="C725" s="60"/>
      <c r="D725" s="8"/>
      <c r="E725" s="8"/>
      <c r="F725" s="37"/>
    </row>
    <row r="726" spans="2:6">
      <c r="B726" s="1"/>
      <c r="C726" s="60"/>
      <c r="D726" s="8"/>
      <c r="E726" s="8"/>
      <c r="F726" s="37"/>
    </row>
    <row r="727" spans="2:6">
      <c r="B727" s="1"/>
      <c r="C727" s="60"/>
      <c r="D727" s="8"/>
      <c r="E727" s="8"/>
      <c r="F727" s="14"/>
    </row>
    <row r="728" spans="2:6">
      <c r="B728" s="1"/>
      <c r="C728" s="60"/>
      <c r="D728" s="8"/>
      <c r="E728" s="8"/>
      <c r="F728" s="37"/>
    </row>
    <row r="729" spans="2:6">
      <c r="B729" s="1"/>
      <c r="C729" s="60"/>
      <c r="D729" s="8"/>
      <c r="E729" s="8"/>
      <c r="F729" s="14"/>
    </row>
    <row r="730" spans="2:6">
      <c r="B730" s="1"/>
      <c r="C730" s="60"/>
      <c r="D730" s="8"/>
      <c r="E730" s="8"/>
      <c r="F730" s="37"/>
    </row>
    <row r="731" spans="2:6">
      <c r="B731" s="1"/>
      <c r="C731" s="60"/>
      <c r="D731" s="8"/>
      <c r="E731" s="8"/>
      <c r="F731" s="14"/>
    </row>
    <row r="732" spans="2:6">
      <c r="B732" s="1"/>
      <c r="C732" s="60"/>
      <c r="D732" s="8"/>
      <c r="E732" s="8"/>
      <c r="F732" s="14"/>
    </row>
    <row r="733" spans="2:6">
      <c r="B733" s="1"/>
      <c r="C733" s="60"/>
      <c r="D733" s="8"/>
      <c r="E733" s="8"/>
      <c r="F733" s="14"/>
    </row>
    <row r="734" spans="2:6">
      <c r="B734" s="1"/>
      <c r="C734" s="60"/>
      <c r="D734" s="8"/>
      <c r="E734" s="8"/>
      <c r="F734" s="37"/>
    </row>
    <row r="735" spans="2:6">
      <c r="B735" s="1"/>
      <c r="C735" s="60"/>
      <c r="D735" s="8"/>
      <c r="E735" s="8"/>
      <c r="F735" s="14"/>
    </row>
    <row r="736" spans="2:6">
      <c r="B736" s="1"/>
      <c r="C736" s="60"/>
      <c r="D736" s="8"/>
      <c r="E736" s="8"/>
      <c r="F736" s="14"/>
    </row>
    <row r="737" spans="2:6">
      <c r="B737" s="1"/>
      <c r="C737" s="60"/>
      <c r="D737" s="8"/>
      <c r="E737" s="8"/>
      <c r="F737" s="14"/>
    </row>
    <row r="738" spans="2:6">
      <c r="B738" s="1"/>
      <c r="C738" s="60"/>
      <c r="D738" s="8"/>
      <c r="E738" s="8"/>
      <c r="F738" s="14"/>
    </row>
    <row r="739" spans="2:6">
      <c r="B739" s="1"/>
      <c r="C739" s="60"/>
      <c r="D739" s="8"/>
      <c r="E739" s="8"/>
      <c r="F739" s="14"/>
    </row>
    <row r="740" spans="2:6">
      <c r="B740" s="1"/>
      <c r="C740" s="60"/>
      <c r="D740" s="8"/>
      <c r="E740" s="8"/>
      <c r="F740" s="37"/>
    </row>
    <row r="741" spans="2:6">
      <c r="B741" s="1"/>
      <c r="C741" s="60"/>
      <c r="D741" s="8"/>
      <c r="E741" s="8"/>
      <c r="F741" s="14"/>
    </row>
    <row r="742" spans="2:6">
      <c r="B742" s="1"/>
      <c r="C742" s="60"/>
      <c r="D742" s="8"/>
      <c r="E742" s="8"/>
      <c r="F742" s="14"/>
    </row>
    <row r="743" spans="2:6">
      <c r="B743" s="1"/>
      <c r="C743" s="60"/>
      <c r="D743" s="8"/>
      <c r="E743" s="8"/>
      <c r="F743" s="14"/>
    </row>
    <row r="744" spans="2:6">
      <c r="B744" s="1"/>
      <c r="C744" s="60"/>
      <c r="D744" s="8"/>
      <c r="E744" s="8"/>
      <c r="F744" s="37"/>
    </row>
    <row r="745" spans="2:6">
      <c r="B745" s="1"/>
      <c r="C745" s="60"/>
      <c r="D745" s="8"/>
      <c r="E745" s="8"/>
      <c r="F745" s="37"/>
    </row>
    <row r="746" spans="2:6">
      <c r="B746" s="1"/>
      <c r="C746" s="60"/>
      <c r="D746" s="8"/>
      <c r="E746" s="8"/>
      <c r="F746" s="37"/>
    </row>
    <row r="747" spans="2:6">
      <c r="B747" s="1"/>
      <c r="C747" s="60"/>
      <c r="D747" s="8"/>
      <c r="E747" s="8"/>
      <c r="F747" s="14"/>
    </row>
    <row r="748" spans="2:6">
      <c r="B748" s="1"/>
      <c r="C748" s="60"/>
      <c r="D748" s="8"/>
      <c r="E748" s="8"/>
      <c r="F748" s="14"/>
    </row>
    <row r="749" spans="2:6">
      <c r="B749" s="1"/>
      <c r="C749" s="60"/>
      <c r="D749" s="8"/>
      <c r="E749" s="8"/>
      <c r="F749" s="14"/>
    </row>
    <row r="750" spans="2:6">
      <c r="B750" s="1"/>
      <c r="C750" s="60"/>
      <c r="D750" s="8"/>
      <c r="E750" s="8"/>
      <c r="F750" s="14"/>
    </row>
    <row r="751" spans="2:6">
      <c r="B751" s="1"/>
      <c r="C751" s="60"/>
      <c r="D751" s="8"/>
      <c r="E751" s="8"/>
      <c r="F751" s="14"/>
    </row>
    <row r="752" spans="2:6">
      <c r="B752" s="1"/>
      <c r="C752" s="60"/>
      <c r="D752" s="8"/>
      <c r="E752" s="8"/>
      <c r="F752" s="37"/>
    </row>
    <row r="753" spans="2:6">
      <c r="B753" s="1"/>
      <c r="C753" s="60"/>
      <c r="D753" s="8"/>
      <c r="E753" s="8"/>
      <c r="F753" s="37"/>
    </row>
    <row r="754" spans="2:6">
      <c r="B754" s="1"/>
      <c r="C754" s="60"/>
      <c r="D754" s="8"/>
      <c r="E754" s="8"/>
      <c r="F754" s="14"/>
    </row>
    <row r="755" spans="2:6">
      <c r="B755" s="1"/>
      <c r="C755" s="60"/>
      <c r="D755" s="8"/>
      <c r="E755" s="8"/>
      <c r="F755" s="37"/>
    </row>
    <row r="756" spans="2:6">
      <c r="B756" s="1"/>
      <c r="C756" s="60"/>
      <c r="D756" s="8"/>
      <c r="E756" s="8"/>
      <c r="F756" s="37"/>
    </row>
    <row r="757" spans="2:6">
      <c r="B757" s="1"/>
      <c r="C757" s="60"/>
      <c r="D757" s="8"/>
      <c r="E757" s="8"/>
      <c r="F757" s="14"/>
    </row>
    <row r="758" spans="2:6">
      <c r="B758" s="1"/>
      <c r="C758" s="60"/>
      <c r="D758" s="8"/>
      <c r="E758" s="8"/>
      <c r="F758" s="37"/>
    </row>
    <row r="759" spans="2:6">
      <c r="B759" s="1"/>
      <c r="C759" s="60"/>
      <c r="D759" s="8"/>
      <c r="E759" s="8"/>
      <c r="F759" s="14"/>
    </row>
    <row r="760" spans="2:6">
      <c r="B760" s="1"/>
      <c r="C760" s="60"/>
      <c r="D760" s="8"/>
      <c r="E760" s="8"/>
      <c r="F760" s="37"/>
    </row>
    <row r="761" spans="2:6">
      <c r="B761" s="1"/>
      <c r="C761" s="60"/>
      <c r="D761" s="8"/>
      <c r="E761" s="8"/>
      <c r="F761" s="37"/>
    </row>
    <row r="762" spans="2:6">
      <c r="B762" s="1"/>
      <c r="C762" s="60"/>
      <c r="D762" s="8"/>
      <c r="E762" s="8"/>
      <c r="F762" s="37"/>
    </row>
    <row r="763" spans="2:6">
      <c r="B763" s="1"/>
      <c r="C763" s="60"/>
      <c r="D763" s="8"/>
      <c r="E763" s="8"/>
      <c r="F763" s="14"/>
    </row>
    <row r="764" spans="2:6">
      <c r="B764" s="1"/>
      <c r="C764" s="60"/>
      <c r="D764" s="8"/>
      <c r="E764" s="8"/>
      <c r="F764" s="37"/>
    </row>
    <row r="765" spans="2:6">
      <c r="B765" s="1"/>
      <c r="C765" s="60"/>
      <c r="D765" s="8"/>
      <c r="E765" s="8"/>
      <c r="F765" s="37"/>
    </row>
    <row r="766" spans="2:6">
      <c r="B766" s="1"/>
      <c r="C766" s="60"/>
      <c r="D766" s="8"/>
      <c r="E766" s="8"/>
      <c r="F766" s="37"/>
    </row>
    <row r="767" spans="2:6">
      <c r="B767" s="1"/>
      <c r="C767" s="60"/>
      <c r="D767" s="8"/>
      <c r="E767" s="8"/>
      <c r="F767" s="37"/>
    </row>
    <row r="768" spans="2:6">
      <c r="B768" s="1"/>
      <c r="C768" s="60"/>
      <c r="D768" s="8"/>
      <c r="E768" s="8"/>
      <c r="F768" s="37"/>
    </row>
    <row r="769" spans="2:6">
      <c r="B769" s="1"/>
      <c r="C769" s="60"/>
      <c r="D769" s="8"/>
      <c r="E769" s="8"/>
      <c r="F769" s="14"/>
    </row>
    <row r="770" spans="2:6">
      <c r="B770" s="1"/>
      <c r="C770" s="60"/>
      <c r="D770" s="8"/>
      <c r="E770" s="8"/>
      <c r="F770" s="14"/>
    </row>
    <row r="771" spans="2:6">
      <c r="B771" s="1"/>
      <c r="C771" s="60"/>
      <c r="D771" s="8"/>
      <c r="E771" s="8"/>
      <c r="F771" s="37"/>
    </row>
    <row r="772" spans="2:6">
      <c r="B772" s="1"/>
      <c r="C772" s="60"/>
      <c r="D772" s="8"/>
      <c r="E772" s="8"/>
      <c r="F772" s="14"/>
    </row>
    <row r="773" spans="2:6">
      <c r="B773" s="1"/>
      <c r="C773" s="60"/>
      <c r="D773" s="8"/>
      <c r="E773" s="8"/>
      <c r="F773" s="37"/>
    </row>
    <row r="774" spans="2:6">
      <c r="B774" s="1"/>
      <c r="C774" s="60"/>
      <c r="D774" s="8"/>
      <c r="E774" s="8"/>
      <c r="F774" s="14"/>
    </row>
    <row r="775" spans="2:6">
      <c r="B775" s="1"/>
      <c r="C775" s="60"/>
      <c r="D775" s="8"/>
      <c r="E775" s="8"/>
      <c r="F775" s="14"/>
    </row>
    <row r="776" spans="2:6">
      <c r="B776" s="1"/>
      <c r="C776" s="60"/>
      <c r="D776" s="8"/>
      <c r="E776" s="8"/>
      <c r="F776" s="14"/>
    </row>
    <row r="777" spans="2:6">
      <c r="B777" s="1"/>
      <c r="C777" s="60"/>
      <c r="D777" s="8"/>
      <c r="E777" s="8"/>
      <c r="F777" s="37"/>
    </row>
    <row r="778" spans="2:6">
      <c r="B778" s="1"/>
      <c r="C778" s="60"/>
      <c r="D778" s="8"/>
      <c r="E778" s="8"/>
      <c r="F778" s="37"/>
    </row>
    <row r="779" spans="2:6">
      <c r="B779" s="1"/>
      <c r="C779" s="60"/>
      <c r="D779" s="8"/>
      <c r="E779" s="8"/>
      <c r="F779" s="37"/>
    </row>
    <row r="780" spans="2:6">
      <c r="B780" s="1"/>
      <c r="C780" s="60"/>
      <c r="D780" s="8"/>
      <c r="E780" s="8"/>
      <c r="F780" s="14"/>
    </row>
    <row r="781" spans="2:6">
      <c r="B781" s="1"/>
      <c r="C781" s="60"/>
      <c r="D781" s="8"/>
      <c r="E781" s="8"/>
      <c r="F781" s="14"/>
    </row>
    <row r="782" spans="2:6">
      <c r="B782" s="1"/>
      <c r="C782" s="60"/>
      <c r="D782" s="8"/>
      <c r="E782" s="8"/>
      <c r="F782" s="14"/>
    </row>
    <row r="783" spans="2:6">
      <c r="B783" s="1"/>
      <c r="C783" s="60"/>
      <c r="D783" s="8"/>
      <c r="E783" s="8"/>
      <c r="F783" s="14"/>
    </row>
    <row r="784" spans="2:6">
      <c r="B784" s="1"/>
      <c r="C784" s="60"/>
      <c r="D784" s="8"/>
      <c r="E784" s="8"/>
      <c r="F784" s="14"/>
    </row>
    <row r="785" spans="2:6">
      <c r="B785" s="1"/>
      <c r="C785" s="60"/>
      <c r="D785" s="8"/>
      <c r="E785" s="8"/>
      <c r="F785" s="37"/>
    </row>
    <row r="786" spans="2:6">
      <c r="B786" s="1"/>
      <c r="C786" s="60"/>
      <c r="D786" s="8"/>
      <c r="E786" s="8"/>
      <c r="F786" s="14"/>
    </row>
    <row r="787" spans="2:6">
      <c r="B787" s="1"/>
      <c r="C787" s="60"/>
      <c r="D787" s="8"/>
      <c r="E787" s="8"/>
      <c r="F787" s="14"/>
    </row>
    <row r="788" spans="2:6">
      <c r="B788" s="1"/>
      <c r="C788" s="60"/>
      <c r="D788" s="8"/>
      <c r="E788" s="8"/>
      <c r="F788" s="37"/>
    </row>
    <row r="789" spans="2:6">
      <c r="B789" s="1"/>
      <c r="C789" s="60"/>
      <c r="D789" s="8"/>
      <c r="E789" s="8"/>
      <c r="F789" s="14"/>
    </row>
    <row r="790" spans="2:6">
      <c r="B790" s="1"/>
      <c r="C790" s="60"/>
      <c r="D790" s="8"/>
      <c r="E790" s="8"/>
      <c r="F790" s="37"/>
    </row>
    <row r="791" spans="2:6">
      <c r="B791" s="1"/>
      <c r="C791" s="60"/>
      <c r="D791" s="8"/>
      <c r="E791" s="8"/>
      <c r="F791" s="37"/>
    </row>
    <row r="792" spans="2:6">
      <c r="B792" s="1"/>
      <c r="C792" s="60"/>
      <c r="D792" s="8"/>
      <c r="E792" s="8"/>
      <c r="F792" s="14"/>
    </row>
    <row r="793" spans="2:6">
      <c r="B793" s="1"/>
      <c r="C793" s="60"/>
      <c r="D793" s="8"/>
      <c r="E793" s="8"/>
      <c r="F793" s="37"/>
    </row>
    <row r="794" spans="2:6">
      <c r="B794" s="1"/>
      <c r="C794" s="60"/>
      <c r="D794" s="8"/>
      <c r="E794" s="8"/>
      <c r="F794" s="14"/>
    </row>
    <row r="795" spans="2:6">
      <c r="B795" s="1"/>
      <c r="C795" s="60"/>
      <c r="D795" s="8"/>
      <c r="E795" s="8"/>
      <c r="F795" s="37"/>
    </row>
    <row r="796" spans="2:6">
      <c r="B796" s="1"/>
      <c r="C796" s="60"/>
      <c r="D796" s="8"/>
      <c r="E796" s="8"/>
      <c r="F796" s="14"/>
    </row>
    <row r="797" spans="2:6">
      <c r="B797" s="1"/>
      <c r="C797" s="60"/>
      <c r="D797" s="8"/>
      <c r="E797" s="8"/>
      <c r="F797" s="14"/>
    </row>
    <row r="798" spans="2:6">
      <c r="B798" s="1"/>
      <c r="C798" s="60"/>
      <c r="D798" s="8"/>
      <c r="E798" s="8"/>
      <c r="F798" s="14"/>
    </row>
    <row r="799" spans="2:6">
      <c r="B799" s="1"/>
      <c r="C799" s="60"/>
      <c r="D799" s="8"/>
      <c r="E799" s="8"/>
      <c r="F799" s="37"/>
    </row>
    <row r="800" spans="2:6">
      <c r="B800" s="1"/>
      <c r="C800" s="60"/>
      <c r="D800" s="8"/>
      <c r="E800" s="8"/>
      <c r="F800" s="14"/>
    </row>
    <row r="801" spans="2:6">
      <c r="B801" s="1"/>
      <c r="C801" s="60"/>
      <c r="D801" s="8"/>
      <c r="E801" s="8"/>
      <c r="F801" s="14"/>
    </row>
    <row r="802" spans="2:6">
      <c r="B802" s="1"/>
      <c r="C802" s="60"/>
      <c r="D802" s="8"/>
      <c r="E802" s="8"/>
      <c r="F802" s="37"/>
    </row>
    <row r="803" spans="2:6">
      <c r="B803" s="1"/>
      <c r="C803" s="60"/>
      <c r="D803" s="8"/>
      <c r="E803" s="8"/>
      <c r="F803" s="14"/>
    </row>
    <row r="804" spans="2:6">
      <c r="B804" s="1"/>
      <c r="C804" s="60"/>
      <c r="D804" s="8"/>
      <c r="E804" s="8"/>
      <c r="F804" s="14"/>
    </row>
    <row r="805" spans="2:6">
      <c r="B805" s="1"/>
      <c r="C805" s="60"/>
      <c r="D805" s="8"/>
      <c r="E805" s="8"/>
      <c r="F805" s="14"/>
    </row>
    <row r="806" spans="2:6">
      <c r="B806" s="1"/>
      <c r="C806" s="60"/>
      <c r="D806" s="8"/>
      <c r="E806" s="8"/>
      <c r="F806" s="14"/>
    </row>
    <row r="807" spans="2:6">
      <c r="B807" s="1"/>
      <c r="C807" s="60"/>
      <c r="D807" s="8"/>
      <c r="E807" s="8"/>
      <c r="F807" s="14"/>
    </row>
    <row r="808" spans="2:6">
      <c r="B808" s="1"/>
      <c r="C808" s="60"/>
      <c r="D808" s="8"/>
      <c r="E808" s="8"/>
      <c r="F808" s="14"/>
    </row>
    <row r="809" spans="2:6">
      <c r="B809" s="1"/>
      <c r="C809" s="60"/>
      <c r="D809" s="8"/>
      <c r="E809" s="8"/>
      <c r="F809" s="14"/>
    </row>
    <row r="810" spans="2:6">
      <c r="B810" s="1"/>
      <c r="C810" s="60"/>
      <c r="D810" s="8"/>
      <c r="E810" s="8"/>
      <c r="F810" s="14"/>
    </row>
    <row r="811" spans="2:6">
      <c r="B811" s="1"/>
      <c r="C811" s="60"/>
      <c r="D811" s="8"/>
      <c r="E811" s="8"/>
      <c r="F811" s="37"/>
    </row>
    <row r="812" spans="2:6">
      <c r="B812" s="1"/>
      <c r="C812" s="60"/>
      <c r="D812" s="8"/>
      <c r="E812" s="8"/>
      <c r="F812" s="37"/>
    </row>
    <row r="813" spans="2:6">
      <c r="B813" s="1"/>
      <c r="C813" s="60"/>
      <c r="D813" s="8"/>
      <c r="E813" s="8"/>
      <c r="F813" s="14"/>
    </row>
    <row r="814" spans="2:6">
      <c r="B814" s="1"/>
      <c r="C814" s="60"/>
      <c r="D814" s="8"/>
      <c r="E814" s="8"/>
      <c r="F814" s="37"/>
    </row>
    <row r="815" spans="2:6">
      <c r="B815" s="1"/>
      <c r="C815" s="60"/>
      <c r="D815" s="8"/>
      <c r="E815" s="8"/>
      <c r="F815" s="14"/>
    </row>
    <row r="816" spans="2:6">
      <c r="B816" s="1"/>
      <c r="C816" s="60"/>
      <c r="D816" s="8"/>
      <c r="E816" s="8"/>
      <c r="F816" s="37"/>
    </row>
    <row r="817" spans="2:6">
      <c r="B817" s="1"/>
      <c r="C817" s="60"/>
      <c r="D817" s="8"/>
      <c r="E817" s="8"/>
      <c r="F817" s="14"/>
    </row>
    <row r="818" spans="2:6">
      <c r="B818" s="1"/>
      <c r="C818" s="60"/>
      <c r="D818" s="8"/>
      <c r="E818" s="8"/>
      <c r="F818" s="37"/>
    </row>
    <row r="819" spans="2:6">
      <c r="B819" s="1"/>
      <c r="C819" s="60"/>
      <c r="D819" s="8"/>
      <c r="E819" s="8"/>
      <c r="F819" s="14"/>
    </row>
    <row r="820" spans="2:6">
      <c r="B820" s="1"/>
      <c r="C820" s="60"/>
      <c r="D820" s="8"/>
      <c r="E820" s="8"/>
      <c r="F820" s="14"/>
    </row>
    <row r="821" spans="2:6">
      <c r="B821" s="1"/>
      <c r="C821" s="60"/>
      <c r="D821" s="8"/>
      <c r="E821" s="8"/>
      <c r="F821" s="37"/>
    </row>
    <row r="822" spans="2:6">
      <c r="B822" s="1"/>
      <c r="C822" s="60"/>
      <c r="D822" s="8"/>
      <c r="E822" s="8"/>
      <c r="F822" s="14"/>
    </row>
    <row r="823" spans="2:6">
      <c r="B823" s="1"/>
      <c r="C823" s="60"/>
      <c r="D823" s="8"/>
      <c r="E823" s="8"/>
      <c r="F823" s="14"/>
    </row>
    <row r="824" spans="2:6">
      <c r="B824" s="1"/>
      <c r="C824" s="60"/>
      <c r="D824" s="8"/>
      <c r="E824" s="8"/>
      <c r="F824" s="14"/>
    </row>
    <row r="825" spans="2:6">
      <c r="B825" s="1"/>
      <c r="C825" s="60"/>
      <c r="D825" s="8"/>
      <c r="E825" s="8"/>
      <c r="F825" s="14"/>
    </row>
    <row r="826" spans="2:6">
      <c r="B826" s="1"/>
      <c r="C826" s="60"/>
      <c r="D826" s="8"/>
      <c r="E826" s="8"/>
      <c r="F826" s="37"/>
    </row>
    <row r="827" spans="2:6">
      <c r="B827" s="1"/>
      <c r="C827" s="60"/>
      <c r="D827" s="8"/>
      <c r="E827" s="8"/>
      <c r="F827" s="14"/>
    </row>
    <row r="828" spans="2:6">
      <c r="B828" s="1"/>
      <c r="C828" s="60"/>
      <c r="D828" s="8"/>
      <c r="E828" s="8"/>
      <c r="F828" s="14"/>
    </row>
    <row r="829" spans="2:6">
      <c r="B829" s="1"/>
      <c r="C829" s="60"/>
      <c r="D829" s="8"/>
      <c r="E829" s="8"/>
      <c r="F829" s="14"/>
    </row>
    <row r="830" spans="2:6">
      <c r="B830" s="1"/>
      <c r="C830" s="60"/>
      <c r="D830" s="8"/>
      <c r="E830" s="8"/>
      <c r="F830" s="37"/>
    </row>
    <row r="831" spans="2:6">
      <c r="B831" s="1"/>
      <c r="C831" s="60"/>
      <c r="D831" s="8"/>
      <c r="E831" s="8"/>
      <c r="F831" s="14"/>
    </row>
    <row r="832" spans="2:6">
      <c r="B832" s="1"/>
      <c r="C832" s="60"/>
      <c r="D832" s="8"/>
      <c r="E832" s="8"/>
      <c r="F832" s="37"/>
    </row>
    <row r="833" spans="2:6">
      <c r="B833" s="1"/>
      <c r="C833" s="60"/>
      <c r="D833" s="8"/>
      <c r="E833" s="8"/>
      <c r="F833" s="14"/>
    </row>
    <row r="834" spans="2:6">
      <c r="B834" s="1"/>
      <c r="C834" s="60"/>
      <c r="D834" s="8"/>
      <c r="E834" s="8"/>
      <c r="F834" s="37"/>
    </row>
    <row r="835" spans="2:6">
      <c r="B835" s="1"/>
      <c r="C835" s="60"/>
      <c r="D835" s="8"/>
      <c r="E835" s="8"/>
      <c r="F835" s="14"/>
    </row>
    <row r="836" spans="2:6">
      <c r="B836" s="1"/>
      <c r="C836" s="60"/>
      <c r="D836" s="8"/>
      <c r="E836" s="8"/>
      <c r="F836" s="14"/>
    </row>
    <row r="837" spans="2:6">
      <c r="B837" s="1"/>
      <c r="C837" s="60"/>
      <c r="D837" s="8"/>
      <c r="E837" s="8"/>
      <c r="F837" s="37"/>
    </row>
    <row r="838" spans="2:6">
      <c r="B838" s="1"/>
      <c r="C838" s="60"/>
      <c r="D838" s="8"/>
      <c r="E838" s="8"/>
      <c r="F838" s="37"/>
    </row>
    <row r="839" spans="2:6">
      <c r="B839" s="1"/>
      <c r="C839" s="60"/>
      <c r="D839" s="8"/>
      <c r="E839" s="8"/>
      <c r="F839" s="14"/>
    </row>
    <row r="840" spans="2:6">
      <c r="B840" s="1"/>
      <c r="C840" s="60"/>
      <c r="D840" s="8"/>
      <c r="E840" s="8"/>
      <c r="F840" s="37"/>
    </row>
    <row r="841" spans="2:6">
      <c r="B841" s="1"/>
      <c r="C841" s="60"/>
      <c r="D841" s="8"/>
      <c r="E841" s="8"/>
      <c r="F841" s="37"/>
    </row>
    <row r="842" spans="2:6">
      <c r="B842" s="1"/>
      <c r="C842" s="60"/>
      <c r="D842" s="8"/>
      <c r="E842" s="8"/>
      <c r="F842" s="14"/>
    </row>
    <row r="843" spans="2:6">
      <c r="B843" s="1"/>
      <c r="C843" s="60"/>
      <c r="D843" s="8"/>
      <c r="E843" s="8"/>
      <c r="F843" s="14"/>
    </row>
    <row r="844" spans="2:6">
      <c r="B844" s="1"/>
      <c r="C844" s="60"/>
      <c r="D844" s="8"/>
      <c r="E844" s="8"/>
      <c r="F844" s="37"/>
    </row>
    <row r="845" spans="2:6">
      <c r="B845" s="1"/>
      <c r="C845" s="60"/>
      <c r="D845" s="8"/>
      <c r="E845" s="8"/>
      <c r="F845" s="14"/>
    </row>
    <row r="846" spans="2:6">
      <c r="B846" s="1"/>
      <c r="C846" s="60"/>
      <c r="D846" s="8"/>
      <c r="E846" s="8"/>
      <c r="F846" s="37"/>
    </row>
    <row r="847" spans="2:6">
      <c r="B847" s="1"/>
      <c r="C847" s="60"/>
      <c r="D847" s="8"/>
      <c r="E847" s="8"/>
      <c r="F847" s="14"/>
    </row>
    <row r="848" spans="2:6">
      <c r="B848" s="1"/>
      <c r="C848" s="60"/>
      <c r="D848" s="8"/>
      <c r="E848" s="8"/>
      <c r="F848" s="37"/>
    </row>
    <row r="849" spans="2:6">
      <c r="B849" s="1"/>
      <c r="C849" s="60"/>
      <c r="D849" s="8"/>
      <c r="E849" s="8"/>
      <c r="F849" s="14"/>
    </row>
    <row r="850" spans="2:6">
      <c r="B850" s="1"/>
      <c r="C850" s="60"/>
      <c r="D850" s="8"/>
      <c r="E850" s="8"/>
      <c r="F850" s="14"/>
    </row>
    <row r="851" spans="2:6">
      <c r="B851" s="1"/>
      <c r="C851" s="60"/>
      <c r="D851" s="8"/>
      <c r="E851" s="8"/>
      <c r="F851" s="14"/>
    </row>
    <row r="852" spans="2:6">
      <c r="B852" s="1"/>
      <c r="C852" s="60"/>
      <c r="D852" s="8"/>
      <c r="E852" s="8"/>
      <c r="F852" s="37"/>
    </row>
    <row r="853" spans="2:6">
      <c r="B853" s="1"/>
      <c r="C853" s="60"/>
      <c r="D853" s="8"/>
      <c r="E853" s="8"/>
      <c r="F853" s="37"/>
    </row>
    <row r="854" spans="2:6">
      <c r="B854" s="1"/>
      <c r="C854" s="60"/>
      <c r="D854" s="8"/>
      <c r="E854" s="8"/>
      <c r="F854" s="14"/>
    </row>
    <row r="855" spans="2:6">
      <c r="B855" s="1"/>
      <c r="C855" s="60"/>
      <c r="D855" s="8"/>
      <c r="E855" s="8"/>
      <c r="F855" s="37"/>
    </row>
    <row r="856" spans="2:6">
      <c r="B856" s="1"/>
      <c r="C856" s="60"/>
      <c r="D856" s="8"/>
      <c r="E856" s="8"/>
      <c r="F856" s="14"/>
    </row>
    <row r="857" spans="2:6">
      <c r="B857" s="1"/>
      <c r="C857" s="60"/>
      <c r="D857" s="8"/>
      <c r="E857" s="8"/>
      <c r="F857" s="37"/>
    </row>
    <row r="858" spans="2:6">
      <c r="B858" s="1"/>
      <c r="C858" s="60"/>
      <c r="D858" s="8"/>
      <c r="E858" s="8"/>
      <c r="F858" s="14"/>
    </row>
    <row r="859" spans="2:6">
      <c r="B859" s="1"/>
      <c r="C859" s="60"/>
      <c r="D859" s="8"/>
      <c r="E859" s="8"/>
      <c r="F859" s="37"/>
    </row>
    <row r="860" spans="2:6">
      <c r="B860" s="1"/>
      <c r="C860" s="60"/>
      <c r="D860" s="8"/>
      <c r="E860" s="8"/>
      <c r="F860" s="14"/>
    </row>
    <row r="861" spans="2:6">
      <c r="B861" s="1"/>
      <c r="C861" s="60"/>
      <c r="D861" s="8"/>
      <c r="E861" s="8"/>
      <c r="F861" s="37"/>
    </row>
    <row r="862" spans="2:6">
      <c r="B862" s="1"/>
      <c r="C862" s="60"/>
      <c r="D862" s="8"/>
      <c r="E862" s="8"/>
      <c r="F862" s="14"/>
    </row>
    <row r="863" spans="2:6">
      <c r="B863" s="1"/>
      <c r="C863" s="60"/>
      <c r="D863" s="8"/>
      <c r="E863" s="8"/>
      <c r="F863" s="37"/>
    </row>
    <row r="864" spans="2:6">
      <c r="B864" s="1"/>
      <c r="C864" s="60"/>
      <c r="D864" s="8"/>
      <c r="E864" s="8"/>
      <c r="F864" s="37"/>
    </row>
    <row r="865" spans="2:6">
      <c r="B865" s="1"/>
      <c r="C865" s="60"/>
      <c r="D865" s="8"/>
      <c r="E865" s="8"/>
      <c r="F865" s="14"/>
    </row>
    <row r="866" spans="2:6">
      <c r="B866" s="1"/>
      <c r="C866" s="60"/>
      <c r="D866" s="8"/>
      <c r="E866" s="8"/>
      <c r="F866" s="14"/>
    </row>
    <row r="867" spans="2:6">
      <c r="B867" s="1"/>
      <c r="C867" s="60"/>
      <c r="D867" s="8"/>
      <c r="E867" s="8"/>
      <c r="F867" s="37"/>
    </row>
    <row r="868" spans="2:6">
      <c r="B868" s="1"/>
      <c r="C868" s="60"/>
      <c r="D868" s="8"/>
      <c r="E868" s="8"/>
      <c r="F868" s="37"/>
    </row>
    <row r="869" spans="2:6">
      <c r="B869" s="1"/>
      <c r="C869" s="60"/>
      <c r="D869" s="8"/>
      <c r="E869" s="8"/>
      <c r="F869" s="14"/>
    </row>
    <row r="870" spans="2:6">
      <c r="B870" s="1"/>
      <c r="C870" s="60"/>
      <c r="D870" s="8"/>
      <c r="E870" s="8"/>
      <c r="F870" s="37"/>
    </row>
    <row r="871" spans="2:6">
      <c r="B871" s="1"/>
      <c r="C871" s="60"/>
      <c r="D871" s="8"/>
      <c r="E871" s="8"/>
      <c r="F871" s="37"/>
    </row>
    <row r="872" spans="2:6">
      <c r="B872" s="1"/>
      <c r="C872" s="60"/>
      <c r="D872" s="8"/>
      <c r="E872" s="8"/>
      <c r="F872" s="14"/>
    </row>
    <row r="873" spans="2:6">
      <c r="B873" s="1"/>
      <c r="C873" s="60"/>
      <c r="D873" s="8"/>
      <c r="E873" s="8"/>
      <c r="F873" s="37"/>
    </row>
    <row r="874" spans="2:6">
      <c r="B874" s="1"/>
      <c r="C874" s="60"/>
      <c r="D874" s="8"/>
      <c r="E874" s="8"/>
      <c r="F874" s="14"/>
    </row>
    <row r="875" spans="2:6">
      <c r="B875" s="1"/>
      <c r="C875" s="60"/>
      <c r="D875" s="8"/>
      <c r="E875" s="8"/>
      <c r="F875" s="14"/>
    </row>
    <row r="876" spans="2:6">
      <c r="B876" s="1"/>
      <c r="C876" s="60"/>
      <c r="D876" s="8"/>
      <c r="E876" s="8"/>
      <c r="F876" s="37"/>
    </row>
    <row r="877" spans="2:6">
      <c r="B877" s="1"/>
      <c r="C877" s="60"/>
      <c r="D877" s="8"/>
      <c r="E877" s="8"/>
      <c r="F877" s="14"/>
    </row>
    <row r="878" spans="2:6">
      <c r="B878" s="1"/>
      <c r="C878" s="60"/>
      <c r="D878" s="8"/>
      <c r="E878" s="8"/>
      <c r="F878" s="14"/>
    </row>
    <row r="879" spans="2:6">
      <c r="B879" s="1"/>
      <c r="C879" s="60"/>
      <c r="D879" s="8"/>
      <c r="E879" s="8"/>
      <c r="F879" s="14"/>
    </row>
    <row r="880" spans="2:6">
      <c r="B880" s="1"/>
      <c r="C880" s="60"/>
      <c r="D880" s="8"/>
      <c r="E880" s="8"/>
      <c r="F880" s="37"/>
    </row>
    <row r="881" spans="2:6">
      <c r="B881" s="1"/>
      <c r="C881" s="60"/>
      <c r="D881" s="8"/>
      <c r="E881" s="8"/>
      <c r="F881" s="37"/>
    </row>
    <row r="882" spans="2:6">
      <c r="B882" s="1"/>
      <c r="C882" s="60"/>
      <c r="D882" s="8"/>
      <c r="E882" s="8"/>
      <c r="F882" s="14"/>
    </row>
    <row r="883" spans="2:6">
      <c r="B883" s="1"/>
      <c r="C883" s="60"/>
      <c r="D883" s="8"/>
      <c r="E883" s="8"/>
      <c r="F883" s="14"/>
    </row>
    <row r="884" spans="2:6">
      <c r="B884" s="1"/>
      <c r="C884" s="60"/>
      <c r="D884" s="8"/>
      <c r="E884" s="8"/>
      <c r="F884" s="14"/>
    </row>
    <row r="885" spans="2:6">
      <c r="B885" s="1"/>
      <c r="C885" s="60"/>
      <c r="D885" s="8"/>
      <c r="E885" s="8"/>
      <c r="F885" s="37"/>
    </row>
    <row r="886" spans="2:6">
      <c r="B886" s="1"/>
      <c r="C886" s="60"/>
      <c r="D886" s="8"/>
      <c r="E886" s="8"/>
      <c r="F886" s="14"/>
    </row>
    <row r="887" spans="2:6">
      <c r="B887" s="1"/>
      <c r="C887" s="60"/>
      <c r="D887" s="8"/>
      <c r="E887" s="8"/>
      <c r="F887" s="14"/>
    </row>
    <row r="888" spans="2:6">
      <c r="B888" s="1"/>
      <c r="C888" s="60"/>
      <c r="D888" s="8"/>
      <c r="E888" s="8"/>
      <c r="F888" s="14"/>
    </row>
    <row r="889" spans="2:6">
      <c r="B889" s="1"/>
      <c r="C889" s="60"/>
      <c r="D889" s="8"/>
      <c r="E889" s="8"/>
      <c r="F889" s="14"/>
    </row>
    <row r="890" spans="2:6">
      <c r="B890" s="1"/>
      <c r="C890" s="60"/>
      <c r="D890" s="8"/>
      <c r="E890" s="8"/>
      <c r="F890" s="14"/>
    </row>
    <row r="891" spans="2:6">
      <c r="B891" s="1"/>
      <c r="C891" s="60"/>
      <c r="D891" s="8"/>
      <c r="E891" s="8"/>
      <c r="F891" s="37"/>
    </row>
    <row r="892" spans="2:6">
      <c r="B892" s="1"/>
      <c r="C892" s="60"/>
      <c r="D892" s="8"/>
      <c r="E892" s="8"/>
      <c r="F892" s="37"/>
    </row>
    <row r="893" spans="2:6">
      <c r="B893" s="1"/>
      <c r="C893" s="60"/>
      <c r="D893" s="8"/>
      <c r="E893" s="8"/>
      <c r="F893" s="14"/>
    </row>
    <row r="894" spans="2:6">
      <c r="B894" s="1"/>
      <c r="C894" s="60"/>
      <c r="D894" s="8"/>
      <c r="E894" s="8"/>
      <c r="F894" s="37"/>
    </row>
    <row r="895" spans="2:6">
      <c r="B895" s="1"/>
      <c r="C895" s="60"/>
      <c r="D895" s="8"/>
      <c r="E895" s="8"/>
      <c r="F895" s="37"/>
    </row>
    <row r="896" spans="2:6">
      <c r="B896" s="1"/>
      <c r="C896" s="60"/>
      <c r="D896" s="8"/>
      <c r="E896" s="8"/>
      <c r="F896" s="14"/>
    </row>
    <row r="897" spans="2:6">
      <c r="B897" s="1"/>
      <c r="C897" s="60"/>
      <c r="D897" s="8"/>
      <c r="E897" s="8"/>
      <c r="F897" s="37"/>
    </row>
    <row r="898" spans="2:6">
      <c r="B898" s="1"/>
      <c r="C898" s="60"/>
      <c r="D898" s="8"/>
      <c r="E898" s="8"/>
      <c r="F898" s="14"/>
    </row>
    <row r="899" spans="2:6">
      <c r="B899" s="1"/>
      <c r="C899" s="60"/>
      <c r="D899" s="8"/>
      <c r="E899" s="8"/>
      <c r="F899" s="14"/>
    </row>
    <row r="900" spans="2:6">
      <c r="B900" s="1"/>
      <c r="C900" s="60"/>
      <c r="D900" s="8"/>
      <c r="E900" s="8"/>
      <c r="F900" s="37"/>
    </row>
    <row r="901" spans="2:6">
      <c r="B901" s="1"/>
      <c r="C901" s="60"/>
      <c r="D901" s="8"/>
      <c r="E901" s="8"/>
      <c r="F901" s="37"/>
    </row>
    <row r="902" spans="2:6">
      <c r="B902" s="1"/>
      <c r="C902" s="60"/>
      <c r="D902" s="8"/>
      <c r="E902" s="8"/>
      <c r="F902" s="37"/>
    </row>
    <row r="903" spans="2:6">
      <c r="B903" s="1"/>
      <c r="C903" s="60"/>
      <c r="D903" s="8"/>
      <c r="E903" s="8"/>
      <c r="F903" s="37"/>
    </row>
    <row r="904" spans="2:6">
      <c r="B904" s="1"/>
      <c r="C904" s="60"/>
      <c r="D904" s="8"/>
      <c r="E904" s="8"/>
      <c r="F904" s="14"/>
    </row>
    <row r="905" spans="2:6">
      <c r="B905" s="1"/>
      <c r="C905" s="60"/>
      <c r="D905" s="8"/>
      <c r="E905" s="8"/>
      <c r="F905" s="37"/>
    </row>
    <row r="906" spans="2:6">
      <c r="B906" s="1"/>
      <c r="C906" s="60"/>
      <c r="D906" s="8"/>
      <c r="E906" s="8"/>
      <c r="F906" s="37"/>
    </row>
    <row r="907" spans="2:6">
      <c r="B907" s="1"/>
      <c r="C907" s="60"/>
      <c r="D907" s="8"/>
      <c r="E907" s="8"/>
      <c r="F907" s="14"/>
    </row>
    <row r="908" spans="2:6">
      <c r="B908" s="1"/>
      <c r="C908" s="60"/>
      <c r="D908" s="8"/>
      <c r="E908" s="8"/>
      <c r="F908" s="37"/>
    </row>
    <row r="909" spans="2:6">
      <c r="B909" s="1"/>
      <c r="C909" s="60"/>
      <c r="D909" s="8"/>
      <c r="E909" s="8"/>
      <c r="F909" s="14"/>
    </row>
    <row r="910" spans="2:6">
      <c r="B910" s="1"/>
      <c r="C910" s="60"/>
      <c r="D910" s="8"/>
      <c r="E910" s="8"/>
      <c r="F910" s="14"/>
    </row>
    <row r="911" spans="2:6">
      <c r="B911" s="1"/>
      <c r="C911" s="60"/>
      <c r="D911" s="8"/>
      <c r="E911" s="8"/>
      <c r="F911" s="37"/>
    </row>
    <row r="912" spans="2:6">
      <c r="B912" s="1"/>
      <c r="C912" s="60"/>
      <c r="D912" s="8"/>
      <c r="E912" s="8"/>
      <c r="F912" s="14"/>
    </row>
    <row r="913" spans="2:6">
      <c r="B913" s="1"/>
      <c r="C913" s="60"/>
      <c r="D913" s="8"/>
      <c r="E913" s="8"/>
      <c r="F913" s="14"/>
    </row>
    <row r="914" spans="2:6">
      <c r="B914" s="1"/>
      <c r="C914" s="60"/>
      <c r="D914" s="8"/>
      <c r="E914" s="8"/>
      <c r="F914" s="37"/>
    </row>
    <row r="915" spans="2:6">
      <c r="B915" s="1"/>
      <c r="C915" s="60"/>
      <c r="D915" s="8"/>
      <c r="E915" s="8"/>
      <c r="F915" s="37"/>
    </row>
    <row r="916" spans="2:6">
      <c r="B916" s="1"/>
      <c r="C916" s="60"/>
      <c r="D916" s="8"/>
      <c r="E916" s="8"/>
      <c r="F916" s="37"/>
    </row>
    <row r="917" spans="2:6">
      <c r="B917" s="1"/>
      <c r="C917" s="60"/>
      <c r="D917" s="8"/>
      <c r="E917" s="8"/>
      <c r="F917" s="37"/>
    </row>
    <row r="918" spans="2:6">
      <c r="B918" s="1"/>
      <c r="C918" s="60"/>
      <c r="D918" s="8"/>
      <c r="E918" s="8"/>
      <c r="F918" s="14"/>
    </row>
    <row r="919" spans="2:6">
      <c r="B919" s="1"/>
      <c r="C919" s="60"/>
      <c r="D919" s="8"/>
      <c r="E919" s="8"/>
      <c r="F919" s="14"/>
    </row>
    <row r="920" spans="2:6">
      <c r="B920" s="1"/>
      <c r="C920" s="60"/>
      <c r="D920" s="8"/>
      <c r="E920" s="8"/>
      <c r="F920" s="14"/>
    </row>
    <row r="921" spans="2:6">
      <c r="B921" s="1"/>
      <c r="C921" s="60"/>
      <c r="D921" s="8"/>
      <c r="E921" s="8"/>
      <c r="F921" s="37"/>
    </row>
    <row r="922" spans="2:6">
      <c r="B922" s="1"/>
      <c r="C922" s="60"/>
      <c r="D922" s="8"/>
      <c r="E922" s="8"/>
      <c r="F922" s="14"/>
    </row>
    <row r="923" spans="2:6">
      <c r="B923" s="1"/>
      <c r="C923" s="60"/>
      <c r="D923" s="8"/>
      <c r="E923" s="8"/>
      <c r="F923" s="37"/>
    </row>
    <row r="924" spans="2:6">
      <c r="B924" s="1"/>
      <c r="C924" s="60"/>
      <c r="D924" s="8"/>
      <c r="E924" s="8"/>
      <c r="F924" s="37"/>
    </row>
    <row r="925" spans="2:6">
      <c r="B925" s="1"/>
      <c r="C925" s="60"/>
      <c r="D925" s="8"/>
      <c r="E925" s="8"/>
      <c r="F925" s="14"/>
    </row>
    <row r="926" spans="2:6">
      <c r="B926" s="1"/>
      <c r="C926" s="60"/>
      <c r="D926" s="8"/>
      <c r="E926" s="8"/>
      <c r="F926" s="14"/>
    </row>
    <row r="927" spans="2:6">
      <c r="B927" s="1"/>
      <c r="C927" s="60"/>
      <c r="D927" s="8"/>
      <c r="E927" s="8"/>
      <c r="F927" s="37"/>
    </row>
    <row r="928" spans="2:6">
      <c r="B928" s="1"/>
      <c r="C928" s="60"/>
      <c r="D928" s="8"/>
      <c r="E928" s="8"/>
      <c r="F928" s="14"/>
    </row>
    <row r="929" spans="2:6">
      <c r="B929" s="1"/>
      <c r="C929" s="60"/>
      <c r="D929" s="8"/>
      <c r="E929" s="8"/>
      <c r="F929" s="14"/>
    </row>
    <row r="930" spans="2:6">
      <c r="B930" s="1"/>
      <c r="C930" s="60"/>
      <c r="D930" s="8"/>
      <c r="E930" s="8"/>
      <c r="F930" s="14"/>
    </row>
    <row r="931" spans="2:6">
      <c r="B931" s="1"/>
      <c r="C931" s="60"/>
      <c r="D931" s="8"/>
      <c r="E931" s="8"/>
      <c r="F931" s="14"/>
    </row>
    <row r="932" spans="2:6">
      <c r="B932" s="1"/>
      <c r="C932" s="60"/>
      <c r="D932" s="8"/>
      <c r="E932" s="8"/>
      <c r="F932" s="37"/>
    </row>
    <row r="933" spans="2:6">
      <c r="B933" s="1"/>
      <c r="C933" s="60"/>
      <c r="D933" s="8"/>
      <c r="E933" s="8"/>
      <c r="F933" s="37"/>
    </row>
    <row r="934" spans="2:6">
      <c r="B934" s="1"/>
      <c r="C934" s="60"/>
      <c r="D934" s="8"/>
      <c r="E934" s="8"/>
      <c r="F934" s="14"/>
    </row>
    <row r="935" spans="2:6">
      <c r="B935" s="1"/>
      <c r="C935" s="60"/>
      <c r="D935" s="8"/>
      <c r="E935" s="8"/>
      <c r="F935" s="14"/>
    </row>
    <row r="936" spans="2:6">
      <c r="B936" s="1"/>
      <c r="C936" s="60"/>
      <c r="D936" s="8"/>
      <c r="E936" s="8"/>
      <c r="F936" s="14"/>
    </row>
    <row r="937" spans="2:6">
      <c r="B937" s="1"/>
      <c r="C937" s="60"/>
      <c r="D937" s="8"/>
      <c r="E937" s="8"/>
      <c r="F937" s="37"/>
    </row>
    <row r="938" spans="2:6">
      <c r="B938" s="1"/>
      <c r="C938" s="60"/>
      <c r="D938" s="8"/>
      <c r="E938" s="8"/>
      <c r="F938" s="37"/>
    </row>
    <row r="939" spans="2:6">
      <c r="B939" s="1"/>
      <c r="C939" s="60"/>
      <c r="D939" s="8"/>
      <c r="E939" s="8"/>
      <c r="F939" s="14"/>
    </row>
    <row r="940" spans="2:6">
      <c r="B940" s="1"/>
      <c r="C940" s="60"/>
      <c r="D940" s="8"/>
      <c r="E940" s="8"/>
      <c r="F940" s="14"/>
    </row>
    <row r="941" spans="2:6">
      <c r="B941" s="1"/>
      <c r="C941" s="60"/>
      <c r="D941" s="8"/>
      <c r="E941" s="8"/>
      <c r="F941" s="37"/>
    </row>
    <row r="942" spans="2:6">
      <c r="B942" s="1"/>
      <c r="C942" s="60"/>
      <c r="D942" s="8"/>
      <c r="E942" s="8"/>
      <c r="F942" s="37"/>
    </row>
    <row r="943" spans="2:6">
      <c r="B943" s="1"/>
      <c r="C943" s="60"/>
      <c r="D943" s="8"/>
      <c r="E943" s="8"/>
      <c r="F943" s="37"/>
    </row>
    <row r="944" spans="2:6">
      <c r="B944" s="1"/>
      <c r="C944" s="60"/>
      <c r="D944" s="8"/>
      <c r="E944" s="8"/>
      <c r="F944" s="37"/>
    </row>
    <row r="945" spans="2:6">
      <c r="B945" s="1"/>
      <c r="C945" s="60"/>
      <c r="D945" s="8"/>
      <c r="E945" s="8"/>
      <c r="F945" s="37"/>
    </row>
    <row r="946" spans="2:6">
      <c r="B946" s="1"/>
      <c r="C946" s="60"/>
      <c r="D946" s="8"/>
      <c r="E946" s="8"/>
      <c r="F946" s="37"/>
    </row>
    <row r="947" spans="2:6">
      <c r="B947" s="1"/>
      <c r="C947" s="60"/>
      <c r="D947" s="8"/>
      <c r="E947" s="8"/>
      <c r="F947" s="37"/>
    </row>
    <row r="948" spans="2:6">
      <c r="B948" s="1"/>
      <c r="C948" s="60"/>
      <c r="D948" s="8"/>
      <c r="E948" s="8"/>
      <c r="F948" s="37"/>
    </row>
    <row r="949" spans="2:6">
      <c r="B949" s="1"/>
      <c r="C949" s="60"/>
      <c r="D949" s="8"/>
      <c r="E949" s="8"/>
      <c r="F949" s="14"/>
    </row>
    <row r="950" spans="2:6">
      <c r="B950" s="1"/>
      <c r="C950" s="60"/>
      <c r="D950" s="8"/>
      <c r="E950" s="8"/>
      <c r="F950" s="37"/>
    </row>
    <row r="951" spans="2:6">
      <c r="B951" s="1"/>
      <c r="C951" s="60"/>
      <c r="D951" s="8"/>
      <c r="E951" s="8"/>
      <c r="F951" s="14"/>
    </row>
    <row r="952" spans="2:6">
      <c r="B952" s="1"/>
      <c r="C952" s="60"/>
      <c r="D952" s="8"/>
      <c r="E952" s="8"/>
      <c r="F952" s="14"/>
    </row>
    <row r="953" spans="2:6">
      <c r="B953" s="1"/>
      <c r="C953" s="60"/>
      <c r="D953" s="8"/>
      <c r="E953" s="8"/>
      <c r="F953" s="14"/>
    </row>
    <row r="954" spans="2:6">
      <c r="B954" s="1"/>
      <c r="C954" s="60"/>
      <c r="D954" s="8"/>
      <c r="E954" s="8"/>
      <c r="F954" s="14"/>
    </row>
    <row r="955" spans="2:6">
      <c r="B955" s="1"/>
      <c r="C955" s="60"/>
      <c r="D955" s="8"/>
      <c r="E955" s="8"/>
      <c r="F955" s="37"/>
    </row>
    <row r="956" spans="2:6">
      <c r="B956" s="1"/>
      <c r="C956" s="60"/>
      <c r="D956" s="8"/>
      <c r="E956" s="8"/>
      <c r="F956" s="14"/>
    </row>
    <row r="957" spans="2:6">
      <c r="B957" s="1"/>
      <c r="C957" s="60"/>
      <c r="D957" s="8"/>
      <c r="E957" s="8"/>
      <c r="F957" s="37"/>
    </row>
    <row r="958" spans="2:6">
      <c r="B958" s="1"/>
      <c r="C958" s="60"/>
      <c r="D958" s="8"/>
      <c r="E958" s="8"/>
      <c r="F958" s="14"/>
    </row>
    <row r="959" spans="2:6">
      <c r="B959" s="1"/>
      <c r="C959" s="60"/>
      <c r="D959" s="8"/>
      <c r="E959" s="8"/>
      <c r="F959" s="37"/>
    </row>
    <row r="960" spans="2:6">
      <c r="B960" s="1"/>
      <c r="C960" s="60"/>
      <c r="D960" s="8"/>
      <c r="E960" s="8"/>
      <c r="F960" s="14"/>
    </row>
    <row r="961" spans="2:6">
      <c r="B961" s="1"/>
      <c r="C961" s="60"/>
      <c r="D961" s="8"/>
      <c r="E961" s="8"/>
      <c r="F961" s="14"/>
    </row>
    <row r="962" spans="2:6">
      <c r="B962" s="1"/>
      <c r="C962" s="60"/>
      <c r="D962" s="8"/>
      <c r="E962" s="8"/>
      <c r="F962" s="14"/>
    </row>
    <row r="963" spans="2:6">
      <c r="B963" s="1"/>
      <c r="C963" s="60"/>
      <c r="D963" s="8"/>
      <c r="E963" s="8"/>
      <c r="F963" s="14"/>
    </row>
    <row r="964" spans="2:6">
      <c r="B964" s="1"/>
      <c r="C964" s="60"/>
      <c r="D964" s="8"/>
      <c r="E964" s="8"/>
      <c r="F964" s="14"/>
    </row>
    <row r="965" spans="2:6">
      <c r="B965" s="1"/>
      <c r="C965" s="60"/>
      <c r="D965" s="8"/>
      <c r="E965" s="8"/>
      <c r="F965" s="37"/>
    </row>
    <row r="966" spans="2:6">
      <c r="B966" s="1"/>
      <c r="C966" s="60"/>
      <c r="D966" s="8"/>
      <c r="E966" s="8"/>
      <c r="F966" s="14"/>
    </row>
    <row r="967" spans="2:6">
      <c r="B967" s="1"/>
      <c r="C967" s="60"/>
      <c r="D967" s="8"/>
      <c r="E967" s="8"/>
      <c r="F967" s="14"/>
    </row>
    <row r="968" spans="2:6">
      <c r="B968" s="1"/>
      <c r="C968" s="60"/>
      <c r="D968" s="8"/>
      <c r="E968" s="8"/>
      <c r="F968" s="14"/>
    </row>
    <row r="969" spans="2:6">
      <c r="B969" s="1"/>
      <c r="C969" s="60"/>
      <c r="D969" s="8"/>
      <c r="E969" s="8"/>
      <c r="F969" s="37"/>
    </row>
    <row r="970" spans="2:6">
      <c r="B970" s="1"/>
      <c r="C970" s="60"/>
      <c r="D970" s="8"/>
      <c r="E970" s="8"/>
      <c r="F970" s="37"/>
    </row>
    <row r="971" spans="2:6">
      <c r="B971" s="1"/>
      <c r="C971" s="60"/>
      <c r="D971" s="8"/>
      <c r="E971" s="8"/>
      <c r="F971" s="14"/>
    </row>
    <row r="972" spans="2:6">
      <c r="B972" s="1"/>
      <c r="C972" s="60"/>
      <c r="D972" s="8"/>
      <c r="E972" s="8"/>
      <c r="F972" s="37"/>
    </row>
    <row r="973" spans="2:6">
      <c r="B973" s="1"/>
      <c r="C973" s="60"/>
      <c r="D973" s="8"/>
      <c r="E973" s="8"/>
      <c r="F973" s="14"/>
    </row>
    <row r="974" spans="2:6">
      <c r="B974" s="1"/>
      <c r="C974" s="60"/>
      <c r="D974" s="8"/>
      <c r="E974" s="8"/>
      <c r="F974" s="37"/>
    </row>
    <row r="975" spans="2:6">
      <c r="B975" s="1"/>
      <c r="C975" s="60"/>
      <c r="D975" s="8"/>
      <c r="E975" s="8"/>
      <c r="F975" s="14"/>
    </row>
    <row r="976" spans="2:6">
      <c r="B976" s="1"/>
      <c r="C976" s="60"/>
      <c r="D976" s="8"/>
      <c r="E976" s="8"/>
      <c r="F976" s="14"/>
    </row>
    <row r="977" spans="2:6">
      <c r="B977" s="1"/>
      <c r="C977" s="60"/>
      <c r="D977" s="8"/>
      <c r="E977" s="8"/>
      <c r="F977" s="37"/>
    </row>
    <row r="978" spans="2:6">
      <c r="B978" s="1"/>
      <c r="C978" s="60"/>
      <c r="D978" s="8"/>
      <c r="E978" s="8"/>
      <c r="F978" s="14"/>
    </row>
    <row r="979" spans="2:6">
      <c r="B979" s="1"/>
      <c r="C979" s="60"/>
      <c r="D979" s="8"/>
      <c r="E979" s="8"/>
      <c r="F979" s="14"/>
    </row>
    <row r="980" spans="2:6">
      <c r="B980" s="1"/>
      <c r="C980" s="60"/>
      <c r="D980" s="8"/>
      <c r="E980" s="8"/>
      <c r="F980" s="14"/>
    </row>
    <row r="981" spans="2:6">
      <c r="B981" s="1"/>
      <c r="C981" s="60"/>
      <c r="D981" s="8"/>
      <c r="E981" s="8"/>
      <c r="F981" s="14"/>
    </row>
    <row r="982" spans="2:6">
      <c r="B982" s="1"/>
      <c r="C982" s="60"/>
      <c r="D982" s="8"/>
      <c r="E982" s="8"/>
      <c r="F982" s="14"/>
    </row>
    <row r="983" spans="2:6">
      <c r="B983" s="1"/>
      <c r="C983" s="60"/>
      <c r="D983" s="8"/>
      <c r="E983" s="8"/>
      <c r="F983" s="14"/>
    </row>
    <row r="984" spans="2:6">
      <c r="B984" s="1"/>
      <c r="C984" s="60"/>
      <c r="D984" s="8"/>
      <c r="E984" s="8"/>
      <c r="F984" s="14"/>
    </row>
    <row r="985" spans="2:6">
      <c r="B985" s="1"/>
      <c r="C985" s="60"/>
      <c r="D985" s="8"/>
      <c r="E985" s="8"/>
      <c r="F985" s="37"/>
    </row>
    <row r="986" spans="2:6">
      <c r="B986" s="1"/>
      <c r="C986" s="60"/>
      <c r="D986" s="8"/>
      <c r="E986" s="8"/>
      <c r="F986" s="14"/>
    </row>
    <row r="987" spans="2:6">
      <c r="B987" s="1"/>
      <c r="C987" s="60"/>
      <c r="D987" s="8"/>
      <c r="E987" s="8"/>
      <c r="F987" s="14"/>
    </row>
    <row r="988" spans="2:6">
      <c r="B988" s="1"/>
      <c r="C988" s="60"/>
      <c r="D988" s="8"/>
      <c r="E988" s="8"/>
      <c r="F988" s="14"/>
    </row>
    <row r="989" spans="2:6">
      <c r="B989" s="1"/>
      <c r="C989" s="60"/>
      <c r="D989" s="8"/>
      <c r="E989" s="8"/>
      <c r="F989" s="14"/>
    </row>
    <row r="990" spans="2:6">
      <c r="B990" s="1"/>
      <c r="C990" s="60"/>
      <c r="D990" s="8"/>
      <c r="E990" s="8"/>
      <c r="F990" s="14"/>
    </row>
    <row r="991" spans="2:6">
      <c r="B991" s="1"/>
      <c r="C991" s="60"/>
      <c r="D991" s="8"/>
      <c r="E991" s="8"/>
      <c r="F991" s="14"/>
    </row>
    <row r="992" spans="2:6">
      <c r="B992" s="1"/>
      <c r="C992" s="60"/>
      <c r="D992" s="8"/>
      <c r="E992" s="8"/>
      <c r="F992" s="14"/>
    </row>
    <row r="993" spans="2:6">
      <c r="B993" s="1"/>
      <c r="C993" s="60"/>
      <c r="D993" s="8"/>
      <c r="E993" s="8"/>
      <c r="F993" s="37"/>
    </row>
    <row r="994" spans="2:6">
      <c r="B994" s="1"/>
      <c r="C994" s="60"/>
      <c r="D994" s="8"/>
      <c r="E994" s="8"/>
      <c r="F994" s="14"/>
    </row>
    <row r="995" spans="2:6">
      <c r="B995" s="1"/>
      <c r="C995" s="60"/>
      <c r="D995" s="8"/>
      <c r="E995" s="8"/>
      <c r="F995" s="14"/>
    </row>
    <row r="996" spans="2:6">
      <c r="B996" s="1"/>
      <c r="C996" s="60"/>
      <c r="D996" s="8"/>
      <c r="E996" s="8"/>
      <c r="F996" s="37"/>
    </row>
    <row r="997" spans="2:6">
      <c r="B997" s="1"/>
      <c r="C997" s="60"/>
      <c r="D997" s="8"/>
      <c r="E997" s="8"/>
      <c r="F997" s="14"/>
    </row>
    <row r="998" spans="2:6">
      <c r="B998" s="1"/>
      <c r="C998" s="60"/>
      <c r="D998" s="8"/>
      <c r="E998" s="8"/>
      <c r="F998" s="14"/>
    </row>
    <row r="999" spans="2:6">
      <c r="B999" s="1"/>
      <c r="C999" s="60"/>
      <c r="D999" s="8"/>
      <c r="E999" s="8"/>
      <c r="F999" s="37"/>
    </row>
    <row r="1000" spans="2:6">
      <c r="B1000" s="1"/>
      <c r="C1000" s="60"/>
      <c r="D1000" s="8"/>
      <c r="E1000" s="8"/>
      <c r="F1000" s="14"/>
    </row>
    <row r="1001" spans="2:6">
      <c r="B1001" s="1"/>
      <c r="C1001" s="60"/>
      <c r="D1001" s="8"/>
      <c r="E1001" s="8"/>
      <c r="F1001" s="37"/>
    </row>
    <row r="1002" spans="2:6">
      <c r="B1002" s="1"/>
      <c r="C1002" s="60"/>
      <c r="D1002" s="8"/>
      <c r="E1002" s="8"/>
      <c r="F1002" s="37"/>
    </row>
    <row r="1003" spans="2:6">
      <c r="B1003" s="1"/>
      <c r="C1003" s="60"/>
      <c r="D1003" s="8"/>
      <c r="E1003" s="8"/>
      <c r="F1003" s="37"/>
    </row>
    <row r="1004" spans="2:6">
      <c r="B1004" s="1"/>
      <c r="C1004" s="60"/>
      <c r="D1004" s="8"/>
      <c r="E1004" s="8"/>
      <c r="F1004" s="37"/>
    </row>
    <row r="1005" spans="2:6">
      <c r="B1005" s="1"/>
      <c r="C1005" s="60"/>
      <c r="D1005" s="8"/>
      <c r="E1005" s="8"/>
      <c r="F1005" s="14"/>
    </row>
    <row r="1006" spans="2:6">
      <c r="B1006" s="1"/>
      <c r="C1006" s="60"/>
      <c r="D1006" s="8"/>
      <c r="E1006" s="8"/>
      <c r="F1006" s="14"/>
    </row>
    <row r="1007" spans="2:6">
      <c r="B1007" s="1"/>
      <c r="C1007" s="60"/>
      <c r="D1007" s="8"/>
      <c r="E1007" s="8"/>
      <c r="F1007" s="14"/>
    </row>
    <row r="1008" spans="2:6">
      <c r="B1008" s="1"/>
      <c r="C1008" s="60"/>
      <c r="D1008" s="8"/>
      <c r="E1008" s="8"/>
      <c r="F1008" s="14"/>
    </row>
    <row r="1009" spans="2:6">
      <c r="B1009" s="1"/>
      <c r="C1009" s="60"/>
      <c r="D1009" s="8"/>
      <c r="E1009" s="8"/>
      <c r="F1009" s="37"/>
    </row>
    <row r="1010" spans="2:6">
      <c r="B1010" s="1"/>
      <c r="C1010" s="60"/>
      <c r="D1010" s="8"/>
      <c r="E1010" s="8"/>
      <c r="F1010" s="37"/>
    </row>
    <row r="1011" spans="2:6">
      <c r="B1011" s="1"/>
      <c r="C1011" s="60"/>
      <c r="D1011" s="8"/>
      <c r="E1011" s="8"/>
      <c r="F1011" s="37"/>
    </row>
    <row r="1012" spans="2:6">
      <c r="B1012" s="1"/>
      <c r="C1012" s="60"/>
      <c r="D1012" s="8"/>
      <c r="E1012" s="8"/>
      <c r="F1012" s="14"/>
    </row>
    <row r="1013" spans="2:6">
      <c r="B1013" s="1"/>
      <c r="C1013" s="60"/>
      <c r="D1013" s="8"/>
      <c r="E1013" s="8"/>
      <c r="F1013" s="14"/>
    </row>
    <row r="1014" spans="2:6">
      <c r="B1014" s="1"/>
      <c r="C1014" s="60"/>
      <c r="D1014" s="8"/>
      <c r="E1014" s="8"/>
      <c r="F1014" s="37"/>
    </row>
    <row r="1015" spans="2:6">
      <c r="B1015" s="1"/>
      <c r="C1015" s="60"/>
      <c r="D1015" s="8"/>
      <c r="E1015" s="8"/>
      <c r="F1015" s="14"/>
    </row>
    <row r="1016" spans="2:6">
      <c r="B1016" s="1"/>
      <c r="C1016" s="60"/>
      <c r="D1016" s="8"/>
      <c r="E1016" s="8"/>
      <c r="F1016" s="37"/>
    </row>
    <row r="1017" spans="2:6">
      <c r="B1017" s="1"/>
      <c r="C1017" s="60"/>
      <c r="D1017" s="8"/>
      <c r="E1017" s="8"/>
      <c r="F1017" s="37"/>
    </row>
    <row r="1018" spans="2:6">
      <c r="B1018" s="1"/>
      <c r="C1018" s="60"/>
      <c r="D1018" s="8"/>
      <c r="E1018" s="8"/>
      <c r="F1018" s="37"/>
    </row>
    <row r="1019" spans="2:6">
      <c r="B1019" s="1"/>
      <c r="C1019" s="60"/>
      <c r="D1019" s="8"/>
      <c r="E1019" s="8"/>
      <c r="F1019" s="37"/>
    </row>
    <row r="1020" spans="2:6">
      <c r="B1020" s="1"/>
      <c r="C1020" s="60"/>
      <c r="D1020" s="8"/>
      <c r="E1020" s="8"/>
      <c r="F1020" s="14"/>
    </row>
    <row r="1021" spans="2:6">
      <c r="B1021" s="1"/>
      <c r="C1021" s="60"/>
      <c r="D1021" s="8"/>
      <c r="E1021" s="8"/>
      <c r="F1021" s="37"/>
    </row>
    <row r="1022" spans="2:6">
      <c r="B1022" s="1"/>
      <c r="C1022" s="60"/>
      <c r="D1022" s="8"/>
      <c r="E1022" s="8"/>
      <c r="F1022" s="37"/>
    </row>
    <row r="1023" spans="2:6">
      <c r="B1023" s="1"/>
      <c r="C1023" s="60"/>
      <c r="D1023" s="8"/>
      <c r="E1023" s="8"/>
      <c r="F1023" s="37"/>
    </row>
    <row r="1024" spans="2:6">
      <c r="B1024" s="1"/>
      <c r="C1024" s="60"/>
      <c r="D1024" s="8"/>
      <c r="E1024" s="8"/>
      <c r="F1024" s="37"/>
    </row>
    <row r="1025" spans="2:6">
      <c r="B1025" s="1"/>
      <c r="C1025" s="60"/>
      <c r="D1025" s="8"/>
      <c r="E1025" s="8"/>
      <c r="F1025" s="14"/>
    </row>
    <row r="1026" spans="2:6">
      <c r="B1026" s="1"/>
      <c r="C1026" s="60"/>
      <c r="D1026" s="8"/>
      <c r="E1026" s="8"/>
      <c r="F1026" s="14"/>
    </row>
    <row r="1027" spans="2:6">
      <c r="B1027" s="1"/>
      <c r="C1027" s="60"/>
      <c r="D1027" s="8"/>
      <c r="E1027" s="8"/>
      <c r="F1027" s="37"/>
    </row>
    <row r="1028" spans="2:6">
      <c r="B1028" s="1"/>
      <c r="C1028" s="60"/>
      <c r="D1028" s="8"/>
      <c r="E1028" s="8"/>
      <c r="F1028" s="14"/>
    </row>
    <row r="1029" spans="2:6">
      <c r="B1029" s="1"/>
      <c r="C1029" s="60"/>
      <c r="D1029" s="8"/>
      <c r="E1029" s="8"/>
      <c r="F1029" s="37"/>
    </row>
    <row r="1030" spans="2:6">
      <c r="B1030" s="1"/>
      <c r="C1030" s="60"/>
      <c r="D1030" s="8"/>
      <c r="E1030" s="8"/>
      <c r="F1030" s="37"/>
    </row>
    <row r="1031" spans="2:6">
      <c r="B1031" s="1"/>
      <c r="C1031" s="60"/>
      <c r="D1031" s="8"/>
      <c r="E1031" s="8"/>
      <c r="F1031" s="37"/>
    </row>
    <row r="1032" spans="2:6">
      <c r="B1032" s="1"/>
      <c r="C1032" s="60"/>
      <c r="D1032" s="8"/>
      <c r="E1032" s="8"/>
      <c r="F1032" s="14"/>
    </row>
    <row r="1033" spans="2:6">
      <c r="B1033" s="1"/>
      <c r="C1033" s="60"/>
      <c r="D1033" s="8"/>
      <c r="E1033" s="8"/>
      <c r="F1033" s="14"/>
    </row>
    <row r="1034" spans="2:6">
      <c r="B1034" s="1"/>
      <c r="C1034" s="60"/>
      <c r="D1034" s="8"/>
      <c r="E1034" s="8"/>
      <c r="F1034" s="37"/>
    </row>
    <row r="1035" spans="2:6">
      <c r="B1035" s="1"/>
      <c r="C1035" s="60"/>
      <c r="D1035" s="8"/>
      <c r="E1035" s="8"/>
      <c r="F1035" s="14"/>
    </row>
    <row r="1036" spans="2:6">
      <c r="B1036" s="1"/>
      <c r="C1036" s="60"/>
      <c r="D1036" s="8"/>
      <c r="E1036" s="8"/>
      <c r="F1036" s="37"/>
    </row>
    <row r="1037" spans="2:6">
      <c r="B1037" s="1"/>
      <c r="C1037" s="60"/>
      <c r="D1037" s="8"/>
      <c r="E1037" s="8"/>
      <c r="F1037" s="37"/>
    </row>
    <row r="1038" spans="2:6">
      <c r="B1038" s="1"/>
      <c r="C1038" s="60"/>
      <c r="D1038" s="8"/>
      <c r="E1038" s="8"/>
      <c r="F1038" s="37"/>
    </row>
    <row r="1039" spans="2:6">
      <c r="B1039" s="1"/>
      <c r="C1039" s="60"/>
      <c r="D1039" s="8"/>
      <c r="E1039" s="8"/>
      <c r="F1039" s="37"/>
    </row>
    <row r="1040" spans="2:6">
      <c r="B1040" s="1"/>
      <c r="C1040" s="60"/>
      <c r="D1040" s="8"/>
      <c r="E1040" s="8"/>
      <c r="F1040" s="37"/>
    </row>
    <row r="1041" spans="2:6">
      <c r="B1041" s="1"/>
      <c r="C1041" s="60"/>
      <c r="D1041" s="8"/>
      <c r="E1041" s="8"/>
      <c r="F1041" s="37"/>
    </row>
    <row r="1042" spans="2:6">
      <c r="B1042" s="1"/>
      <c r="C1042" s="60"/>
      <c r="D1042" s="8"/>
      <c r="E1042" s="8"/>
      <c r="F1042" s="37"/>
    </row>
    <row r="1043" spans="2:6">
      <c r="B1043" s="1"/>
      <c r="C1043" s="60"/>
      <c r="D1043" s="8"/>
      <c r="E1043" s="8"/>
      <c r="F1043" s="14"/>
    </row>
    <row r="1044" spans="2:6">
      <c r="B1044" s="1"/>
      <c r="C1044" s="60"/>
      <c r="D1044" s="8"/>
      <c r="E1044" s="8"/>
      <c r="F1044" s="14"/>
    </row>
    <row r="1045" spans="2:6">
      <c r="B1045" s="1"/>
      <c r="C1045" s="60"/>
      <c r="D1045" s="8"/>
      <c r="E1045" s="8"/>
      <c r="F1045" s="14"/>
    </row>
    <row r="1046" spans="2:6">
      <c r="B1046" s="1"/>
      <c r="C1046" s="60"/>
      <c r="D1046" s="8"/>
      <c r="E1046" s="8"/>
      <c r="F1046" s="14"/>
    </row>
    <row r="1047" spans="2:6">
      <c r="B1047" s="1"/>
      <c r="C1047" s="60"/>
      <c r="D1047" s="8"/>
      <c r="E1047" s="8"/>
      <c r="F1047" s="14"/>
    </row>
    <row r="1048" spans="2:6">
      <c r="B1048" s="1"/>
      <c r="C1048" s="60"/>
      <c r="D1048" s="8"/>
      <c r="E1048" s="8"/>
      <c r="F1048" s="14"/>
    </row>
    <row r="1049" spans="2:6">
      <c r="B1049" s="1"/>
      <c r="C1049" s="60"/>
      <c r="D1049" s="8"/>
      <c r="E1049" s="8"/>
      <c r="F1049" s="14"/>
    </row>
    <row r="1050" spans="2:6">
      <c r="B1050" s="1"/>
      <c r="C1050" s="60"/>
      <c r="D1050" s="8"/>
      <c r="E1050" s="8"/>
      <c r="F1050" s="14"/>
    </row>
    <row r="1051" spans="2:6">
      <c r="B1051" s="1"/>
      <c r="C1051" s="60"/>
      <c r="D1051" s="8"/>
      <c r="E1051" s="8"/>
      <c r="F1051" s="37"/>
    </row>
    <row r="1052" spans="2:6">
      <c r="B1052" s="1"/>
      <c r="C1052" s="60"/>
      <c r="D1052" s="8"/>
      <c r="E1052" s="8"/>
      <c r="F1052" s="37"/>
    </row>
    <row r="1053" spans="2:6">
      <c r="B1053" s="1"/>
      <c r="C1053" s="60"/>
      <c r="D1053" s="8"/>
      <c r="E1053" s="8"/>
      <c r="F1053" s="37"/>
    </row>
    <row r="1054" spans="2:6">
      <c r="B1054" s="1"/>
      <c r="C1054" s="60"/>
      <c r="D1054" s="8"/>
      <c r="E1054" s="8"/>
      <c r="F1054" s="14"/>
    </row>
    <row r="1055" spans="2:6">
      <c r="B1055" s="1"/>
      <c r="C1055" s="60"/>
      <c r="D1055" s="8"/>
      <c r="E1055" s="8"/>
      <c r="F1055" s="37"/>
    </row>
    <row r="1056" spans="2:6">
      <c r="B1056" s="1"/>
      <c r="C1056" s="60"/>
      <c r="D1056" s="8"/>
      <c r="E1056" s="8"/>
      <c r="F1056" s="37"/>
    </row>
    <row r="1057" spans="2:6">
      <c r="B1057" s="1"/>
      <c r="C1057" s="60"/>
      <c r="D1057" s="8"/>
      <c r="E1057" s="8"/>
      <c r="F1057" s="37"/>
    </row>
    <row r="1058" spans="2:6">
      <c r="B1058" s="1"/>
      <c r="C1058" s="60"/>
      <c r="D1058" s="8"/>
      <c r="E1058" s="8"/>
      <c r="F1058" s="37"/>
    </row>
    <row r="1059" spans="2:6">
      <c r="B1059" s="1"/>
      <c r="C1059" s="60"/>
      <c r="D1059" s="8"/>
      <c r="E1059" s="8"/>
      <c r="F1059" s="37"/>
    </row>
    <row r="1060" spans="2:6">
      <c r="B1060" s="1"/>
      <c r="C1060" s="60"/>
      <c r="D1060" s="8"/>
      <c r="E1060" s="8"/>
      <c r="F1060" s="14"/>
    </row>
    <row r="1061" spans="2:6">
      <c r="B1061" s="1"/>
      <c r="C1061" s="60"/>
      <c r="D1061" s="8"/>
      <c r="E1061" s="8"/>
      <c r="F1061" s="14"/>
    </row>
    <row r="1062" spans="2:6">
      <c r="B1062" s="1"/>
      <c r="C1062" s="60"/>
      <c r="D1062" s="8"/>
      <c r="E1062" s="8"/>
      <c r="F1062" s="14"/>
    </row>
    <row r="1063" spans="2:6">
      <c r="B1063" s="1"/>
      <c r="C1063" s="60"/>
      <c r="D1063" s="8"/>
      <c r="E1063" s="8"/>
      <c r="F1063" s="37"/>
    </row>
    <row r="1064" spans="2:6">
      <c r="B1064" s="1"/>
      <c r="C1064" s="60"/>
      <c r="D1064" s="8"/>
      <c r="E1064" s="8"/>
      <c r="F1064" s="37"/>
    </row>
    <row r="1065" spans="2:6">
      <c r="B1065" s="1"/>
      <c r="C1065" s="60"/>
      <c r="D1065" s="8"/>
      <c r="E1065" s="8"/>
      <c r="F1065" s="14"/>
    </row>
    <row r="1066" spans="2:6">
      <c r="B1066" s="1"/>
      <c r="C1066" s="60"/>
      <c r="D1066" s="8"/>
      <c r="E1066" s="8"/>
      <c r="F1066" s="14"/>
    </row>
    <row r="1067" spans="2:6">
      <c r="B1067" s="1"/>
      <c r="C1067" s="60"/>
      <c r="D1067" s="8"/>
      <c r="E1067" s="8"/>
      <c r="F1067" s="37"/>
    </row>
    <row r="1068" spans="2:6">
      <c r="B1068" s="1"/>
      <c r="C1068" s="60"/>
      <c r="D1068" s="8"/>
      <c r="E1068" s="8"/>
      <c r="F1068" s="14"/>
    </row>
    <row r="1069" spans="2:6">
      <c r="B1069" s="1"/>
      <c r="C1069" s="60"/>
      <c r="D1069" s="8"/>
      <c r="E1069" s="8"/>
      <c r="F1069" s="37"/>
    </row>
    <row r="1070" spans="2:6">
      <c r="B1070" s="1"/>
      <c r="C1070" s="60"/>
      <c r="D1070" s="8"/>
      <c r="E1070" s="8"/>
      <c r="F1070" s="37"/>
    </row>
    <row r="1071" spans="2:6">
      <c r="B1071" s="1"/>
      <c r="C1071" s="60"/>
      <c r="D1071" s="8"/>
      <c r="E1071" s="8"/>
      <c r="F1071" s="37"/>
    </row>
    <row r="1072" spans="2:6">
      <c r="B1072" s="1"/>
      <c r="C1072" s="60"/>
      <c r="D1072" s="8"/>
      <c r="E1072" s="8"/>
      <c r="F1072" s="37"/>
    </row>
    <row r="1073" spans="2:6">
      <c r="B1073" s="1"/>
      <c r="C1073" s="60"/>
      <c r="D1073" s="8"/>
      <c r="E1073" s="8"/>
      <c r="F1073" s="14"/>
    </row>
    <row r="1074" spans="2:6">
      <c r="B1074" s="1"/>
      <c r="C1074" s="60"/>
      <c r="D1074" s="8"/>
      <c r="E1074" s="8"/>
      <c r="F1074" s="14"/>
    </row>
    <row r="1075" spans="2:6">
      <c r="B1075" s="1"/>
      <c r="C1075" s="60"/>
      <c r="D1075" s="8"/>
      <c r="E1075" s="8"/>
      <c r="F1075" s="37"/>
    </row>
    <row r="1076" spans="2:6">
      <c r="B1076" s="1"/>
      <c r="C1076" s="60"/>
      <c r="D1076" s="8"/>
      <c r="E1076" s="8"/>
      <c r="F1076" s="37"/>
    </row>
    <row r="1077" spans="2:6">
      <c r="B1077" s="1"/>
      <c r="C1077" s="60"/>
      <c r="D1077" s="8"/>
      <c r="E1077" s="8"/>
      <c r="F1077" s="14"/>
    </row>
    <row r="1078" spans="2:6">
      <c r="B1078" s="1"/>
      <c r="C1078" s="60"/>
      <c r="D1078" s="8"/>
      <c r="E1078" s="8"/>
      <c r="F1078" s="14"/>
    </row>
    <row r="1079" spans="2:6">
      <c r="B1079" s="1"/>
      <c r="C1079" s="60"/>
      <c r="D1079" s="8"/>
      <c r="E1079" s="8"/>
      <c r="F1079" s="14"/>
    </row>
    <row r="1080" spans="2:6">
      <c r="B1080" s="1"/>
      <c r="C1080" s="60"/>
      <c r="D1080" s="8"/>
      <c r="E1080" s="8"/>
      <c r="F1080" s="14"/>
    </row>
    <row r="1081" spans="2:6">
      <c r="B1081" s="1"/>
      <c r="C1081" s="60"/>
      <c r="D1081" s="8"/>
      <c r="E1081" s="8"/>
      <c r="F1081" s="37"/>
    </row>
    <row r="1082" spans="2:6">
      <c r="B1082" s="1"/>
      <c r="C1082" s="60"/>
      <c r="D1082" s="8"/>
      <c r="E1082" s="8"/>
      <c r="F1082" s="14"/>
    </row>
    <row r="1083" spans="2:6">
      <c r="B1083" s="1"/>
      <c r="C1083" s="60"/>
      <c r="D1083" s="8"/>
      <c r="E1083" s="8"/>
      <c r="F1083" s="14"/>
    </row>
    <row r="1084" spans="2:6">
      <c r="B1084" s="1"/>
      <c r="C1084" s="60"/>
      <c r="D1084" s="8"/>
      <c r="E1084" s="8"/>
      <c r="F1084" s="37"/>
    </row>
    <row r="1085" spans="2:6">
      <c r="B1085" s="1"/>
      <c r="C1085" s="60"/>
      <c r="D1085" s="8"/>
      <c r="E1085" s="8"/>
      <c r="F1085" s="37"/>
    </row>
    <row r="1086" spans="2:6">
      <c r="B1086" s="1"/>
      <c r="C1086" s="60"/>
      <c r="D1086" s="8"/>
      <c r="E1086" s="8"/>
      <c r="F1086" s="37"/>
    </row>
    <row r="1087" spans="2:6">
      <c r="B1087" s="1"/>
      <c r="C1087" s="60"/>
      <c r="D1087" s="8"/>
      <c r="E1087" s="8"/>
      <c r="F1087" s="14"/>
    </row>
    <row r="1088" spans="2:6">
      <c r="B1088" s="1"/>
      <c r="C1088" s="60"/>
      <c r="D1088" s="8"/>
      <c r="E1088" s="8"/>
      <c r="F1088" s="37"/>
    </row>
    <row r="1089" spans="2:6">
      <c r="B1089" s="1"/>
      <c r="C1089" s="60"/>
      <c r="D1089" s="8"/>
      <c r="E1089" s="8"/>
      <c r="F1089" s="14"/>
    </row>
    <row r="1090" spans="2:6">
      <c r="B1090" s="1"/>
      <c r="C1090" s="60"/>
      <c r="D1090" s="8"/>
      <c r="E1090" s="8"/>
      <c r="F1090" s="37"/>
    </row>
    <row r="1091" spans="2:6">
      <c r="B1091" s="1"/>
      <c r="C1091" s="60"/>
      <c r="D1091" s="8"/>
      <c r="E1091" s="8"/>
      <c r="F1091" s="14"/>
    </row>
    <row r="1092" spans="2:6">
      <c r="B1092" s="1"/>
      <c r="C1092" s="60"/>
      <c r="D1092" s="8"/>
      <c r="E1092" s="8"/>
      <c r="F1092" s="14"/>
    </row>
    <row r="1093" spans="2:6">
      <c r="B1093" s="1"/>
      <c r="C1093" s="60"/>
      <c r="D1093" s="8"/>
      <c r="E1093" s="8"/>
      <c r="F1093" s="14"/>
    </row>
    <row r="1094" spans="2:6">
      <c r="B1094" s="1"/>
      <c r="C1094" s="60"/>
      <c r="D1094" s="8"/>
      <c r="E1094" s="8"/>
      <c r="F1094" s="14"/>
    </row>
    <row r="1095" spans="2:6">
      <c r="B1095" s="1"/>
      <c r="C1095" s="60"/>
      <c r="D1095" s="8"/>
      <c r="E1095" s="8"/>
      <c r="F1095" s="37"/>
    </row>
    <row r="1096" spans="2:6">
      <c r="B1096" s="1"/>
      <c r="C1096" s="60"/>
      <c r="D1096" s="8"/>
      <c r="E1096" s="8"/>
      <c r="F1096" s="14"/>
    </row>
    <row r="1097" spans="2:6">
      <c r="B1097" s="1"/>
      <c r="C1097" s="60"/>
      <c r="D1097" s="8"/>
      <c r="E1097" s="8"/>
      <c r="F1097" s="37"/>
    </row>
    <row r="1098" spans="2:6">
      <c r="B1098" s="1"/>
      <c r="C1098" s="60"/>
      <c r="D1098" s="8"/>
      <c r="E1098" s="8"/>
      <c r="F1098" s="37"/>
    </row>
    <row r="1099" spans="2:6">
      <c r="B1099" s="1"/>
      <c r="C1099" s="60"/>
      <c r="D1099" s="8"/>
      <c r="E1099" s="8"/>
      <c r="F1099" s="14"/>
    </row>
    <row r="1100" spans="2:6">
      <c r="B1100" s="1"/>
      <c r="C1100" s="60"/>
      <c r="D1100" s="8"/>
      <c r="E1100" s="8"/>
      <c r="F1100" s="14"/>
    </row>
    <row r="1101" spans="2:6">
      <c r="B1101" s="1"/>
      <c r="C1101" s="60"/>
      <c r="D1101" s="8"/>
      <c r="E1101" s="8"/>
      <c r="F1101" s="14"/>
    </row>
    <row r="1102" spans="2:6">
      <c r="B1102" s="1"/>
      <c r="C1102" s="60"/>
      <c r="D1102" s="8"/>
      <c r="E1102" s="8"/>
      <c r="F1102" s="37"/>
    </row>
    <row r="1103" spans="2:6">
      <c r="B1103" s="1"/>
      <c r="C1103" s="60"/>
      <c r="D1103" s="8"/>
      <c r="E1103" s="8"/>
      <c r="F1103" s="37"/>
    </row>
    <row r="1104" spans="2:6">
      <c r="B1104" s="1"/>
      <c r="C1104" s="60"/>
      <c r="D1104" s="8"/>
      <c r="E1104" s="8"/>
      <c r="F1104" s="37"/>
    </row>
    <row r="1105" spans="2:6">
      <c r="B1105" s="1"/>
      <c r="C1105" s="60"/>
      <c r="D1105" s="8"/>
      <c r="E1105" s="8"/>
      <c r="F1105" s="37"/>
    </row>
    <row r="1106" spans="2:6">
      <c r="B1106" s="1"/>
      <c r="C1106" s="60"/>
      <c r="D1106" s="8"/>
      <c r="E1106" s="8"/>
      <c r="F1106" s="14"/>
    </row>
    <row r="1107" spans="2:6">
      <c r="B1107" s="1"/>
      <c r="C1107" s="60"/>
      <c r="D1107" s="8"/>
      <c r="E1107" s="8"/>
      <c r="F1107" s="37"/>
    </row>
    <row r="1108" spans="2:6">
      <c r="B1108" s="1"/>
      <c r="C1108" s="60"/>
      <c r="D1108" s="8"/>
      <c r="E1108" s="8"/>
      <c r="F1108" s="14"/>
    </row>
    <row r="1109" spans="2:6">
      <c r="B1109" s="1"/>
      <c r="C1109" s="60"/>
      <c r="D1109" s="8"/>
      <c r="E1109" s="8"/>
      <c r="F1109" s="14"/>
    </row>
    <row r="1110" spans="2:6">
      <c r="B1110" s="1"/>
      <c r="C1110" s="60"/>
      <c r="D1110" s="8"/>
      <c r="E1110" s="8"/>
      <c r="F1110" s="37"/>
    </row>
    <row r="1111" spans="2:6">
      <c r="B1111" s="1"/>
      <c r="C1111" s="60"/>
      <c r="D1111" s="8"/>
      <c r="E1111" s="8"/>
      <c r="F1111" s="14"/>
    </row>
    <row r="1112" spans="2:6">
      <c r="B1112" s="1"/>
      <c r="C1112" s="60"/>
      <c r="D1112" s="8"/>
      <c r="E1112" s="8"/>
      <c r="F1112" s="14"/>
    </row>
    <row r="1113" spans="2:6">
      <c r="B1113" s="1"/>
      <c r="C1113" s="60"/>
      <c r="D1113" s="8"/>
      <c r="E1113" s="8"/>
      <c r="F1113" s="14"/>
    </row>
    <row r="1114" spans="2:6">
      <c r="B1114" s="1"/>
      <c r="C1114" s="60"/>
      <c r="D1114" s="8"/>
      <c r="E1114" s="8"/>
      <c r="F1114" s="14"/>
    </row>
    <row r="1115" spans="2:6">
      <c r="B1115" s="1"/>
      <c r="C1115" s="60"/>
      <c r="D1115" s="8"/>
      <c r="E1115" s="8"/>
      <c r="F1115" s="14"/>
    </row>
    <row r="1116" spans="2:6">
      <c r="B1116" s="1"/>
      <c r="C1116" s="60"/>
      <c r="D1116" s="8"/>
      <c r="E1116" s="8"/>
      <c r="F1116" s="14"/>
    </row>
    <row r="1117" spans="2:6">
      <c r="B1117" s="1"/>
      <c r="C1117" s="60"/>
      <c r="D1117" s="8"/>
      <c r="E1117" s="8"/>
      <c r="F1117" s="37"/>
    </row>
    <row r="1118" spans="2:6">
      <c r="B1118" s="1"/>
      <c r="C1118" s="60"/>
      <c r="D1118" s="8"/>
      <c r="E1118" s="8"/>
      <c r="F1118" s="14"/>
    </row>
    <row r="1119" spans="2:6">
      <c r="B1119" s="1"/>
      <c r="C1119" s="60"/>
      <c r="D1119" s="8"/>
      <c r="E1119" s="8"/>
      <c r="F1119" s="14"/>
    </row>
    <row r="1120" spans="2:6">
      <c r="B1120" s="1"/>
      <c r="C1120" s="60"/>
      <c r="D1120" s="8"/>
      <c r="E1120" s="8"/>
      <c r="F1120" s="14"/>
    </row>
    <row r="1121" spans="2:6">
      <c r="B1121" s="1"/>
      <c r="C1121" s="60"/>
      <c r="D1121" s="8"/>
      <c r="E1121" s="8"/>
      <c r="F1121" s="14"/>
    </row>
    <row r="1122" spans="2:6">
      <c r="B1122" s="1"/>
      <c r="C1122" s="60"/>
      <c r="D1122" s="8"/>
      <c r="E1122" s="8"/>
      <c r="F1122" s="37"/>
    </row>
    <row r="1123" spans="2:6">
      <c r="B1123" s="1"/>
      <c r="C1123" s="60"/>
      <c r="D1123" s="8"/>
      <c r="E1123" s="8"/>
      <c r="F1123" s="14"/>
    </row>
    <row r="1124" spans="2:6">
      <c r="B1124" s="1"/>
      <c r="C1124" s="60"/>
      <c r="D1124" s="8"/>
      <c r="E1124" s="8"/>
      <c r="F1124" s="14"/>
    </row>
    <row r="1125" spans="2:6">
      <c r="B1125" s="1"/>
      <c r="C1125" s="60"/>
      <c r="D1125" s="8"/>
      <c r="E1125" s="8"/>
      <c r="F1125" s="37"/>
    </row>
    <row r="1126" spans="2:6">
      <c r="B1126" s="1"/>
      <c r="C1126" s="60"/>
      <c r="D1126" s="8"/>
      <c r="E1126" s="8"/>
      <c r="F1126" s="14"/>
    </row>
    <row r="1127" spans="2:6">
      <c r="B1127" s="1"/>
      <c r="C1127" s="60"/>
      <c r="D1127" s="8"/>
      <c r="E1127" s="8"/>
      <c r="F1127" s="37"/>
    </row>
    <row r="1128" spans="2:6">
      <c r="B1128" s="1"/>
      <c r="C1128" s="60"/>
      <c r="D1128" s="8"/>
      <c r="E1128" s="8"/>
      <c r="F1128" s="14"/>
    </row>
    <row r="1129" spans="2:6">
      <c r="B1129" s="1"/>
      <c r="C1129" s="60"/>
      <c r="D1129" s="8"/>
      <c r="E1129" s="8"/>
      <c r="F1129" s="37"/>
    </row>
    <row r="1130" spans="2:6">
      <c r="B1130" s="1"/>
      <c r="C1130" s="60"/>
      <c r="D1130" s="8"/>
      <c r="E1130" s="8"/>
      <c r="F1130" s="14"/>
    </row>
    <row r="1131" spans="2:6">
      <c r="B1131" s="1"/>
      <c r="C1131" s="60"/>
      <c r="D1131" s="8"/>
      <c r="E1131" s="8"/>
      <c r="F1131" s="14"/>
    </row>
    <row r="1132" spans="2:6">
      <c r="B1132" s="1"/>
      <c r="C1132" s="60"/>
      <c r="D1132" s="8"/>
      <c r="E1132" s="8"/>
      <c r="F1132" s="14"/>
    </row>
    <row r="1133" spans="2:6">
      <c r="B1133" s="1"/>
      <c r="C1133" s="60"/>
      <c r="D1133" s="8"/>
      <c r="E1133" s="8"/>
      <c r="F1133" s="37"/>
    </row>
    <row r="1134" spans="2:6">
      <c r="B1134" s="1"/>
      <c r="C1134" s="60"/>
      <c r="D1134" s="8"/>
      <c r="E1134" s="8"/>
      <c r="F1134" s="14"/>
    </row>
    <row r="1135" spans="2:6">
      <c r="B1135" s="1"/>
      <c r="C1135" s="60"/>
      <c r="D1135" s="8"/>
      <c r="E1135" s="8"/>
      <c r="F1135" s="14"/>
    </row>
    <row r="1136" spans="2:6">
      <c r="B1136" s="1"/>
      <c r="C1136" s="60"/>
      <c r="D1136" s="8"/>
      <c r="E1136" s="8"/>
      <c r="F1136" s="14"/>
    </row>
    <row r="1137" spans="2:6">
      <c r="B1137" s="1"/>
      <c r="C1137" s="60"/>
      <c r="D1137" s="8"/>
      <c r="E1137" s="8"/>
      <c r="F1137" s="37"/>
    </row>
    <row r="1138" spans="2:6">
      <c r="B1138" s="1"/>
      <c r="C1138" s="60"/>
      <c r="D1138" s="8"/>
      <c r="E1138" s="8"/>
      <c r="F1138" s="14"/>
    </row>
    <row r="1139" spans="2:6">
      <c r="B1139" s="1"/>
      <c r="C1139" s="60"/>
      <c r="D1139" s="8"/>
      <c r="E1139" s="8"/>
      <c r="F1139" s="14"/>
    </row>
    <row r="1140" spans="2:6">
      <c r="B1140" s="1"/>
      <c r="C1140" s="60"/>
      <c r="D1140" s="8"/>
      <c r="E1140" s="8"/>
      <c r="F1140" s="37"/>
    </row>
    <row r="1141" spans="2:6">
      <c r="B1141" s="1"/>
      <c r="C1141" s="60"/>
      <c r="D1141" s="8"/>
      <c r="E1141" s="8"/>
      <c r="F1141" s="37"/>
    </row>
    <row r="1142" spans="2:6">
      <c r="B1142" s="1"/>
      <c r="C1142" s="60"/>
      <c r="D1142" s="8"/>
      <c r="E1142" s="8"/>
      <c r="F1142" s="37"/>
    </row>
    <row r="1143" spans="2:6">
      <c r="B1143" s="1"/>
      <c r="C1143" s="60"/>
      <c r="D1143" s="8"/>
      <c r="E1143" s="8"/>
      <c r="F1143" s="37"/>
    </row>
    <row r="1144" spans="2:6">
      <c r="B1144" s="1"/>
      <c r="C1144" s="60"/>
      <c r="D1144" s="8"/>
      <c r="E1144" s="8"/>
      <c r="F1144" s="14"/>
    </row>
    <row r="1145" spans="2:6">
      <c r="B1145" s="1"/>
      <c r="C1145" s="60"/>
      <c r="D1145" s="8"/>
      <c r="E1145" s="8"/>
      <c r="F1145" s="37"/>
    </row>
    <row r="1146" spans="2:6">
      <c r="B1146" s="1"/>
      <c r="C1146" s="60"/>
      <c r="D1146" s="8"/>
      <c r="E1146" s="8"/>
      <c r="F1146" s="37"/>
    </row>
    <row r="1147" spans="2:6">
      <c r="B1147" s="1"/>
      <c r="C1147" s="60"/>
      <c r="D1147" s="8"/>
      <c r="E1147" s="8"/>
      <c r="F1147" s="14"/>
    </row>
    <row r="1148" spans="2:6">
      <c r="B1148" s="1"/>
      <c r="C1148" s="60"/>
      <c r="D1148" s="8"/>
      <c r="E1148" s="8"/>
      <c r="F1148" s="37"/>
    </row>
    <row r="1149" spans="2:6">
      <c r="B1149" s="1"/>
      <c r="C1149" s="60"/>
      <c r="D1149" s="8"/>
      <c r="E1149" s="8"/>
      <c r="F1149" s="37"/>
    </row>
    <row r="1150" spans="2:6">
      <c r="B1150" s="1"/>
      <c r="C1150" s="60"/>
      <c r="D1150" s="8"/>
      <c r="E1150" s="8"/>
      <c r="F1150" s="37"/>
    </row>
    <row r="1151" spans="2:6">
      <c r="B1151" s="1"/>
      <c r="C1151" s="60"/>
      <c r="D1151" s="8"/>
      <c r="E1151" s="8"/>
      <c r="F1151" s="14"/>
    </row>
    <row r="1152" spans="2:6">
      <c r="B1152" s="1"/>
      <c r="C1152" s="60"/>
      <c r="D1152" s="8"/>
      <c r="E1152" s="8"/>
      <c r="F1152" s="14"/>
    </row>
    <row r="1153" spans="2:6">
      <c r="B1153" s="1"/>
      <c r="C1153" s="60"/>
      <c r="D1153" s="8"/>
      <c r="E1153" s="8"/>
      <c r="F1153" s="37"/>
    </row>
    <row r="1154" spans="2:6">
      <c r="B1154" s="1"/>
      <c r="C1154" s="60"/>
      <c r="D1154" s="8"/>
      <c r="E1154" s="8"/>
      <c r="F1154" s="14"/>
    </row>
    <row r="1155" spans="2:6">
      <c r="B1155" s="1"/>
      <c r="C1155" s="60"/>
      <c r="D1155" s="8"/>
      <c r="E1155" s="8"/>
      <c r="F1155" s="14"/>
    </row>
    <row r="1156" spans="2:6">
      <c r="B1156" s="1"/>
      <c r="C1156" s="60"/>
      <c r="D1156" s="8"/>
      <c r="E1156" s="8"/>
      <c r="F1156" s="14"/>
    </row>
    <row r="1157" spans="2:6">
      <c r="B1157" s="1"/>
      <c r="C1157" s="60"/>
      <c r="D1157" s="8"/>
      <c r="E1157" s="8"/>
      <c r="F1157" s="37"/>
    </row>
    <row r="1158" spans="2:6">
      <c r="B1158" s="1"/>
      <c r="C1158" s="60"/>
      <c r="D1158" s="8"/>
      <c r="E1158" s="8"/>
      <c r="F1158" s="37"/>
    </row>
    <row r="1159" spans="2:6">
      <c r="B1159" s="1"/>
      <c r="C1159" s="60"/>
      <c r="D1159" s="8"/>
      <c r="E1159" s="8"/>
      <c r="F1159" s="14"/>
    </row>
    <row r="1160" spans="2:6">
      <c r="B1160" s="1"/>
      <c r="C1160" s="60"/>
      <c r="D1160" s="8"/>
      <c r="E1160" s="8"/>
      <c r="F1160" s="37"/>
    </row>
    <row r="1161" spans="2:6">
      <c r="B1161" s="1"/>
      <c r="C1161" s="60"/>
      <c r="D1161" s="8"/>
      <c r="E1161" s="8"/>
      <c r="F1161" s="37"/>
    </row>
    <row r="1162" spans="2:6">
      <c r="B1162" s="1"/>
      <c r="C1162" s="60"/>
      <c r="D1162" s="8"/>
      <c r="E1162" s="8"/>
      <c r="F1162" s="14"/>
    </row>
    <row r="1163" spans="2:6">
      <c r="B1163" s="1"/>
      <c r="C1163" s="60"/>
      <c r="D1163" s="8"/>
      <c r="E1163" s="8"/>
      <c r="F1163" s="14"/>
    </row>
    <row r="1164" spans="2:6">
      <c r="B1164" s="1"/>
      <c r="C1164" s="60"/>
      <c r="D1164" s="8"/>
      <c r="E1164" s="8"/>
      <c r="F1164" s="14"/>
    </row>
    <row r="1165" spans="2:6">
      <c r="B1165" s="1"/>
      <c r="C1165" s="60"/>
      <c r="D1165" s="8"/>
      <c r="E1165" s="8"/>
      <c r="F1165" s="37"/>
    </row>
    <row r="1166" spans="2:6">
      <c r="B1166" s="1"/>
      <c r="C1166" s="60"/>
      <c r="D1166" s="8"/>
      <c r="E1166" s="8"/>
      <c r="F1166" s="14"/>
    </row>
    <row r="1167" spans="2:6">
      <c r="B1167" s="1"/>
      <c r="C1167" s="60"/>
      <c r="D1167" s="8"/>
      <c r="E1167" s="8"/>
      <c r="F1167" s="37"/>
    </row>
    <row r="1168" spans="2:6">
      <c r="B1168" s="1"/>
      <c r="C1168" s="60"/>
      <c r="D1168" s="8"/>
      <c r="E1168" s="8"/>
      <c r="F1168" s="37"/>
    </row>
    <row r="1169" spans="2:6">
      <c r="B1169" s="1"/>
      <c r="C1169" s="60"/>
      <c r="D1169" s="8"/>
      <c r="E1169" s="8"/>
      <c r="F1169" s="37"/>
    </row>
    <row r="1170" spans="2:6">
      <c r="B1170" s="1"/>
      <c r="C1170" s="60"/>
      <c r="D1170" s="8"/>
      <c r="E1170" s="8"/>
      <c r="F1170" s="14"/>
    </row>
    <row r="1171" spans="2:6">
      <c r="B1171" s="1"/>
      <c r="C1171" s="60"/>
      <c r="D1171" s="8"/>
      <c r="E1171" s="8"/>
      <c r="F1171" s="37"/>
    </row>
    <row r="1172" spans="2:6">
      <c r="B1172" s="1"/>
      <c r="C1172" s="60"/>
      <c r="D1172" s="8"/>
      <c r="E1172" s="8"/>
      <c r="F1172" s="37"/>
    </row>
    <row r="1173" spans="2:6">
      <c r="B1173" s="1"/>
      <c r="C1173" s="60"/>
      <c r="D1173" s="8"/>
      <c r="E1173" s="8"/>
      <c r="F1173" s="37"/>
    </row>
    <row r="1174" spans="2:6">
      <c r="B1174" s="1"/>
      <c r="C1174" s="60"/>
      <c r="D1174" s="8"/>
      <c r="E1174" s="8"/>
      <c r="F1174" s="14"/>
    </row>
    <row r="1175" spans="2:6">
      <c r="B1175" s="1"/>
      <c r="C1175" s="60"/>
      <c r="D1175" s="8"/>
      <c r="E1175" s="8"/>
      <c r="F1175" s="14"/>
    </row>
    <row r="1176" spans="2:6">
      <c r="B1176" s="1"/>
      <c r="C1176" s="60"/>
      <c r="D1176" s="8"/>
      <c r="E1176" s="8"/>
      <c r="F1176" s="14"/>
    </row>
    <row r="1177" spans="2:6">
      <c r="B1177" s="1"/>
      <c r="C1177" s="60"/>
      <c r="D1177" s="8"/>
      <c r="E1177" s="8"/>
      <c r="F1177" s="37"/>
    </row>
    <row r="1178" spans="2:6">
      <c r="B1178" s="1"/>
      <c r="C1178" s="60"/>
      <c r="D1178" s="8"/>
      <c r="E1178" s="8"/>
      <c r="F1178" s="14"/>
    </row>
    <row r="1179" spans="2:6">
      <c r="B1179" s="1"/>
      <c r="C1179" s="60"/>
      <c r="D1179" s="8"/>
      <c r="E1179" s="8"/>
      <c r="F1179" s="37"/>
    </row>
    <row r="1180" spans="2:6">
      <c r="B1180" s="1"/>
      <c r="C1180" s="60"/>
      <c r="D1180" s="8"/>
      <c r="E1180" s="8"/>
      <c r="F1180" s="37"/>
    </row>
    <row r="1181" spans="2:6">
      <c r="B1181" s="1"/>
      <c r="C1181" s="60"/>
      <c r="D1181" s="8"/>
      <c r="E1181" s="8"/>
      <c r="F1181" s="37"/>
    </row>
    <row r="1182" spans="2:6">
      <c r="B1182" s="1"/>
      <c r="C1182" s="60"/>
      <c r="D1182" s="8"/>
      <c r="E1182" s="8"/>
      <c r="F1182" s="14"/>
    </row>
    <row r="1183" spans="2:6">
      <c r="B1183" s="1"/>
      <c r="C1183" s="60"/>
      <c r="D1183" s="8"/>
      <c r="E1183" s="8"/>
      <c r="F1183" s="37"/>
    </row>
    <row r="1184" spans="2:6">
      <c r="B1184" s="1"/>
      <c r="C1184" s="60"/>
      <c r="D1184" s="8"/>
      <c r="E1184" s="8"/>
      <c r="F1184" s="37"/>
    </row>
    <row r="1185" spans="2:6">
      <c r="B1185" s="1"/>
      <c r="C1185" s="60"/>
      <c r="D1185" s="8"/>
      <c r="E1185" s="8"/>
      <c r="F1185" s="37"/>
    </row>
    <row r="1186" spans="2:6">
      <c r="B1186" s="1"/>
      <c r="C1186" s="60"/>
      <c r="D1186" s="8"/>
      <c r="E1186" s="8"/>
      <c r="F1186" s="14"/>
    </row>
    <row r="1187" spans="2:6">
      <c r="B1187" s="1"/>
      <c r="C1187" s="60"/>
      <c r="D1187" s="8"/>
      <c r="E1187" s="8"/>
      <c r="F1187" s="14"/>
    </row>
    <row r="1188" spans="2:6">
      <c r="B1188" s="1"/>
      <c r="C1188" s="60"/>
      <c r="D1188" s="8"/>
      <c r="E1188" s="8"/>
      <c r="F1188" s="14"/>
    </row>
    <row r="1189" spans="2:6">
      <c r="B1189" s="1"/>
      <c r="C1189" s="60"/>
      <c r="D1189" s="8"/>
      <c r="E1189" s="8"/>
      <c r="F1189" s="14"/>
    </row>
    <row r="1190" spans="2:6">
      <c r="B1190" s="1"/>
      <c r="C1190" s="60"/>
      <c r="D1190" s="8"/>
      <c r="E1190" s="8"/>
      <c r="F1190" s="37"/>
    </row>
    <row r="1191" spans="2:6">
      <c r="B1191" s="1"/>
      <c r="C1191" s="60"/>
      <c r="D1191" s="8"/>
      <c r="E1191" s="8"/>
      <c r="F1191" s="14"/>
    </row>
    <row r="1192" spans="2:6">
      <c r="B1192" s="1"/>
      <c r="C1192" s="60"/>
      <c r="D1192" s="8"/>
      <c r="E1192" s="8"/>
      <c r="F1192" s="14"/>
    </row>
    <row r="1193" spans="2:6">
      <c r="B1193" s="1"/>
      <c r="C1193" s="60"/>
      <c r="D1193" s="8"/>
      <c r="E1193" s="8"/>
      <c r="F1193" s="14"/>
    </row>
    <row r="1194" spans="2:6">
      <c r="B1194" s="1"/>
      <c r="C1194" s="60"/>
      <c r="D1194" s="8"/>
      <c r="E1194" s="8"/>
      <c r="F1194" s="37"/>
    </row>
    <row r="1195" spans="2:6">
      <c r="B1195" s="1"/>
      <c r="C1195" s="60"/>
      <c r="D1195" s="8"/>
      <c r="E1195" s="8"/>
      <c r="F1195" s="14"/>
    </row>
    <row r="1196" spans="2:6">
      <c r="B1196" s="1"/>
      <c r="C1196" s="60"/>
      <c r="D1196" s="8"/>
      <c r="E1196" s="8"/>
      <c r="F1196" s="37"/>
    </row>
    <row r="1197" spans="2:6">
      <c r="B1197" s="1"/>
      <c r="C1197" s="60"/>
      <c r="D1197" s="8"/>
      <c r="E1197" s="8"/>
      <c r="F1197" s="37"/>
    </row>
    <row r="1198" spans="2:6">
      <c r="B1198" s="1"/>
      <c r="C1198" s="60"/>
      <c r="D1198" s="8"/>
      <c r="E1198" s="8"/>
      <c r="F1198" s="14"/>
    </row>
    <row r="1199" spans="2:6">
      <c r="B1199" s="1"/>
      <c r="C1199" s="60"/>
      <c r="D1199" s="8"/>
      <c r="E1199" s="8"/>
      <c r="F1199" s="14"/>
    </row>
    <row r="1200" spans="2:6">
      <c r="B1200" s="1"/>
      <c r="C1200" s="60"/>
      <c r="D1200" s="8"/>
      <c r="E1200" s="8"/>
      <c r="F1200" s="37"/>
    </row>
    <row r="1201" spans="2:6">
      <c r="B1201" s="1"/>
      <c r="C1201" s="60"/>
      <c r="D1201" s="8"/>
      <c r="E1201" s="8"/>
      <c r="F1201" s="14"/>
    </row>
    <row r="1202" spans="2:6">
      <c r="B1202" s="1"/>
      <c r="C1202" s="60"/>
      <c r="D1202" s="8"/>
      <c r="E1202" s="8"/>
      <c r="F1202" s="14"/>
    </row>
    <row r="1203" spans="2:6">
      <c r="B1203" s="1"/>
      <c r="C1203" s="60"/>
      <c r="D1203" s="8"/>
      <c r="E1203" s="8"/>
      <c r="F1203" s="14"/>
    </row>
    <row r="1204" spans="2:6">
      <c r="B1204" s="1"/>
      <c r="C1204" s="60"/>
      <c r="D1204" s="8"/>
      <c r="E1204" s="8"/>
      <c r="F1204" s="37"/>
    </row>
    <row r="1205" spans="2:6">
      <c r="B1205" s="1"/>
      <c r="C1205" s="60"/>
      <c r="D1205" s="8"/>
      <c r="E1205" s="8"/>
      <c r="F1205" s="37"/>
    </row>
    <row r="1206" spans="2:6">
      <c r="B1206" s="1"/>
      <c r="C1206" s="60"/>
      <c r="D1206" s="8"/>
      <c r="E1206" s="8"/>
      <c r="F1206" s="37"/>
    </row>
    <row r="1207" spans="2:6">
      <c r="B1207" s="1"/>
      <c r="C1207" s="60"/>
      <c r="D1207" s="8"/>
      <c r="E1207" s="8"/>
      <c r="F1207" s="14"/>
    </row>
    <row r="1208" spans="2:6">
      <c r="B1208" s="1"/>
      <c r="C1208" s="60"/>
      <c r="D1208" s="8"/>
      <c r="E1208" s="8"/>
      <c r="F1208" s="37"/>
    </row>
    <row r="1209" spans="2:6">
      <c r="B1209" s="1"/>
      <c r="C1209" s="60"/>
      <c r="D1209" s="8"/>
      <c r="E1209" s="8"/>
      <c r="F1209" s="37"/>
    </row>
    <row r="1210" spans="2:6">
      <c r="B1210" s="1"/>
      <c r="C1210" s="60"/>
      <c r="D1210" s="8"/>
      <c r="E1210" s="8"/>
      <c r="F1210" s="14"/>
    </row>
    <row r="1211" spans="2:6">
      <c r="B1211" s="1"/>
      <c r="C1211" s="60"/>
      <c r="D1211" s="8"/>
      <c r="E1211" s="8"/>
      <c r="F1211" s="14"/>
    </row>
    <row r="1212" spans="2:6">
      <c r="B1212" s="1"/>
      <c r="C1212" s="60"/>
      <c r="D1212" s="8"/>
      <c r="E1212" s="8"/>
      <c r="F1212" s="14"/>
    </row>
    <row r="1213" spans="2:6">
      <c r="B1213" s="1"/>
      <c r="C1213" s="60"/>
      <c r="D1213" s="8"/>
      <c r="E1213" s="8"/>
      <c r="F1213" s="37"/>
    </row>
    <row r="1214" spans="2:6">
      <c r="B1214" s="1"/>
      <c r="C1214" s="60"/>
      <c r="D1214" s="8"/>
      <c r="E1214" s="8"/>
      <c r="F1214" s="37"/>
    </row>
    <row r="1215" spans="2:6">
      <c r="B1215" s="1"/>
      <c r="C1215" s="60"/>
      <c r="D1215" s="8"/>
      <c r="E1215" s="8"/>
      <c r="F1215" s="37"/>
    </row>
    <row r="1216" spans="2:6">
      <c r="B1216" s="1"/>
      <c r="C1216" s="60"/>
      <c r="D1216" s="8"/>
      <c r="E1216" s="8"/>
      <c r="F1216" s="37"/>
    </row>
    <row r="1217" spans="2:6">
      <c r="B1217" s="1"/>
      <c r="C1217" s="60"/>
      <c r="D1217" s="8"/>
      <c r="E1217" s="8"/>
      <c r="F1217" s="14"/>
    </row>
    <row r="1218" spans="2:6">
      <c r="B1218" s="1"/>
      <c r="C1218" s="60"/>
      <c r="D1218" s="8"/>
      <c r="E1218" s="8"/>
      <c r="F1218" s="37"/>
    </row>
    <row r="1219" spans="2:6">
      <c r="B1219" s="1"/>
      <c r="C1219" s="60"/>
      <c r="D1219" s="8"/>
      <c r="E1219" s="8"/>
      <c r="F1219" s="37"/>
    </row>
    <row r="1220" spans="2:6">
      <c r="B1220" s="1"/>
      <c r="C1220" s="60"/>
      <c r="D1220" s="8"/>
      <c r="E1220" s="8"/>
      <c r="F1220" s="37"/>
    </row>
    <row r="1221" spans="2:6">
      <c r="B1221" s="1"/>
      <c r="C1221" s="60"/>
      <c r="D1221" s="8"/>
      <c r="E1221" s="8"/>
      <c r="F1221" s="37"/>
    </row>
    <row r="1222" spans="2:6">
      <c r="B1222" s="1"/>
      <c r="C1222" s="60"/>
      <c r="D1222" s="8"/>
      <c r="E1222" s="8"/>
      <c r="F1222" s="37"/>
    </row>
    <row r="1223" spans="2:6">
      <c r="B1223" s="1"/>
      <c r="C1223" s="60"/>
      <c r="D1223" s="8"/>
      <c r="E1223" s="8"/>
      <c r="F1223" s="14"/>
    </row>
    <row r="1224" spans="2:6">
      <c r="B1224" s="1"/>
      <c r="C1224" s="60"/>
      <c r="D1224" s="8"/>
      <c r="E1224" s="8"/>
      <c r="F1224" s="37"/>
    </row>
    <row r="1225" spans="2:6">
      <c r="B1225" s="1"/>
      <c r="C1225" s="60"/>
      <c r="D1225" s="8"/>
      <c r="E1225" s="8"/>
      <c r="F1225" s="37"/>
    </row>
    <row r="1226" spans="2:6">
      <c r="B1226" s="1"/>
      <c r="C1226" s="60"/>
      <c r="D1226" s="8"/>
      <c r="E1226" s="8"/>
      <c r="F1226" s="37"/>
    </row>
    <row r="1227" spans="2:6">
      <c r="B1227" s="1"/>
      <c r="C1227" s="60"/>
      <c r="D1227" s="8"/>
      <c r="E1227" s="8"/>
      <c r="F1227" s="14"/>
    </row>
    <row r="1228" spans="2:6">
      <c r="B1228" s="1"/>
      <c r="C1228" s="60"/>
      <c r="D1228" s="8"/>
      <c r="E1228" s="8"/>
      <c r="F1228" s="14"/>
    </row>
    <row r="1229" spans="2:6">
      <c r="B1229" s="1"/>
      <c r="C1229" s="60"/>
      <c r="D1229" s="8"/>
      <c r="E1229" s="8"/>
      <c r="F1229" s="14"/>
    </row>
    <row r="1230" spans="2:6">
      <c r="B1230" s="1"/>
      <c r="C1230" s="60"/>
      <c r="D1230" s="8"/>
      <c r="E1230" s="8"/>
      <c r="F1230" s="14"/>
    </row>
    <row r="1231" spans="2:6">
      <c r="B1231" s="1"/>
      <c r="C1231" s="60"/>
      <c r="D1231" s="8"/>
      <c r="E1231" s="8"/>
      <c r="F1231" s="14"/>
    </row>
    <row r="1232" spans="2:6">
      <c r="B1232" s="1"/>
      <c r="C1232" s="60"/>
      <c r="D1232" s="8"/>
      <c r="E1232" s="8"/>
      <c r="F1232" s="37"/>
    </row>
    <row r="1233" spans="2:6">
      <c r="B1233" s="1"/>
      <c r="C1233" s="60"/>
      <c r="D1233" s="8"/>
      <c r="E1233" s="8"/>
      <c r="F1233" s="37"/>
    </row>
    <row r="1234" spans="2:6">
      <c r="B1234" s="1"/>
      <c r="C1234" s="60"/>
      <c r="D1234" s="8"/>
      <c r="E1234" s="8"/>
      <c r="F1234" s="37"/>
    </row>
    <row r="1235" spans="2:6">
      <c r="B1235" s="1"/>
      <c r="C1235" s="60"/>
      <c r="D1235" s="8"/>
      <c r="E1235" s="8"/>
      <c r="F1235" s="37"/>
    </row>
    <row r="1236" spans="2:6">
      <c r="B1236" s="1"/>
      <c r="C1236" s="60"/>
      <c r="D1236" s="8"/>
      <c r="E1236" s="8"/>
      <c r="F1236" s="14"/>
    </row>
    <row r="1237" spans="2:6">
      <c r="B1237" s="1"/>
      <c r="C1237" s="60"/>
      <c r="D1237" s="8"/>
      <c r="E1237" s="8"/>
      <c r="F1237" s="14"/>
    </row>
    <row r="1238" spans="2:6">
      <c r="B1238" s="1"/>
      <c r="C1238" s="60"/>
      <c r="D1238" s="8"/>
      <c r="E1238" s="8"/>
      <c r="F1238" s="37"/>
    </row>
    <row r="1239" spans="2:6">
      <c r="B1239" s="1"/>
      <c r="C1239" s="60"/>
      <c r="D1239" s="8"/>
      <c r="E1239" s="8"/>
      <c r="F1239" s="14"/>
    </row>
    <row r="1240" spans="2:6">
      <c r="B1240" s="1"/>
      <c r="C1240" s="60"/>
      <c r="D1240" s="8"/>
      <c r="E1240" s="8"/>
      <c r="F1240" s="37"/>
    </row>
    <row r="1241" spans="2:6">
      <c r="B1241" s="1"/>
      <c r="C1241" s="60"/>
      <c r="D1241" s="8"/>
      <c r="E1241" s="8"/>
      <c r="F1241" s="37"/>
    </row>
    <row r="1242" spans="2:6">
      <c r="B1242" s="1"/>
      <c r="C1242" s="60"/>
      <c r="D1242" s="8"/>
      <c r="E1242" s="8"/>
      <c r="F1242" s="14"/>
    </row>
    <row r="1243" spans="2:6">
      <c r="B1243" s="1"/>
      <c r="C1243" s="60"/>
      <c r="D1243" s="8"/>
      <c r="E1243" s="8"/>
      <c r="F1243" s="14"/>
    </row>
    <row r="1244" spans="2:6">
      <c r="B1244" s="1"/>
      <c r="C1244" s="60"/>
      <c r="D1244" s="8"/>
      <c r="E1244" s="8"/>
      <c r="F1244" s="37"/>
    </row>
    <row r="1245" spans="2:6">
      <c r="B1245" s="1"/>
      <c r="C1245" s="60"/>
      <c r="D1245" s="8"/>
      <c r="E1245" s="8"/>
      <c r="F1245" s="37"/>
    </row>
    <row r="1246" spans="2:6">
      <c r="B1246" s="1"/>
      <c r="C1246" s="60"/>
      <c r="D1246" s="8"/>
      <c r="E1246" s="8"/>
      <c r="F1246" s="14"/>
    </row>
    <row r="1247" spans="2:6">
      <c r="B1247" s="1"/>
      <c r="C1247" s="60"/>
      <c r="D1247" s="8"/>
      <c r="E1247" s="8"/>
      <c r="F1247" s="37"/>
    </row>
    <row r="1248" spans="2:6">
      <c r="B1248" s="1"/>
      <c r="C1248" s="60"/>
      <c r="D1248" s="8"/>
      <c r="E1248" s="8"/>
      <c r="F1248" s="37"/>
    </row>
    <row r="1249" spans="2:6">
      <c r="B1249" s="1"/>
      <c r="C1249" s="60"/>
      <c r="D1249" s="8"/>
      <c r="E1249" s="8"/>
      <c r="F1249" s="14"/>
    </row>
    <row r="1250" spans="2:6">
      <c r="B1250" s="1"/>
      <c r="C1250" s="60"/>
      <c r="D1250" s="8"/>
      <c r="E1250" s="8"/>
      <c r="F1250" s="37"/>
    </row>
    <row r="1251" spans="2:6">
      <c r="B1251" s="1"/>
      <c r="C1251" s="60"/>
      <c r="D1251" s="8"/>
      <c r="E1251" s="8"/>
      <c r="F1251" s="14"/>
    </row>
    <row r="1252" spans="2:6">
      <c r="B1252" s="1"/>
      <c r="C1252" s="60"/>
      <c r="D1252" s="8"/>
      <c r="E1252" s="8"/>
      <c r="F1252" s="37"/>
    </row>
    <row r="1253" spans="2:6">
      <c r="B1253" s="1"/>
      <c r="C1253" s="60"/>
      <c r="D1253" s="8"/>
      <c r="E1253" s="8"/>
      <c r="F1253" s="37"/>
    </row>
    <row r="1254" spans="2:6">
      <c r="B1254" s="1"/>
      <c r="C1254" s="60"/>
      <c r="D1254" s="8"/>
      <c r="E1254" s="8"/>
      <c r="F1254" s="14"/>
    </row>
    <row r="1255" spans="2:6">
      <c r="B1255" s="1"/>
      <c r="C1255" s="60"/>
      <c r="D1255" s="8"/>
      <c r="E1255" s="8"/>
      <c r="F1255" s="37"/>
    </row>
    <row r="1256" spans="2:6">
      <c r="B1256" s="1"/>
      <c r="C1256" s="60"/>
      <c r="D1256" s="8"/>
      <c r="E1256" s="8"/>
      <c r="F1256" s="14"/>
    </row>
    <row r="1257" spans="2:6">
      <c r="B1257" s="1"/>
      <c r="C1257" s="60"/>
      <c r="D1257" s="8"/>
      <c r="E1257" s="8"/>
      <c r="F1257" s="37"/>
    </row>
    <row r="1258" spans="2:6">
      <c r="B1258" s="1"/>
      <c r="C1258" s="60"/>
      <c r="D1258" s="8"/>
      <c r="E1258" s="8"/>
      <c r="F1258" s="37"/>
    </row>
    <row r="1259" spans="2:6">
      <c r="B1259" s="1"/>
      <c r="C1259" s="60"/>
      <c r="D1259" s="8"/>
      <c r="E1259" s="8"/>
      <c r="F1259" s="14"/>
    </row>
    <row r="1260" spans="2:6">
      <c r="B1260" s="1"/>
      <c r="C1260" s="60"/>
      <c r="D1260" s="8"/>
      <c r="E1260" s="8"/>
      <c r="F1260" s="37"/>
    </row>
    <row r="1261" spans="2:6">
      <c r="B1261" s="1"/>
      <c r="C1261" s="60"/>
      <c r="D1261" s="8"/>
      <c r="E1261" s="8"/>
      <c r="F1261" s="37"/>
    </row>
    <row r="1262" spans="2:6">
      <c r="B1262" s="1"/>
      <c r="C1262" s="60"/>
      <c r="D1262" s="8"/>
      <c r="E1262" s="8"/>
      <c r="F1262" s="14"/>
    </row>
    <row r="1263" spans="2:6">
      <c r="B1263" s="1"/>
      <c r="C1263" s="60"/>
      <c r="D1263" s="8"/>
      <c r="E1263" s="8"/>
      <c r="F1263" s="14"/>
    </row>
    <row r="1264" spans="2:6">
      <c r="B1264" s="1"/>
      <c r="C1264" s="60"/>
      <c r="D1264" s="8"/>
      <c r="E1264" s="8"/>
      <c r="F1264" s="14"/>
    </row>
    <row r="1265" spans="2:6">
      <c r="B1265" s="1"/>
      <c r="C1265" s="60"/>
      <c r="D1265" s="8"/>
      <c r="E1265" s="8"/>
      <c r="F1265" s="14"/>
    </row>
    <row r="1266" spans="2:6">
      <c r="B1266" s="1"/>
      <c r="C1266" s="60"/>
      <c r="D1266" s="8"/>
      <c r="E1266" s="8"/>
      <c r="F1266" s="14"/>
    </row>
    <row r="1267" spans="2:6">
      <c r="B1267" s="1"/>
      <c r="C1267" s="60"/>
      <c r="D1267" s="8"/>
      <c r="E1267" s="8"/>
      <c r="F1267" s="14"/>
    </row>
    <row r="1268" spans="2:6">
      <c r="B1268" s="1"/>
      <c r="C1268" s="60"/>
      <c r="D1268" s="8"/>
      <c r="E1268" s="8"/>
      <c r="F1268" s="37"/>
    </row>
    <row r="1269" spans="2:6">
      <c r="B1269" s="1"/>
      <c r="C1269" s="60"/>
      <c r="D1269" s="8"/>
      <c r="E1269" s="8"/>
      <c r="F1269" s="37"/>
    </row>
    <row r="1270" spans="2:6">
      <c r="B1270" s="1"/>
      <c r="C1270" s="60"/>
      <c r="D1270" s="8"/>
      <c r="E1270" s="8"/>
      <c r="F1270" s="37"/>
    </row>
    <row r="1271" spans="2:6">
      <c r="B1271" s="1"/>
      <c r="C1271" s="60"/>
      <c r="D1271" s="8"/>
      <c r="E1271" s="8"/>
      <c r="F1271" s="37"/>
    </row>
    <row r="1272" spans="2:6">
      <c r="B1272" s="1"/>
      <c r="C1272" s="60"/>
      <c r="D1272" s="8"/>
      <c r="E1272" s="8"/>
      <c r="F1272" s="14"/>
    </row>
    <row r="1273" spans="2:6">
      <c r="B1273" s="1"/>
      <c r="C1273" s="60"/>
      <c r="D1273" s="8"/>
      <c r="E1273" s="8"/>
      <c r="F1273" s="37"/>
    </row>
    <row r="1274" spans="2:6">
      <c r="B1274" s="1"/>
      <c r="C1274" s="60"/>
      <c r="D1274" s="8"/>
      <c r="E1274" s="8"/>
      <c r="F1274" s="14"/>
    </row>
    <row r="1275" spans="2:6">
      <c r="B1275" s="1"/>
      <c r="C1275" s="60"/>
      <c r="D1275" s="8"/>
      <c r="E1275" s="8"/>
      <c r="F1275" s="14"/>
    </row>
    <row r="1276" spans="2:6">
      <c r="B1276" s="1"/>
      <c r="C1276" s="60"/>
      <c r="D1276" s="8"/>
      <c r="E1276" s="8"/>
      <c r="F1276" s="37"/>
    </row>
    <row r="1277" spans="2:6">
      <c r="B1277" s="1"/>
      <c r="C1277" s="60"/>
      <c r="D1277" s="8"/>
      <c r="E1277" s="8"/>
      <c r="F1277" s="37"/>
    </row>
    <row r="1278" spans="2:6">
      <c r="B1278" s="1"/>
      <c r="C1278" s="60"/>
      <c r="D1278" s="8"/>
      <c r="E1278" s="8"/>
      <c r="F1278" s="37"/>
    </row>
    <row r="1279" spans="2:6">
      <c r="B1279" s="1"/>
      <c r="C1279" s="60"/>
      <c r="D1279" s="8"/>
      <c r="E1279" s="8"/>
      <c r="F1279" s="14"/>
    </row>
    <row r="1280" spans="2:6">
      <c r="B1280" s="1"/>
      <c r="C1280" s="60"/>
      <c r="D1280" s="8"/>
      <c r="E1280" s="8"/>
      <c r="F1280" s="37"/>
    </row>
    <row r="1281" spans="2:6">
      <c r="B1281" s="1"/>
      <c r="C1281" s="60"/>
      <c r="D1281" s="8"/>
      <c r="E1281" s="8"/>
      <c r="F1281" s="37"/>
    </row>
    <row r="1282" spans="2:6">
      <c r="B1282" s="1"/>
      <c r="C1282" s="60"/>
      <c r="D1282" s="8"/>
      <c r="E1282" s="8"/>
      <c r="F1282" s="37"/>
    </row>
    <row r="1283" spans="2:6">
      <c r="B1283" s="1"/>
      <c r="C1283" s="60"/>
      <c r="D1283" s="8"/>
      <c r="E1283" s="8"/>
      <c r="F1283" s="14"/>
    </row>
    <row r="1284" spans="2:6">
      <c r="B1284" s="1"/>
      <c r="C1284" s="60"/>
      <c r="D1284" s="8"/>
      <c r="E1284" s="8"/>
      <c r="F1284" s="14"/>
    </row>
    <row r="1285" spans="2:6">
      <c r="B1285" s="1"/>
      <c r="C1285" s="60"/>
      <c r="D1285" s="8"/>
      <c r="E1285" s="8"/>
      <c r="F1285" s="37"/>
    </row>
    <row r="1286" spans="2:6">
      <c r="B1286" s="1"/>
      <c r="C1286" s="60"/>
      <c r="D1286" s="8"/>
      <c r="E1286" s="8"/>
      <c r="F1286" s="14"/>
    </row>
    <row r="1287" spans="2:6">
      <c r="B1287" s="1"/>
      <c r="C1287" s="60"/>
      <c r="D1287" s="8"/>
      <c r="E1287" s="8"/>
      <c r="F1287" s="14"/>
    </row>
    <row r="1288" spans="2:6">
      <c r="B1288" s="1"/>
      <c r="C1288" s="60"/>
      <c r="D1288" s="8"/>
      <c r="E1288" s="8"/>
      <c r="F1288" s="37"/>
    </row>
    <row r="1289" spans="2:6">
      <c r="B1289" s="1"/>
      <c r="C1289" s="60"/>
      <c r="D1289" s="8"/>
      <c r="E1289" s="8"/>
      <c r="F1289" s="37"/>
    </row>
    <row r="1290" spans="2:6">
      <c r="B1290" s="1"/>
      <c r="C1290" s="60"/>
      <c r="D1290" s="8"/>
      <c r="E1290" s="8"/>
      <c r="F1290" s="37"/>
    </row>
    <row r="1291" spans="2:6">
      <c r="B1291" s="1"/>
      <c r="C1291" s="60"/>
      <c r="D1291" s="8"/>
      <c r="E1291" s="8"/>
      <c r="F1291" s="37"/>
    </row>
    <row r="1292" spans="2:6">
      <c r="B1292" s="1"/>
      <c r="C1292" s="60"/>
      <c r="D1292" s="8"/>
      <c r="E1292" s="8"/>
      <c r="F1292" s="14"/>
    </row>
    <row r="1293" spans="2:6">
      <c r="B1293" s="1"/>
      <c r="C1293" s="60"/>
      <c r="D1293" s="8"/>
      <c r="E1293" s="8"/>
      <c r="F1293" s="37"/>
    </row>
    <row r="1294" spans="2:6">
      <c r="B1294" s="1"/>
      <c r="C1294" s="60"/>
      <c r="D1294" s="8"/>
      <c r="E1294" s="8"/>
      <c r="F1294" s="14"/>
    </row>
    <row r="1295" spans="2:6">
      <c r="B1295" s="1"/>
      <c r="C1295" s="60"/>
      <c r="D1295" s="8"/>
      <c r="E1295" s="8"/>
      <c r="F1295" s="37"/>
    </row>
    <row r="1296" spans="2:6">
      <c r="B1296" s="1"/>
      <c r="C1296" s="60"/>
      <c r="D1296" s="8"/>
      <c r="E1296" s="8"/>
      <c r="F1296" s="14"/>
    </row>
    <row r="1297" spans="2:6">
      <c r="B1297" s="1"/>
      <c r="C1297" s="60"/>
      <c r="D1297" s="8"/>
      <c r="E1297" s="8"/>
      <c r="F1297" s="37"/>
    </row>
    <row r="1298" spans="2:6">
      <c r="B1298" s="1"/>
      <c r="C1298" s="60"/>
      <c r="D1298" s="8"/>
      <c r="E1298" s="8"/>
      <c r="F1298" s="37"/>
    </row>
    <row r="1299" spans="2:6">
      <c r="B1299" s="1"/>
      <c r="C1299" s="60"/>
      <c r="D1299" s="8"/>
      <c r="E1299" s="8"/>
      <c r="F1299" s="14"/>
    </row>
    <row r="1300" spans="2:6">
      <c r="B1300" s="1"/>
      <c r="C1300" s="60"/>
      <c r="D1300" s="8"/>
      <c r="E1300" s="8"/>
      <c r="F1300" s="14"/>
    </row>
    <row r="1301" spans="2:6">
      <c r="B1301" s="1"/>
      <c r="C1301" s="60"/>
      <c r="D1301" s="8"/>
      <c r="E1301" s="8"/>
      <c r="F1301" s="37"/>
    </row>
    <row r="1302" spans="2:6">
      <c r="B1302" s="1"/>
      <c r="C1302" s="60"/>
      <c r="D1302" s="8"/>
      <c r="E1302" s="8"/>
      <c r="F1302" s="37"/>
    </row>
    <row r="1303" spans="2:6">
      <c r="B1303" s="1"/>
      <c r="C1303" s="60"/>
      <c r="D1303" s="8"/>
      <c r="E1303" s="8"/>
      <c r="F1303" s="37"/>
    </row>
    <row r="1304" spans="2:6">
      <c r="B1304" s="1"/>
      <c r="C1304" s="60"/>
      <c r="D1304" s="8"/>
      <c r="E1304" s="8"/>
      <c r="F1304" s="37"/>
    </row>
    <row r="1305" spans="2:6">
      <c r="B1305" s="1"/>
      <c r="C1305" s="60"/>
      <c r="D1305" s="8"/>
      <c r="E1305" s="8"/>
      <c r="F1305" s="37"/>
    </row>
    <row r="1306" spans="2:6">
      <c r="B1306" s="1"/>
      <c r="C1306" s="60"/>
      <c r="D1306" s="8"/>
      <c r="E1306" s="8"/>
      <c r="F1306" s="37"/>
    </row>
    <row r="1307" spans="2:6">
      <c r="B1307" s="1"/>
      <c r="C1307" s="60"/>
      <c r="D1307" s="8"/>
      <c r="E1307" s="8"/>
      <c r="F1307" s="14"/>
    </row>
    <row r="1308" spans="2:6">
      <c r="B1308" s="1"/>
      <c r="C1308" s="60"/>
      <c r="D1308" s="8"/>
      <c r="E1308" s="8"/>
      <c r="F1308" s="37"/>
    </row>
    <row r="1309" spans="2:6">
      <c r="B1309" s="1"/>
      <c r="C1309" s="60"/>
      <c r="D1309" s="8"/>
      <c r="E1309" s="8"/>
      <c r="F1309" s="14"/>
    </row>
    <row r="1310" spans="2:6">
      <c r="B1310" s="1"/>
      <c r="C1310" s="60"/>
      <c r="D1310" s="8"/>
      <c r="E1310" s="8"/>
      <c r="F1310" s="14"/>
    </row>
    <row r="1311" spans="2:6">
      <c r="B1311" s="1"/>
      <c r="C1311" s="60"/>
      <c r="D1311" s="8"/>
      <c r="E1311" s="8"/>
      <c r="F1311" s="37"/>
    </row>
    <row r="1312" spans="2:6">
      <c r="B1312" s="1"/>
      <c r="C1312" s="60"/>
      <c r="D1312" s="8"/>
      <c r="E1312" s="8"/>
      <c r="F1312" s="37"/>
    </row>
    <row r="1313" spans="2:6">
      <c r="B1313" s="1"/>
      <c r="C1313" s="60"/>
      <c r="D1313" s="8"/>
      <c r="E1313" s="8"/>
      <c r="F1313" s="37"/>
    </row>
    <row r="1314" spans="2:6">
      <c r="B1314" s="1"/>
      <c r="C1314" s="60"/>
      <c r="D1314" s="8"/>
      <c r="E1314" s="8"/>
      <c r="F1314" s="14"/>
    </row>
    <row r="1315" spans="2:6">
      <c r="B1315" s="1"/>
      <c r="C1315" s="60"/>
      <c r="D1315" s="8"/>
      <c r="E1315" s="8"/>
      <c r="F1315" s="14"/>
    </row>
    <row r="1316" spans="2:6">
      <c r="B1316" s="1"/>
      <c r="C1316" s="60"/>
      <c r="D1316" s="8"/>
      <c r="E1316" s="8"/>
      <c r="F1316" s="14"/>
    </row>
    <row r="1317" spans="2:6">
      <c r="B1317" s="1"/>
      <c r="C1317" s="60"/>
      <c r="D1317" s="8"/>
      <c r="E1317" s="8"/>
      <c r="F1317" s="37"/>
    </row>
    <row r="1318" spans="2:6">
      <c r="B1318" s="1"/>
      <c r="C1318" s="60"/>
      <c r="D1318" s="8"/>
      <c r="E1318" s="8"/>
      <c r="F1318" s="37"/>
    </row>
    <row r="1319" spans="2:6">
      <c r="B1319" s="1"/>
      <c r="C1319" s="60"/>
      <c r="D1319" s="8"/>
      <c r="E1319" s="8"/>
      <c r="F1319" s="14"/>
    </row>
    <row r="1320" spans="2:6">
      <c r="B1320" s="1"/>
      <c r="C1320" s="60"/>
      <c r="D1320" s="8"/>
      <c r="E1320" s="8"/>
      <c r="F1320" s="37"/>
    </row>
    <row r="1321" spans="2:6">
      <c r="B1321" s="1"/>
      <c r="C1321" s="60"/>
      <c r="D1321" s="8"/>
      <c r="E1321" s="8"/>
      <c r="F1321" s="37"/>
    </row>
    <row r="1322" spans="2:6">
      <c r="B1322" s="1"/>
      <c r="C1322" s="60"/>
      <c r="D1322" s="8"/>
      <c r="E1322" s="8"/>
      <c r="F1322" s="37"/>
    </row>
    <row r="1323" spans="2:6">
      <c r="B1323" s="1"/>
      <c r="C1323" s="60"/>
      <c r="D1323" s="8"/>
      <c r="E1323" s="8"/>
      <c r="F1323" s="14"/>
    </row>
    <row r="1324" spans="2:6">
      <c r="B1324" s="1"/>
      <c r="C1324" s="60"/>
      <c r="D1324" s="8"/>
      <c r="E1324" s="8"/>
      <c r="F1324" s="14"/>
    </row>
    <row r="1325" spans="2:6">
      <c r="B1325" s="1"/>
      <c r="C1325" s="60"/>
      <c r="D1325" s="8"/>
      <c r="E1325" s="8"/>
      <c r="F1325" s="37"/>
    </row>
    <row r="1326" spans="2:6">
      <c r="B1326" s="1"/>
      <c r="C1326" s="60"/>
      <c r="D1326" s="8"/>
      <c r="E1326" s="8"/>
      <c r="F1326" s="37"/>
    </row>
    <row r="1327" spans="2:6">
      <c r="B1327" s="1"/>
      <c r="C1327" s="60"/>
      <c r="D1327" s="8"/>
      <c r="E1327" s="8"/>
      <c r="F1327" s="14"/>
    </row>
    <row r="1328" spans="2:6">
      <c r="B1328" s="1"/>
      <c r="C1328" s="60"/>
      <c r="D1328" s="8"/>
      <c r="E1328" s="8"/>
      <c r="F1328" s="37"/>
    </row>
    <row r="1329" spans="2:6">
      <c r="B1329" s="1"/>
      <c r="C1329" s="60"/>
      <c r="D1329" s="8"/>
      <c r="E1329" s="8"/>
      <c r="F1329" s="37"/>
    </row>
    <row r="1330" spans="2:6">
      <c r="B1330" s="1"/>
      <c r="C1330" s="60"/>
      <c r="D1330" s="8"/>
      <c r="E1330" s="8"/>
      <c r="F1330" s="14"/>
    </row>
    <row r="1331" spans="2:6">
      <c r="B1331" s="1"/>
      <c r="C1331" s="60"/>
      <c r="D1331" s="8"/>
      <c r="E1331" s="8"/>
      <c r="F1331" s="14"/>
    </row>
    <row r="1332" spans="2:6">
      <c r="B1332" s="1"/>
      <c r="C1332" s="60"/>
      <c r="D1332" s="8"/>
      <c r="E1332" s="8"/>
      <c r="F1332" s="37"/>
    </row>
    <row r="1333" spans="2:6">
      <c r="B1333" s="1"/>
      <c r="C1333" s="60"/>
      <c r="D1333" s="8"/>
      <c r="E1333" s="8"/>
      <c r="F1333" s="37"/>
    </row>
    <row r="1334" spans="2:6">
      <c r="B1334" s="1"/>
      <c r="C1334" s="60"/>
      <c r="D1334" s="8"/>
      <c r="E1334" s="8"/>
      <c r="F1334" s="14"/>
    </row>
    <row r="1335" spans="2:6">
      <c r="B1335" s="1"/>
      <c r="C1335" s="60"/>
      <c r="D1335" s="8"/>
      <c r="E1335" s="8"/>
      <c r="F1335" s="37"/>
    </row>
    <row r="1336" spans="2:6">
      <c r="B1336" s="1"/>
      <c r="C1336" s="60"/>
      <c r="D1336" s="8"/>
      <c r="E1336" s="8"/>
      <c r="F1336" s="37"/>
    </row>
    <row r="1337" spans="2:6">
      <c r="B1337" s="1"/>
      <c r="C1337" s="60"/>
      <c r="D1337" s="8"/>
      <c r="E1337" s="8"/>
      <c r="F1337" s="37"/>
    </row>
    <row r="1338" spans="2:6">
      <c r="B1338" s="1"/>
      <c r="C1338" s="60"/>
      <c r="D1338" s="8"/>
      <c r="E1338" s="8"/>
      <c r="F1338" s="14"/>
    </row>
    <row r="1339" spans="2:6">
      <c r="B1339" s="1"/>
      <c r="C1339" s="60"/>
      <c r="D1339" s="8"/>
      <c r="E1339" s="8"/>
      <c r="F1339" s="14"/>
    </row>
    <row r="1340" spans="2:6">
      <c r="B1340" s="1"/>
      <c r="C1340" s="60"/>
      <c r="D1340" s="8"/>
      <c r="E1340" s="8"/>
      <c r="F1340" s="14"/>
    </row>
    <row r="1341" spans="2:6">
      <c r="B1341" s="1"/>
      <c r="C1341" s="60"/>
      <c r="D1341" s="8"/>
      <c r="E1341" s="8"/>
      <c r="F1341" s="14"/>
    </row>
    <row r="1342" spans="2:6">
      <c r="B1342" s="1"/>
      <c r="C1342" s="60"/>
      <c r="D1342" s="8"/>
      <c r="E1342" s="8"/>
      <c r="F1342" s="37"/>
    </row>
    <row r="1343" spans="2:6">
      <c r="B1343" s="1"/>
      <c r="C1343" s="60"/>
      <c r="D1343" s="8"/>
      <c r="E1343" s="8"/>
      <c r="F1343" s="37"/>
    </row>
    <row r="1344" spans="2:6">
      <c r="B1344" s="1"/>
      <c r="C1344" s="60"/>
      <c r="D1344" s="8"/>
      <c r="E1344" s="8"/>
      <c r="F1344" s="37"/>
    </row>
    <row r="1345" spans="2:6">
      <c r="B1345" s="1"/>
      <c r="C1345" s="60"/>
      <c r="D1345" s="8"/>
      <c r="E1345" s="8"/>
      <c r="F1345" s="37"/>
    </row>
    <row r="1346" spans="2:6">
      <c r="B1346" s="1"/>
      <c r="C1346" s="60"/>
      <c r="D1346" s="8"/>
      <c r="E1346" s="8"/>
      <c r="F1346" s="14"/>
    </row>
    <row r="1347" spans="2:6">
      <c r="B1347" s="1"/>
      <c r="C1347" s="60"/>
      <c r="D1347" s="8"/>
      <c r="E1347" s="8"/>
      <c r="F1347" s="37"/>
    </row>
    <row r="1348" spans="2:6">
      <c r="B1348" s="1"/>
      <c r="C1348" s="60"/>
      <c r="D1348" s="8"/>
      <c r="E1348" s="8"/>
      <c r="F1348" s="37"/>
    </row>
    <row r="1349" spans="2:6">
      <c r="B1349" s="1"/>
      <c r="C1349" s="60"/>
      <c r="D1349" s="8"/>
      <c r="E1349" s="8"/>
      <c r="F1349" s="37"/>
    </row>
    <row r="1350" spans="2:6">
      <c r="B1350" s="1"/>
      <c r="C1350" s="60"/>
      <c r="D1350" s="8"/>
      <c r="E1350" s="8"/>
      <c r="F1350" s="37"/>
    </row>
    <row r="1351" spans="2:6">
      <c r="B1351" s="1"/>
      <c r="C1351" s="60"/>
      <c r="D1351" s="8"/>
      <c r="E1351" s="8"/>
      <c r="F1351" s="37"/>
    </row>
    <row r="1352" spans="2:6">
      <c r="B1352" s="1"/>
      <c r="C1352" s="60"/>
      <c r="D1352" s="8"/>
      <c r="E1352" s="8"/>
      <c r="F1352" s="37"/>
    </row>
    <row r="1353" spans="2:6">
      <c r="B1353" s="1"/>
      <c r="C1353" s="60"/>
      <c r="D1353" s="8"/>
      <c r="E1353" s="8"/>
      <c r="F1353" s="37"/>
    </row>
    <row r="1354" spans="2:6">
      <c r="B1354" s="1"/>
      <c r="C1354" s="60"/>
      <c r="D1354" s="8"/>
      <c r="E1354" s="8"/>
      <c r="F1354" s="37"/>
    </row>
    <row r="1355" spans="2:6">
      <c r="B1355" s="1"/>
      <c r="C1355" s="60"/>
      <c r="D1355" s="8"/>
      <c r="E1355" s="8"/>
      <c r="F1355" s="14"/>
    </row>
    <row r="1356" spans="2:6">
      <c r="B1356" s="1"/>
      <c r="C1356" s="60"/>
      <c r="D1356" s="8"/>
      <c r="E1356" s="8"/>
      <c r="F1356" s="37"/>
    </row>
    <row r="1357" spans="2:6">
      <c r="B1357" s="1"/>
      <c r="C1357" s="60"/>
      <c r="D1357" s="8"/>
      <c r="E1357" s="8"/>
      <c r="F1357" s="14"/>
    </row>
    <row r="1358" spans="2:6">
      <c r="B1358" s="1"/>
      <c r="C1358" s="60"/>
      <c r="D1358" s="8"/>
      <c r="E1358" s="8"/>
      <c r="F1358" s="14"/>
    </row>
    <row r="1359" spans="2:6">
      <c r="B1359" s="1"/>
      <c r="C1359" s="60"/>
      <c r="D1359" s="8"/>
      <c r="E1359" s="8"/>
      <c r="F1359" s="14"/>
    </row>
    <row r="1360" spans="2:6">
      <c r="B1360" s="1"/>
      <c r="C1360" s="60"/>
      <c r="D1360" s="8"/>
      <c r="E1360" s="8"/>
      <c r="F1360" s="37"/>
    </row>
    <row r="1361" spans="2:6">
      <c r="B1361" s="1"/>
      <c r="C1361" s="60"/>
      <c r="D1361" s="8"/>
      <c r="E1361" s="8"/>
      <c r="F1361" s="14"/>
    </row>
    <row r="1362" spans="2:6">
      <c r="B1362" s="1"/>
      <c r="C1362" s="60"/>
      <c r="D1362" s="8"/>
      <c r="E1362" s="8"/>
      <c r="F1362" s="14"/>
    </row>
    <row r="1363" spans="2:6">
      <c r="B1363" s="1"/>
      <c r="C1363" s="60"/>
      <c r="D1363" s="8"/>
      <c r="E1363" s="8"/>
      <c r="F1363" s="37"/>
    </row>
    <row r="1364" spans="2:6">
      <c r="B1364" s="1"/>
      <c r="C1364" s="60"/>
      <c r="D1364" s="8"/>
      <c r="E1364" s="8"/>
      <c r="F1364" s="37"/>
    </row>
    <row r="1365" spans="2:6">
      <c r="B1365" s="1"/>
      <c r="C1365" s="60"/>
      <c r="D1365" s="8"/>
      <c r="E1365" s="8"/>
      <c r="F1365" s="14"/>
    </row>
    <row r="1366" spans="2:6">
      <c r="B1366" s="1"/>
      <c r="C1366" s="60"/>
      <c r="D1366" s="8"/>
      <c r="E1366" s="8"/>
      <c r="F1366" s="37"/>
    </row>
    <row r="1367" spans="2:6">
      <c r="B1367" s="1"/>
      <c r="C1367" s="60"/>
      <c r="D1367" s="8"/>
      <c r="E1367" s="8"/>
      <c r="F1367" s="37"/>
    </row>
    <row r="1368" spans="2:6">
      <c r="B1368" s="1"/>
      <c r="C1368" s="60"/>
      <c r="D1368" s="8"/>
      <c r="E1368" s="8"/>
      <c r="F1368" s="37"/>
    </row>
    <row r="1369" spans="2:6">
      <c r="B1369" s="1"/>
      <c r="C1369" s="60"/>
      <c r="D1369" s="8"/>
      <c r="E1369" s="8"/>
      <c r="F1369" s="14"/>
    </row>
    <row r="1370" spans="2:6">
      <c r="B1370" s="1"/>
      <c r="C1370" s="60"/>
      <c r="D1370" s="8"/>
      <c r="E1370" s="8"/>
      <c r="F1370" s="37"/>
    </row>
    <row r="1371" spans="2:6">
      <c r="B1371" s="1"/>
      <c r="C1371" s="60"/>
      <c r="D1371" s="8"/>
      <c r="E1371" s="8"/>
      <c r="F1371" s="14"/>
    </row>
    <row r="1372" spans="2:6">
      <c r="B1372" s="1"/>
      <c r="C1372" s="60"/>
      <c r="D1372" s="8"/>
      <c r="E1372" s="8"/>
      <c r="F1372" s="37"/>
    </row>
    <row r="1373" spans="2:6">
      <c r="B1373" s="1"/>
      <c r="C1373" s="60"/>
      <c r="D1373" s="8"/>
      <c r="E1373" s="8"/>
      <c r="F1373" s="14"/>
    </row>
    <row r="1374" spans="2:6">
      <c r="B1374" s="1"/>
      <c r="C1374" s="60"/>
      <c r="D1374" s="8"/>
      <c r="E1374" s="8"/>
      <c r="F1374" s="37"/>
    </row>
    <row r="1375" spans="2:6">
      <c r="B1375" s="1"/>
      <c r="C1375" s="60"/>
      <c r="D1375" s="8"/>
      <c r="E1375" s="8"/>
      <c r="F1375" s="14"/>
    </row>
    <row r="1376" spans="2:6">
      <c r="B1376" s="1"/>
      <c r="C1376" s="60"/>
      <c r="D1376" s="8"/>
      <c r="E1376" s="8"/>
      <c r="F1376" s="37"/>
    </row>
    <row r="1377" spans="2:6">
      <c r="B1377" s="1"/>
      <c r="C1377" s="60"/>
      <c r="D1377" s="8"/>
      <c r="E1377" s="8"/>
      <c r="F1377" s="14"/>
    </row>
    <row r="1378" spans="2:6">
      <c r="B1378" s="1"/>
      <c r="C1378" s="60"/>
      <c r="D1378" s="8"/>
      <c r="E1378" s="8"/>
      <c r="F1378" s="37"/>
    </row>
    <row r="1379" spans="2:6">
      <c r="B1379" s="1"/>
      <c r="C1379" s="60"/>
      <c r="D1379" s="8"/>
      <c r="E1379" s="8"/>
      <c r="F1379" s="37"/>
    </row>
    <row r="1380" spans="2:6">
      <c r="B1380" s="1"/>
      <c r="C1380" s="60"/>
      <c r="D1380" s="8"/>
      <c r="E1380" s="8"/>
      <c r="F1380" s="37"/>
    </row>
    <row r="1381" spans="2:6">
      <c r="B1381" s="1"/>
      <c r="C1381" s="60"/>
      <c r="D1381" s="8"/>
      <c r="E1381" s="8"/>
      <c r="F1381" s="14"/>
    </row>
    <row r="1382" spans="2:6">
      <c r="B1382" s="1"/>
      <c r="C1382" s="60"/>
      <c r="D1382" s="8"/>
      <c r="E1382" s="8"/>
      <c r="F1382" s="37"/>
    </row>
    <row r="1383" spans="2:6">
      <c r="B1383" s="1"/>
      <c r="C1383" s="60"/>
      <c r="D1383" s="8"/>
      <c r="E1383" s="8"/>
      <c r="F1383" s="37"/>
    </row>
    <row r="1384" spans="2:6">
      <c r="B1384" s="1"/>
      <c r="C1384" s="60"/>
      <c r="D1384" s="8"/>
      <c r="E1384" s="8"/>
      <c r="F1384" s="37"/>
    </row>
    <row r="1385" spans="2:6">
      <c r="B1385" s="1"/>
      <c r="C1385" s="60"/>
      <c r="D1385" s="8"/>
      <c r="E1385" s="8"/>
      <c r="F1385" s="37"/>
    </row>
    <row r="1386" spans="2:6">
      <c r="B1386" s="1"/>
      <c r="C1386" s="60"/>
      <c r="D1386" s="8"/>
      <c r="E1386" s="8"/>
      <c r="F1386" s="37"/>
    </row>
    <row r="1387" spans="2:6">
      <c r="B1387" s="1"/>
      <c r="C1387" s="60"/>
      <c r="D1387" s="8"/>
      <c r="E1387" s="8"/>
      <c r="F1387" s="14"/>
    </row>
    <row r="1388" spans="2:6">
      <c r="B1388" s="1"/>
      <c r="C1388" s="60"/>
      <c r="D1388" s="8"/>
      <c r="E1388" s="8"/>
      <c r="F1388" s="37"/>
    </row>
    <row r="1389" spans="2:6">
      <c r="B1389" s="1"/>
      <c r="C1389" s="60"/>
      <c r="D1389" s="8"/>
      <c r="E1389" s="8"/>
      <c r="F1389" s="14"/>
    </row>
    <row r="1390" spans="2:6">
      <c r="B1390" s="1"/>
      <c r="C1390" s="60"/>
      <c r="D1390" s="8"/>
      <c r="E1390" s="8"/>
      <c r="F1390" s="37"/>
    </row>
    <row r="1391" spans="2:6">
      <c r="B1391" s="1"/>
      <c r="C1391" s="60"/>
      <c r="D1391" s="8"/>
      <c r="E1391" s="8"/>
      <c r="F1391" s="37"/>
    </row>
    <row r="1392" spans="2:6">
      <c r="B1392" s="1"/>
      <c r="C1392" s="60"/>
      <c r="D1392" s="8"/>
      <c r="E1392" s="8"/>
      <c r="F1392" s="37"/>
    </row>
    <row r="1393" spans="2:6">
      <c r="B1393" s="1"/>
      <c r="C1393" s="60"/>
      <c r="D1393" s="8"/>
      <c r="E1393" s="8"/>
      <c r="F1393" s="14"/>
    </row>
    <row r="1394" spans="2:6">
      <c r="B1394" s="1"/>
      <c r="C1394" s="60"/>
      <c r="D1394" s="8"/>
      <c r="E1394" s="8"/>
      <c r="F1394" s="37"/>
    </row>
    <row r="1395" spans="2:6">
      <c r="B1395" s="1"/>
      <c r="C1395" s="60"/>
      <c r="D1395" s="8"/>
      <c r="E1395" s="8"/>
      <c r="F1395" s="14"/>
    </row>
    <row r="1396" spans="2:6">
      <c r="B1396" s="1"/>
      <c r="C1396" s="60"/>
      <c r="D1396" s="8"/>
      <c r="E1396" s="8"/>
      <c r="F1396" s="14"/>
    </row>
    <row r="1397" spans="2:6">
      <c r="B1397" s="1"/>
      <c r="C1397" s="60"/>
      <c r="D1397" s="8"/>
      <c r="E1397" s="8"/>
      <c r="F1397" s="37"/>
    </row>
    <row r="1398" spans="2:6">
      <c r="B1398" s="1"/>
      <c r="C1398" s="60"/>
      <c r="D1398" s="8"/>
      <c r="E1398" s="8"/>
      <c r="F1398" s="37"/>
    </row>
    <row r="1399" spans="2:6">
      <c r="B1399" s="1"/>
      <c r="C1399" s="60"/>
      <c r="D1399" s="8"/>
      <c r="E1399" s="8"/>
      <c r="F1399" s="37"/>
    </row>
    <row r="1400" spans="2:6">
      <c r="B1400" s="1"/>
      <c r="C1400" s="60"/>
      <c r="D1400" s="8"/>
      <c r="E1400" s="8"/>
      <c r="F1400" s="37"/>
    </row>
    <row r="1401" spans="2:6">
      <c r="B1401" s="1"/>
      <c r="C1401" s="60"/>
      <c r="D1401" s="8"/>
      <c r="E1401" s="8"/>
      <c r="F1401" s="37"/>
    </row>
    <row r="1402" spans="2:6">
      <c r="B1402" s="1"/>
      <c r="C1402" s="60"/>
      <c r="D1402" s="8"/>
      <c r="E1402" s="8"/>
      <c r="F1402" s="37"/>
    </row>
    <row r="1403" spans="2:6">
      <c r="B1403" s="1"/>
      <c r="C1403" s="60"/>
      <c r="D1403" s="8"/>
      <c r="E1403" s="8"/>
      <c r="F1403" s="37"/>
    </row>
    <row r="1404" spans="2:6">
      <c r="B1404" s="1"/>
      <c r="C1404" s="60"/>
      <c r="D1404" s="8"/>
      <c r="E1404" s="8"/>
      <c r="F1404" s="37"/>
    </row>
    <row r="1405" spans="2:6">
      <c r="B1405" s="1"/>
      <c r="C1405" s="60"/>
      <c r="D1405" s="8"/>
      <c r="E1405" s="8"/>
      <c r="F1405" s="37"/>
    </row>
    <row r="1406" spans="2:6">
      <c r="B1406" s="1"/>
      <c r="C1406" s="60"/>
      <c r="D1406" s="8"/>
      <c r="E1406" s="8"/>
      <c r="F1406" s="37"/>
    </row>
    <row r="1407" spans="2:6">
      <c r="B1407" s="1"/>
      <c r="C1407" s="60"/>
      <c r="D1407" s="8"/>
      <c r="E1407" s="8"/>
      <c r="F1407" s="37"/>
    </row>
    <row r="1408" spans="2:6">
      <c r="B1408" s="1"/>
      <c r="C1408" s="60"/>
      <c r="D1408" s="8"/>
      <c r="E1408" s="8"/>
      <c r="F1408" s="14"/>
    </row>
    <row r="1409" spans="2:6">
      <c r="B1409" s="1"/>
      <c r="C1409" s="60"/>
      <c r="D1409" s="8"/>
      <c r="E1409" s="8"/>
      <c r="F1409" s="37"/>
    </row>
    <row r="1410" spans="2:6">
      <c r="B1410" s="1"/>
      <c r="C1410" s="60"/>
      <c r="D1410" s="8"/>
      <c r="E1410" s="8"/>
      <c r="F1410" s="37"/>
    </row>
    <row r="1411" spans="2:6">
      <c r="B1411" s="1"/>
      <c r="C1411" s="60"/>
      <c r="D1411" s="8"/>
      <c r="E1411" s="8"/>
      <c r="F1411" s="14"/>
    </row>
    <row r="1412" spans="2:6">
      <c r="B1412" s="1"/>
      <c r="C1412" s="60"/>
      <c r="D1412" s="8"/>
      <c r="E1412" s="8"/>
      <c r="F1412" s="37"/>
    </row>
    <row r="1413" spans="2:6">
      <c r="B1413" s="1"/>
      <c r="C1413" s="60"/>
      <c r="D1413" s="8"/>
      <c r="E1413" s="8"/>
      <c r="F1413" s="14"/>
    </row>
    <row r="1414" spans="2:6">
      <c r="B1414" s="1"/>
      <c r="C1414" s="60"/>
      <c r="D1414" s="8"/>
      <c r="E1414" s="8"/>
      <c r="F1414" s="14"/>
    </row>
    <row r="1415" spans="2:6">
      <c r="B1415" s="1"/>
      <c r="C1415" s="60"/>
      <c r="D1415" s="8"/>
      <c r="E1415" s="8"/>
      <c r="F1415" s="37"/>
    </row>
    <row r="1416" spans="2:6">
      <c r="B1416" s="1"/>
      <c r="C1416" s="60"/>
      <c r="D1416" s="8"/>
      <c r="E1416" s="8"/>
      <c r="F1416" s="37"/>
    </row>
    <row r="1417" spans="2:6">
      <c r="B1417" s="1"/>
      <c r="C1417" s="60"/>
      <c r="D1417" s="8"/>
      <c r="E1417" s="8"/>
      <c r="F1417" s="14"/>
    </row>
    <row r="1418" spans="2:6">
      <c r="B1418" s="1"/>
      <c r="C1418" s="60"/>
      <c r="D1418" s="8"/>
      <c r="E1418" s="8"/>
      <c r="F1418" s="37"/>
    </row>
    <row r="1419" spans="2:6">
      <c r="B1419" s="1"/>
      <c r="C1419" s="60"/>
      <c r="D1419" s="8"/>
      <c r="E1419" s="8"/>
      <c r="F1419" s="37"/>
    </row>
    <row r="1420" spans="2:6">
      <c r="B1420" s="1"/>
      <c r="C1420" s="60"/>
      <c r="D1420" s="8"/>
      <c r="E1420" s="8"/>
      <c r="F1420" s="14"/>
    </row>
    <row r="1421" spans="2:6">
      <c r="B1421" s="1"/>
      <c r="C1421" s="60"/>
      <c r="D1421" s="8"/>
      <c r="E1421" s="8"/>
      <c r="F1421" s="37"/>
    </row>
    <row r="1422" spans="2:6">
      <c r="B1422" s="1"/>
      <c r="C1422" s="60"/>
      <c r="D1422" s="8"/>
      <c r="E1422" s="8"/>
      <c r="F1422" s="37"/>
    </row>
    <row r="1423" spans="2:6">
      <c r="B1423" s="1"/>
      <c r="C1423" s="60"/>
      <c r="D1423" s="8"/>
      <c r="E1423" s="8"/>
      <c r="F1423" s="37"/>
    </row>
    <row r="1424" spans="2:6">
      <c r="B1424" s="1"/>
      <c r="C1424" s="60"/>
      <c r="D1424" s="8"/>
      <c r="E1424" s="8"/>
      <c r="F1424" s="37"/>
    </row>
    <row r="1425" spans="2:6">
      <c r="B1425" s="1"/>
      <c r="C1425" s="60"/>
      <c r="D1425" s="8"/>
      <c r="E1425" s="8"/>
      <c r="F1425" s="37"/>
    </row>
    <row r="1426" spans="2:6">
      <c r="B1426" s="1"/>
      <c r="C1426" s="60"/>
      <c r="D1426" s="8"/>
      <c r="E1426" s="8"/>
      <c r="F1426" s="37"/>
    </row>
    <row r="1427" spans="2:6">
      <c r="B1427" s="1"/>
      <c r="C1427" s="60"/>
      <c r="D1427" s="8"/>
      <c r="E1427" s="8"/>
      <c r="F1427" s="14"/>
    </row>
    <row r="1428" spans="2:6">
      <c r="B1428" s="1"/>
      <c r="C1428" s="60"/>
      <c r="D1428" s="8"/>
      <c r="E1428" s="8"/>
      <c r="F1428" s="37"/>
    </row>
    <row r="1429" spans="2:6">
      <c r="B1429" s="1"/>
      <c r="C1429" s="60"/>
      <c r="D1429" s="8"/>
      <c r="E1429" s="8"/>
      <c r="F1429" s="37"/>
    </row>
    <row r="1430" spans="2:6">
      <c r="B1430" s="1"/>
      <c r="C1430" s="60"/>
      <c r="D1430" s="8"/>
      <c r="E1430" s="8"/>
      <c r="F1430" s="37"/>
    </row>
    <row r="1431" spans="2:6">
      <c r="B1431" s="1"/>
      <c r="C1431" s="60"/>
      <c r="D1431" s="8"/>
      <c r="E1431" s="8"/>
      <c r="F1431" s="14"/>
    </row>
    <row r="1432" spans="2:6">
      <c r="B1432" s="1"/>
      <c r="C1432" s="60"/>
      <c r="D1432" s="8"/>
      <c r="E1432" s="8"/>
      <c r="F1432" s="14"/>
    </row>
    <row r="1433" spans="2:6">
      <c r="B1433" s="1"/>
      <c r="C1433" s="60"/>
      <c r="D1433" s="8"/>
      <c r="E1433" s="8"/>
      <c r="F1433" s="37"/>
    </row>
    <row r="1434" spans="2:6">
      <c r="B1434" s="1"/>
      <c r="C1434" s="60"/>
      <c r="D1434" s="8"/>
      <c r="E1434" s="8"/>
      <c r="F1434" s="14"/>
    </row>
    <row r="1435" spans="2:6">
      <c r="B1435" s="1"/>
      <c r="C1435" s="60"/>
      <c r="D1435" s="8"/>
      <c r="E1435" s="8"/>
      <c r="F1435" s="14"/>
    </row>
    <row r="1436" spans="2:6">
      <c r="B1436" s="1"/>
      <c r="C1436" s="60"/>
      <c r="D1436" s="8"/>
      <c r="E1436" s="8"/>
      <c r="F1436" s="37"/>
    </row>
    <row r="1437" spans="2:6">
      <c r="B1437" s="1"/>
      <c r="C1437" s="60"/>
      <c r="D1437" s="8"/>
      <c r="E1437" s="8"/>
      <c r="F1437" s="37"/>
    </row>
    <row r="1438" spans="2:6">
      <c r="B1438" s="1"/>
      <c r="C1438" s="60"/>
      <c r="D1438" s="8"/>
      <c r="E1438" s="8"/>
      <c r="F1438" s="37"/>
    </row>
    <row r="1439" spans="2:6">
      <c r="B1439" s="1"/>
      <c r="C1439" s="60"/>
      <c r="D1439" s="8"/>
      <c r="E1439" s="8"/>
      <c r="F1439" s="37"/>
    </row>
    <row r="1440" spans="2:6">
      <c r="B1440" s="1"/>
      <c r="C1440" s="60"/>
      <c r="D1440" s="8"/>
      <c r="E1440" s="8"/>
      <c r="F1440" s="14"/>
    </row>
    <row r="1441" spans="2:6">
      <c r="B1441" s="1"/>
      <c r="C1441" s="60"/>
      <c r="D1441" s="8"/>
      <c r="E1441" s="8"/>
      <c r="F1441" s="37"/>
    </row>
    <row r="1442" spans="2:6">
      <c r="B1442" s="1"/>
      <c r="C1442" s="60"/>
      <c r="D1442" s="8"/>
      <c r="E1442" s="8"/>
      <c r="F1442" s="37"/>
    </row>
    <row r="1443" spans="2:6">
      <c r="B1443" s="1"/>
      <c r="C1443" s="60"/>
      <c r="D1443" s="8"/>
      <c r="E1443" s="8"/>
      <c r="F1443" s="37"/>
    </row>
    <row r="1444" spans="2:6">
      <c r="B1444" s="1"/>
      <c r="C1444" s="60"/>
      <c r="D1444" s="8"/>
      <c r="E1444" s="8"/>
      <c r="F1444" s="37"/>
    </row>
    <row r="1445" spans="2:6">
      <c r="B1445" s="1"/>
      <c r="C1445" s="60"/>
      <c r="D1445" s="8"/>
      <c r="E1445" s="8"/>
      <c r="F1445" s="14"/>
    </row>
    <row r="1446" spans="2:6">
      <c r="B1446" s="1"/>
      <c r="C1446" s="60"/>
      <c r="D1446" s="8"/>
      <c r="E1446" s="8"/>
      <c r="F1446" s="14"/>
    </row>
    <row r="1447" spans="2:6">
      <c r="B1447" s="1"/>
      <c r="C1447" s="60"/>
      <c r="D1447" s="8"/>
      <c r="E1447" s="8"/>
      <c r="F1447" s="14"/>
    </row>
    <row r="1448" spans="2:6">
      <c r="B1448" s="1"/>
      <c r="C1448" s="60"/>
      <c r="D1448" s="8"/>
      <c r="E1448" s="8"/>
      <c r="F1448" s="37"/>
    </row>
    <row r="1449" spans="2:6">
      <c r="B1449" s="1"/>
      <c r="C1449" s="60"/>
      <c r="D1449" s="8"/>
      <c r="E1449" s="8"/>
      <c r="F1449" s="37"/>
    </row>
    <row r="1450" spans="2:6">
      <c r="B1450" s="1"/>
      <c r="C1450" s="60"/>
      <c r="D1450" s="8"/>
      <c r="E1450" s="8"/>
      <c r="F1450" s="14"/>
    </row>
    <row r="1451" spans="2:6">
      <c r="B1451" s="1"/>
      <c r="C1451" s="60"/>
      <c r="D1451" s="8"/>
      <c r="E1451" s="8"/>
      <c r="F1451" s="37"/>
    </row>
    <row r="1452" spans="2:6">
      <c r="B1452" s="1"/>
      <c r="C1452" s="60"/>
      <c r="D1452" s="8"/>
      <c r="E1452" s="8"/>
      <c r="F1452" s="37"/>
    </row>
    <row r="1453" spans="2:6">
      <c r="B1453" s="1"/>
      <c r="C1453" s="60"/>
      <c r="D1453" s="8"/>
      <c r="E1453" s="8"/>
      <c r="F1453" s="37"/>
    </row>
    <row r="1454" spans="2:6">
      <c r="B1454" s="1"/>
      <c r="C1454" s="60"/>
      <c r="D1454" s="8"/>
      <c r="E1454" s="8"/>
      <c r="F1454" s="14"/>
    </row>
    <row r="1455" spans="2:6">
      <c r="B1455" s="1"/>
      <c r="C1455" s="60"/>
      <c r="D1455" s="8"/>
      <c r="E1455" s="8"/>
      <c r="F1455" s="37"/>
    </row>
    <row r="1456" spans="2:6">
      <c r="B1456" s="1"/>
      <c r="C1456" s="60"/>
      <c r="D1456" s="8"/>
      <c r="E1456" s="8"/>
      <c r="F1456" s="37"/>
    </row>
    <row r="1457" spans="2:7">
      <c r="B1457" s="1"/>
      <c r="C1457" s="60"/>
      <c r="D1457" s="8"/>
      <c r="E1457" s="8"/>
      <c r="F1457" s="37"/>
    </row>
    <row r="1458" spans="2:7">
      <c r="B1458" s="1"/>
      <c r="C1458" s="60"/>
      <c r="D1458" s="8"/>
      <c r="E1458" s="8"/>
      <c r="F1458" s="37"/>
    </row>
    <row r="1459" spans="2:7">
      <c r="B1459" s="1"/>
      <c r="C1459" s="60"/>
      <c r="D1459" s="8"/>
      <c r="E1459" s="8"/>
      <c r="F1459" s="37"/>
    </row>
    <row r="1460" spans="2:7">
      <c r="B1460" s="1"/>
      <c r="C1460" s="60"/>
      <c r="D1460" s="8"/>
      <c r="E1460" s="8"/>
      <c r="F1460" s="14"/>
    </row>
    <row r="1461" spans="2:7">
      <c r="B1461" s="1"/>
      <c r="C1461" s="60"/>
      <c r="D1461" s="8"/>
      <c r="E1461" s="8"/>
      <c r="F1461" s="14"/>
    </row>
    <row r="1462" spans="2:7">
      <c r="B1462" s="1"/>
      <c r="C1462" s="60"/>
      <c r="D1462" s="8"/>
      <c r="E1462" s="8"/>
      <c r="F1462" s="14"/>
    </row>
    <row r="1463" spans="2:7">
      <c r="B1463" s="1" t="s">
        <v>2764</v>
      </c>
      <c r="C1463" s="60" t="s">
        <v>2765</v>
      </c>
      <c r="D1463" s="8">
        <v>3315.3579</v>
      </c>
      <c r="E1463" s="8">
        <v>15051.651045531344</v>
      </c>
      <c r="F1463" s="37">
        <v>3.5399777337859497</v>
      </c>
      <c r="G1463" t="str">
        <f>VLOOKUP(B1462,[1]General!$A:$Y,25,0)</f>
        <v>Conquistar</v>
      </c>
    </row>
    <row r="1464" spans="2:7">
      <c r="B1464" s="1" t="s">
        <v>1916</v>
      </c>
      <c r="C1464" s="60" t="s">
        <v>1915</v>
      </c>
      <c r="D1464" s="8">
        <v>15953.429903117001</v>
      </c>
      <c r="E1464" s="8">
        <v>15037.802294975994</v>
      </c>
      <c r="F1464" s="37">
        <v>-5.7393777620329156E-2</v>
      </c>
      <c r="G1464" t="str">
        <f>VLOOKUP(B1463,[1]General!$A:$Y,25,0)</f>
        <v>Conquistar</v>
      </c>
    </row>
    <row r="1465" spans="2:7">
      <c r="B1465" s="1" t="s">
        <v>2533</v>
      </c>
      <c r="C1465" s="60" t="s">
        <v>2534</v>
      </c>
      <c r="D1465" s="8">
        <v>10552.788200000001</v>
      </c>
      <c r="E1465" s="8">
        <v>15036.7886</v>
      </c>
      <c r="F1465" s="37">
        <v>0.42491143714985191</v>
      </c>
      <c r="G1465" t="str">
        <f>VLOOKUP(B1464,[1]General!$A:$Y,25,0)</f>
        <v>Potenciar</v>
      </c>
    </row>
    <row r="1466" spans="2:7">
      <c r="B1466" s="1" t="s">
        <v>2527</v>
      </c>
      <c r="C1466" s="60" t="s">
        <v>2528</v>
      </c>
      <c r="D1466" s="8">
        <v>11351.847347226178</v>
      </c>
      <c r="E1466" s="8">
        <v>15009.751959420719</v>
      </c>
      <c r="F1466" s="37">
        <v>0.32222989794593659</v>
      </c>
      <c r="G1466" t="str">
        <f>VLOOKUP(B1465,[1]General!$A:$Y,25,0)</f>
        <v>Conquistar</v>
      </c>
    </row>
    <row r="1467" spans="2:7">
      <c r="B1467" s="1" t="s">
        <v>1543</v>
      </c>
      <c r="C1467" s="60" t="s">
        <v>351</v>
      </c>
      <c r="D1467" s="8">
        <v>9640.0560999999998</v>
      </c>
      <c r="E1467" s="8">
        <v>15009.03701827182</v>
      </c>
      <c r="F1467" s="14">
        <v>0.55694498689398908</v>
      </c>
      <c r="G1467" t="str">
        <f>VLOOKUP(B1466,[1]General!$A:$Y,25,0)</f>
        <v>Potenciar</v>
      </c>
    </row>
    <row r="1468" spans="2:7">
      <c r="B1468" s="1" t="s">
        <v>2420</v>
      </c>
      <c r="C1468" s="60" t="s">
        <v>2421</v>
      </c>
      <c r="D1468" s="8">
        <v>17936.362192665769</v>
      </c>
      <c r="E1468" s="8">
        <v>15006.733053201302</v>
      </c>
      <c r="F1468" s="37">
        <v>-0.16333463318790475</v>
      </c>
      <c r="G1468" t="str">
        <f>VLOOKUP(B1467,[1]General!$A:$Y,25,0)</f>
        <v>Conquistar</v>
      </c>
    </row>
    <row r="1469" spans="2:7">
      <c r="B1469" s="1" t="s">
        <v>2152</v>
      </c>
      <c r="C1469" s="60" t="s">
        <v>2151</v>
      </c>
      <c r="D1469" s="8">
        <v>19548.395269826338</v>
      </c>
      <c r="E1469" s="8">
        <v>14984.95434919593</v>
      </c>
      <c r="F1469" s="37">
        <v>-0.23344324982389963</v>
      </c>
      <c r="G1469" t="str">
        <f>VLOOKUP(B1468,[1]General!$A:$Y,25,0)</f>
        <v>Potenciar</v>
      </c>
    </row>
    <row r="1470" spans="2:7">
      <c r="B1470" s="1" t="s">
        <v>2179</v>
      </c>
      <c r="C1470" s="60" t="s">
        <v>2178</v>
      </c>
      <c r="D1470" s="8">
        <v>21742.860846956075</v>
      </c>
      <c r="E1470" s="8">
        <v>14953.108954485882</v>
      </c>
      <c r="F1470" s="14">
        <v>-0.31227500098823169</v>
      </c>
      <c r="G1470" t="str">
        <f>VLOOKUP(B1469,[1]General!$A:$Y,25,0)</f>
        <v>Potenciar</v>
      </c>
    </row>
    <row r="1471" spans="2:7">
      <c r="B1471" s="1" t="s">
        <v>2506</v>
      </c>
      <c r="C1471" s="60" t="s">
        <v>2507</v>
      </c>
      <c r="D1471" s="8">
        <v>11035.737331909786</v>
      </c>
      <c r="E1471" s="8">
        <v>14942.580489541808</v>
      </c>
      <c r="F1471" s="37">
        <v>0.35401741090152639</v>
      </c>
      <c r="G1471" t="str">
        <f>VLOOKUP(B1470,[1]General!$A:$Y,25,0)</f>
        <v>Proteger</v>
      </c>
    </row>
    <row r="1472" spans="2:7">
      <c r="B1472" s="1" t="s">
        <v>2069</v>
      </c>
      <c r="C1472" s="60" t="s">
        <v>2068</v>
      </c>
      <c r="D1472" s="8">
        <v>16492.035837367395</v>
      </c>
      <c r="E1472" s="8">
        <v>14894.75373265003</v>
      </c>
      <c r="F1472" s="37">
        <v>-9.6851724096928549E-2</v>
      </c>
      <c r="G1472" t="e">
        <f>VLOOKUP(B1471,[1]General!$A:$Y,25,0)</f>
        <v>#N/A</v>
      </c>
    </row>
    <row r="1473" spans="2:7">
      <c r="B1473" s="1" t="s">
        <v>2438</v>
      </c>
      <c r="C1473" s="60" t="s">
        <v>2439</v>
      </c>
      <c r="D1473" s="8">
        <v>10808.0723</v>
      </c>
      <c r="E1473" s="8">
        <v>14873.3109</v>
      </c>
      <c r="F1473" s="37">
        <v>0.37612984879829114</v>
      </c>
      <c r="G1473" t="str">
        <f>VLOOKUP(B1472,[1]General!$A:$Y,25,0)</f>
        <v>Potenciar</v>
      </c>
    </row>
    <row r="1474" spans="2:7">
      <c r="B1474" s="1" t="s">
        <v>1960</v>
      </c>
      <c r="C1474" s="60" t="s">
        <v>1959</v>
      </c>
      <c r="D1474" s="8">
        <v>11716.646192424585</v>
      </c>
      <c r="E1474" s="8">
        <v>14865.86744567698</v>
      </c>
      <c r="F1474" s="37">
        <v>0.26878179997348806</v>
      </c>
      <c r="G1474" t="str">
        <f>VLOOKUP(B1473,[1]General!$A:$Y,25,0)</f>
        <v>Proteger</v>
      </c>
    </row>
    <row r="1475" spans="2:7">
      <c r="B1475" s="1" t="s">
        <v>2103</v>
      </c>
      <c r="C1475" s="60" t="s">
        <v>2102</v>
      </c>
      <c r="D1475" s="8">
        <v>17872.803736026151</v>
      </c>
      <c r="E1475" s="8">
        <v>14865.211056264405</v>
      </c>
      <c r="F1475" s="37">
        <v>-0.16827760905242595</v>
      </c>
      <c r="G1475" t="str">
        <f>VLOOKUP(B1474,[1]General!$A:$Y,25,0)</f>
        <v>Potenciar</v>
      </c>
    </row>
    <row r="1476" spans="2:7">
      <c r="B1476" s="1" t="s">
        <v>1472</v>
      </c>
      <c r="C1476" s="60" t="s">
        <v>1471</v>
      </c>
      <c r="D1476" s="8">
        <v>3479.8829000000001</v>
      </c>
      <c r="E1476" s="8">
        <v>14845.221615024093</v>
      </c>
      <c r="F1476" s="37">
        <v>3.2660118290256523</v>
      </c>
      <c r="G1476" t="str">
        <f>VLOOKUP(B1475,[1]General!$A:$Y,25,0)</f>
        <v>Proteger</v>
      </c>
    </row>
    <row r="1477" spans="2:7">
      <c r="B1477" s="1" t="s">
        <v>1448</v>
      </c>
      <c r="C1477" s="60" t="s">
        <v>1447</v>
      </c>
      <c r="D1477" s="8">
        <v>4282.6460999999999</v>
      </c>
      <c r="E1477" s="8">
        <v>14789.219800000001</v>
      </c>
      <c r="F1477" s="37">
        <v>2.4532901983192121</v>
      </c>
      <c r="G1477" t="str">
        <f>VLOOKUP(B1476,[1]General!$A:$Y,25,0)</f>
        <v>Conquistar</v>
      </c>
    </row>
    <row r="1478" spans="2:7">
      <c r="B1478" s="1" t="s">
        <v>1956</v>
      </c>
      <c r="C1478" s="60" t="s">
        <v>1955</v>
      </c>
      <c r="D1478" s="8">
        <v>11767.800793268425</v>
      </c>
      <c r="E1478" s="8">
        <v>14788.569459207474</v>
      </c>
      <c r="F1478" s="37">
        <v>0.25669780777280238</v>
      </c>
      <c r="G1478" t="str">
        <f>VLOOKUP(B1477,[1]General!$A:$Y,25,0)</f>
        <v>Conquistar</v>
      </c>
    </row>
    <row r="1479" spans="2:7">
      <c r="B1479" s="1" t="s">
        <v>1718</v>
      </c>
      <c r="C1479" s="60" t="s">
        <v>1717</v>
      </c>
      <c r="D1479" s="8">
        <v>2751.3798999999999</v>
      </c>
      <c r="E1479" s="8">
        <v>14770.6608</v>
      </c>
      <c r="F1479" s="37">
        <v>4.3684555884121998</v>
      </c>
      <c r="G1479" t="str">
        <f>VLOOKUP(B1478,[1]General!$A:$Y,25,0)</f>
        <v>Potenciar</v>
      </c>
    </row>
    <row r="1480" spans="2:7">
      <c r="B1480" s="1" t="s">
        <v>1910</v>
      </c>
      <c r="C1480" s="60" t="s">
        <v>1909</v>
      </c>
      <c r="D1480" s="8">
        <v>8919.4706483783048</v>
      </c>
      <c r="E1480" s="8">
        <v>14711.33431314162</v>
      </c>
      <c r="F1480" s="37">
        <v>0.6493506053317597</v>
      </c>
      <c r="G1480" t="e">
        <f>VLOOKUP(B1479,[1]General!$A:$Y,25,0)</f>
        <v>#N/A</v>
      </c>
    </row>
    <row r="1481" spans="2:7">
      <c r="B1481" s="1" t="s">
        <v>2089</v>
      </c>
      <c r="C1481" s="60" t="s">
        <v>2088</v>
      </c>
      <c r="D1481" s="8">
        <v>16239.717572993703</v>
      </c>
      <c r="E1481" s="8">
        <v>14690.622600000001</v>
      </c>
      <c r="F1481" s="37">
        <v>-9.5399999999999999E-2</v>
      </c>
      <c r="G1481" t="str">
        <f>VLOOKUP(B1480,[1]General!$A:$Y,25,0)</f>
        <v>Potenciar</v>
      </c>
    </row>
    <row r="1482" spans="2:7">
      <c r="B1482" s="1" t="s">
        <v>2635</v>
      </c>
      <c r="C1482" s="60" t="s">
        <v>2636</v>
      </c>
      <c r="D1482" s="8">
        <v>8451.3657000000003</v>
      </c>
      <c r="E1482" s="8">
        <v>14631.415943855127</v>
      </c>
      <c r="F1482" s="37">
        <v>0.73124870739590953</v>
      </c>
      <c r="G1482" t="str">
        <f>VLOOKUP(B1481,[1]General!$A:$Y,25,0)</f>
        <v>Potenciar</v>
      </c>
    </row>
    <row r="1483" spans="2:7">
      <c r="B1483" s="1" t="s">
        <v>1996</v>
      </c>
      <c r="C1483" s="60" t="s">
        <v>1995</v>
      </c>
      <c r="D1483" s="8">
        <v>15750.36907722964</v>
      </c>
      <c r="E1483" s="8">
        <v>14616.889777528364</v>
      </c>
      <c r="F1483" s="14">
        <v>-7.1965253267617046E-2</v>
      </c>
      <c r="G1483" t="e">
        <f>VLOOKUP(B1482,[1]General!$A:$Y,25,0)</f>
        <v>#N/A</v>
      </c>
    </row>
    <row r="1484" spans="2:7">
      <c r="B1484" s="1" t="s">
        <v>2097</v>
      </c>
      <c r="C1484" s="60" t="s">
        <v>2096</v>
      </c>
      <c r="D1484" s="8">
        <v>16752.203600000001</v>
      </c>
      <c r="E1484" s="8">
        <v>14584.3542</v>
      </c>
      <c r="F1484" s="14">
        <v>-0.1294068202466212</v>
      </c>
      <c r="G1484" t="str">
        <f>VLOOKUP(B1483,[1]General!$A:$Y,25,0)</f>
        <v>Potenciar</v>
      </c>
    </row>
    <row r="1485" spans="2:7">
      <c r="B1485" s="1" t="s">
        <v>2510</v>
      </c>
      <c r="C1485" s="60" t="s">
        <v>2511</v>
      </c>
      <c r="D1485" s="8">
        <v>15188.582834409268</v>
      </c>
      <c r="E1485" s="8">
        <v>14579.972326571595</v>
      </c>
      <c r="F1485" s="37">
        <v>-4.0070262938480705E-2</v>
      </c>
      <c r="G1485" t="str">
        <f>VLOOKUP(B1484,[1]General!$A:$Y,25,0)</f>
        <v>Proteger</v>
      </c>
    </row>
    <row r="1486" spans="2:7">
      <c r="B1486" s="1" t="s">
        <v>750</v>
      </c>
      <c r="C1486" s="60" t="s">
        <v>749</v>
      </c>
      <c r="D1486" s="8">
        <v>1996.0451550704213</v>
      </c>
      <c r="E1486" s="8">
        <v>14579.2991</v>
      </c>
      <c r="F1486" s="37">
        <v>6.3041</v>
      </c>
      <c r="G1486" t="e">
        <f>VLOOKUP(B1485,[1]General!$A:$Y,25,0)</f>
        <v>#N/A</v>
      </c>
    </row>
    <row r="1487" spans="2:7">
      <c r="B1487" s="1" t="s">
        <v>2376</v>
      </c>
      <c r="C1487" s="60" t="s">
        <v>2377</v>
      </c>
      <c r="D1487" s="8">
        <v>21837.722826603524</v>
      </c>
      <c r="E1487" s="8">
        <v>14570.480746347617</v>
      </c>
      <c r="F1487" s="37">
        <v>-0.33278387760296524</v>
      </c>
      <c r="G1487" t="str">
        <f>VLOOKUP(B1486,[1]General!$A:$Y,25,0)</f>
        <v>Conquistar</v>
      </c>
    </row>
    <row r="1488" spans="2:7">
      <c r="B1488" s="1" t="s">
        <v>2620</v>
      </c>
      <c r="C1488" s="60" t="s">
        <v>2621</v>
      </c>
      <c r="D1488" s="8">
        <v>9000.3844277506305</v>
      </c>
      <c r="E1488" s="8">
        <v>14501.957272710128</v>
      </c>
      <c r="F1488" s="14">
        <v>0.61125976219378519</v>
      </c>
      <c r="G1488" t="str">
        <f>VLOOKUP(B1487,[1]General!$A:$Y,25,0)</f>
        <v>Potenciar</v>
      </c>
    </row>
    <row r="1489" spans="2:7">
      <c r="B1489" s="1" t="s">
        <v>2065</v>
      </c>
      <c r="C1489" s="60" t="s">
        <v>2064</v>
      </c>
      <c r="D1489" s="8">
        <v>15824.812093470535</v>
      </c>
      <c r="E1489" s="8">
        <v>14498.830210312692</v>
      </c>
      <c r="F1489" s="14">
        <v>-8.3791319310828061E-2</v>
      </c>
      <c r="G1489" t="str">
        <f>VLOOKUP(B1488,[1]General!$A:$Y,25,0)</f>
        <v>Conquistar</v>
      </c>
    </row>
    <row r="1490" spans="2:7">
      <c r="B1490" s="1" t="s">
        <v>2624</v>
      </c>
      <c r="C1490" s="60" t="s">
        <v>2625</v>
      </c>
      <c r="D1490" s="8">
        <v>5052.8810000000003</v>
      </c>
      <c r="E1490" s="8">
        <v>14458.456173645547</v>
      </c>
      <c r="F1490" s="37">
        <v>1.8614281978232907</v>
      </c>
      <c r="G1490" t="str">
        <f>VLOOKUP(B1489,[1]General!$A:$Y,25,0)</f>
        <v>Proteger</v>
      </c>
    </row>
    <row r="1491" spans="2:7">
      <c r="B1491" s="1" t="s">
        <v>2095</v>
      </c>
      <c r="C1491" s="60" t="s">
        <v>2094</v>
      </c>
      <c r="D1491" s="8">
        <v>13166.910069023024</v>
      </c>
      <c r="E1491" s="8">
        <v>14434.492201849442</v>
      </c>
      <c r="F1491" s="14">
        <v>9.6270281044037675E-2</v>
      </c>
      <c r="G1491" t="e">
        <f>VLOOKUP(B1490,[1]General!$A:$Y,25,0)</f>
        <v>#N/A</v>
      </c>
    </row>
    <row r="1492" spans="2:7">
      <c r="B1492" s="1" t="s">
        <v>1774</v>
      </c>
      <c r="C1492" s="60" t="s">
        <v>1773</v>
      </c>
      <c r="D1492" s="8">
        <v>5725.3286936662089</v>
      </c>
      <c r="E1492" s="8">
        <v>14430.194276300535</v>
      </c>
      <c r="F1492" s="14">
        <v>1.5204132458393711</v>
      </c>
      <c r="G1492" t="str">
        <f>VLOOKUP(B1491,[1]General!$A:$Y,25,0)</f>
        <v>Potenciar</v>
      </c>
    </row>
    <row r="1493" spans="2:7">
      <c r="B1493" s="1" t="s">
        <v>2406</v>
      </c>
      <c r="C1493" s="60" t="s">
        <v>2407</v>
      </c>
      <c r="D1493" s="8">
        <v>6297.0653000000002</v>
      </c>
      <c r="E1493" s="8">
        <v>14409.5906</v>
      </c>
      <c r="F1493" s="37">
        <v>1.2883025526192338</v>
      </c>
      <c r="G1493" t="str">
        <f>VLOOKUP(B1492,[1]General!$A:$Y,25,0)</f>
        <v>Conquistar</v>
      </c>
    </row>
    <row r="1494" spans="2:7">
      <c r="B1494" s="1" t="s">
        <v>2346</v>
      </c>
      <c r="C1494" s="60" t="s">
        <v>2347</v>
      </c>
      <c r="D1494" s="8">
        <v>35130.902531600012</v>
      </c>
      <c r="E1494" s="8">
        <v>14397.686248054888</v>
      </c>
      <c r="F1494" s="37">
        <v>-0.59017032838526529</v>
      </c>
      <c r="G1494" t="e">
        <f>VLOOKUP(B1493,[1]General!$A:$Y,25,0)</f>
        <v>#N/A</v>
      </c>
    </row>
    <row r="1495" spans="2:7">
      <c r="B1495" s="1" t="s">
        <v>2177</v>
      </c>
      <c r="C1495" s="60" t="s">
        <v>2176</v>
      </c>
      <c r="D1495" s="8">
        <v>27414.83006886383</v>
      </c>
      <c r="E1495" s="8">
        <v>14372.8279</v>
      </c>
      <c r="F1495" s="37">
        <v>-0.47570000000000001</v>
      </c>
      <c r="G1495" t="e">
        <f>VLOOKUP(B1494,[1]General!$A:$Y,25,0)</f>
        <v>#N/A</v>
      </c>
    </row>
    <row r="1496" spans="2:7">
      <c r="B1496" s="1" t="s">
        <v>2451</v>
      </c>
      <c r="C1496" s="60" t="s">
        <v>2452</v>
      </c>
      <c r="D1496" s="8">
        <v>16906.367788697968</v>
      </c>
      <c r="E1496" s="8">
        <v>14353.0687</v>
      </c>
      <c r="F1496" s="14">
        <v>-0.151</v>
      </c>
      <c r="G1496" t="str">
        <f>VLOOKUP(B1495,[1]General!$A:$Y,25,0)</f>
        <v>Potenciar</v>
      </c>
    </row>
    <row r="1497" spans="2:7">
      <c r="B1497" s="1" t="s">
        <v>2525</v>
      </c>
      <c r="C1497" s="60" t="s">
        <v>2526</v>
      </c>
      <c r="D1497" s="8">
        <v>8116.3785223014775</v>
      </c>
      <c r="E1497" s="8">
        <v>14326.428310864409</v>
      </c>
      <c r="F1497" s="37">
        <v>0.76512569879528147</v>
      </c>
      <c r="G1497" t="e">
        <f>VLOOKUP(B1496,[1]General!$A:$Y,25,0)</f>
        <v>#N/A</v>
      </c>
    </row>
    <row r="1498" spans="2:7">
      <c r="B1498" s="1" t="s">
        <v>2697</v>
      </c>
      <c r="C1498" s="60" t="s">
        <v>2698</v>
      </c>
      <c r="D1498" s="8">
        <v>5165.7776606953748</v>
      </c>
      <c r="E1498" s="8">
        <v>14298.522071359057</v>
      </c>
      <c r="F1498" s="37">
        <v>1.767932150884385</v>
      </c>
      <c r="G1498" t="str">
        <f>VLOOKUP(B1497,[1]General!$A:$Y,25,0)</f>
        <v>Proteger</v>
      </c>
    </row>
    <row r="1499" spans="2:7">
      <c r="B1499" s="1" t="s">
        <v>2794</v>
      </c>
      <c r="C1499" s="60" t="s">
        <v>2795</v>
      </c>
      <c r="D1499" s="8">
        <v>5558.1281174498108</v>
      </c>
      <c r="E1499" s="8">
        <v>14294.246760370293</v>
      </c>
      <c r="F1499" s="37">
        <v>1.5717735284822476</v>
      </c>
      <c r="G1499" t="e">
        <f>VLOOKUP(B1498,[1]General!$A:$Y,25,0)</f>
        <v>#N/A</v>
      </c>
    </row>
    <row r="1500" spans="2:7">
      <c r="B1500" s="1" t="s">
        <v>2651</v>
      </c>
      <c r="C1500" s="60" t="s">
        <v>2652</v>
      </c>
      <c r="D1500" s="8">
        <v>9272.6109606742521</v>
      </c>
      <c r="E1500" s="8">
        <v>14262.429222826191</v>
      </c>
      <c r="F1500" s="14">
        <v>0.53812440566244857</v>
      </c>
      <c r="G1500" t="e">
        <f>VLOOKUP(B1499,[1]General!$A:$Y,25,0)</f>
        <v>#N/A</v>
      </c>
    </row>
    <row r="1501" spans="2:7">
      <c r="B1501" s="1" t="s">
        <v>2340</v>
      </c>
      <c r="C1501" s="60" t="s">
        <v>2341</v>
      </c>
      <c r="D1501" s="8">
        <v>29313.137664316797</v>
      </c>
      <c r="E1501" s="8">
        <v>14254.835636021631</v>
      </c>
      <c r="F1501" s="37">
        <v>-0.51370488552734495</v>
      </c>
      <c r="G1501" t="e">
        <f>VLOOKUP(B1500,[1]General!$A:$Y,25,0)</f>
        <v>#N/A</v>
      </c>
    </row>
    <row r="1502" spans="2:7">
      <c r="B1502" s="1" t="s">
        <v>1688</v>
      </c>
      <c r="C1502" s="60" t="s">
        <v>1687</v>
      </c>
      <c r="D1502" s="8">
        <v>8996.8707358736792</v>
      </c>
      <c r="E1502" s="8">
        <v>14249.638858085853</v>
      </c>
      <c r="F1502" s="37">
        <v>0.58384390266579511</v>
      </c>
      <c r="G1502" t="str">
        <f>VLOOKUP(B1501,[1]General!$A:$Y,25,0)</f>
        <v>Proteger</v>
      </c>
    </row>
    <row r="1503" spans="2:7">
      <c r="B1503" s="1" t="s">
        <v>1288</v>
      </c>
      <c r="C1503" s="60" t="s">
        <v>1287</v>
      </c>
      <c r="D1503" s="8">
        <v>9295.1375597096267</v>
      </c>
      <c r="E1503" s="8">
        <v>14232.466729680425</v>
      </c>
      <c r="F1503" s="14">
        <v>0.53117332995392896</v>
      </c>
      <c r="G1503" t="str">
        <f>VLOOKUP(B1502,[1]General!$A:$Y,25,0)</f>
        <v>Proteger</v>
      </c>
    </row>
    <row r="1504" spans="2:7">
      <c r="B1504" s="1" t="s">
        <v>2856</v>
      </c>
      <c r="C1504" s="60" t="s">
        <v>2857</v>
      </c>
      <c r="D1504" s="8">
        <v>7359.2848538743619</v>
      </c>
      <c r="E1504" s="8">
        <v>14213.976699999999</v>
      </c>
      <c r="F1504" s="37">
        <v>0.93140000000000001</v>
      </c>
      <c r="G1504" t="str">
        <f>VLOOKUP(B1503,[1]General!$A:$Y,25,0)</f>
        <v>Potenciar</v>
      </c>
    </row>
    <row r="1505" spans="2:7">
      <c r="B1505" s="1" t="s">
        <v>2789</v>
      </c>
      <c r="C1505" s="60" t="s">
        <v>2300</v>
      </c>
      <c r="D1505" s="8">
        <v>4047.8923</v>
      </c>
      <c r="E1505" s="8">
        <v>14212.5468</v>
      </c>
      <c r="F1505" s="37">
        <v>2.5110980596000543</v>
      </c>
      <c r="G1505" t="e">
        <f>VLOOKUP(B1504,[1]General!$A:$Y,25,0)</f>
        <v>#N/A</v>
      </c>
    </row>
    <row r="1506" spans="2:7">
      <c r="B1506" s="1" t="s">
        <v>3229</v>
      </c>
      <c r="C1506" s="60" t="s">
        <v>3230</v>
      </c>
      <c r="D1506" s="8">
        <v>1834.5589</v>
      </c>
      <c r="E1506" s="8">
        <v>14208.248</v>
      </c>
      <c r="F1506" s="14">
        <v>6.7447761421015153</v>
      </c>
      <c r="G1506" t="e">
        <f>VLOOKUP(B1505,[1]General!$A:$Y,25,0)</f>
        <v>#N/A</v>
      </c>
    </row>
    <row r="1507" spans="2:7">
      <c r="B1507" s="1" t="s">
        <v>2459</v>
      </c>
      <c r="C1507" s="60" t="s">
        <v>2460</v>
      </c>
      <c r="D1507" s="8">
        <v>16310.798135720835</v>
      </c>
      <c r="E1507" s="8">
        <v>14186.893856629569</v>
      </c>
      <c r="F1507" s="37">
        <v>-0.13021461374351095</v>
      </c>
      <c r="G1507" t="e">
        <f>VLOOKUP(B1506,[1]General!$A:$Y,25,0)</f>
        <v>#N/A</v>
      </c>
    </row>
    <row r="1508" spans="2:7">
      <c r="B1508" s="1" t="s">
        <v>3300</v>
      </c>
      <c r="C1508" s="60" t="s">
        <v>3301</v>
      </c>
      <c r="D1508" s="8">
        <v>1901.8512039077455</v>
      </c>
      <c r="E1508" s="8">
        <v>14172.190606787803</v>
      </c>
      <c r="F1508" s="37">
        <v>6.4517872784517083</v>
      </c>
      <c r="G1508" t="str">
        <f>VLOOKUP(B1507,[1]General!$A:$Y,25,0)</f>
        <v>Potenciar</v>
      </c>
    </row>
    <row r="1509" spans="2:7">
      <c r="B1509" s="1" t="s">
        <v>2464</v>
      </c>
      <c r="C1509" s="60" t="s">
        <v>2465</v>
      </c>
      <c r="D1509" s="8">
        <v>14367.814485177501</v>
      </c>
      <c r="E1509" s="8">
        <v>14171.896300729561</v>
      </c>
      <c r="F1509" s="37">
        <v>-1.3635907162502625E-2</v>
      </c>
      <c r="G1509" t="str">
        <f>VLOOKUP(B1508,[1]General!$A:$Y,25,0)</f>
        <v>Conquistar</v>
      </c>
    </row>
    <row r="1510" spans="2:7">
      <c r="B1510" s="1" t="s">
        <v>2150</v>
      </c>
      <c r="C1510" s="60" t="s">
        <v>2149</v>
      </c>
      <c r="D1510" s="8">
        <v>23555.276524970879</v>
      </c>
      <c r="E1510" s="8">
        <v>14142.38250495534</v>
      </c>
      <c r="F1510" s="37">
        <v>-0.39960872503606393</v>
      </c>
      <c r="G1510" t="e">
        <f>VLOOKUP(B1509,[1]General!$A:$Y,25,0)</f>
        <v>#N/A</v>
      </c>
    </row>
    <row r="1511" spans="2:7">
      <c r="B1511" s="1" t="s">
        <v>2609</v>
      </c>
      <c r="C1511" s="60" t="s">
        <v>2610</v>
      </c>
      <c r="D1511" s="8">
        <v>10581.034831328154</v>
      </c>
      <c r="E1511" s="8">
        <v>14127.886607953045</v>
      </c>
      <c r="F1511" s="37">
        <v>0.33520840193469836</v>
      </c>
      <c r="G1511" t="str">
        <f>VLOOKUP(B1510,[1]General!$A:$Y,25,0)</f>
        <v>Potenciar</v>
      </c>
    </row>
    <row r="1512" spans="2:7">
      <c r="B1512" s="1" t="s">
        <v>1928</v>
      </c>
      <c r="C1512" s="60" t="s">
        <v>1927</v>
      </c>
      <c r="D1512" s="8">
        <v>16825.268306601174</v>
      </c>
      <c r="E1512" s="8">
        <v>14119.2781</v>
      </c>
      <c r="F1512" s="14">
        <v>-0.1608</v>
      </c>
      <c r="G1512" t="str">
        <f>VLOOKUP(B1511,[1]General!$A:$Y,25,0)</f>
        <v>Conquistar</v>
      </c>
    </row>
    <row r="1513" spans="2:7">
      <c r="B1513" s="1" t="s">
        <v>1294</v>
      </c>
      <c r="C1513" s="60" t="s">
        <v>1293</v>
      </c>
      <c r="D1513" s="8">
        <v>1509.1956847448957</v>
      </c>
      <c r="E1513" s="8">
        <v>14108.187730100452</v>
      </c>
      <c r="F1513" s="37">
        <v>8.3481500594703881</v>
      </c>
      <c r="G1513" t="str">
        <f>VLOOKUP(B1512,[1]General!$A:$Y,25,0)</f>
        <v>Conquistar</v>
      </c>
    </row>
    <row r="1514" spans="2:7">
      <c r="B1514" s="1" t="s">
        <v>2127</v>
      </c>
      <c r="C1514" s="60" t="s">
        <v>2126</v>
      </c>
      <c r="D1514" s="8">
        <v>15599.210355060031</v>
      </c>
      <c r="E1514" s="8">
        <v>14108.103679404403</v>
      </c>
      <c r="F1514" s="37">
        <v>-9.5588599789087847E-2</v>
      </c>
      <c r="G1514" t="str">
        <f>VLOOKUP(B1513,[1]General!$A:$Y,25,0)</f>
        <v>Proteger</v>
      </c>
    </row>
    <row r="1515" spans="2:7">
      <c r="B1515" s="1" t="s">
        <v>1598</v>
      </c>
      <c r="C1515" s="60" t="s">
        <v>1597</v>
      </c>
      <c r="D1515" s="8">
        <v>6099.6226999999999</v>
      </c>
      <c r="E1515" s="8">
        <v>14092.891587632284</v>
      </c>
      <c r="F1515" s="14">
        <v>1.3104530035328716</v>
      </c>
      <c r="G1515" t="str">
        <f>VLOOKUP(B1514,[1]General!$A:$Y,25,0)</f>
        <v>Proteger</v>
      </c>
    </row>
    <row r="1516" spans="2:7">
      <c r="B1516" s="1" t="s">
        <v>2703</v>
      </c>
      <c r="C1516" s="60" t="s">
        <v>2380</v>
      </c>
      <c r="D1516" s="8">
        <v>4788.5748999999996</v>
      </c>
      <c r="E1516" s="8">
        <v>14079.3213</v>
      </c>
      <c r="F1516" s="14">
        <v>1.9401902641222128</v>
      </c>
      <c r="G1516" t="str">
        <f>VLOOKUP(B1515,[1]General!$A:$Y,25,0)</f>
        <v>Conquistar</v>
      </c>
    </row>
    <row r="1517" spans="2:7">
      <c r="B1517" s="1" t="s">
        <v>2426</v>
      </c>
      <c r="C1517" s="60" t="s">
        <v>2427</v>
      </c>
      <c r="D1517" s="8">
        <v>14462.5699878211</v>
      </c>
      <c r="E1517" s="8">
        <v>14050.739982393457</v>
      </c>
      <c r="F1517" s="14">
        <v>-2.8475575625524607E-2</v>
      </c>
      <c r="G1517" t="e">
        <f>VLOOKUP(B1516,[1]General!$A:$Y,25,0)</f>
        <v>#N/A</v>
      </c>
    </row>
    <row r="1518" spans="2:7">
      <c r="B1518" s="1" t="s">
        <v>2418</v>
      </c>
      <c r="C1518" s="60" t="s">
        <v>2419</v>
      </c>
      <c r="D1518" s="8">
        <v>5730.1549999999997</v>
      </c>
      <c r="E1518" s="8">
        <v>13944.5175</v>
      </c>
      <c r="F1518" s="37">
        <v>1.4335323390030461</v>
      </c>
      <c r="G1518" t="e">
        <f>VLOOKUP(B1517,[1]General!$A:$Y,25,0)</f>
        <v>#N/A</v>
      </c>
    </row>
    <row r="1519" spans="2:7">
      <c r="B1519" s="1" t="s">
        <v>2482</v>
      </c>
      <c r="C1519" s="60" t="s">
        <v>2483</v>
      </c>
      <c r="D1519" s="8">
        <v>11814.333391835813</v>
      </c>
      <c r="E1519" s="8">
        <v>13932.52330479446</v>
      </c>
      <c r="F1519" s="37">
        <v>0.17928983741244364</v>
      </c>
      <c r="G1519" t="e">
        <f>VLOOKUP(B1518,[1]General!$A:$Y,25,0)</f>
        <v>#N/A</v>
      </c>
    </row>
    <row r="1520" spans="2:7">
      <c r="B1520" s="1" t="s">
        <v>2018</v>
      </c>
      <c r="C1520" s="60" t="s">
        <v>2017</v>
      </c>
      <c r="D1520" s="8">
        <v>14767.094582912519</v>
      </c>
      <c r="E1520" s="8">
        <v>13927.910701156567</v>
      </c>
      <c r="F1520" s="14">
        <v>-5.6827961454719689E-2</v>
      </c>
      <c r="G1520" t="str">
        <f>VLOOKUP(B1519,[1]General!$A:$Y,25,0)</f>
        <v>Conquistar</v>
      </c>
    </row>
    <row r="1521" spans="2:7">
      <c r="B1521" s="1" t="s">
        <v>2948</v>
      </c>
      <c r="C1521" s="60" t="s">
        <v>545</v>
      </c>
      <c r="D1521" s="8">
        <v>4802.4351999999999</v>
      </c>
      <c r="E1521" s="8">
        <v>13868.577259600472</v>
      </c>
      <c r="F1521" s="14">
        <v>1.8878218408028644</v>
      </c>
      <c r="G1521" t="str">
        <f>VLOOKUP(B1520,[1]General!$A:$Y,25,0)</f>
        <v>Proteger</v>
      </c>
    </row>
    <row r="1522" spans="2:7">
      <c r="B1522" s="1" t="s">
        <v>2041</v>
      </c>
      <c r="C1522" s="60" t="s">
        <v>2040</v>
      </c>
      <c r="D1522" s="8">
        <v>12242.385080615863</v>
      </c>
      <c r="E1522" s="8">
        <v>13843.687738974339</v>
      </c>
      <c r="F1522" s="37">
        <v>0.13079989297950756</v>
      </c>
      <c r="G1522" t="e">
        <f>VLOOKUP(B1521,[1]General!$A:$Y,25,0)</f>
        <v>#N/A</v>
      </c>
    </row>
    <row r="1523" spans="2:7">
      <c r="B1523" s="1" t="s">
        <v>2391</v>
      </c>
      <c r="C1523" s="60" t="s">
        <v>2392</v>
      </c>
      <c r="D1523" s="8">
        <v>24609.166694964737</v>
      </c>
      <c r="E1523" s="8">
        <v>13840.241237227126</v>
      </c>
      <c r="F1523" s="37">
        <v>-0.43759813532983349</v>
      </c>
      <c r="G1523" t="str">
        <f>VLOOKUP(B1522,[1]General!$A:$Y,25,0)</f>
        <v>Proteger</v>
      </c>
    </row>
    <row r="1524" spans="2:7">
      <c r="B1524" s="1" t="s">
        <v>1336</v>
      </c>
      <c r="C1524" s="60" t="s">
        <v>1335</v>
      </c>
      <c r="D1524" s="8">
        <v>5016.3709618460653</v>
      </c>
      <c r="E1524" s="8">
        <v>13812.357620795969</v>
      </c>
      <c r="F1524" s="37">
        <v>1.7534561789491159</v>
      </c>
      <c r="G1524" t="e">
        <f>VLOOKUP(B1523,[1]General!$A:$Y,25,0)</f>
        <v>#N/A</v>
      </c>
    </row>
    <row r="1525" spans="2:7">
      <c r="B1525" s="1" t="s">
        <v>2628</v>
      </c>
      <c r="C1525" s="60" t="s">
        <v>2629</v>
      </c>
      <c r="D1525" s="8">
        <v>5533.4287341592089</v>
      </c>
      <c r="E1525" s="8">
        <v>13780.061191922179</v>
      </c>
      <c r="F1525" s="37">
        <v>1.4903295685104774</v>
      </c>
      <c r="G1525" t="str">
        <f>VLOOKUP(B1524,[1]General!$A:$Y,25,0)</f>
        <v>Proteger</v>
      </c>
    </row>
    <row r="1526" spans="2:7">
      <c r="B1526" s="1" t="s">
        <v>2492</v>
      </c>
      <c r="C1526" s="60" t="s">
        <v>2493</v>
      </c>
      <c r="D1526" s="8">
        <v>13868.048782431295</v>
      </c>
      <c r="E1526" s="8">
        <v>13778.798870724419</v>
      </c>
      <c r="F1526" s="37">
        <v>-6.4356502567212148E-3</v>
      </c>
      <c r="G1526" t="e">
        <f>VLOOKUP(B1525,[1]General!$A:$Y,25,0)</f>
        <v>#N/A</v>
      </c>
    </row>
    <row r="1527" spans="2:7">
      <c r="B1527" s="1" t="s">
        <v>1998</v>
      </c>
      <c r="C1527" s="60" t="s">
        <v>1997</v>
      </c>
      <c r="D1527" s="8">
        <v>11901.557734221</v>
      </c>
      <c r="E1527" s="8">
        <v>13730.819390668885</v>
      </c>
      <c r="F1527" s="37">
        <v>0.15369934737098645</v>
      </c>
      <c r="G1527" t="str">
        <f>VLOOKUP(B1526,[1]General!$A:$Y,25,0)</f>
        <v>Conquistar</v>
      </c>
    </row>
    <row r="1528" spans="2:7">
      <c r="B1528" s="1" t="s">
        <v>1878</v>
      </c>
      <c r="C1528" s="60" t="s">
        <v>1877</v>
      </c>
      <c r="D1528" s="8">
        <v>13686.562795925605</v>
      </c>
      <c r="E1528" s="8">
        <v>13718.366460705058</v>
      </c>
      <c r="F1528" s="37">
        <v>2.3237145259671355E-3</v>
      </c>
      <c r="G1528" t="str">
        <f>VLOOKUP(B1527,[1]General!$A:$Y,25,0)</f>
        <v>Proteger</v>
      </c>
    </row>
    <row r="1529" spans="2:7">
      <c r="B1529" s="1" t="s">
        <v>1984</v>
      </c>
      <c r="C1529" s="60" t="s">
        <v>1983</v>
      </c>
      <c r="D1529" s="8">
        <v>14725.923518365351</v>
      </c>
      <c r="E1529" s="8">
        <v>13712.139523571899</v>
      </c>
      <c r="F1529" s="37">
        <v>-6.8843491787059508E-2</v>
      </c>
      <c r="G1529" t="str">
        <f>VLOOKUP(B1528,[1]General!$A:$Y,25,0)</f>
        <v>Potenciar</v>
      </c>
    </row>
    <row r="1530" spans="2:7">
      <c r="B1530" s="1" t="s">
        <v>2714</v>
      </c>
      <c r="C1530" s="60" t="s">
        <v>2715</v>
      </c>
      <c r="D1530" s="8">
        <v>11107.025225192498</v>
      </c>
      <c r="E1530" s="8">
        <v>13710.474503697298</v>
      </c>
      <c r="F1530" s="37">
        <v>0.23439662967540253</v>
      </c>
      <c r="G1530" t="str">
        <f>VLOOKUP(B1529,[1]General!$A:$Y,25,0)</f>
        <v>Potenciar</v>
      </c>
    </row>
    <row r="1531" spans="2:7">
      <c r="B1531" s="1" t="s">
        <v>2160</v>
      </c>
      <c r="C1531" s="60" t="s">
        <v>2159</v>
      </c>
      <c r="D1531" s="8">
        <v>15771.778244801555</v>
      </c>
      <c r="E1531" s="8">
        <v>13701.299285741747</v>
      </c>
      <c r="F1531" s="37">
        <v>-0.13127745818657111</v>
      </c>
      <c r="G1531" t="e">
        <f>VLOOKUP(B1530,[1]General!$A:$Y,25,0)</f>
        <v>#N/A</v>
      </c>
    </row>
    <row r="1532" spans="2:7">
      <c r="B1532" s="1" t="s">
        <v>2353</v>
      </c>
      <c r="C1532" s="60" t="s">
        <v>2354</v>
      </c>
      <c r="D1532" s="8">
        <v>34186.331339483542</v>
      </c>
      <c r="E1532" s="8">
        <v>13689.665501882679</v>
      </c>
      <c r="F1532" s="37">
        <v>-0.599557338693673</v>
      </c>
      <c r="G1532" t="str">
        <f>VLOOKUP(B1531,[1]General!$A:$Y,25,0)</f>
        <v>Potenciar</v>
      </c>
    </row>
    <row r="1533" spans="2:7">
      <c r="B1533" s="1" t="s">
        <v>2570</v>
      </c>
      <c r="C1533" s="60" t="s">
        <v>2571</v>
      </c>
      <c r="D1533" s="8">
        <v>7694.8346308285518</v>
      </c>
      <c r="E1533" s="8">
        <v>13687.6641</v>
      </c>
      <c r="F1533" s="37">
        <v>0.77880000000000005</v>
      </c>
      <c r="G1533" t="e">
        <f>VLOOKUP(B1532,[1]General!$A:$Y,25,0)</f>
        <v>#N/A</v>
      </c>
    </row>
    <row r="1534" spans="2:7">
      <c r="B1534" s="1" t="s">
        <v>2457</v>
      </c>
      <c r="C1534" s="60" t="s">
        <v>2458</v>
      </c>
      <c r="D1534" s="8">
        <v>14653.709173183895</v>
      </c>
      <c r="E1534" s="8">
        <v>13682.138178543915</v>
      </c>
      <c r="F1534" s="37">
        <v>-6.6302052480879281E-2</v>
      </c>
      <c r="G1534" t="str">
        <f>VLOOKUP(B1533,[1]General!$A:$Y,25,0)</f>
        <v>Conquistar</v>
      </c>
    </row>
    <row r="1535" spans="2:7">
      <c r="B1535" s="1" t="s">
        <v>2946</v>
      </c>
      <c r="C1535" s="60" t="s">
        <v>2947</v>
      </c>
      <c r="D1535" s="8">
        <v>1349.9571000000001</v>
      </c>
      <c r="E1535" s="8">
        <v>13671.0509625672</v>
      </c>
      <c r="F1535" s="37">
        <v>9.1270262311055657</v>
      </c>
      <c r="G1535" t="e">
        <f>VLOOKUP(B1534,[1]General!$A:$Y,25,0)</f>
        <v>#N/A</v>
      </c>
    </row>
    <row r="1536" spans="2:7">
      <c r="B1536" s="1" t="s">
        <v>1334</v>
      </c>
      <c r="C1536" s="60" t="s">
        <v>1333</v>
      </c>
      <c r="D1536" s="8">
        <v>4659.5017517356018</v>
      </c>
      <c r="E1536" s="8">
        <v>13669.324544153573</v>
      </c>
      <c r="F1536" s="14">
        <v>1.933645113248843</v>
      </c>
      <c r="G1536" t="str">
        <f>VLOOKUP(B1535,[1]General!$A:$Y,25,0)</f>
        <v>Conquistar</v>
      </c>
    </row>
    <row r="1537" spans="2:7">
      <c r="B1537" s="1" t="s">
        <v>2049</v>
      </c>
      <c r="C1537" s="60" t="s">
        <v>2048</v>
      </c>
      <c r="D1537" s="8">
        <v>22173.686665194422</v>
      </c>
      <c r="E1537" s="8">
        <v>13666.610796239856</v>
      </c>
      <c r="F1537" s="14">
        <v>-0.38365635797983688</v>
      </c>
      <c r="G1537" t="str">
        <f>VLOOKUP(B1536,[1]General!$A:$Y,25,0)</f>
        <v>Conquistar</v>
      </c>
    </row>
    <row r="1538" spans="2:7">
      <c r="B1538" s="1" t="s">
        <v>2322</v>
      </c>
      <c r="C1538" s="60" t="s">
        <v>2323</v>
      </c>
      <c r="D1538" s="8">
        <v>32071.544521126099</v>
      </c>
      <c r="E1538" s="8">
        <v>13660.909599494018</v>
      </c>
      <c r="F1538" s="37">
        <v>-0.57404890211959292</v>
      </c>
      <c r="G1538" t="str">
        <f>VLOOKUP(B1537,[1]General!$A:$Y,25,0)</f>
        <v>Potenciar</v>
      </c>
    </row>
    <row r="1539" spans="2:7">
      <c r="B1539" s="1" t="s">
        <v>2156</v>
      </c>
      <c r="C1539" s="60" t="s">
        <v>2155</v>
      </c>
      <c r="D1539" s="8">
        <v>22211.311346285642</v>
      </c>
      <c r="E1539" s="8">
        <v>13629.992023026898</v>
      </c>
      <c r="F1539" s="37">
        <v>-0.38634906284782611</v>
      </c>
      <c r="G1539" t="str">
        <f>VLOOKUP(B1538,[1]General!$A:$Y,25,0)</f>
        <v>Proteger</v>
      </c>
    </row>
    <row r="1540" spans="2:7">
      <c r="B1540" s="1" t="s">
        <v>1370</v>
      </c>
      <c r="C1540" s="60" t="s">
        <v>1369</v>
      </c>
      <c r="D1540" s="8">
        <v>6653.3709749828959</v>
      </c>
      <c r="E1540" s="8">
        <v>13622.6896</v>
      </c>
      <c r="F1540" s="37">
        <v>1.0475000000000001</v>
      </c>
      <c r="G1540" t="str">
        <f>VLOOKUP(B1539,[1]General!$A:$Y,25,0)</f>
        <v>Proteger</v>
      </c>
    </row>
    <row r="1541" spans="2:7">
      <c r="B1541" s="1" t="s">
        <v>2549</v>
      </c>
      <c r="C1541" s="60" t="s">
        <v>2550</v>
      </c>
      <c r="D1541" s="8">
        <v>7417.2303000000002</v>
      </c>
      <c r="E1541" s="8">
        <v>13617.478548739178</v>
      </c>
      <c r="F1541" s="37">
        <v>0.83592500137675074</v>
      </c>
      <c r="G1541" t="str">
        <f>VLOOKUP(B1540,[1]General!$A:$Y,25,0)</f>
        <v>Conquistar</v>
      </c>
    </row>
    <row r="1542" spans="2:7">
      <c r="B1542" s="1" t="s">
        <v>2545</v>
      </c>
      <c r="C1542" s="60" t="s">
        <v>2546</v>
      </c>
      <c r="D1542" s="8">
        <v>4845.8008328091182</v>
      </c>
      <c r="E1542" s="8">
        <v>13598.161591898453</v>
      </c>
      <c r="F1542" s="37">
        <v>1.8061742653206774</v>
      </c>
      <c r="G1542" t="e">
        <f>VLOOKUP(B1541,[1]General!$A:$Y,25,0)</f>
        <v>#N/A</v>
      </c>
    </row>
    <row r="1543" spans="2:7">
      <c r="B1543" s="1" t="s">
        <v>1932</v>
      </c>
      <c r="C1543" s="60" t="s">
        <v>1931</v>
      </c>
      <c r="D1543" s="8">
        <v>10860.813070204529</v>
      </c>
      <c r="E1543" s="8">
        <v>13579.248517651911</v>
      </c>
      <c r="F1543" s="37">
        <v>0.250297600177386</v>
      </c>
      <c r="G1543" t="str">
        <f>VLOOKUP(B1542,[1]General!$A:$Y,25,0)</f>
        <v>Conquistar</v>
      </c>
    </row>
    <row r="1544" spans="2:7">
      <c r="B1544" s="1" t="s">
        <v>2389</v>
      </c>
      <c r="C1544" s="60" t="s">
        <v>2390</v>
      </c>
      <c r="D1544" s="8">
        <v>19114.681621083815</v>
      </c>
      <c r="E1544" s="8">
        <v>13570.089198149974</v>
      </c>
      <c r="F1544" s="37">
        <v>-0.29006982867127973</v>
      </c>
      <c r="G1544" t="str">
        <f>VLOOKUP(B1543,[1]General!$A:$Y,25,0)</f>
        <v>Fuera de rango</v>
      </c>
    </row>
    <row r="1545" spans="2:7">
      <c r="B1545" s="1" t="s">
        <v>2694</v>
      </c>
      <c r="C1545" s="60" t="s">
        <v>3587</v>
      </c>
      <c r="D1545" s="8">
        <v>4479.0032000000001</v>
      </c>
      <c r="E1545" s="8">
        <v>13563.348599999999</v>
      </c>
      <c r="F1545" s="14">
        <v>2.028206945688273</v>
      </c>
      <c r="G1545" t="str">
        <f>VLOOKUP(B1544,[1]General!$A:$Y,25,0)</f>
        <v>Conquistar</v>
      </c>
    </row>
    <row r="1546" spans="2:7">
      <c r="B1546" s="1" t="s">
        <v>2422</v>
      </c>
      <c r="C1546" s="60" t="s">
        <v>2423</v>
      </c>
      <c r="D1546" s="8">
        <v>14739.115346904529</v>
      </c>
      <c r="E1546" s="8">
        <v>13548.434368599828</v>
      </c>
      <c r="F1546" s="37">
        <v>-8.078374788991427E-2</v>
      </c>
      <c r="G1546" t="e">
        <f>VLOOKUP(B1545,[1]General!$A:$Y,25,0)</f>
        <v>#N/A</v>
      </c>
    </row>
    <row r="1547" spans="2:7">
      <c r="B1547" s="1" t="s">
        <v>1950</v>
      </c>
      <c r="C1547" s="60" t="s">
        <v>1949</v>
      </c>
      <c r="D1547" s="8">
        <v>5414.586392544893</v>
      </c>
      <c r="E1547" s="8">
        <v>13547.423699999999</v>
      </c>
      <c r="F1547" s="14">
        <v>1.502</v>
      </c>
      <c r="G1547" t="e">
        <f>VLOOKUP(B1546,[1]General!$A:$Y,25,0)</f>
        <v>#N/A</v>
      </c>
    </row>
    <row r="1548" spans="2:7">
      <c r="B1548" s="1" t="s">
        <v>1834</v>
      </c>
      <c r="C1548" s="60" t="s">
        <v>1833</v>
      </c>
      <c r="D1548" s="8">
        <v>9622.6029999999992</v>
      </c>
      <c r="E1548" s="8">
        <v>13545.342729700602</v>
      </c>
      <c r="F1548" s="37">
        <v>0.40765889746263073</v>
      </c>
      <c r="G1548" t="str">
        <f>VLOOKUP(B1547,[1]General!$A:$Y,25,0)</f>
        <v>Potenciar</v>
      </c>
    </row>
    <row r="1549" spans="2:7">
      <c r="B1549" s="1" t="s">
        <v>2519</v>
      </c>
      <c r="C1549" s="60" t="s">
        <v>2520</v>
      </c>
      <c r="D1549" s="8">
        <v>15082.160563550329</v>
      </c>
      <c r="E1549" s="8">
        <v>13512.710569942374</v>
      </c>
      <c r="F1549" s="37">
        <v>-0.1040600242249714</v>
      </c>
      <c r="G1549" t="e">
        <f>VLOOKUP(B1548,[1]General!$A:$Y,25,0)</f>
        <v>#N/A</v>
      </c>
    </row>
    <row r="1550" spans="2:7">
      <c r="B1550" s="1" t="s">
        <v>2006</v>
      </c>
      <c r="C1550" s="60" t="s">
        <v>2005</v>
      </c>
      <c r="D1550" s="8">
        <v>11719.648451570281</v>
      </c>
      <c r="E1550" s="8">
        <v>13505.519569389367</v>
      </c>
      <c r="F1550" s="14">
        <v>0.15238265253424066</v>
      </c>
      <c r="G1550" t="e">
        <f>VLOOKUP(B1549,[1]General!$A:$Y,25,0)</f>
        <v>#N/A</v>
      </c>
    </row>
    <row r="1551" spans="2:7">
      <c r="B1551" s="1" t="s">
        <v>2053</v>
      </c>
      <c r="C1551" s="60" t="s">
        <v>2052</v>
      </c>
      <c r="D1551" s="8">
        <v>11168.9568</v>
      </c>
      <c r="E1551" s="8">
        <v>13449.4789</v>
      </c>
      <c r="F1551" s="37">
        <v>0.20418398430908069</v>
      </c>
      <c r="G1551" t="str">
        <f>VLOOKUP(B1550,[1]General!$A:$Y,25,0)</f>
        <v>Potenciar</v>
      </c>
    </row>
    <row r="1552" spans="2:7">
      <c r="B1552" s="1" t="s">
        <v>1024</v>
      </c>
      <c r="C1552" s="60" t="s">
        <v>1023</v>
      </c>
      <c r="D1552" s="8">
        <v>4436.2241000000004</v>
      </c>
      <c r="E1552" s="8">
        <v>13440.505501840345</v>
      </c>
      <c r="F1552" s="37">
        <v>2.0297174351134211</v>
      </c>
      <c r="G1552" t="str">
        <f>VLOOKUP(B1551,[1]General!$A:$Y,25,0)</f>
        <v>Conquistar</v>
      </c>
    </row>
    <row r="1553" spans="2:7">
      <c r="B1553" s="1" t="s">
        <v>1858</v>
      </c>
      <c r="C1553" s="60" t="s">
        <v>1857</v>
      </c>
      <c r="D1553" s="8">
        <v>10427.151555692089</v>
      </c>
      <c r="E1553" s="8">
        <v>13410.9223</v>
      </c>
      <c r="F1553" s="14">
        <v>0.28620000000000001</v>
      </c>
      <c r="G1553" t="str">
        <f>VLOOKUP(B1552,[1]General!$A:$Y,25,0)</f>
        <v>Conquistar</v>
      </c>
    </row>
    <row r="1554" spans="2:7">
      <c r="B1554" s="1" t="s">
        <v>1446</v>
      </c>
      <c r="C1554" s="60" t="s">
        <v>1445</v>
      </c>
      <c r="D1554" s="8">
        <v>4049.8501000000001</v>
      </c>
      <c r="E1554" s="8">
        <v>13405.298779639897</v>
      </c>
      <c r="F1554" s="37">
        <v>2.3100728295202573</v>
      </c>
      <c r="G1554" t="str">
        <f>VLOOKUP(B1553,[1]General!$A:$Y,25,0)</f>
        <v>Conquistar</v>
      </c>
    </row>
    <row r="1555" spans="2:7">
      <c r="B1555" s="1" t="s">
        <v>2021</v>
      </c>
      <c r="C1555" s="60" t="s">
        <v>977</v>
      </c>
      <c r="D1555" s="8">
        <v>13584.964493938125</v>
      </c>
      <c r="E1555" s="8">
        <v>13392.371287246711</v>
      </c>
      <c r="F1555" s="37">
        <v>-1.4176938539467887E-2</v>
      </c>
      <c r="G1555" t="str">
        <f>VLOOKUP(B1554,[1]General!$A:$Y,25,0)</f>
        <v>Potenciar</v>
      </c>
    </row>
    <row r="1556" spans="2:7">
      <c r="B1556" s="1" t="s">
        <v>2148</v>
      </c>
      <c r="C1556" s="60" t="s">
        <v>2147</v>
      </c>
      <c r="D1556" s="8">
        <v>23343.613700000002</v>
      </c>
      <c r="E1556" s="8">
        <v>13391.6657474809</v>
      </c>
      <c r="F1556" s="14">
        <v>-0.42632422213699939</v>
      </c>
      <c r="G1556" t="e">
        <f>VLOOKUP(B1555,[1]General!$A:$Y,25,0)</f>
        <v>#N/A</v>
      </c>
    </row>
    <row r="1557" spans="2:7">
      <c r="B1557" s="1" t="s">
        <v>2400</v>
      </c>
      <c r="C1557" s="60" t="s">
        <v>2401</v>
      </c>
      <c r="D1557" s="8">
        <v>8797.5462351009228</v>
      </c>
      <c r="E1557" s="8">
        <v>13386.472902488753</v>
      </c>
      <c r="F1557" s="37">
        <v>0.52161438482456446</v>
      </c>
      <c r="G1557" t="str">
        <f>VLOOKUP(B1556,[1]General!$A:$Y,25,0)</f>
        <v>Proteger</v>
      </c>
    </row>
    <row r="1558" spans="2:7">
      <c r="B1558" s="1" t="s">
        <v>2350</v>
      </c>
      <c r="C1558" s="60" t="s">
        <v>2300</v>
      </c>
      <c r="D1558" s="8">
        <v>18116.536163377066</v>
      </c>
      <c r="E1558" s="8">
        <v>13381.048235289267</v>
      </c>
      <c r="F1558" s="37">
        <v>-0.2613903610150754</v>
      </c>
      <c r="G1558" t="e">
        <f>VLOOKUP(B1557,[1]General!$A:$Y,25,0)</f>
        <v>#N/A</v>
      </c>
    </row>
    <row r="1559" spans="2:7">
      <c r="B1559" s="1" t="s">
        <v>1992</v>
      </c>
      <c r="C1559" s="60" t="s">
        <v>1991</v>
      </c>
      <c r="D1559" s="8">
        <v>12702.327299576002</v>
      </c>
      <c r="E1559" s="8">
        <v>13379.729658371703</v>
      </c>
      <c r="F1559" s="37">
        <v>5.3328995767438103E-2</v>
      </c>
      <c r="G1559" t="e">
        <f>VLOOKUP(B1558,[1]General!$A:$Y,25,0)</f>
        <v>#N/A</v>
      </c>
    </row>
    <row r="1560" spans="2:7">
      <c r="B1560" s="1" t="s">
        <v>2187</v>
      </c>
      <c r="C1560" s="60" t="s">
        <v>2186</v>
      </c>
      <c r="D1560" s="8">
        <v>27086.388754367505</v>
      </c>
      <c r="E1560" s="8">
        <v>13374.171481600148</v>
      </c>
      <c r="F1560" s="37">
        <v>-0.50624014139043738</v>
      </c>
      <c r="G1560" t="str">
        <f>VLOOKUP(B1559,[1]General!$A:$Y,25,0)</f>
        <v>Proteger</v>
      </c>
    </row>
    <row r="1561" spans="2:7">
      <c r="B1561" s="1" t="s">
        <v>2642</v>
      </c>
      <c r="C1561" s="60" t="s">
        <v>2643</v>
      </c>
      <c r="D1561" s="8">
        <v>5448.9441999999999</v>
      </c>
      <c r="E1561" s="8">
        <v>13360.819833063935</v>
      </c>
      <c r="F1561" s="14">
        <v>1.4520015883194279</v>
      </c>
      <c r="G1561" t="str">
        <f>VLOOKUP(B1560,[1]General!$A:$Y,25,0)</f>
        <v>Potenciar</v>
      </c>
    </row>
    <row r="1562" spans="2:7">
      <c r="B1562" s="1" t="s">
        <v>2474</v>
      </c>
      <c r="C1562" s="60" t="s">
        <v>2475</v>
      </c>
      <c r="D1562" s="8">
        <v>14801.971736596501</v>
      </c>
      <c r="E1562" s="8">
        <v>13349.069353513647</v>
      </c>
      <c r="F1562" s="14">
        <v>-9.8156003060773767E-2</v>
      </c>
      <c r="G1562" t="e">
        <f>VLOOKUP(B1561,[1]General!$A:$Y,25,0)</f>
        <v>#N/A</v>
      </c>
    </row>
    <row r="1563" spans="2:7">
      <c r="B1563" s="1" t="s">
        <v>2897</v>
      </c>
      <c r="C1563" s="60" t="s">
        <v>2898</v>
      </c>
      <c r="D1563" s="8">
        <v>1210.6027025815663</v>
      </c>
      <c r="E1563" s="8">
        <v>13311.093089819111</v>
      </c>
      <c r="F1563" s="37">
        <v>9.9954265436824876</v>
      </c>
      <c r="G1563" t="e">
        <f>VLOOKUP(B1562,[1]General!$A:$Y,25,0)</f>
        <v>#N/A</v>
      </c>
    </row>
    <row r="1564" spans="2:7">
      <c r="B1564" s="1" t="s">
        <v>1564</v>
      </c>
      <c r="C1564" s="60" t="s">
        <v>1563</v>
      </c>
      <c r="D1564" s="8">
        <v>7389.915</v>
      </c>
      <c r="E1564" s="8">
        <v>13304.484895013084</v>
      </c>
      <c r="F1564" s="37">
        <v>0.80035695877599178</v>
      </c>
      <c r="G1564" t="str">
        <f>VLOOKUP(B1563,[1]General!$A:$Y,25,0)</f>
        <v>Conquistar</v>
      </c>
    </row>
    <row r="1565" spans="2:7">
      <c r="B1565" s="1" t="s">
        <v>2665</v>
      </c>
      <c r="C1565" s="60" t="s">
        <v>2666</v>
      </c>
      <c r="D1565" s="8">
        <v>6070.5722944781601</v>
      </c>
      <c r="E1565" s="8">
        <v>13284.663399875228</v>
      </c>
      <c r="F1565" s="37">
        <v>1.1883708414046992</v>
      </c>
      <c r="G1565" t="str">
        <f>VLOOKUP(B1564,[1]General!$A:$Y,25,0)</f>
        <v>Conquistar</v>
      </c>
    </row>
    <row r="1566" spans="2:7">
      <c r="B1566" s="1" t="s">
        <v>2364</v>
      </c>
      <c r="C1566" s="60" t="s">
        <v>2365</v>
      </c>
      <c r="D1566" s="8">
        <v>29032.086388181579</v>
      </c>
      <c r="E1566" s="8">
        <v>13282.2639</v>
      </c>
      <c r="F1566" s="37">
        <v>-0.54249999999999998</v>
      </c>
      <c r="G1566" t="str">
        <f>VLOOKUP(B1565,[1]General!$A:$Y,25,0)</f>
        <v>Potenciar</v>
      </c>
    </row>
    <row r="1567" spans="2:7">
      <c r="B1567" s="1" t="s">
        <v>2441</v>
      </c>
      <c r="C1567" s="60" t="s">
        <v>2442</v>
      </c>
      <c r="D1567" s="8">
        <v>15514.048674672864</v>
      </c>
      <c r="E1567" s="8">
        <v>13251.268725667176</v>
      </c>
      <c r="F1567" s="37">
        <v>-0.14585360639610101</v>
      </c>
      <c r="G1567" t="e">
        <f>VLOOKUP(B1566,[1]General!$A:$Y,25,0)</f>
        <v>#N/A</v>
      </c>
    </row>
    <row r="1568" spans="2:7">
      <c r="B1568" s="1" t="s">
        <v>2817</v>
      </c>
      <c r="C1568" s="60" t="s">
        <v>2818</v>
      </c>
      <c r="D1568" s="8">
        <v>3135.6898122088442</v>
      </c>
      <c r="E1568" s="8">
        <v>13240.696599999999</v>
      </c>
      <c r="F1568" s="37">
        <v>3.2225999999999999</v>
      </c>
      <c r="G1568" t="str">
        <f>VLOOKUP(B1567,[1]General!$A:$Y,25,0)</f>
        <v>Conquistar</v>
      </c>
    </row>
    <row r="1569" spans="2:7">
      <c r="B1569" s="1" t="s">
        <v>2146</v>
      </c>
      <c r="C1569" s="60" t="s">
        <v>2145</v>
      </c>
      <c r="D1569" s="8">
        <v>28056.028655539467</v>
      </c>
      <c r="E1569" s="8">
        <v>13205.817080511599</v>
      </c>
      <c r="F1569" s="37">
        <v>-0.52930554631778926</v>
      </c>
      <c r="G1569" t="str">
        <f>VLOOKUP(B1568,[1]General!$A:$Y,25,0)</f>
        <v>Conquistar</v>
      </c>
    </row>
    <row r="1570" spans="2:7">
      <c r="B1570" s="1" t="s">
        <v>2355</v>
      </c>
      <c r="C1570" s="60" t="s">
        <v>2356</v>
      </c>
      <c r="D1570" s="8">
        <v>26873.960205607327</v>
      </c>
      <c r="E1570" s="8">
        <v>13177.750865651462</v>
      </c>
      <c r="F1570" s="37">
        <v>-0.50964611226514034</v>
      </c>
      <c r="G1570" t="str">
        <f>VLOOKUP(B1569,[1]General!$A:$Y,25,0)</f>
        <v>Potenciar</v>
      </c>
    </row>
    <row r="1571" spans="2:7">
      <c r="B1571" s="1" t="s">
        <v>2836</v>
      </c>
      <c r="C1571" s="60" t="s">
        <v>2837</v>
      </c>
      <c r="D1571" s="8">
        <v>3392.087</v>
      </c>
      <c r="E1571" s="8">
        <v>13148.6343</v>
      </c>
      <c r="F1571" s="37">
        <v>2.8762668233450381</v>
      </c>
      <c r="G1571" t="str">
        <f>VLOOKUP(B1570,[1]General!$A:$Y,25,0)</f>
        <v>Potenciar</v>
      </c>
    </row>
    <row r="1572" spans="2:7">
      <c r="B1572" s="1" t="s">
        <v>2630</v>
      </c>
      <c r="C1572" s="60" t="s">
        <v>2300</v>
      </c>
      <c r="D1572" s="8">
        <v>4851.0577000000003</v>
      </c>
      <c r="E1572" s="8">
        <v>13140.758195755083</v>
      </c>
      <c r="F1572" s="37">
        <v>1.7088439281509848</v>
      </c>
      <c r="G1572" t="e">
        <f>VLOOKUP(B1571,[1]General!$A:$Y,25,0)</f>
        <v>#N/A</v>
      </c>
    </row>
    <row r="1573" spans="2:7">
      <c r="B1573" s="1" t="s">
        <v>2449</v>
      </c>
      <c r="C1573" s="60" t="s">
        <v>2450</v>
      </c>
      <c r="D1573" s="8">
        <v>14663.644204633514</v>
      </c>
      <c r="E1573" s="8">
        <v>13140.044390847879</v>
      </c>
      <c r="F1573" s="37">
        <v>-0.10390321754425802</v>
      </c>
      <c r="G1573" t="e">
        <f>VLOOKUP(B1572,[1]General!$A:$Y,25,0)</f>
        <v>#N/A</v>
      </c>
    </row>
    <row r="1574" spans="2:7">
      <c r="B1574" s="1" t="s">
        <v>1558</v>
      </c>
      <c r="C1574" s="60" t="s">
        <v>3588</v>
      </c>
      <c r="D1574" s="8">
        <v>6399.9210999999996</v>
      </c>
      <c r="E1574" s="8">
        <v>13130.287034792109</v>
      </c>
      <c r="F1574" s="37">
        <v>1.0516326419699316</v>
      </c>
      <c r="G1574" t="str">
        <f>VLOOKUP(B1573,[1]General!$A:$Y,25,0)</f>
        <v>Proteger</v>
      </c>
    </row>
    <row r="1575" spans="2:7">
      <c r="B1575" s="1" t="s">
        <v>2434</v>
      </c>
      <c r="C1575" s="60" t="s">
        <v>2435</v>
      </c>
      <c r="D1575" s="8">
        <v>12274.3513</v>
      </c>
      <c r="E1575" s="8">
        <v>13108.92189968186</v>
      </c>
      <c r="F1575" s="37">
        <v>6.799305146837864E-2</v>
      </c>
      <c r="G1575" t="e">
        <f>VLOOKUP(B1574,[1]General!$A:$Y,25,0)</f>
        <v>#N/A</v>
      </c>
    </row>
    <row r="1576" spans="2:7">
      <c r="B1576" s="1" t="s">
        <v>2099</v>
      </c>
      <c r="C1576" s="60" t="s">
        <v>2098</v>
      </c>
      <c r="D1576" s="8">
        <v>16681.219225918128</v>
      </c>
      <c r="E1576" s="8">
        <v>13101.55952890841</v>
      </c>
      <c r="F1576" s="37">
        <v>-0.21459220986964123</v>
      </c>
      <c r="G1576" t="e">
        <f>VLOOKUP(B1575,[1]General!$A:$Y,25,0)</f>
        <v>#N/A</v>
      </c>
    </row>
    <row r="1577" spans="2:7">
      <c r="B1577" s="1" t="s">
        <v>2158</v>
      </c>
      <c r="C1577" s="60" t="s">
        <v>2157</v>
      </c>
      <c r="D1577" s="8">
        <v>16099.33671850656</v>
      </c>
      <c r="E1577" s="8">
        <v>13081.0874</v>
      </c>
      <c r="F1577" s="37">
        <v>-0.1875</v>
      </c>
      <c r="G1577" t="str">
        <f>VLOOKUP(B1576,[1]General!$A:$Y,25,0)</f>
        <v>Conquistar</v>
      </c>
    </row>
    <row r="1578" spans="2:7">
      <c r="B1578" s="1" t="s">
        <v>1901</v>
      </c>
      <c r="C1578" s="60" t="s">
        <v>1900</v>
      </c>
      <c r="D1578" s="8">
        <v>13567.2691</v>
      </c>
      <c r="E1578" s="8">
        <v>13079.265247327094</v>
      </c>
      <c r="F1578" s="37">
        <v>-3.5969202724290716E-2</v>
      </c>
      <c r="G1578" t="str">
        <f>VLOOKUP(B1577,[1]General!$A:$Y,25,0)</f>
        <v>Proteger</v>
      </c>
    </row>
    <row r="1579" spans="2:7">
      <c r="B1579" s="1" t="s">
        <v>1642</v>
      </c>
      <c r="C1579" s="60" t="s">
        <v>1641</v>
      </c>
      <c r="D1579" s="8">
        <v>12438.0839</v>
      </c>
      <c r="E1579" s="8">
        <v>13066.766799999999</v>
      </c>
      <c r="F1579" s="37">
        <v>5.0544995921759206E-2</v>
      </c>
      <c r="G1579" t="str">
        <f>VLOOKUP(B1578,[1]General!$A:$Y,25,0)</f>
        <v>Conquistar</v>
      </c>
    </row>
    <row r="1580" spans="2:7">
      <c r="B1580" s="1" t="s">
        <v>2868</v>
      </c>
      <c r="C1580" s="60" t="s">
        <v>2380</v>
      </c>
      <c r="D1580" s="8">
        <v>1311.3951</v>
      </c>
      <c r="E1580" s="8">
        <v>13051.666999999999</v>
      </c>
      <c r="F1580" s="37">
        <v>8.952505541617473</v>
      </c>
      <c r="G1580" t="str">
        <f>VLOOKUP(B1579,[1]General!$A:$Y,25,0)</f>
        <v>Conquistar</v>
      </c>
    </row>
    <row r="1581" spans="2:7">
      <c r="B1581" s="1" t="s">
        <v>2168</v>
      </c>
      <c r="C1581" s="60" t="s">
        <v>2167</v>
      </c>
      <c r="D1581" s="8">
        <v>15618.7106</v>
      </c>
      <c r="E1581" s="8">
        <v>13038.164577840183</v>
      </c>
      <c r="F1581" s="37">
        <v>-0.16522145062088656</v>
      </c>
      <c r="G1581" t="e">
        <f>VLOOKUP(B1580,[1]General!$A:$Y,25,0)</f>
        <v>#N/A</v>
      </c>
    </row>
    <row r="1582" spans="2:7">
      <c r="B1582" s="1" t="s">
        <v>2081</v>
      </c>
      <c r="C1582" s="60" t="s">
        <v>2080</v>
      </c>
      <c r="D1582" s="8">
        <v>11654.772000000001</v>
      </c>
      <c r="E1582" s="8">
        <v>13030.3995</v>
      </c>
      <c r="F1582" s="37">
        <v>0.11803126650611451</v>
      </c>
      <c r="G1582" t="str">
        <f>VLOOKUP(B1581,[1]General!$A:$Y,25,0)</f>
        <v>Proteger</v>
      </c>
    </row>
    <row r="1583" spans="2:7">
      <c r="B1583" s="1" t="s">
        <v>2704</v>
      </c>
      <c r="C1583" s="60" t="s">
        <v>2705</v>
      </c>
      <c r="D1583" s="8">
        <v>9557.9120588002806</v>
      </c>
      <c r="E1583" s="8">
        <v>13021.313978181519</v>
      </c>
      <c r="F1583" s="37">
        <v>0.36235967626343357</v>
      </c>
      <c r="G1583" t="str">
        <f>VLOOKUP(B1582,[1]General!$A:$Y,25,0)</f>
        <v>Conquistar</v>
      </c>
    </row>
    <row r="1584" spans="2:7">
      <c r="B1584" s="1" t="s">
        <v>1902</v>
      </c>
      <c r="C1584" s="60" t="s">
        <v>843</v>
      </c>
      <c r="D1584" s="8">
        <v>10482.159600000001</v>
      </c>
      <c r="E1584" s="8">
        <v>13003.328799999999</v>
      </c>
      <c r="F1584" s="37">
        <v>0.24052001650499588</v>
      </c>
      <c r="G1584" t="e">
        <f>VLOOKUP(B1583,[1]General!$A:$Y,25,0)</f>
        <v>#N/A</v>
      </c>
    </row>
    <row r="1585" spans="2:7">
      <c r="B1585" s="1" t="s">
        <v>1954</v>
      </c>
      <c r="C1585" s="60" t="s">
        <v>1953</v>
      </c>
      <c r="D1585" s="8">
        <v>19660.936460516481</v>
      </c>
      <c r="E1585" s="8">
        <v>12995.929024994988</v>
      </c>
      <c r="F1585" s="37">
        <v>-0.33899745563525452</v>
      </c>
      <c r="G1585" t="str">
        <f>VLOOKUP(B1584,[1]General!$A:$Y,25,0)</f>
        <v>Proteger</v>
      </c>
    </row>
    <row r="1586" spans="2:7">
      <c r="B1586" s="1" t="s">
        <v>2385</v>
      </c>
      <c r="C1586" s="60" t="s">
        <v>2386</v>
      </c>
      <c r="D1586" s="8">
        <v>26704.316702388296</v>
      </c>
      <c r="E1586" s="8">
        <v>12970.84137027804</v>
      </c>
      <c r="F1586" s="14">
        <v>-0.51427922628261835</v>
      </c>
      <c r="G1586" t="str">
        <f>VLOOKUP(B1585,[1]General!$A:$Y,25,0)</f>
        <v>Proteger</v>
      </c>
    </row>
    <row r="1587" spans="2:7">
      <c r="B1587" s="1" t="s">
        <v>2496</v>
      </c>
      <c r="C1587" s="60" t="s">
        <v>2497</v>
      </c>
      <c r="D1587" s="8">
        <v>11298.100454450851</v>
      </c>
      <c r="E1587" s="8">
        <v>12968.444299999999</v>
      </c>
      <c r="F1587" s="37">
        <v>0.14779999999999999</v>
      </c>
      <c r="G1587" t="e">
        <f>VLOOKUP(B1586,[1]General!$A:$Y,25,0)</f>
        <v>#N/A</v>
      </c>
    </row>
    <row r="1588" spans="2:7">
      <c r="B1588" s="1" t="s">
        <v>2646</v>
      </c>
      <c r="C1588" s="60" t="s">
        <v>2300</v>
      </c>
      <c r="D1588" s="8">
        <v>9678.8423093002912</v>
      </c>
      <c r="E1588" s="8">
        <v>12963.983905234942</v>
      </c>
      <c r="F1588" s="37">
        <v>0.33941472450460264</v>
      </c>
      <c r="G1588" t="e">
        <f>VLOOKUP(B1587,[1]General!$A:$Y,25,0)</f>
        <v>#N/A</v>
      </c>
    </row>
    <row r="1589" spans="2:7">
      <c r="B1589" s="1" t="s">
        <v>2144</v>
      </c>
      <c r="C1589" s="60" t="s">
        <v>2143</v>
      </c>
      <c r="D1589" s="8">
        <v>14763.585977769919</v>
      </c>
      <c r="E1589" s="8">
        <v>12952.406584693164</v>
      </c>
      <c r="F1589" s="14">
        <v>-0.12267882584921541</v>
      </c>
      <c r="G1589" t="e">
        <f>VLOOKUP(B1588,[1]General!$A:$Y,25,0)</f>
        <v>#N/A</v>
      </c>
    </row>
    <row r="1590" spans="2:7">
      <c r="B1590" s="1" t="s">
        <v>2029</v>
      </c>
      <c r="C1590" s="60" t="s">
        <v>2028</v>
      </c>
      <c r="D1590" s="8">
        <v>14159.247031823916</v>
      </c>
      <c r="E1590" s="8">
        <v>12932.6265</v>
      </c>
      <c r="F1590" s="37">
        <v>-8.6599999999999996E-2</v>
      </c>
      <c r="G1590" t="str">
        <f>VLOOKUP(B1589,[1]General!$A:$Y,25,0)</f>
        <v>Potenciar</v>
      </c>
    </row>
    <row r="1591" spans="2:7">
      <c r="B1591" s="1" t="s">
        <v>2722</v>
      </c>
      <c r="C1591" s="60" t="s">
        <v>2723</v>
      </c>
      <c r="D1591" s="8">
        <v>3284.0824036241265</v>
      </c>
      <c r="E1591" s="8">
        <v>12922.981064535621</v>
      </c>
      <c r="F1591" s="37">
        <v>2.9350355674006701</v>
      </c>
      <c r="G1591" t="str">
        <f>VLOOKUP(B1590,[1]General!$A:$Y,25,0)</f>
        <v>Potenciar</v>
      </c>
    </row>
    <row r="1592" spans="2:7">
      <c r="B1592" s="1" t="s">
        <v>3250</v>
      </c>
      <c r="C1592" s="60" t="s">
        <v>3251</v>
      </c>
      <c r="D1592" s="8">
        <v>108.37730000000001</v>
      </c>
      <c r="E1592" s="8">
        <v>12914.212046328692</v>
      </c>
      <c r="F1592" s="37">
        <v>118.15975067037739</v>
      </c>
      <c r="G1592" t="e">
        <f>VLOOKUP(B1591,[1]General!$A:$Y,25,0)</f>
        <v>#N/A</v>
      </c>
    </row>
    <row r="1593" spans="2:7">
      <c r="B1593" s="1" t="s">
        <v>2012</v>
      </c>
      <c r="C1593" s="60" t="s">
        <v>2011</v>
      </c>
      <c r="D1593" s="8">
        <v>13187.8992</v>
      </c>
      <c r="E1593" s="8">
        <v>12898.156471732356</v>
      </c>
      <c r="F1593" s="37">
        <v>-2.1970347503690646E-2</v>
      </c>
      <c r="G1593" t="e">
        <f>VLOOKUP(B1592,[1]General!$A:$Y,25,0)</f>
        <v>#N/A</v>
      </c>
    </row>
    <row r="1594" spans="2:7">
      <c r="B1594" s="1" t="s">
        <v>1890</v>
      </c>
      <c r="C1594" s="60" t="s">
        <v>1889</v>
      </c>
      <c r="D1594" s="8">
        <v>11922.273300000001</v>
      </c>
      <c r="E1594" s="8">
        <v>12887.771085884087</v>
      </c>
      <c r="F1594" s="37">
        <v>8.0982691940478135E-2</v>
      </c>
      <c r="G1594" t="str">
        <f>VLOOKUP(B1593,[1]General!$A:$Y,25,0)</f>
        <v>Potenciar</v>
      </c>
    </row>
    <row r="1595" spans="2:7">
      <c r="B1595" s="1" t="s">
        <v>1318</v>
      </c>
      <c r="C1595" s="60" t="s">
        <v>1317</v>
      </c>
      <c r="D1595" s="8">
        <v>5141.1012789152428</v>
      </c>
      <c r="E1595" s="8">
        <v>12886.926125797858</v>
      </c>
      <c r="F1595" s="37">
        <v>1.5066470055063692</v>
      </c>
      <c r="G1595" t="str">
        <f>VLOOKUP(B1594,[1]General!$A:$Y,25,0)</f>
        <v>Conquistar</v>
      </c>
    </row>
    <row r="1596" spans="2:7">
      <c r="B1596" s="1" t="s">
        <v>2747</v>
      </c>
      <c r="C1596" s="60" t="s">
        <v>2748</v>
      </c>
      <c r="D1596" s="8">
        <v>1764.3818877411695</v>
      </c>
      <c r="E1596" s="8">
        <v>12872.618495393064</v>
      </c>
      <c r="F1596" s="37">
        <v>6.2958233049383043</v>
      </c>
      <c r="G1596" t="str">
        <f>VLOOKUP(B1595,[1]General!$A:$Y,25,0)</f>
        <v>Proteger</v>
      </c>
    </row>
    <row r="1597" spans="2:7">
      <c r="B1597" s="1" t="s">
        <v>2805</v>
      </c>
      <c r="C1597" s="60" t="s">
        <v>2806</v>
      </c>
      <c r="D1597" s="8">
        <v>6782.3650629025851</v>
      </c>
      <c r="E1597" s="8">
        <v>12853.185786724167</v>
      </c>
      <c r="F1597" s="37">
        <v>0.89508905337860267</v>
      </c>
      <c r="G1597" t="str">
        <f>VLOOKUP(B1596,[1]General!$A:$Y,25,0)</f>
        <v>Conquistar</v>
      </c>
    </row>
    <row r="1598" spans="2:7">
      <c r="B1598" s="1" t="s">
        <v>2744</v>
      </c>
      <c r="C1598" s="60" t="s">
        <v>2300</v>
      </c>
      <c r="D1598" s="8">
        <v>3684.5729999999999</v>
      </c>
      <c r="E1598" s="8">
        <v>12833.953176304802</v>
      </c>
      <c r="F1598" s="37">
        <v>2.48315888335088</v>
      </c>
      <c r="G1598" t="e">
        <f>VLOOKUP(B1597,[1]General!$A:$Y,25,0)</f>
        <v>#N/A</v>
      </c>
    </row>
    <row r="1599" spans="2:7">
      <c r="B1599" s="1" t="s">
        <v>970</v>
      </c>
      <c r="C1599" s="60" t="s">
        <v>969</v>
      </c>
      <c r="D1599" s="8">
        <v>2679.0410000000002</v>
      </c>
      <c r="E1599" s="8">
        <v>12827.193200027157</v>
      </c>
      <c r="F1599" s="37">
        <v>3.7879794299628697</v>
      </c>
      <c r="G1599" t="e">
        <f>VLOOKUP(B1598,[1]General!$A:$Y,25,0)</f>
        <v>#N/A</v>
      </c>
    </row>
    <row r="1600" spans="2:7">
      <c r="B1600" s="1" t="s">
        <v>1994</v>
      </c>
      <c r="C1600" s="60" t="s">
        <v>1993</v>
      </c>
      <c r="D1600" s="8">
        <v>12693.353570642312</v>
      </c>
      <c r="E1600" s="8">
        <v>12822.836814402275</v>
      </c>
      <c r="F1600" s="37">
        <v>1.0200869536907575E-2</v>
      </c>
      <c r="G1600" t="e">
        <f>VLOOKUP(B1599,[1]General!$A:$Y,25,0)</f>
        <v>#N/A</v>
      </c>
    </row>
    <row r="1601" spans="2:7">
      <c r="B1601" s="1" t="s">
        <v>2408</v>
      </c>
      <c r="C1601" s="60" t="s">
        <v>2409</v>
      </c>
      <c r="D1601" s="8">
        <v>19180.950006193856</v>
      </c>
      <c r="E1601" s="8">
        <v>12819.930367330187</v>
      </c>
      <c r="F1601" s="37">
        <v>-0.33163214735503643</v>
      </c>
      <c r="G1601" t="str">
        <f>VLOOKUP(B1600,[1]General!$A:$Y,25,0)</f>
        <v>Conquistar</v>
      </c>
    </row>
    <row r="1602" spans="2:7">
      <c r="B1602" s="1" t="s">
        <v>2125</v>
      </c>
      <c r="C1602" s="60" t="s">
        <v>2124</v>
      </c>
      <c r="D1602" s="8">
        <v>27390.184012118538</v>
      </c>
      <c r="E1602" s="8">
        <v>12806.60812320492</v>
      </c>
      <c r="F1602" s="37">
        <v>-0.53243803993654248</v>
      </c>
      <c r="G1602" t="str">
        <f>VLOOKUP(B1601,[1]General!$A:$Y,25,0)</f>
        <v>Conquistar</v>
      </c>
    </row>
    <row r="1603" spans="2:7">
      <c r="B1603" s="1" t="s">
        <v>2692</v>
      </c>
      <c r="C1603" s="60" t="s">
        <v>2693</v>
      </c>
      <c r="D1603" s="8">
        <v>1824.5219</v>
      </c>
      <c r="E1603" s="8">
        <v>12797.265262877703</v>
      </c>
      <c r="F1603" s="37">
        <v>6.014037629736154</v>
      </c>
      <c r="G1603" t="e">
        <f>VLOOKUP(B1602,[1]General!$A:$Y,25,0)</f>
        <v>#N/A</v>
      </c>
    </row>
    <row r="1604" spans="2:7">
      <c r="B1604" s="1" t="s">
        <v>2529</v>
      </c>
      <c r="C1604" s="60" t="s">
        <v>2530</v>
      </c>
      <c r="D1604" s="8">
        <v>8212.5769196373058</v>
      </c>
      <c r="E1604" s="8">
        <v>12772.903710376948</v>
      </c>
      <c r="F1604" s="37">
        <v>0.55528573252511348</v>
      </c>
      <c r="G1604" t="str">
        <f>VLOOKUP(B1603,[1]General!$A:$Y,25,0)</f>
        <v>Conquistar</v>
      </c>
    </row>
    <row r="1605" spans="2:7">
      <c r="B1605" s="1" t="s">
        <v>2085</v>
      </c>
      <c r="C1605" s="60" t="s">
        <v>2084</v>
      </c>
      <c r="D1605" s="8">
        <v>18028.037685397307</v>
      </c>
      <c r="E1605" s="8">
        <v>12768.339647559598</v>
      </c>
      <c r="F1605" s="37">
        <v>-0.29175100083677208</v>
      </c>
      <c r="G1605" t="e">
        <f>VLOOKUP(B1604,[1]General!$A:$Y,25,0)</f>
        <v>#N/A</v>
      </c>
    </row>
    <row r="1606" spans="2:7">
      <c r="B1606" s="1" t="s">
        <v>2604</v>
      </c>
      <c r="C1606" s="60" t="s">
        <v>2331</v>
      </c>
      <c r="D1606" s="8">
        <v>9151.7870375182629</v>
      </c>
      <c r="E1606" s="8">
        <v>12741.609261379979</v>
      </c>
      <c r="F1606" s="37">
        <v>0.39225368872167143</v>
      </c>
      <c r="G1606" t="str">
        <f>VLOOKUP(B1605,[1]General!$A:$Y,25,0)</f>
        <v>Potenciar</v>
      </c>
    </row>
    <row r="1607" spans="2:7">
      <c r="B1607" s="1" t="s">
        <v>2319</v>
      </c>
      <c r="C1607" s="60" t="s">
        <v>2300</v>
      </c>
      <c r="D1607" s="8">
        <v>22279.410416426006</v>
      </c>
      <c r="E1607" s="8">
        <v>12731.183046787713</v>
      </c>
      <c r="F1607" s="37">
        <v>-0.42856732701502021</v>
      </c>
      <c r="G1607" t="e">
        <f>VLOOKUP(B1606,[1]General!$A:$Y,25,0)</f>
        <v>#N/A</v>
      </c>
    </row>
    <row r="1608" spans="2:7">
      <c r="B1608" s="1" t="s">
        <v>1652</v>
      </c>
      <c r="C1608" s="60" t="s">
        <v>1651</v>
      </c>
      <c r="D1608" s="8">
        <v>8906.1236176723814</v>
      </c>
      <c r="E1608" s="8">
        <v>12727.462299999999</v>
      </c>
      <c r="F1608" s="37">
        <v>0.42909999999999998</v>
      </c>
      <c r="G1608" t="e">
        <f>VLOOKUP(B1607,[1]General!$A:$Y,25,0)</f>
        <v>#N/A</v>
      </c>
    </row>
    <row r="1609" spans="2:7">
      <c r="B1609" s="1" t="s">
        <v>1624</v>
      </c>
      <c r="C1609" s="60" t="s">
        <v>1623</v>
      </c>
      <c r="D1609" s="8">
        <v>9444.5781999999999</v>
      </c>
      <c r="E1609" s="8">
        <v>12721.325365410048</v>
      </c>
      <c r="F1609" s="37">
        <v>0.34694478631243153</v>
      </c>
      <c r="G1609" t="str">
        <f>VLOOKUP(B1608,[1]General!$A:$Y,25,0)</f>
        <v>Potenciar</v>
      </c>
    </row>
    <row r="1610" spans="2:7">
      <c r="B1610" s="1" t="s">
        <v>2523</v>
      </c>
      <c r="C1610" s="60" t="s">
        <v>2524</v>
      </c>
      <c r="D1610" s="8">
        <v>11561.989511240412</v>
      </c>
      <c r="E1610" s="8">
        <v>12709.184300000001</v>
      </c>
      <c r="F1610" s="14">
        <v>9.9199999999999997E-2</v>
      </c>
      <c r="G1610" t="str">
        <f>VLOOKUP(B1609,[1]General!$A:$Y,25,0)</f>
        <v>Potenciar</v>
      </c>
    </row>
    <row r="1611" spans="2:7">
      <c r="B1611" s="1" t="s">
        <v>2123</v>
      </c>
      <c r="C1611" s="60" t="s">
        <v>2122</v>
      </c>
      <c r="D1611" s="8">
        <v>18368.349438596375</v>
      </c>
      <c r="E1611" s="8">
        <v>12706.010130855069</v>
      </c>
      <c r="F1611" s="37">
        <v>-0.30826609253433257</v>
      </c>
      <c r="G1611" t="e">
        <f>VLOOKUP(B1610,[1]General!$A:$Y,25,0)</f>
        <v>#N/A</v>
      </c>
    </row>
    <row r="1612" spans="2:7">
      <c r="B1612" s="1" t="s">
        <v>1906</v>
      </c>
      <c r="C1612" s="60" t="s">
        <v>1905</v>
      </c>
      <c r="D1612" s="8">
        <v>16167.248276298098</v>
      </c>
      <c r="E1612" s="8">
        <v>12702.773999018411</v>
      </c>
      <c r="F1612" s="37">
        <v>-0.21428966872233657</v>
      </c>
      <c r="G1612" t="str">
        <f>VLOOKUP(B1611,[1]General!$A:$Y,25,0)</f>
        <v>Proteger</v>
      </c>
    </row>
    <row r="1613" spans="2:7">
      <c r="B1613" s="1" t="s">
        <v>2166</v>
      </c>
      <c r="C1613" s="60" t="s">
        <v>2165</v>
      </c>
      <c r="D1613" s="8">
        <v>23952.051558511241</v>
      </c>
      <c r="E1613" s="8">
        <v>12700.212978530197</v>
      </c>
      <c r="F1613" s="37">
        <v>-0.46976512857341268</v>
      </c>
      <c r="G1613" t="str">
        <f>VLOOKUP(B1612,[1]General!$A:$Y,25,0)</f>
        <v>Potenciar</v>
      </c>
    </row>
    <row r="1614" spans="2:7">
      <c r="B1614" s="1" t="s">
        <v>2647</v>
      </c>
      <c r="C1614" s="60" t="s">
        <v>2648</v>
      </c>
      <c r="D1614" s="8">
        <v>9850.2756419017533</v>
      </c>
      <c r="E1614" s="8">
        <v>12676.892060499104</v>
      </c>
      <c r="F1614" s="37">
        <v>0.28695810364669416</v>
      </c>
      <c r="G1614" t="str">
        <f>VLOOKUP(B1613,[1]General!$A:$Y,25,0)</f>
        <v>Proteger</v>
      </c>
    </row>
    <row r="1615" spans="2:7">
      <c r="B1615" s="1" t="s">
        <v>2087</v>
      </c>
      <c r="C1615" s="60" t="s">
        <v>2086</v>
      </c>
      <c r="D1615" s="8">
        <v>13303.202044621059</v>
      </c>
      <c r="E1615" s="8">
        <v>12667.172167043549</v>
      </c>
      <c r="F1615" s="37">
        <v>-4.7810284730260055E-2</v>
      </c>
      <c r="G1615" t="e">
        <f>VLOOKUP(B1614,[1]General!$A:$Y,25,0)</f>
        <v>#N/A</v>
      </c>
    </row>
    <row r="1616" spans="2:7">
      <c r="B1616" s="1" t="s">
        <v>2366</v>
      </c>
      <c r="C1616" s="60" t="s">
        <v>2367</v>
      </c>
      <c r="D1616" s="8">
        <v>20051.239368642655</v>
      </c>
      <c r="E1616" s="8">
        <v>12662.373856149063</v>
      </c>
      <c r="F1616" s="37">
        <v>-0.36849919232667228</v>
      </c>
      <c r="G1616" t="str">
        <f>VLOOKUP(B1615,[1]General!$A:$Y,25,0)</f>
        <v>Proteger</v>
      </c>
    </row>
    <row r="1617" spans="2:7">
      <c r="B1617" s="1" t="s">
        <v>2136</v>
      </c>
      <c r="C1617" s="60" t="s">
        <v>2135</v>
      </c>
      <c r="D1617" s="8">
        <v>20995.141573216457</v>
      </c>
      <c r="E1617" s="8">
        <v>12649.170595389473</v>
      </c>
      <c r="F1617" s="37">
        <v>-0.39751915693076134</v>
      </c>
      <c r="G1617" t="e">
        <f>VLOOKUP(B1616,[1]General!$A:$Y,25,0)</f>
        <v>#N/A</v>
      </c>
    </row>
    <row r="1618" spans="2:7">
      <c r="B1618" s="1" t="s">
        <v>2669</v>
      </c>
      <c r="C1618" s="60" t="s">
        <v>2670</v>
      </c>
      <c r="D1618" s="8">
        <v>6856.2772000000004</v>
      </c>
      <c r="E1618" s="8">
        <v>12627.795598313245</v>
      </c>
      <c r="F1618" s="37">
        <v>0.84178603489270309</v>
      </c>
      <c r="G1618" t="str">
        <f>VLOOKUP(B1617,[1]General!$A:$Y,25,0)</f>
        <v>Proteger</v>
      </c>
    </row>
    <row r="1619" spans="2:7">
      <c r="B1619" s="1" t="s">
        <v>2338</v>
      </c>
      <c r="C1619" s="60" t="s">
        <v>2339</v>
      </c>
      <c r="D1619" s="8">
        <v>35083.135596662658</v>
      </c>
      <c r="E1619" s="8">
        <v>12620.433040710584</v>
      </c>
      <c r="F1619" s="37">
        <v>-0.64027066491995299</v>
      </c>
      <c r="G1619" t="e">
        <f>VLOOKUP(B1618,[1]General!$A:$Y,25,0)</f>
        <v>#N/A</v>
      </c>
    </row>
    <row r="1620" spans="2:7">
      <c r="B1620" s="1" t="s">
        <v>2538</v>
      </c>
      <c r="C1620" s="60" t="s">
        <v>2539</v>
      </c>
      <c r="D1620" s="8">
        <v>12006.266052603218</v>
      </c>
      <c r="E1620" s="8">
        <v>12616.403335333735</v>
      </c>
      <c r="F1620" s="37">
        <v>5.0818237748298634E-2</v>
      </c>
      <c r="G1620" t="e">
        <f>VLOOKUP(B1619,[1]General!$A:$Y,25,0)</f>
        <v>#N/A</v>
      </c>
    </row>
    <row r="1621" spans="2:7">
      <c r="B1621" s="1" t="s">
        <v>2846</v>
      </c>
      <c r="C1621" s="60" t="s">
        <v>350</v>
      </c>
      <c r="D1621" s="8">
        <v>4855.4288246992892</v>
      </c>
      <c r="E1621" s="8">
        <v>12579.117522097997</v>
      </c>
      <c r="F1621" s="37">
        <v>1.5907325544777309</v>
      </c>
      <c r="G1621" t="e">
        <f>VLOOKUP(B1620,[1]General!$A:$Y,25,0)</f>
        <v>#N/A</v>
      </c>
    </row>
    <row r="1622" spans="2:7">
      <c r="B1622" s="1" t="s">
        <v>2508</v>
      </c>
      <c r="C1622" s="60" t="s">
        <v>2509</v>
      </c>
      <c r="D1622" s="8">
        <v>12319.047333898005</v>
      </c>
      <c r="E1622" s="8">
        <v>12554.745566426809</v>
      </c>
      <c r="F1622" s="37">
        <v>1.9132829523289541E-2</v>
      </c>
      <c r="G1622" t="e">
        <f>VLOOKUP(B1621,[1]General!$A:$Y,25,0)</f>
        <v>#N/A</v>
      </c>
    </row>
    <row r="1623" spans="2:7">
      <c r="B1623" s="1" t="s">
        <v>1753</v>
      </c>
      <c r="C1623" s="60" t="s">
        <v>1613</v>
      </c>
      <c r="D1623" s="8">
        <v>10291.690785658264</v>
      </c>
      <c r="E1623" s="8">
        <v>12535.641470869034</v>
      </c>
      <c r="F1623" s="37">
        <v>0.2180351831341234</v>
      </c>
      <c r="G1623" t="e">
        <f>VLOOKUP(B1622,[1]General!$A:$Y,25,0)</f>
        <v>#N/A</v>
      </c>
    </row>
    <row r="1624" spans="2:7">
      <c r="B1624" s="1" t="s">
        <v>2134</v>
      </c>
      <c r="C1624" s="60" t="s">
        <v>2133</v>
      </c>
      <c r="D1624" s="8">
        <v>16052.039016564071</v>
      </c>
      <c r="E1624" s="8">
        <v>12529.013019490743</v>
      </c>
      <c r="F1624" s="37">
        <v>-0.21947529491038009</v>
      </c>
      <c r="G1624" t="e">
        <f>VLOOKUP(B1623,[1]General!$A:$Y,25,0)</f>
        <v>#N/A</v>
      </c>
    </row>
    <row r="1625" spans="2:7">
      <c r="B1625" s="1" t="s">
        <v>3103</v>
      </c>
      <c r="C1625" s="60" t="s">
        <v>3104</v>
      </c>
      <c r="D1625" s="8">
        <v>4995.9186656781885</v>
      </c>
      <c r="E1625" s="8">
        <v>12524.580823023965</v>
      </c>
      <c r="F1625" s="37">
        <v>1.5069625150360153</v>
      </c>
      <c r="G1625" t="str">
        <f>VLOOKUP(B1624,[1]General!$A:$Y,25,0)</f>
        <v>Proteger</v>
      </c>
    </row>
    <row r="1626" spans="2:7">
      <c r="B1626" s="1" t="s">
        <v>1402</v>
      </c>
      <c r="C1626" s="60" t="s">
        <v>1401</v>
      </c>
      <c r="D1626" s="8">
        <v>7179.6610961702272</v>
      </c>
      <c r="E1626" s="8">
        <v>12522.677264118507</v>
      </c>
      <c r="F1626" s="37">
        <v>0.7441877961061909</v>
      </c>
      <c r="G1626" t="e">
        <f>VLOOKUP(B1625,[1]General!$A:$Y,25,0)</f>
        <v>#N/A</v>
      </c>
    </row>
    <row r="1627" spans="2:7">
      <c r="B1627" s="1" t="s">
        <v>1634</v>
      </c>
      <c r="C1627" s="60" t="s">
        <v>1633</v>
      </c>
      <c r="D1627" s="8">
        <v>6076.8868383656472</v>
      </c>
      <c r="E1627" s="8">
        <v>12507.428481513251</v>
      </c>
      <c r="F1627" s="37">
        <v>1.0581967073254024</v>
      </c>
      <c r="G1627" t="str">
        <f>VLOOKUP(B1626,[1]General!$A:$Y,25,0)</f>
        <v>Conquistar</v>
      </c>
    </row>
    <row r="1628" spans="2:7">
      <c r="B1628" t="s">
        <v>1922</v>
      </c>
      <c r="C1628" t="s">
        <v>1921</v>
      </c>
      <c r="D1628">
        <v>10624.6903</v>
      </c>
      <c r="E1628">
        <v>12494.5983</v>
      </c>
      <c r="F1628" s="6">
        <v>0.17599647116302308</v>
      </c>
      <c r="G1628" t="str">
        <f>VLOOKUP(B1627,[1]General!$A:$Y,25,0)</f>
        <v>Proteger</v>
      </c>
    </row>
    <row r="1629" spans="2:7">
      <c r="B1629" t="s">
        <v>2814</v>
      </c>
      <c r="C1629" t="s">
        <v>545</v>
      </c>
      <c r="D1629">
        <v>7538.7190568304768</v>
      </c>
      <c r="E1629">
        <v>12473.038833362303</v>
      </c>
      <c r="F1629" s="6">
        <v>0.65453026427096694</v>
      </c>
    </row>
    <row r="1630" spans="2:7">
      <c r="B1630" t="s">
        <v>2607</v>
      </c>
      <c r="C1630" t="s">
        <v>2608</v>
      </c>
      <c r="D1630">
        <v>2981.5047824981848</v>
      </c>
      <c r="E1630">
        <v>12442.14818058357</v>
      </c>
      <c r="F1630" s="6">
        <v>3.1731102541309255</v>
      </c>
    </row>
    <row r="1631" spans="2:7">
      <c r="B1631" t="s">
        <v>2121</v>
      </c>
      <c r="C1631" t="s">
        <v>2120</v>
      </c>
      <c r="D1631">
        <v>18857.478347803088</v>
      </c>
      <c r="E1631">
        <v>12421.045740665098</v>
      </c>
      <c r="F1631" s="6">
        <v>-0.34131989910983185</v>
      </c>
    </row>
    <row r="1632" spans="2:7">
      <c r="B1632" t="s">
        <v>3360</v>
      </c>
      <c r="C1632" t="s">
        <v>3361</v>
      </c>
      <c r="D1632">
        <v>2292.9322999999999</v>
      </c>
      <c r="E1632">
        <v>12404.388668443517</v>
      </c>
      <c r="F1632" s="6">
        <v>4.4098364214431962</v>
      </c>
    </row>
    <row r="1633" spans="2:6">
      <c r="B1633" t="s">
        <v>946</v>
      </c>
      <c r="C1633" t="s">
        <v>945</v>
      </c>
      <c r="D1633">
        <v>5210.1899999999996</v>
      </c>
      <c r="E1633">
        <v>12386.8879</v>
      </c>
      <c r="F1633" s="6">
        <v>1.3774349687823286</v>
      </c>
    </row>
    <row r="1634" spans="2:6">
      <c r="B1634" t="s">
        <v>2940</v>
      </c>
      <c r="C1634" t="s">
        <v>2941</v>
      </c>
      <c r="D1634">
        <v>3570.359071208009</v>
      </c>
      <c r="E1634">
        <v>12379.538051220236</v>
      </c>
      <c r="F1634" s="6">
        <v>2.4673089749014223</v>
      </c>
    </row>
    <row r="1635" spans="2:6">
      <c r="B1635" t="s">
        <v>1618</v>
      </c>
      <c r="C1635" t="s">
        <v>1617</v>
      </c>
      <c r="D1635">
        <v>7456.6369489950657</v>
      </c>
      <c r="E1635">
        <v>12375.45179965088</v>
      </c>
      <c r="F1635" s="6">
        <v>0.65965593930635524</v>
      </c>
    </row>
    <row r="1636" spans="2:6">
      <c r="B1636" t="s">
        <v>1662</v>
      </c>
      <c r="C1636" t="s">
        <v>1661</v>
      </c>
      <c r="D1636">
        <v>6353.4326374116399</v>
      </c>
      <c r="E1636">
        <v>12360.428</v>
      </c>
      <c r="F1636" s="6">
        <v>0.94550000000000001</v>
      </c>
    </row>
    <row r="1637" spans="2:6">
      <c r="B1637" t="s">
        <v>2332</v>
      </c>
      <c r="C1637" t="s">
        <v>2333</v>
      </c>
      <c r="D1637">
        <v>53133.362538471687</v>
      </c>
      <c r="E1637">
        <v>12354.43885852904</v>
      </c>
      <c r="F1637" s="6">
        <v>-0.76748245794563263</v>
      </c>
    </row>
    <row r="1638" spans="2:6">
      <c r="B1638" t="s">
        <v>1980</v>
      </c>
      <c r="C1638" t="s">
        <v>1979</v>
      </c>
      <c r="D1638">
        <v>10998.000432991101</v>
      </c>
      <c r="E1638">
        <v>12347.946141257178</v>
      </c>
      <c r="F1638" s="6">
        <v>0.12274464949252017</v>
      </c>
    </row>
    <row r="1639" spans="2:6">
      <c r="B1639" t="s">
        <v>1540</v>
      </c>
      <c r="C1639" t="s">
        <v>1539</v>
      </c>
      <c r="D1639">
        <v>7847.7022999999999</v>
      </c>
      <c r="E1639">
        <v>12328.302299999999</v>
      </c>
      <c r="F1639" s="6">
        <v>0.57094418579053396</v>
      </c>
    </row>
    <row r="1640" spans="2:6">
      <c r="B1640" t="s">
        <v>1724</v>
      </c>
      <c r="C1640" t="s">
        <v>1723</v>
      </c>
      <c r="D1640">
        <v>7781.0597644950712</v>
      </c>
      <c r="E1640">
        <v>12327.502788104053</v>
      </c>
      <c r="F1640" s="6">
        <v>0.58429611919373436</v>
      </c>
    </row>
    <row r="1641" spans="2:6">
      <c r="B1641" t="s">
        <v>2489</v>
      </c>
      <c r="C1641" t="s">
        <v>2300</v>
      </c>
      <c r="D1641">
        <v>12507.00772406638</v>
      </c>
      <c r="E1641">
        <v>12317.005187640187</v>
      </c>
      <c r="F1641" s="6">
        <v>-1.519168618250577E-2</v>
      </c>
    </row>
    <row r="1642" spans="2:6">
      <c r="B1642" t="s">
        <v>1520</v>
      </c>
      <c r="C1642" t="s">
        <v>1519</v>
      </c>
      <c r="D1642">
        <v>9024.575487164404</v>
      </c>
      <c r="E1642">
        <v>12286.525252655421</v>
      </c>
      <c r="F1642" s="6">
        <v>0.36145187883136076</v>
      </c>
    </row>
    <row r="1643" spans="2:6">
      <c r="B1643" t="s">
        <v>2051</v>
      </c>
      <c r="C1643" t="s">
        <v>2050</v>
      </c>
      <c r="D1643">
        <v>9719.6965</v>
      </c>
      <c r="E1643">
        <v>12280.8802</v>
      </c>
      <c r="F1643" s="6">
        <v>0.26350449317013136</v>
      </c>
    </row>
    <row r="1644" spans="2:6">
      <c r="B1644" t="s">
        <v>1499</v>
      </c>
      <c r="C1644" t="s">
        <v>1498</v>
      </c>
      <c r="D1644">
        <v>4949.0062373135488</v>
      </c>
      <c r="E1644">
        <v>12272.743019801319</v>
      </c>
      <c r="F1644" s="6">
        <v>1.4798398771999302</v>
      </c>
    </row>
    <row r="1645" spans="2:6">
      <c r="B1645" t="s">
        <v>1518</v>
      </c>
      <c r="C1645" t="s">
        <v>1517</v>
      </c>
      <c r="D1645">
        <v>5727.8052718876161</v>
      </c>
      <c r="E1645">
        <v>12168.684008731438</v>
      </c>
      <c r="F1645" s="6">
        <v>1.1244933148226965</v>
      </c>
    </row>
    <row r="1646" spans="2:6">
      <c r="B1646" t="s">
        <v>1908</v>
      </c>
      <c r="C1646" t="s">
        <v>1907</v>
      </c>
      <c r="D1646">
        <v>13199.6065</v>
      </c>
      <c r="E1646">
        <v>12168.450999999999</v>
      </c>
      <c r="F1646" s="6">
        <v>-7.8120169718695731E-2</v>
      </c>
    </row>
    <row r="1647" spans="2:6">
      <c r="B1647" t="s">
        <v>2593</v>
      </c>
      <c r="C1647" t="s">
        <v>2594</v>
      </c>
      <c r="D1647">
        <v>5936.1562000000004</v>
      </c>
      <c r="E1647">
        <v>12154.852000000001</v>
      </c>
      <c r="F1647" s="6">
        <v>1.0475963890572824</v>
      </c>
    </row>
    <row r="1648" spans="2:6">
      <c r="B1648" t="s">
        <v>2201</v>
      </c>
      <c r="C1648" t="s">
        <v>2200</v>
      </c>
      <c r="D1648">
        <v>57875.175170785886</v>
      </c>
      <c r="E1648">
        <v>12124.656591590179</v>
      </c>
      <c r="F1648" s="6">
        <v>-0.79050332796728295</v>
      </c>
    </row>
    <row r="1649" spans="2:6">
      <c r="B1649" t="s">
        <v>2142</v>
      </c>
      <c r="C1649" t="s">
        <v>2141</v>
      </c>
      <c r="D1649">
        <v>27479.999558697029</v>
      </c>
      <c r="E1649">
        <v>12123.707930801411</v>
      </c>
      <c r="F1649" s="6">
        <v>-0.55881702600084537</v>
      </c>
    </row>
    <row r="1650" spans="2:6">
      <c r="B1650" t="s">
        <v>2023</v>
      </c>
      <c r="C1650" t="s">
        <v>2022</v>
      </c>
      <c r="D1650">
        <v>9850.953320764922</v>
      </c>
      <c r="E1650">
        <v>12121.925801747821</v>
      </c>
      <c r="F1650" s="6">
        <v>0.23053326993194601</v>
      </c>
    </row>
    <row r="1651" spans="2:6">
      <c r="B1651" t="s">
        <v>1988</v>
      </c>
      <c r="C1651" t="s">
        <v>1987</v>
      </c>
      <c r="D1651">
        <v>15303.030132185648</v>
      </c>
      <c r="E1651">
        <v>12088.593746928809</v>
      </c>
      <c r="F1651" s="6">
        <v>-0.21005228098559181</v>
      </c>
    </row>
    <row r="1652" spans="2:6">
      <c r="B1652" t="s">
        <v>2047</v>
      </c>
      <c r="C1652" t="s">
        <v>2046</v>
      </c>
      <c r="D1652">
        <v>17394.619699999999</v>
      </c>
      <c r="E1652">
        <v>12066.47016592987</v>
      </c>
      <c r="F1652" s="6">
        <v>-0.30631020545221399</v>
      </c>
    </row>
    <row r="1653" spans="2:6">
      <c r="B1653" t="s">
        <v>1434</v>
      </c>
      <c r="C1653" t="s">
        <v>1433</v>
      </c>
      <c r="D1653">
        <v>3599.0879974892669</v>
      </c>
      <c r="E1653">
        <v>12065.2453</v>
      </c>
      <c r="F1653" s="6">
        <v>2.3523000000000001</v>
      </c>
    </row>
    <row r="1654" spans="2:6">
      <c r="B1654" t="s">
        <v>1506</v>
      </c>
      <c r="C1654" t="s">
        <v>1505</v>
      </c>
      <c r="D1654">
        <v>9313.2775621706242</v>
      </c>
      <c r="E1654">
        <v>12052.371810065364</v>
      </c>
      <c r="F1654" s="6">
        <v>0.29410636906394805</v>
      </c>
    </row>
    <row r="1655" spans="2:6">
      <c r="B1655" t="s">
        <v>1164</v>
      </c>
      <c r="C1655" t="s">
        <v>1163</v>
      </c>
      <c r="D1655">
        <v>5034.7826565377763</v>
      </c>
      <c r="E1655">
        <v>12035.432468586279</v>
      </c>
      <c r="F1655" s="6">
        <v>1.3904572033428306</v>
      </c>
    </row>
    <row r="1656" spans="2:6">
      <c r="B1656" t="s">
        <v>1886</v>
      </c>
      <c r="C1656" t="s">
        <v>1885</v>
      </c>
      <c r="D1656">
        <v>14585.959058172477</v>
      </c>
      <c r="E1656">
        <v>12017.721827512403</v>
      </c>
      <c r="F1656" s="6">
        <v>-0.17607599338633118</v>
      </c>
    </row>
    <row r="1657" spans="2:6">
      <c r="B1657" t="s">
        <v>1566</v>
      </c>
      <c r="C1657" t="s">
        <v>1565</v>
      </c>
      <c r="D1657">
        <v>9482.8978548736795</v>
      </c>
      <c r="E1657">
        <v>12002.989854762289</v>
      </c>
      <c r="F1657" s="6">
        <v>0.26575125435875302</v>
      </c>
    </row>
    <row r="1658" spans="2:6">
      <c r="B1658" t="s">
        <v>2567</v>
      </c>
      <c r="C1658" t="s">
        <v>2331</v>
      </c>
      <c r="D1658">
        <v>11773.144004265992</v>
      </c>
      <c r="E1658">
        <v>11989.615103081504</v>
      </c>
      <c r="F1658" s="6">
        <v>1.8386855604337615E-2</v>
      </c>
    </row>
    <row r="1659" spans="2:6">
      <c r="B1659" t="s">
        <v>2536</v>
      </c>
      <c r="C1659" t="s">
        <v>2537</v>
      </c>
      <c r="D1659">
        <v>16597.296927061452</v>
      </c>
      <c r="E1659">
        <v>11989.599988443082</v>
      </c>
      <c r="F1659" s="6">
        <v>-0.27761731075050189</v>
      </c>
    </row>
    <row r="1660" spans="2:6">
      <c r="B1660" t="s">
        <v>1966</v>
      </c>
      <c r="C1660" t="s">
        <v>1965</v>
      </c>
      <c r="D1660">
        <v>4425.5910582579472</v>
      </c>
      <c r="E1660">
        <v>11978.119699999999</v>
      </c>
      <c r="F1660" s="6">
        <v>1.7065999999999999</v>
      </c>
    </row>
    <row r="1661" spans="2:6">
      <c r="B1661" t="s">
        <v>2079</v>
      </c>
      <c r="C1661" t="s">
        <v>2078</v>
      </c>
      <c r="D1661">
        <v>8971.4054314722835</v>
      </c>
      <c r="E1661">
        <v>11976.124825693043</v>
      </c>
      <c r="F1661" s="6">
        <v>0.33492181544710986</v>
      </c>
    </row>
    <row r="1662" spans="2:6">
      <c r="B1662" t="s">
        <v>1826</v>
      </c>
      <c r="C1662" t="s">
        <v>1825</v>
      </c>
      <c r="D1662">
        <v>14792.074906784115</v>
      </c>
      <c r="E1662">
        <v>11944.751976868039</v>
      </c>
      <c r="F1662" s="6">
        <v>-0.19248975872953444</v>
      </c>
    </row>
    <row r="1663" spans="2:6">
      <c r="B1663" t="s">
        <v>948</v>
      </c>
      <c r="C1663" t="s">
        <v>947</v>
      </c>
      <c r="D1663">
        <v>1640.7252000000001</v>
      </c>
      <c r="E1663">
        <v>11939.429519499858</v>
      </c>
      <c r="F1663" s="6">
        <v>6.2769221314452031</v>
      </c>
    </row>
    <row r="1664" spans="2:6">
      <c r="B1664" t="s">
        <v>2305</v>
      </c>
      <c r="C1664" t="s">
        <v>2306</v>
      </c>
      <c r="D1664">
        <v>60127.475335560426</v>
      </c>
      <c r="E1664">
        <v>11928.207565268094</v>
      </c>
      <c r="F1664" s="6">
        <v>-0.80161802073513067</v>
      </c>
    </row>
    <row r="1665" spans="2:6">
      <c r="B1665" t="s">
        <v>2504</v>
      </c>
      <c r="C1665" t="s">
        <v>2505</v>
      </c>
      <c r="D1665">
        <v>12662.0033</v>
      </c>
      <c r="E1665">
        <v>11917.6219</v>
      </c>
      <c r="F1665" s="6">
        <v>-5.878859627212385E-2</v>
      </c>
    </row>
    <row r="1666" spans="2:6">
      <c r="B1666" t="s">
        <v>344</v>
      </c>
      <c r="C1666" t="s">
        <v>3483</v>
      </c>
      <c r="D1666">
        <v>137.0864</v>
      </c>
      <c r="E1666">
        <v>11912.188178446311</v>
      </c>
      <c r="F1666" s="6">
        <v>85.895477439383569</v>
      </c>
    </row>
    <row r="1667" spans="2:6">
      <c r="B1667" t="s">
        <v>2718</v>
      </c>
      <c r="C1667" t="s">
        <v>2719</v>
      </c>
      <c r="D1667">
        <v>3197.0497</v>
      </c>
      <c r="E1667">
        <v>11906.694335026321</v>
      </c>
      <c r="F1667" s="6">
        <v>2.7242756454572228</v>
      </c>
    </row>
    <row r="1668" spans="2:6">
      <c r="B1668" t="s">
        <v>1706</v>
      </c>
      <c r="C1668" t="s">
        <v>1705</v>
      </c>
      <c r="D1668">
        <v>10778.490424874324</v>
      </c>
      <c r="E1668">
        <v>11893.811026186209</v>
      </c>
      <c r="F1668" s="6">
        <v>0.1034765126977315</v>
      </c>
    </row>
    <row r="1669" spans="2:6">
      <c r="B1669" t="s">
        <v>2173</v>
      </c>
      <c r="C1669" t="s">
        <v>1319</v>
      </c>
      <c r="D1669">
        <v>23066.060552657265</v>
      </c>
      <c r="E1669">
        <v>11892.945101547479</v>
      </c>
      <c r="F1669" s="6">
        <v>-0.48439634612086446</v>
      </c>
    </row>
    <row r="1670" spans="2:6">
      <c r="B1670" t="s">
        <v>2736</v>
      </c>
      <c r="C1670" t="s">
        <v>2737</v>
      </c>
      <c r="D1670">
        <v>6236.3491943617728</v>
      </c>
      <c r="E1670">
        <v>11864.557215313949</v>
      </c>
      <c r="F1670" s="6">
        <v>0.90248442567016429</v>
      </c>
    </row>
    <row r="1671" spans="2:6">
      <c r="B1671" t="s">
        <v>1872</v>
      </c>
      <c r="C1671" t="s">
        <v>1871</v>
      </c>
      <c r="D1671">
        <v>10498.002971518283</v>
      </c>
      <c r="E1671">
        <v>11850.719640747435</v>
      </c>
      <c r="F1671" s="6">
        <v>0.12885466625406328</v>
      </c>
    </row>
    <row r="1672" spans="2:6">
      <c r="B1672" t="s">
        <v>2595</v>
      </c>
      <c r="C1672" t="s">
        <v>2596</v>
      </c>
      <c r="D1672">
        <v>11501.350732212188</v>
      </c>
      <c r="E1672">
        <v>11839.949081775643</v>
      </c>
      <c r="F1672" s="6">
        <v>2.9439876884645555E-2</v>
      </c>
    </row>
    <row r="1673" spans="2:6">
      <c r="B1673" t="s">
        <v>2582</v>
      </c>
      <c r="C1673" t="s">
        <v>2583</v>
      </c>
      <c r="D1673">
        <v>8671.8103957317016</v>
      </c>
      <c r="E1673">
        <v>11824.385408447839</v>
      </c>
      <c r="F1673" s="6">
        <v>0.36354288999075068</v>
      </c>
    </row>
    <row r="1674" spans="2:6">
      <c r="B1674" t="s">
        <v>844</v>
      </c>
      <c r="C1674" t="s">
        <v>843</v>
      </c>
      <c r="D1674">
        <v>1584.5389</v>
      </c>
      <c r="E1674">
        <v>11816.484868128948</v>
      </c>
      <c r="F1674" s="6">
        <v>6.4573649584298298</v>
      </c>
    </row>
    <row r="1675" spans="2:6">
      <c r="B1675" t="s">
        <v>1696</v>
      </c>
      <c r="C1675" t="s">
        <v>1695</v>
      </c>
      <c r="D1675">
        <v>8574.0959287505102</v>
      </c>
      <c r="E1675">
        <v>11815.850860522945</v>
      </c>
      <c r="F1675" s="6">
        <v>0.37808708448225303</v>
      </c>
    </row>
    <row r="1676" spans="2:6">
      <c r="B1676" t="s">
        <v>2059</v>
      </c>
      <c r="C1676" t="s">
        <v>2058</v>
      </c>
      <c r="D1676">
        <v>13375.198224080516</v>
      </c>
      <c r="E1676">
        <v>11808.037537573868</v>
      </c>
      <c r="F1676" s="6">
        <v>-0.11716915594455668</v>
      </c>
    </row>
    <row r="1677" spans="2:6">
      <c r="B1677" t="s">
        <v>994</v>
      </c>
      <c r="C1677" t="s">
        <v>993</v>
      </c>
      <c r="D1677">
        <v>6062.143013861345</v>
      </c>
      <c r="E1677">
        <v>11806.155158381876</v>
      </c>
      <c r="F1677" s="6">
        <v>0.94752171490949744</v>
      </c>
    </row>
    <row r="1678" spans="2:6">
      <c r="B1678" t="s">
        <v>2514</v>
      </c>
      <c r="C1678" t="s">
        <v>2393</v>
      </c>
      <c r="D1678">
        <v>14362.837239356333</v>
      </c>
      <c r="E1678">
        <v>11783.963962592858</v>
      </c>
      <c r="F1678" s="6">
        <v>-0.17955179981410463</v>
      </c>
    </row>
    <row r="1679" spans="2:6">
      <c r="B1679" t="s">
        <v>1630</v>
      </c>
      <c r="C1679" t="s">
        <v>1629</v>
      </c>
      <c r="D1679">
        <v>8447.7248</v>
      </c>
      <c r="E1679">
        <v>11707.9676</v>
      </c>
      <c r="F1679" s="6">
        <v>0.38593146405526846</v>
      </c>
    </row>
    <row r="1680" spans="2:6">
      <c r="B1680" t="s">
        <v>2371</v>
      </c>
      <c r="C1680" t="s">
        <v>2372</v>
      </c>
      <c r="D1680">
        <v>30321.257908457792</v>
      </c>
      <c r="E1680">
        <v>11622.0689</v>
      </c>
      <c r="F1680" s="6">
        <v>-0.61670000000000003</v>
      </c>
    </row>
    <row r="1681" spans="2:6">
      <c r="B1681" t="s">
        <v>615</v>
      </c>
      <c r="C1681" t="s">
        <v>614</v>
      </c>
      <c r="D1681">
        <v>1845.2616</v>
      </c>
      <c r="E1681">
        <v>11615.367899999999</v>
      </c>
      <c r="F1681" s="6">
        <v>5.2946998409331227</v>
      </c>
    </row>
    <row r="1682" spans="2:6">
      <c r="B1682" t="s">
        <v>1895</v>
      </c>
      <c r="C1682" t="s">
        <v>3541</v>
      </c>
      <c r="D1682">
        <v>11291.5247</v>
      </c>
      <c r="E1682">
        <v>11593.165391878081</v>
      </c>
      <c r="F1682" s="6">
        <v>2.6713902674107448E-2</v>
      </c>
    </row>
    <row r="1683" spans="2:6">
      <c r="B1683" t="s">
        <v>1912</v>
      </c>
      <c r="C1683" t="s">
        <v>1911</v>
      </c>
      <c r="D1683">
        <v>11327.9768</v>
      </c>
      <c r="E1683">
        <v>11584.104600000001</v>
      </c>
      <c r="F1683" s="6">
        <v>2.2610198142354987E-2</v>
      </c>
    </row>
    <row r="1684" spans="2:6">
      <c r="B1684" t="s">
        <v>2769</v>
      </c>
      <c r="C1684" t="s">
        <v>2380</v>
      </c>
      <c r="D1684">
        <v>4018.5672</v>
      </c>
      <c r="E1684">
        <v>11569.647499999999</v>
      </c>
      <c r="F1684" s="6">
        <v>1.8790479104094615</v>
      </c>
    </row>
    <row r="1685" spans="2:6">
      <c r="B1685" t="s">
        <v>2447</v>
      </c>
      <c r="C1685" t="s">
        <v>2448</v>
      </c>
      <c r="D1685">
        <v>11663.4553</v>
      </c>
      <c r="E1685">
        <v>11551.864840303502</v>
      </c>
      <c r="F1685" s="6">
        <v>-9.5675301037504434E-3</v>
      </c>
    </row>
    <row r="1686" spans="2:6">
      <c r="B1686" t="s">
        <v>2777</v>
      </c>
      <c r="C1686" t="s">
        <v>2300</v>
      </c>
      <c r="D1686">
        <v>6755.5387813327552</v>
      </c>
      <c r="E1686">
        <v>11543.334652632264</v>
      </c>
      <c r="F1686" s="6">
        <v>0.70872154335482285</v>
      </c>
    </row>
    <row r="1687" spans="2:6">
      <c r="B1687" t="s">
        <v>2889</v>
      </c>
      <c r="C1687" t="s">
        <v>2890</v>
      </c>
      <c r="D1687">
        <v>7106.0011083147165</v>
      </c>
      <c r="E1687">
        <v>11535.246707429189</v>
      </c>
      <c r="F1687" s="6">
        <v>0.62331056970028076</v>
      </c>
    </row>
    <row r="1688" spans="2:6">
      <c r="B1688" t="s">
        <v>1620</v>
      </c>
      <c r="C1688" t="s">
        <v>1619</v>
      </c>
      <c r="D1688">
        <v>6831.0870710408353</v>
      </c>
      <c r="E1688">
        <v>11533.778795389642</v>
      </c>
      <c r="F1688" s="6">
        <v>0.68842508892691812</v>
      </c>
    </row>
    <row r="1689" spans="2:6">
      <c r="B1689" t="s">
        <v>2782</v>
      </c>
      <c r="C1689" t="s">
        <v>2783</v>
      </c>
      <c r="D1689">
        <v>6224.6048000000001</v>
      </c>
      <c r="E1689">
        <v>11506.568897337735</v>
      </c>
      <c r="F1689" s="6">
        <v>0.84856216049856448</v>
      </c>
    </row>
    <row r="1690" spans="2:6">
      <c r="B1690" t="s">
        <v>2531</v>
      </c>
      <c r="C1690" t="s">
        <v>2532</v>
      </c>
      <c r="D1690">
        <v>24417.957745749551</v>
      </c>
      <c r="E1690">
        <v>11500.616900653409</v>
      </c>
      <c r="F1690" s="6">
        <v>-0.52900987787746789</v>
      </c>
    </row>
    <row r="1691" spans="2:6">
      <c r="B1691" t="s">
        <v>2675</v>
      </c>
      <c r="C1691" t="s">
        <v>2676</v>
      </c>
      <c r="D1691">
        <v>11273.893720782831</v>
      </c>
      <c r="E1691">
        <v>11469.321413332458</v>
      </c>
      <c r="F1691" s="6">
        <v>1.7334533869994395E-2</v>
      </c>
    </row>
    <row r="1692" spans="2:6">
      <c r="B1692" t="s">
        <v>1752</v>
      </c>
      <c r="C1692" t="s">
        <v>1751</v>
      </c>
      <c r="D1692">
        <v>8659.3932999999997</v>
      </c>
      <c r="E1692">
        <v>11456.274024949347</v>
      </c>
      <c r="F1692" s="6">
        <v>0.32298806949319969</v>
      </c>
    </row>
    <row r="1693" spans="2:6">
      <c r="B1693" t="s">
        <v>1870</v>
      </c>
      <c r="C1693" t="s">
        <v>1869</v>
      </c>
      <c r="D1693">
        <v>13565.641236054016</v>
      </c>
      <c r="E1693">
        <v>11455.043274021617</v>
      </c>
      <c r="F1693" s="6">
        <v>-0.15558409110974925</v>
      </c>
    </row>
    <row r="1694" spans="2:6">
      <c r="B1694" t="s">
        <v>2605</v>
      </c>
      <c r="C1694" t="s">
        <v>2606</v>
      </c>
      <c r="D1694">
        <v>9347.2223773211572</v>
      </c>
      <c r="E1694">
        <v>11396.293354486554</v>
      </c>
      <c r="F1694" s="6">
        <v>0.21921709941736123</v>
      </c>
    </row>
    <row r="1695" spans="2:6">
      <c r="B1695" t="s">
        <v>1580</v>
      </c>
      <c r="C1695" t="s">
        <v>1579</v>
      </c>
      <c r="D1695">
        <v>10693.380977546438</v>
      </c>
      <c r="E1695">
        <v>11393.534754587825</v>
      </c>
      <c r="F1695" s="6">
        <v>6.5475435553221439E-2</v>
      </c>
    </row>
    <row r="1696" spans="2:6">
      <c r="B1696" t="s">
        <v>2131</v>
      </c>
      <c r="C1696" t="s">
        <v>2130</v>
      </c>
      <c r="D1696">
        <v>20027.238207758302</v>
      </c>
      <c r="E1696">
        <v>11387.2021</v>
      </c>
      <c r="F1696" s="6">
        <v>-0.43140000000000001</v>
      </c>
    </row>
    <row r="1697" spans="2:6">
      <c r="B1697" t="s">
        <v>3038</v>
      </c>
      <c r="C1697" t="s">
        <v>3039</v>
      </c>
      <c r="D1697">
        <v>1563.7438999999999</v>
      </c>
      <c r="E1697">
        <v>11375.0478</v>
      </c>
      <c r="F1697" s="6">
        <v>6.2742395989522324</v>
      </c>
    </row>
    <row r="1698" spans="2:6">
      <c r="B1698" t="s">
        <v>2370</v>
      </c>
      <c r="C1698" t="s">
        <v>2300</v>
      </c>
      <c r="D1698">
        <v>16696.699923229</v>
      </c>
      <c r="E1698">
        <v>11365.985918113918</v>
      </c>
      <c r="F1698" s="6">
        <v>-0.31926752170342454</v>
      </c>
    </row>
    <row r="1699" spans="2:6">
      <c r="B1699" t="s">
        <v>1237</v>
      </c>
      <c r="C1699" t="s">
        <v>1236</v>
      </c>
      <c r="D1699">
        <v>6950.9190866613744</v>
      </c>
      <c r="E1699">
        <v>11361.604525409988</v>
      </c>
      <c r="F1699" s="6">
        <v>0.63454708417086891</v>
      </c>
    </row>
    <row r="1700" spans="2:6">
      <c r="B1700" t="s">
        <v>1432</v>
      </c>
      <c r="C1700" t="s">
        <v>1431</v>
      </c>
      <c r="D1700">
        <v>6062.8850581846818</v>
      </c>
      <c r="E1700">
        <v>11352.972900000001</v>
      </c>
      <c r="F1700" s="6">
        <v>0.87250000000000005</v>
      </c>
    </row>
    <row r="1701" spans="2:6">
      <c r="B1701" t="s">
        <v>1510</v>
      </c>
      <c r="C1701" t="s">
        <v>1509</v>
      </c>
      <c r="D1701">
        <v>5553.5388108792713</v>
      </c>
      <c r="E1701">
        <v>11344.109838013479</v>
      </c>
      <c r="F1701" s="6">
        <v>1.0426812928345068</v>
      </c>
    </row>
    <row r="1702" spans="2:6">
      <c r="B1702" t="s">
        <v>2586</v>
      </c>
      <c r="C1702" t="s">
        <v>2300</v>
      </c>
      <c r="D1702">
        <v>11377.227236818953</v>
      </c>
      <c r="E1702">
        <v>11328.033132291661</v>
      </c>
      <c r="F1702" s="6">
        <v>-4.3239098159251199E-3</v>
      </c>
    </row>
    <row r="1703" spans="2:6">
      <c r="B1703" t="s">
        <v>2611</v>
      </c>
      <c r="C1703" t="s">
        <v>2300</v>
      </c>
      <c r="D1703">
        <v>9138.1903837488226</v>
      </c>
      <c r="E1703">
        <v>11311.664163628227</v>
      </c>
      <c r="F1703" s="6">
        <v>0.23784509718080149</v>
      </c>
    </row>
    <row r="1704" spans="2:6">
      <c r="B1704" t="s">
        <v>1678</v>
      </c>
      <c r="C1704" t="s">
        <v>1677</v>
      </c>
      <c r="D1704">
        <v>4800.6525174052176</v>
      </c>
      <c r="E1704">
        <v>11299.847984255612</v>
      </c>
      <c r="F1704" s="6">
        <v>1.3538150164559815</v>
      </c>
    </row>
    <row r="1705" spans="2:6">
      <c r="B1705" t="s">
        <v>2631</v>
      </c>
      <c r="C1705" t="s">
        <v>2632</v>
      </c>
      <c r="D1705">
        <v>12938.454599999999</v>
      </c>
      <c r="E1705">
        <v>11292.631796781974</v>
      </c>
      <c r="F1705" s="6">
        <v>-0.12720397096095426</v>
      </c>
    </row>
    <row r="1706" spans="2:6">
      <c r="B1706" t="s">
        <v>3034</v>
      </c>
      <c r="C1706" t="s">
        <v>3035</v>
      </c>
      <c r="D1706">
        <v>2585.4261999999999</v>
      </c>
      <c r="E1706">
        <v>11288.633736990523</v>
      </c>
      <c r="F1706" s="6">
        <v>3.3662564172168299</v>
      </c>
    </row>
    <row r="1707" spans="2:6">
      <c r="B1707" t="s">
        <v>1474</v>
      </c>
      <c r="C1707" t="s">
        <v>1473</v>
      </c>
      <c r="D1707">
        <v>5847.0422540472391</v>
      </c>
      <c r="E1707">
        <v>11282.942782710999</v>
      </c>
      <c r="F1707" s="6">
        <v>0.92968381148624468</v>
      </c>
    </row>
    <row r="1708" spans="2:6">
      <c r="B1708" t="s">
        <v>2885</v>
      </c>
      <c r="C1708" t="s">
        <v>2886</v>
      </c>
      <c r="D1708">
        <v>8022.4091180795003</v>
      </c>
      <c r="E1708">
        <v>11268.240901066927</v>
      </c>
      <c r="F1708" s="6">
        <v>0.40459564392852254</v>
      </c>
    </row>
    <row r="1709" spans="2:6">
      <c r="B1709" t="s">
        <v>2849</v>
      </c>
      <c r="C1709" t="s">
        <v>2850</v>
      </c>
      <c r="D1709">
        <v>6496.8772352801016</v>
      </c>
      <c r="E1709">
        <v>11257.213837215171</v>
      </c>
      <c r="F1709" s="6">
        <v>0.73271149038878769</v>
      </c>
    </row>
    <row r="1710" spans="2:6">
      <c r="B1710" t="s">
        <v>1199</v>
      </c>
      <c r="C1710" t="s">
        <v>1198</v>
      </c>
      <c r="D1710">
        <v>3876.2438230805624</v>
      </c>
      <c r="E1710">
        <v>11247.756782973855</v>
      </c>
      <c r="F1710" s="6">
        <v>1.9017154999385304</v>
      </c>
    </row>
    <row r="1711" spans="2:6">
      <c r="B1711" t="s">
        <v>1786</v>
      </c>
      <c r="C1711" t="s">
        <v>1785</v>
      </c>
      <c r="D1711">
        <v>10486.441600884731</v>
      </c>
      <c r="E1711">
        <v>11217.120197326516</v>
      </c>
      <c r="F1711" s="6">
        <v>6.9678411824668718E-2</v>
      </c>
    </row>
    <row r="1712" spans="2:6">
      <c r="B1712" t="s">
        <v>1632</v>
      </c>
      <c r="C1712" t="s">
        <v>1631</v>
      </c>
      <c r="D1712">
        <v>7806.0740494520342</v>
      </c>
      <c r="E1712">
        <v>11179.279776111596</v>
      </c>
      <c r="F1712" s="6">
        <v>0.43212576581903583</v>
      </c>
    </row>
    <row r="1713" spans="2:6">
      <c r="B1713" t="s">
        <v>1712</v>
      </c>
      <c r="C1713" t="s">
        <v>1711</v>
      </c>
      <c r="D1713">
        <v>10164.718084816615</v>
      </c>
      <c r="E1713">
        <v>11168.019033472518</v>
      </c>
      <c r="F1713" s="6">
        <v>9.8704257243943383E-2</v>
      </c>
    </row>
    <row r="1714" spans="2:6">
      <c r="B1714" t="s">
        <v>2720</v>
      </c>
      <c r="C1714" t="s">
        <v>2721</v>
      </c>
      <c r="D1714">
        <v>17734.179539877288</v>
      </c>
      <c r="E1714">
        <v>11135.32014123089</v>
      </c>
      <c r="F1714" s="6">
        <v>-0.37209837555823344</v>
      </c>
    </row>
    <row r="1715" spans="2:6">
      <c r="B1715" t="s">
        <v>2827</v>
      </c>
      <c r="C1715" t="s">
        <v>2828</v>
      </c>
      <c r="D1715">
        <v>8088.8645999999999</v>
      </c>
      <c r="E1715">
        <v>11131.231445477419</v>
      </c>
      <c r="F1715" s="6">
        <v>0.37611790973450332</v>
      </c>
    </row>
    <row r="1716" spans="2:6">
      <c r="B1716" t="s">
        <v>1766</v>
      </c>
      <c r="C1716" t="s">
        <v>1765</v>
      </c>
      <c r="D1716">
        <v>11614.748521671783</v>
      </c>
      <c r="E1716">
        <v>11112.228499999999</v>
      </c>
      <c r="F1716" s="6">
        <v>-4.3299999999999998E-2</v>
      </c>
    </row>
    <row r="1717" spans="2:6">
      <c r="B1717" t="s">
        <v>806</v>
      </c>
      <c r="C1717" t="s">
        <v>805</v>
      </c>
      <c r="D1717">
        <v>518.70320000000004</v>
      </c>
      <c r="E1717">
        <v>11096.5128</v>
      </c>
      <c r="F1717" s="6">
        <v>20.392798039418302</v>
      </c>
    </row>
    <row r="1718" spans="2:6">
      <c r="B1718" t="s">
        <v>2183</v>
      </c>
      <c r="C1718" t="s">
        <v>2182</v>
      </c>
      <c r="D1718">
        <v>25389.863469753647</v>
      </c>
      <c r="E1718">
        <v>11086.236344057297</v>
      </c>
      <c r="F1718" s="6">
        <v>-0.56335974956052559</v>
      </c>
    </row>
    <row r="1719" spans="2:6">
      <c r="B1719" t="s">
        <v>2766</v>
      </c>
      <c r="C1719" t="s">
        <v>2300</v>
      </c>
      <c r="D1719">
        <v>1535.0932</v>
      </c>
      <c r="E1719">
        <v>11078.335394440255</v>
      </c>
      <c r="F1719" s="6">
        <v>6.2167184340600654</v>
      </c>
    </row>
    <row r="1720" spans="2:6">
      <c r="B1720" t="s">
        <v>1904</v>
      </c>
      <c r="C1720" t="s">
        <v>1903</v>
      </c>
      <c r="D1720">
        <v>9823.2056257339209</v>
      </c>
      <c r="E1720">
        <v>11076.390490681091</v>
      </c>
      <c r="F1720" s="6">
        <v>0.12757392165997139</v>
      </c>
    </row>
    <row r="1721" spans="2:6">
      <c r="B1721" t="s">
        <v>2992</v>
      </c>
      <c r="C1721" t="s">
        <v>2993</v>
      </c>
      <c r="D1721">
        <v>2565.0264999999999</v>
      </c>
      <c r="E1721">
        <v>11068.761682838189</v>
      </c>
      <c r="F1721" s="6">
        <v>3.3152621163322049</v>
      </c>
    </row>
    <row r="1722" spans="2:6">
      <c r="B1722" t="s">
        <v>1622</v>
      </c>
      <c r="C1722" t="s">
        <v>1621</v>
      </c>
      <c r="D1722">
        <v>5208.5567000000001</v>
      </c>
      <c r="E1722">
        <v>11063.777745852922</v>
      </c>
      <c r="F1722" s="6">
        <v>1.1241542298757969</v>
      </c>
    </row>
    <row r="1723" spans="2:6">
      <c r="B1723" t="s">
        <v>1820</v>
      </c>
      <c r="C1723" t="s">
        <v>1819</v>
      </c>
      <c r="D1723">
        <v>14963.56317255445</v>
      </c>
      <c r="E1723">
        <v>11049.2469</v>
      </c>
      <c r="F1723" s="6">
        <v>-0.2616</v>
      </c>
    </row>
    <row r="1724" spans="2:6">
      <c r="B1724" t="s">
        <v>1600</v>
      </c>
      <c r="C1724" t="s">
        <v>1599</v>
      </c>
      <c r="D1724">
        <v>7863.9368000000004</v>
      </c>
      <c r="E1724">
        <v>11035.02010890087</v>
      </c>
      <c r="F1724" s="6">
        <v>0.40324374286691489</v>
      </c>
    </row>
    <row r="1725" spans="2:6">
      <c r="B1725" t="s">
        <v>2093</v>
      </c>
      <c r="C1725" t="s">
        <v>2092</v>
      </c>
      <c r="D1725">
        <v>19100.720698799589</v>
      </c>
      <c r="E1725">
        <v>11018.862761702672</v>
      </c>
      <c r="F1725" s="6">
        <v>-0.42311795793154716</v>
      </c>
    </row>
    <row r="1726" spans="2:6">
      <c r="B1726" t="s">
        <v>2075</v>
      </c>
      <c r="C1726" t="s">
        <v>2074</v>
      </c>
      <c r="D1726">
        <v>8194.5642266904797</v>
      </c>
      <c r="E1726">
        <v>10997.230918828498</v>
      </c>
      <c r="F1726" s="6">
        <v>0.34201534268405198</v>
      </c>
    </row>
    <row r="1727" spans="2:6">
      <c r="B1727" t="s">
        <v>2864</v>
      </c>
      <c r="C1727" t="s">
        <v>2865</v>
      </c>
      <c r="D1727">
        <v>7344.2163</v>
      </c>
      <c r="E1727">
        <v>10977.590564132332</v>
      </c>
      <c r="F1727" s="6">
        <v>0.49472593340317772</v>
      </c>
    </row>
    <row r="1728" spans="2:6">
      <c r="B1728" t="s">
        <v>1840</v>
      </c>
      <c r="C1728" t="s">
        <v>1839</v>
      </c>
      <c r="D1728">
        <v>8292.7885423909538</v>
      </c>
      <c r="E1728">
        <v>10943.380427284608</v>
      </c>
      <c r="F1728" s="6">
        <v>0.31962612712773253</v>
      </c>
    </row>
    <row r="1729" spans="2:6">
      <c r="B1729" t="s">
        <v>1422</v>
      </c>
      <c r="C1729" t="s">
        <v>1421</v>
      </c>
      <c r="D1729">
        <v>5995.8465999999999</v>
      </c>
      <c r="E1729">
        <v>10928.502884664986</v>
      </c>
      <c r="F1729" s="6">
        <v>0.82267886651152589</v>
      </c>
    </row>
    <row r="1730" spans="2:6">
      <c r="B1730" t="s">
        <v>2657</v>
      </c>
      <c r="C1730" t="s">
        <v>2658</v>
      </c>
      <c r="D1730">
        <v>3730.587</v>
      </c>
      <c r="E1730">
        <v>10916.459501565176</v>
      </c>
      <c r="F1730" s="6">
        <v>1.9262042411998905</v>
      </c>
    </row>
    <row r="1731" spans="2:6">
      <c r="B1731" t="s">
        <v>2938</v>
      </c>
      <c r="C1731" t="s">
        <v>2939</v>
      </c>
      <c r="D1731">
        <v>5844.6675058681194</v>
      </c>
      <c r="E1731">
        <v>10915.483960139181</v>
      </c>
      <c r="F1731" s="6">
        <v>0.86759707873542835</v>
      </c>
    </row>
    <row r="1732" spans="2:6">
      <c r="B1732" t="s">
        <v>1426</v>
      </c>
      <c r="C1732" t="s">
        <v>1425</v>
      </c>
      <c r="D1732">
        <v>7926.34451034424</v>
      </c>
      <c r="E1732">
        <v>10905.121800000001</v>
      </c>
      <c r="F1732" s="6">
        <v>0.37580000000000002</v>
      </c>
    </row>
    <row r="1733" spans="2:6">
      <c r="B1733" t="s">
        <v>2634</v>
      </c>
      <c r="C1733" t="s">
        <v>2300</v>
      </c>
      <c r="D1733">
        <v>7248.3369000000002</v>
      </c>
      <c r="E1733">
        <v>10893.616305750002</v>
      </c>
      <c r="F1733" s="6">
        <v>0.50291252407845466</v>
      </c>
    </row>
    <row r="1734" spans="2:6">
      <c r="B1734" t="s">
        <v>2175</v>
      </c>
      <c r="C1734" t="s">
        <v>2174</v>
      </c>
      <c r="D1734">
        <v>25387.488750082543</v>
      </c>
      <c r="E1734">
        <v>10891.8274</v>
      </c>
      <c r="F1734" s="6">
        <v>-0.57099999999999995</v>
      </c>
    </row>
    <row r="1735" spans="2:6">
      <c r="B1735" t="s">
        <v>1846</v>
      </c>
      <c r="C1735" t="s">
        <v>1845</v>
      </c>
      <c r="D1735">
        <v>9745.9195687212432</v>
      </c>
      <c r="E1735">
        <v>10865.454522469834</v>
      </c>
      <c r="F1735" s="6">
        <v>0.11487217248761716</v>
      </c>
    </row>
    <row r="1736" spans="2:6">
      <c r="B1736" t="s">
        <v>1594</v>
      </c>
      <c r="C1736" t="s">
        <v>1593</v>
      </c>
      <c r="D1736">
        <v>9140.9301027431666</v>
      </c>
      <c r="E1736">
        <v>10863.267599999999</v>
      </c>
      <c r="F1736" s="6">
        <v>0.18840000000000001</v>
      </c>
    </row>
    <row r="1737" spans="2:6">
      <c r="B1737" t="s">
        <v>2154</v>
      </c>
      <c r="C1737" t="s">
        <v>2153</v>
      </c>
      <c r="D1737">
        <v>17107.059890019238</v>
      </c>
      <c r="E1737">
        <v>10802.533893333817</v>
      </c>
      <c r="F1737" s="6">
        <v>-0.36853357837156264</v>
      </c>
    </row>
    <row r="1738" spans="2:6">
      <c r="B1738" t="s">
        <v>1880</v>
      </c>
      <c r="C1738" t="s">
        <v>1879</v>
      </c>
      <c r="D1738">
        <v>698.9905</v>
      </c>
      <c r="E1738">
        <v>10799.5524</v>
      </c>
      <c r="F1738" s="6">
        <v>14.450213414917656</v>
      </c>
    </row>
    <row r="1739" spans="2:6">
      <c r="B1739" t="s">
        <v>2043</v>
      </c>
      <c r="C1739" t="s">
        <v>2042</v>
      </c>
      <c r="D1739">
        <v>14489.949389655172</v>
      </c>
      <c r="E1739">
        <v>10781.095600000001</v>
      </c>
      <c r="F1739" s="6">
        <v>-0.25600000000000001</v>
      </c>
    </row>
    <row r="1740" spans="2:6">
      <c r="B1740" t="s">
        <v>1542</v>
      </c>
      <c r="C1740" t="s">
        <v>1541</v>
      </c>
      <c r="D1740">
        <v>7682.7091429072416</v>
      </c>
      <c r="E1740">
        <v>10764.252203472784</v>
      </c>
      <c r="F1740" s="6">
        <v>0.40110109640301239</v>
      </c>
    </row>
    <row r="1741" spans="2:6">
      <c r="B1741" t="s">
        <v>1150</v>
      </c>
      <c r="C1741" t="s">
        <v>1149</v>
      </c>
      <c r="D1741">
        <v>4699.5334999999995</v>
      </c>
      <c r="E1741">
        <v>10757.6371</v>
      </c>
      <c r="F1741" s="6">
        <v>1.2890861614243203</v>
      </c>
    </row>
    <row r="1742" spans="2:6">
      <c r="B1742" t="s">
        <v>2461</v>
      </c>
      <c r="C1742" t="s">
        <v>2462</v>
      </c>
      <c r="D1742">
        <v>9040.3621999999996</v>
      </c>
      <c r="E1742">
        <v>10732.664242773159</v>
      </c>
      <c r="F1742" s="6">
        <v>0.18719405321759774</v>
      </c>
    </row>
    <row r="1743" spans="2:6">
      <c r="B1743" t="s">
        <v>2792</v>
      </c>
      <c r="C1743" t="s">
        <v>2793</v>
      </c>
      <c r="D1743">
        <v>7899.3708382920013</v>
      </c>
      <c r="E1743">
        <v>10730.745122315006</v>
      </c>
      <c r="F1743" s="6">
        <v>0.3584303537565281</v>
      </c>
    </row>
    <row r="1744" spans="2:6">
      <c r="B1744" t="s">
        <v>2556</v>
      </c>
      <c r="C1744" t="s">
        <v>2557</v>
      </c>
      <c r="D1744">
        <v>4623.5658000000003</v>
      </c>
      <c r="E1744">
        <v>10725.837299999999</v>
      </c>
      <c r="F1744" s="6">
        <v>1.3198193264601099</v>
      </c>
    </row>
    <row r="1745" spans="2:6">
      <c r="B1745" t="s">
        <v>2633</v>
      </c>
      <c r="C1745" t="s">
        <v>403</v>
      </c>
      <c r="D1745">
        <v>7170.2478593120504</v>
      </c>
      <c r="E1745">
        <v>10713.273315805262</v>
      </c>
      <c r="F1745" s="6">
        <v>0.49412872832448307</v>
      </c>
    </row>
    <row r="1746" spans="2:6">
      <c r="B1746" t="s">
        <v>1958</v>
      </c>
      <c r="C1746" t="s">
        <v>1957</v>
      </c>
      <c r="D1746">
        <v>10955.311417076569</v>
      </c>
      <c r="E1746">
        <v>10711.77078067257</v>
      </c>
      <c r="F1746" s="6">
        <v>-2.2230370925319431E-2</v>
      </c>
    </row>
    <row r="1747" spans="2:6">
      <c r="B1747" t="s">
        <v>2061</v>
      </c>
      <c r="C1747" t="s">
        <v>2060</v>
      </c>
      <c r="D1747">
        <v>15768.815386471178</v>
      </c>
      <c r="E1747">
        <v>10710.555121614158</v>
      </c>
      <c r="F1747" s="6">
        <v>-0.32077617378898005</v>
      </c>
    </row>
    <row r="1748" spans="2:6">
      <c r="B1748" t="s">
        <v>2487</v>
      </c>
      <c r="C1748" t="s">
        <v>2488</v>
      </c>
      <c r="D1748">
        <v>15119.752960308128</v>
      </c>
      <c r="E1748">
        <v>10688.822187967447</v>
      </c>
      <c r="F1748" s="6">
        <v>-0.29305576512874332</v>
      </c>
    </row>
    <row r="1749" spans="2:6">
      <c r="B1749" t="s">
        <v>1702</v>
      </c>
      <c r="C1749" t="s">
        <v>1701</v>
      </c>
      <c r="D1749">
        <v>7536.0068492213768</v>
      </c>
      <c r="E1749">
        <v>10678.650272254899</v>
      </c>
      <c r="F1749" s="6">
        <v>0.41701706034917185</v>
      </c>
    </row>
    <row r="1750" spans="2:6">
      <c r="B1750" t="s">
        <v>1808</v>
      </c>
      <c r="C1750" t="s">
        <v>1807</v>
      </c>
      <c r="D1750">
        <v>9970.5387682153014</v>
      </c>
      <c r="E1750">
        <v>10654.322110977202</v>
      </c>
      <c r="F1750" s="6">
        <v>6.858038052484261E-2</v>
      </c>
    </row>
    <row r="1751" spans="2:6">
      <c r="B1751" t="s">
        <v>2541</v>
      </c>
      <c r="C1751" t="s">
        <v>2542</v>
      </c>
      <c r="D1751">
        <v>9927.6156004249751</v>
      </c>
      <c r="E1751">
        <v>10652.961266114889</v>
      </c>
      <c r="F1751" s="6">
        <v>7.3063431833406689E-2</v>
      </c>
    </row>
    <row r="1752" spans="2:6">
      <c r="B1752" t="s">
        <v>1680</v>
      </c>
      <c r="C1752" t="s">
        <v>1679</v>
      </c>
      <c r="D1752">
        <v>8814.3502233197596</v>
      </c>
      <c r="E1752">
        <v>10617.709800000001</v>
      </c>
      <c r="F1752" s="6">
        <v>0.2046</v>
      </c>
    </row>
    <row r="1753" spans="2:6">
      <c r="B1753" t="s">
        <v>1832</v>
      </c>
      <c r="C1753" t="s">
        <v>1831</v>
      </c>
      <c r="D1753">
        <v>9298.1222520758092</v>
      </c>
      <c r="E1753">
        <v>10616.23891724136</v>
      </c>
      <c r="F1753" s="6">
        <v>0.14176159760335283</v>
      </c>
    </row>
    <row r="1754" spans="2:6">
      <c r="B1754" t="s">
        <v>2823</v>
      </c>
      <c r="C1754" t="s">
        <v>2824</v>
      </c>
      <c r="D1754">
        <v>891.46669999999995</v>
      </c>
      <c r="E1754">
        <v>10599.4138</v>
      </c>
      <c r="F1754" s="6">
        <v>10.889859486619073</v>
      </c>
    </row>
    <row r="1755" spans="2:6">
      <c r="B1755" t="s">
        <v>2472</v>
      </c>
      <c r="C1755" t="s">
        <v>2473</v>
      </c>
      <c r="D1755">
        <v>23585.252899999999</v>
      </c>
      <c r="E1755">
        <v>10599.1787</v>
      </c>
      <c r="F1755" s="6">
        <v>-0.5506014395970289</v>
      </c>
    </row>
    <row r="1756" spans="2:6">
      <c r="B1756" t="s">
        <v>1193</v>
      </c>
      <c r="C1756" t="s">
        <v>578</v>
      </c>
      <c r="D1756">
        <v>1435.6190934378471</v>
      </c>
      <c r="E1756">
        <v>10564.533303536156</v>
      </c>
      <c r="F1756" s="6">
        <v>6.3588693211355167</v>
      </c>
    </row>
    <row r="1757" spans="2:6">
      <c r="B1757" t="s">
        <v>1714</v>
      </c>
      <c r="C1757" t="s">
        <v>1713</v>
      </c>
      <c r="D1757">
        <v>9511.6217396055035</v>
      </c>
      <c r="E1757">
        <v>10563.3742</v>
      </c>
      <c r="F1757" s="6">
        <v>0.1106</v>
      </c>
    </row>
    <row r="1758" spans="2:6">
      <c r="B1758" t="s">
        <v>1118</v>
      </c>
      <c r="C1758" t="s">
        <v>1117</v>
      </c>
      <c r="D1758">
        <v>2524.0331506063403</v>
      </c>
      <c r="E1758">
        <v>10545.4499</v>
      </c>
      <c r="F1758" s="6">
        <v>3.1779999999999999</v>
      </c>
    </row>
    <row r="1759" spans="2:6">
      <c r="B1759" t="s">
        <v>1824</v>
      </c>
      <c r="C1759" t="s">
        <v>1823</v>
      </c>
      <c r="D1759">
        <v>8772.0242999999991</v>
      </c>
      <c r="E1759">
        <v>10531.920001208458</v>
      </c>
      <c r="F1759" s="6">
        <v>0.20062594915616683</v>
      </c>
    </row>
    <row r="1760" spans="2:6">
      <c r="B1760" t="s">
        <v>2164</v>
      </c>
      <c r="C1760" t="s">
        <v>2163</v>
      </c>
      <c r="D1760">
        <v>22143.571011539916</v>
      </c>
      <c r="E1760">
        <v>10521.605075545351</v>
      </c>
      <c r="F1760" s="6">
        <v>-0.52484605712140486</v>
      </c>
    </row>
    <row r="1761" spans="2:6">
      <c r="B1761" t="s">
        <v>2416</v>
      </c>
      <c r="C1761" t="s">
        <v>2417</v>
      </c>
      <c r="D1761">
        <v>24754.15413064442</v>
      </c>
      <c r="E1761">
        <v>10495.565821535294</v>
      </c>
      <c r="F1761" s="6">
        <v>-0.57600789887050508</v>
      </c>
    </row>
    <row r="1762" spans="2:6">
      <c r="B1762" t="s">
        <v>2682</v>
      </c>
      <c r="C1762" t="s">
        <v>2683</v>
      </c>
      <c r="D1762">
        <v>10750.829707695902</v>
      </c>
      <c r="E1762">
        <v>10490.527664667228</v>
      </c>
      <c r="F1762" s="6">
        <v>-2.4212274783065202E-2</v>
      </c>
    </row>
    <row r="1763" spans="2:6">
      <c r="B1763" t="s">
        <v>1936</v>
      </c>
      <c r="C1763" t="s">
        <v>1935</v>
      </c>
      <c r="D1763">
        <v>12289.555740361426</v>
      </c>
      <c r="E1763">
        <v>10478.85719457674</v>
      </c>
      <c r="F1763" s="6">
        <v>-0.14733637114627174</v>
      </c>
    </row>
    <row r="1764" spans="2:6">
      <c r="B1764" t="s">
        <v>1926</v>
      </c>
      <c r="C1764" t="s">
        <v>1925</v>
      </c>
      <c r="D1764">
        <v>9452.2705959961277</v>
      </c>
      <c r="E1764">
        <v>10452.010208452695</v>
      </c>
      <c r="F1764" s="6">
        <v>0.10576713841434526</v>
      </c>
    </row>
    <row r="1765" spans="2:6">
      <c r="B1765" t="s">
        <v>475</v>
      </c>
      <c r="C1765" t="s">
        <v>474</v>
      </c>
      <c r="D1765">
        <v>1873.6903</v>
      </c>
      <c r="E1765">
        <v>10438.001609541345</v>
      </c>
      <c r="F1765" s="6">
        <v>4.5708254504713741</v>
      </c>
    </row>
    <row r="1766" spans="2:6">
      <c r="B1766" t="s">
        <v>1848</v>
      </c>
      <c r="C1766" t="s">
        <v>1847</v>
      </c>
      <c r="D1766">
        <v>7320.5566778203965</v>
      </c>
      <c r="E1766">
        <v>10431.4274</v>
      </c>
      <c r="F1766" s="6">
        <v>0.42499999999999999</v>
      </c>
    </row>
    <row r="1767" spans="2:6">
      <c r="B1767" t="s">
        <v>1562</v>
      </c>
      <c r="C1767" t="s">
        <v>1561</v>
      </c>
      <c r="D1767">
        <v>10963.13382986087</v>
      </c>
      <c r="E1767">
        <v>10422.430766395293</v>
      </c>
      <c r="F1767" s="6">
        <v>-4.9320118850764594E-2</v>
      </c>
    </row>
    <row r="1768" spans="2:6">
      <c r="B1768" t="s">
        <v>3333</v>
      </c>
      <c r="C1768" t="s">
        <v>3334</v>
      </c>
      <c r="D1768">
        <v>2773.6880361319622</v>
      </c>
      <c r="E1768">
        <v>10411.513411440877</v>
      </c>
      <c r="F1768" s="6">
        <v>2.7536713847460006</v>
      </c>
    </row>
    <row r="1769" spans="2:6">
      <c r="B1769" t="s">
        <v>2172</v>
      </c>
      <c r="C1769" t="s">
        <v>2171</v>
      </c>
      <c r="D1769">
        <v>15495.587773802468</v>
      </c>
      <c r="E1769">
        <v>10395.224374962785</v>
      </c>
      <c r="F1769" s="6">
        <v>-0.32914939873804494</v>
      </c>
    </row>
    <row r="1770" spans="2:6">
      <c r="B1770" t="s">
        <v>1760</v>
      </c>
      <c r="C1770" t="s">
        <v>3542</v>
      </c>
      <c r="D1770">
        <v>9839.3194999999996</v>
      </c>
      <c r="E1770">
        <v>10389.811195077067</v>
      </c>
      <c r="F1770" s="6">
        <v>5.5948147133251247E-2</v>
      </c>
    </row>
    <row r="1771" spans="2:6">
      <c r="B1771" t="s">
        <v>1241</v>
      </c>
      <c r="C1771" t="s">
        <v>1240</v>
      </c>
      <c r="D1771">
        <v>5104.9929000000002</v>
      </c>
      <c r="E1771">
        <v>10363.283355159929</v>
      </c>
      <c r="F1771" s="6">
        <v>1.0300289458110568</v>
      </c>
    </row>
    <row r="1772" spans="2:6">
      <c r="B1772" t="s">
        <v>1134</v>
      </c>
      <c r="C1772" t="s">
        <v>1133</v>
      </c>
      <c r="D1772">
        <v>4070.4211</v>
      </c>
      <c r="E1772">
        <v>10357.322899999999</v>
      </c>
      <c r="F1772" s="6">
        <v>1.5445335127611246</v>
      </c>
    </row>
    <row r="1773" spans="2:6">
      <c r="B1773" t="s">
        <v>2035</v>
      </c>
      <c r="C1773" t="s">
        <v>2034</v>
      </c>
      <c r="D1773">
        <v>21185.51002538254</v>
      </c>
      <c r="E1773">
        <v>10328.636417785377</v>
      </c>
      <c r="F1773" s="6">
        <v>-0.51246694531259573</v>
      </c>
    </row>
    <row r="1774" spans="2:6">
      <c r="B1774" t="s">
        <v>2686</v>
      </c>
      <c r="C1774" t="s">
        <v>2687</v>
      </c>
      <c r="D1774">
        <v>8474.9134038390075</v>
      </c>
      <c r="E1774">
        <v>10327.213476962239</v>
      </c>
      <c r="F1774" s="6">
        <v>0.21856271384249992</v>
      </c>
    </row>
    <row r="1775" spans="2:6">
      <c r="B1775" t="s">
        <v>2033</v>
      </c>
      <c r="C1775" t="s">
        <v>2032</v>
      </c>
      <c r="D1775">
        <v>11225.345459853008</v>
      </c>
      <c r="E1775">
        <v>10313.440118025761</v>
      </c>
      <c r="F1775" s="6">
        <v>-8.1236283113837238E-2</v>
      </c>
    </row>
    <row r="1776" spans="2:6">
      <c r="B1776" t="s">
        <v>2547</v>
      </c>
      <c r="C1776" t="s">
        <v>3589</v>
      </c>
      <c r="D1776">
        <v>10436.318364304552</v>
      </c>
      <c r="E1776">
        <v>10291.467577604471</v>
      </c>
      <c r="F1776" s="6">
        <v>-1.3879490989419763E-2</v>
      </c>
    </row>
    <row r="1777" spans="2:6">
      <c r="B1777" t="s">
        <v>2580</v>
      </c>
      <c r="C1777" t="s">
        <v>2581</v>
      </c>
      <c r="D1777">
        <v>7678.642219624855</v>
      </c>
      <c r="E1777">
        <v>10285.229473998839</v>
      </c>
      <c r="F1777" s="6">
        <v>0.33945939657302215</v>
      </c>
    </row>
    <row r="1778" spans="2:6">
      <c r="B1778" t="s">
        <v>1899</v>
      </c>
      <c r="C1778" t="s">
        <v>1898</v>
      </c>
      <c r="D1778">
        <v>11849.9048</v>
      </c>
      <c r="E1778">
        <v>10251.567068163838</v>
      </c>
      <c r="F1778" s="6">
        <v>-0.13488190486021134</v>
      </c>
    </row>
    <row r="1779" spans="2:6">
      <c r="B1779" t="s">
        <v>2553</v>
      </c>
      <c r="C1779" t="s">
        <v>2554</v>
      </c>
      <c r="D1779">
        <v>8475.5702350486426</v>
      </c>
      <c r="E1779">
        <v>10240.419455160101</v>
      </c>
      <c r="F1779" s="6">
        <v>0.2082277854076835</v>
      </c>
    </row>
    <row r="1780" spans="2:6">
      <c r="B1780" t="s">
        <v>2710</v>
      </c>
      <c r="C1780" t="s">
        <v>2711</v>
      </c>
      <c r="D1780">
        <v>12531.433800000001</v>
      </c>
      <c r="E1780">
        <v>10233.0885</v>
      </c>
      <c r="F1780" s="6">
        <v>-0.18340641116421974</v>
      </c>
    </row>
    <row r="1781" spans="2:6">
      <c r="B1781" t="s">
        <v>551</v>
      </c>
      <c r="C1781" t="s">
        <v>550</v>
      </c>
      <c r="D1781">
        <v>124.51900000000001</v>
      </c>
      <c r="E1781">
        <v>10219.790973547531</v>
      </c>
      <c r="F1781" s="6">
        <v>81.074149114171576</v>
      </c>
    </row>
    <row r="1782" spans="2:6">
      <c r="B1782" t="s">
        <v>2833</v>
      </c>
      <c r="C1782" t="s">
        <v>2834</v>
      </c>
      <c r="D1782">
        <v>1732.0881999999999</v>
      </c>
      <c r="E1782">
        <v>10206.581470566509</v>
      </c>
      <c r="F1782" s="6">
        <v>4.8926453459855619</v>
      </c>
    </row>
    <row r="1783" spans="2:6">
      <c r="B1783" t="s">
        <v>1036</v>
      </c>
      <c r="C1783" t="s">
        <v>1035</v>
      </c>
      <c r="D1783">
        <v>1931.2892999999999</v>
      </c>
      <c r="E1783">
        <v>10193.192800662655</v>
      </c>
      <c r="F1783" s="6">
        <v>4.2779212315123658</v>
      </c>
    </row>
    <row r="1784" spans="2:6">
      <c r="B1784" t="s">
        <v>980</v>
      </c>
      <c r="C1784" t="s">
        <v>979</v>
      </c>
      <c r="D1784">
        <v>2536.2498806517046</v>
      </c>
      <c r="E1784">
        <v>10188.746366135054</v>
      </c>
      <c r="F1784" s="6">
        <v>3.017248633055428</v>
      </c>
    </row>
    <row r="1785" spans="2:6">
      <c r="B1785" t="s">
        <v>1854</v>
      </c>
      <c r="C1785" t="s">
        <v>1853</v>
      </c>
      <c r="D1785">
        <v>10735.1908</v>
      </c>
      <c r="E1785">
        <v>10147.26487775016</v>
      </c>
      <c r="F1785" s="6">
        <v>-5.476622942275422E-2</v>
      </c>
    </row>
    <row r="1786" spans="2:6">
      <c r="B1786" t="s">
        <v>1860</v>
      </c>
      <c r="C1786" t="s">
        <v>1859</v>
      </c>
      <c r="D1786">
        <v>12474.98437462406</v>
      </c>
      <c r="E1786">
        <v>10143.772740641267</v>
      </c>
      <c r="F1786" s="6">
        <v>-0.18687090612512658</v>
      </c>
    </row>
    <row r="1787" spans="2:6">
      <c r="B1787" t="s">
        <v>2432</v>
      </c>
      <c r="C1787" t="s">
        <v>2433</v>
      </c>
      <c r="D1787">
        <v>16250.668447654618</v>
      </c>
      <c r="E1787">
        <v>10142.087299999999</v>
      </c>
      <c r="F1787" s="6">
        <v>-0.37590000000000001</v>
      </c>
    </row>
    <row r="1788" spans="2:6">
      <c r="B1788" t="s">
        <v>2316</v>
      </c>
      <c r="C1788" t="s">
        <v>2317</v>
      </c>
      <c r="D1788">
        <v>84051.562619726159</v>
      </c>
      <c r="E1788">
        <v>10131.646075475966</v>
      </c>
      <c r="F1788" s="6">
        <v>-0.87945915864390889</v>
      </c>
    </row>
    <row r="1789" spans="2:6">
      <c r="B1789" t="s">
        <v>2083</v>
      </c>
      <c r="C1789" t="s">
        <v>2082</v>
      </c>
      <c r="D1789">
        <v>9985.1419999999998</v>
      </c>
      <c r="E1789">
        <v>10127.545559864535</v>
      </c>
      <c r="F1789" s="6">
        <v>1.42615457911901E-2</v>
      </c>
    </row>
    <row r="1790" spans="2:6">
      <c r="B1790" t="s">
        <v>2906</v>
      </c>
      <c r="C1790" t="s">
        <v>2907</v>
      </c>
      <c r="D1790">
        <v>5385.8872300620951</v>
      </c>
      <c r="E1790">
        <v>10115.129522543652</v>
      </c>
      <c r="F1790" s="6">
        <v>0.87808045183059513</v>
      </c>
    </row>
    <row r="1791" spans="2:6">
      <c r="B1791" t="s">
        <v>1708</v>
      </c>
      <c r="C1791" t="s">
        <v>1707</v>
      </c>
      <c r="D1791">
        <v>8546.6213226867094</v>
      </c>
      <c r="E1791">
        <v>10094.644167996721</v>
      </c>
      <c r="F1791" s="6">
        <v>0.18112687889901458</v>
      </c>
    </row>
    <row r="1792" spans="2:6">
      <c r="B1792" t="s">
        <v>1897</v>
      </c>
      <c r="C1792" t="s">
        <v>1896</v>
      </c>
      <c r="D1792">
        <v>11637.17</v>
      </c>
      <c r="E1792">
        <v>10092.377519290725</v>
      </c>
      <c r="F1792" s="6">
        <v>-0.13274640489992628</v>
      </c>
    </row>
    <row r="1793" spans="2:6">
      <c r="B1793" t="s">
        <v>2576</v>
      </c>
      <c r="C1793" t="s">
        <v>2577</v>
      </c>
      <c r="D1793">
        <v>11978.808286738738</v>
      </c>
      <c r="E1793">
        <v>10089.80687514748</v>
      </c>
      <c r="F1793" s="6">
        <v>-0.15769527037864828</v>
      </c>
    </row>
    <row r="1794" spans="2:6">
      <c r="B1794" t="s">
        <v>2010</v>
      </c>
      <c r="C1794" t="s">
        <v>2009</v>
      </c>
      <c r="D1794">
        <v>10631.314900323698</v>
      </c>
      <c r="E1794">
        <v>10079.22267315667</v>
      </c>
      <c r="F1794" s="6">
        <v>-5.1930756669639977E-2</v>
      </c>
    </row>
    <row r="1795" spans="2:6">
      <c r="B1795" t="s">
        <v>2466</v>
      </c>
      <c r="C1795" t="s">
        <v>2467</v>
      </c>
      <c r="D1795">
        <v>21467.543584716786</v>
      </c>
      <c r="E1795">
        <v>10058.70083007571</v>
      </c>
      <c r="F1795" s="6">
        <v>-0.53144612049434858</v>
      </c>
    </row>
    <row r="1796" spans="2:6">
      <c r="B1796" t="s">
        <v>2111</v>
      </c>
      <c r="C1796" t="s">
        <v>2110</v>
      </c>
      <c r="D1796">
        <v>18837.582900000001</v>
      </c>
      <c r="E1796">
        <v>10056.695099838726</v>
      </c>
      <c r="F1796" s="6">
        <v>-0.46613665069318821</v>
      </c>
    </row>
    <row r="1797" spans="2:6">
      <c r="B1797" t="s">
        <v>1816</v>
      </c>
      <c r="C1797" t="s">
        <v>1815</v>
      </c>
      <c r="D1797">
        <v>10520.482516956155</v>
      </c>
      <c r="E1797">
        <v>10048.402743258684</v>
      </c>
      <c r="F1797" s="6">
        <v>-4.4872445055310628E-2</v>
      </c>
    </row>
    <row r="1798" spans="2:6">
      <c r="B1798" t="s">
        <v>2521</v>
      </c>
      <c r="C1798" t="s">
        <v>2522</v>
      </c>
      <c r="D1798">
        <v>12485.2976</v>
      </c>
      <c r="E1798">
        <v>10026.661382332908</v>
      </c>
      <c r="F1798" s="6">
        <v>-0.19692251610142575</v>
      </c>
    </row>
    <row r="1799" spans="2:6">
      <c r="B1799" t="s">
        <v>1271</v>
      </c>
      <c r="C1799" t="s">
        <v>1270</v>
      </c>
      <c r="D1799">
        <v>6429.1958999999997</v>
      </c>
      <c r="E1799">
        <v>10021.965939428152</v>
      </c>
      <c r="F1799" s="6">
        <v>0.55882105558926143</v>
      </c>
    </row>
    <row r="1800" spans="2:6">
      <c r="B1800" t="s">
        <v>2445</v>
      </c>
      <c r="C1800" t="s">
        <v>2446</v>
      </c>
      <c r="D1800">
        <v>7304.2793334674225</v>
      </c>
      <c r="E1800">
        <v>10008.018515535741</v>
      </c>
      <c r="F1800" s="6">
        <v>0.37015823993478403</v>
      </c>
    </row>
    <row r="1801" spans="2:6">
      <c r="B1801" t="s">
        <v>2045</v>
      </c>
      <c r="C1801" t="s">
        <v>2044</v>
      </c>
      <c r="D1801">
        <v>10419.876738548692</v>
      </c>
      <c r="E1801">
        <v>10003.270775716328</v>
      </c>
      <c r="F1801" s="6">
        <v>-3.9981851348693587E-2</v>
      </c>
    </row>
    <row r="1802" spans="2:6">
      <c r="B1802" t="s">
        <v>2031</v>
      </c>
      <c r="C1802" t="s">
        <v>2030</v>
      </c>
      <c r="D1802">
        <v>10590.297399999999</v>
      </c>
      <c r="E1802">
        <v>10002.3449</v>
      </c>
      <c r="F1802" s="6">
        <v>-5.5518034838190622E-2</v>
      </c>
    </row>
    <row r="1803" spans="2:6">
      <c r="B1803" t="s">
        <v>2312</v>
      </c>
      <c r="C1803" t="s">
        <v>2313</v>
      </c>
      <c r="D1803">
        <v>45628.030856901314</v>
      </c>
      <c r="E1803">
        <v>9989.6000999999997</v>
      </c>
      <c r="F1803" s="6">
        <v>-0.78110000000000002</v>
      </c>
    </row>
    <row r="1804" spans="2:6">
      <c r="B1804" t="s">
        <v>2866</v>
      </c>
      <c r="C1804" t="s">
        <v>2867</v>
      </c>
      <c r="D1804">
        <v>5934.4369999999999</v>
      </c>
      <c r="E1804">
        <v>9985.6612999999998</v>
      </c>
      <c r="F1804" s="6">
        <v>0.68266362925413149</v>
      </c>
    </row>
    <row r="1805" spans="2:6">
      <c r="B1805" t="s">
        <v>2000</v>
      </c>
      <c r="C1805" t="s">
        <v>1999</v>
      </c>
      <c r="D1805">
        <v>15243.070745296438</v>
      </c>
      <c r="E1805">
        <v>9985.6030844077013</v>
      </c>
      <c r="F1805" s="6">
        <v>-0.34490869646531264</v>
      </c>
    </row>
    <row r="1806" spans="2:6">
      <c r="B1806" t="s">
        <v>2478</v>
      </c>
      <c r="C1806" t="s">
        <v>2479</v>
      </c>
      <c r="D1806">
        <v>29168.593868048745</v>
      </c>
      <c r="E1806">
        <v>9964.3331366959083</v>
      </c>
      <c r="F1806" s="6">
        <v>-0.6583882931836893</v>
      </c>
    </row>
    <row r="1807" spans="2:6">
      <c r="B1807" t="s">
        <v>1489</v>
      </c>
      <c r="C1807" t="s">
        <v>1488</v>
      </c>
      <c r="D1807">
        <v>7372.9711987750088</v>
      </c>
      <c r="E1807">
        <v>9945.4251812953298</v>
      </c>
      <c r="F1807" s="6">
        <v>0.34890330006276504</v>
      </c>
    </row>
    <row r="1808" spans="2:6">
      <c r="B1808" t="s">
        <v>2195</v>
      </c>
      <c r="C1808" t="s">
        <v>2194</v>
      </c>
      <c r="D1808">
        <v>34566.345245206554</v>
      </c>
      <c r="E1808">
        <v>9944.0391818661938</v>
      </c>
      <c r="F1808" s="6">
        <v>-0.71232020303780397</v>
      </c>
    </row>
    <row r="1809" spans="2:6">
      <c r="B1809" t="s">
        <v>2742</v>
      </c>
      <c r="C1809" t="s">
        <v>2743</v>
      </c>
      <c r="D1809">
        <v>5339.4486999999999</v>
      </c>
      <c r="E1809">
        <v>9925.300773493349</v>
      </c>
      <c r="F1809" s="6">
        <v>0.8588624652379091</v>
      </c>
    </row>
    <row r="1810" spans="2:6">
      <c r="B1810" t="s">
        <v>2654</v>
      </c>
      <c r="C1810" t="s">
        <v>2655</v>
      </c>
      <c r="D1810">
        <v>5932.2092000000002</v>
      </c>
      <c r="E1810">
        <v>9895.6643114431263</v>
      </c>
      <c r="F1810" s="6">
        <v>0.66812463583434067</v>
      </c>
    </row>
    <row r="1811" spans="2:6">
      <c r="B1811" t="s">
        <v>1762</v>
      </c>
      <c r="C1811" t="s">
        <v>1761</v>
      </c>
      <c r="D1811">
        <v>11654.094300000001</v>
      </c>
      <c r="E1811">
        <v>9890.9175034231339</v>
      </c>
      <c r="F1811" s="6">
        <v>-0.15129247723496342</v>
      </c>
    </row>
    <row r="1812" spans="2:6">
      <c r="B1812" t="s">
        <v>3083</v>
      </c>
      <c r="C1812" t="s">
        <v>3084</v>
      </c>
      <c r="D1812">
        <v>1441.1966</v>
      </c>
      <c r="E1812">
        <v>9883.968143985956</v>
      </c>
      <c r="F1812" s="6">
        <v>5.8581678197034019</v>
      </c>
    </row>
    <row r="1813" spans="2:6">
      <c r="B1813" t="s">
        <v>2109</v>
      </c>
      <c r="C1813" t="s">
        <v>2108</v>
      </c>
      <c r="D1813">
        <v>18546.467094853739</v>
      </c>
      <c r="E1813">
        <v>9881.1851999999999</v>
      </c>
      <c r="F1813" s="6">
        <v>-0.4672</v>
      </c>
    </row>
    <row r="1814" spans="2:6">
      <c r="B1814" t="s">
        <v>2871</v>
      </c>
      <c r="C1814" t="s">
        <v>2872</v>
      </c>
      <c r="D1814">
        <v>8213.0614090748641</v>
      </c>
      <c r="E1814">
        <v>9842.41</v>
      </c>
      <c r="F1814" s="6">
        <v>0.19839999999999999</v>
      </c>
    </row>
    <row r="1815" spans="2:6">
      <c r="B1815" t="s">
        <v>1394</v>
      </c>
      <c r="C1815" t="s">
        <v>1393</v>
      </c>
      <c r="D1815">
        <v>6563.0558187390125</v>
      </c>
      <c r="E1815">
        <v>9827.3857047723304</v>
      </c>
      <c r="F1815" s="6">
        <v>0.49737957076533101</v>
      </c>
    </row>
    <row r="1816" spans="2:6">
      <c r="B1816" t="s">
        <v>1551</v>
      </c>
      <c r="C1816" t="s">
        <v>1550</v>
      </c>
      <c r="D1816">
        <v>5894.5306896904958</v>
      </c>
      <c r="E1816">
        <v>9815.2397685102296</v>
      </c>
      <c r="F1816" s="6">
        <v>0.66514355174654272</v>
      </c>
    </row>
    <row r="1817" spans="2:6">
      <c r="B1817" t="s">
        <v>2716</v>
      </c>
      <c r="C1817" t="s">
        <v>2717</v>
      </c>
      <c r="D1817">
        <v>7652.730751613647</v>
      </c>
      <c r="E1817">
        <v>9803.5881523182998</v>
      </c>
      <c r="F1817" s="6">
        <v>0.28105750359126702</v>
      </c>
    </row>
    <row r="1818" spans="2:6">
      <c r="B1818" t="s">
        <v>1612</v>
      </c>
      <c r="C1818" t="s">
        <v>1611</v>
      </c>
      <c r="D1818">
        <v>6678.1606000000002</v>
      </c>
      <c r="E1818">
        <v>9790.5583000000006</v>
      </c>
      <c r="F1818" s="6">
        <v>0.46605613228289244</v>
      </c>
    </row>
    <row r="1819" spans="2:6">
      <c r="B1819" t="s">
        <v>3320</v>
      </c>
      <c r="C1819" t="s">
        <v>3321</v>
      </c>
      <c r="D1819">
        <v>2468.4728</v>
      </c>
      <c r="E1819">
        <v>9780.0993999999992</v>
      </c>
      <c r="F1819" s="6">
        <v>2.9620041184978825</v>
      </c>
    </row>
    <row r="1820" spans="2:6">
      <c r="B1820" t="s">
        <v>2383</v>
      </c>
      <c r="C1820" t="s">
        <v>2384</v>
      </c>
      <c r="D1820">
        <v>9069.7644999999993</v>
      </c>
      <c r="E1820">
        <v>9776.3029999999999</v>
      </c>
      <c r="F1820" s="6">
        <v>7.7900423985650447E-2</v>
      </c>
    </row>
    <row r="1821" spans="2:6">
      <c r="B1821" t="s">
        <v>1650</v>
      </c>
      <c r="C1821" t="s">
        <v>1649</v>
      </c>
      <c r="D1821">
        <v>9458.288553035487</v>
      </c>
      <c r="E1821">
        <v>9770.026101523601</v>
      </c>
      <c r="F1821" s="6">
        <v>3.2959192008163773E-2</v>
      </c>
    </row>
    <row r="1822" spans="2:6">
      <c r="B1822" t="s">
        <v>2639</v>
      </c>
      <c r="C1822" t="s">
        <v>2640</v>
      </c>
      <c r="D1822">
        <v>10097.327690672277</v>
      </c>
      <c r="E1822">
        <v>9753.4491444104751</v>
      </c>
      <c r="F1822" s="6">
        <v>-3.4056391631170913E-2</v>
      </c>
    </row>
    <row r="1823" spans="2:6">
      <c r="B1823" t="s">
        <v>1553</v>
      </c>
      <c r="C1823" t="s">
        <v>1552</v>
      </c>
      <c r="D1823">
        <v>7182.9803347052921</v>
      </c>
      <c r="E1823">
        <v>9749.4912417069918</v>
      </c>
      <c r="F1823" s="6">
        <v>0.35730445962678536</v>
      </c>
    </row>
    <row r="1824" spans="2:6">
      <c r="B1824" t="s">
        <v>1844</v>
      </c>
      <c r="C1824" t="s">
        <v>1843</v>
      </c>
      <c r="D1824">
        <v>9701.2637120656091</v>
      </c>
      <c r="E1824">
        <v>9729.2098000000005</v>
      </c>
      <c r="F1824" s="6">
        <v>2.8999999999999998E-3</v>
      </c>
    </row>
    <row r="1825" spans="2:6">
      <c r="B1825" t="s">
        <v>2424</v>
      </c>
      <c r="C1825" t="s">
        <v>2308</v>
      </c>
      <c r="D1825">
        <v>38624.147349196734</v>
      </c>
      <c r="E1825">
        <v>9728.6705874050822</v>
      </c>
      <c r="F1825" s="6">
        <v>-0.74811947304754134</v>
      </c>
    </row>
    <row r="1826" spans="2:6">
      <c r="B1826" t="s">
        <v>1430</v>
      </c>
      <c r="C1826" t="s">
        <v>1429</v>
      </c>
      <c r="D1826">
        <v>6846.0922969813619</v>
      </c>
      <c r="E1826">
        <v>9721.0496999999996</v>
      </c>
      <c r="F1826" s="6">
        <v>0.4199</v>
      </c>
    </row>
    <row r="1827" spans="2:6">
      <c r="B1827" t="s">
        <v>2942</v>
      </c>
      <c r="C1827" t="s">
        <v>2943</v>
      </c>
      <c r="D1827">
        <v>6648.7373376280002</v>
      </c>
      <c r="E1827">
        <v>9720.531482797127</v>
      </c>
      <c r="F1827" s="6">
        <v>0.46201165562437718</v>
      </c>
    </row>
    <row r="1828" spans="2:6">
      <c r="B1828" t="s">
        <v>1440</v>
      </c>
      <c r="C1828" t="s">
        <v>1439</v>
      </c>
      <c r="D1828">
        <v>6698.5596891944415</v>
      </c>
      <c r="E1828">
        <v>9689.8894880113603</v>
      </c>
      <c r="F1828" s="6">
        <v>0.44656313261525193</v>
      </c>
    </row>
    <row r="1829" spans="2:6">
      <c r="B1829" t="s">
        <v>1058</v>
      </c>
      <c r="C1829" t="s">
        <v>1057</v>
      </c>
      <c r="D1829">
        <v>5025.5508</v>
      </c>
      <c r="E1829">
        <v>9676.7569999999996</v>
      </c>
      <c r="F1829" s="6">
        <v>0.92551172699318851</v>
      </c>
    </row>
    <row r="1830" spans="2:6">
      <c r="B1830" t="s">
        <v>2738</v>
      </c>
      <c r="C1830" t="s">
        <v>2739</v>
      </c>
      <c r="D1830">
        <v>2982.5979132336338</v>
      </c>
      <c r="E1830">
        <v>9674.7321805747288</v>
      </c>
      <c r="F1830" s="6">
        <v>2.2437265974231519</v>
      </c>
    </row>
    <row r="1831" spans="2:6">
      <c r="B1831" t="s">
        <v>1386</v>
      </c>
      <c r="C1831" t="s">
        <v>1385</v>
      </c>
      <c r="D1831">
        <v>6693.3005999999996</v>
      </c>
      <c r="E1831">
        <v>9674.6438108797392</v>
      </c>
      <c r="F1831" s="6">
        <v>0.44542198073096251</v>
      </c>
    </row>
    <row r="1832" spans="2:6">
      <c r="B1832" t="s">
        <v>591</v>
      </c>
      <c r="C1832" t="s">
        <v>590</v>
      </c>
      <c r="D1832">
        <v>4308.5712000000003</v>
      </c>
      <c r="E1832">
        <v>9662.2273000000005</v>
      </c>
      <c r="F1832" s="6">
        <v>1.2425595055734484</v>
      </c>
    </row>
    <row r="1833" spans="2:6">
      <c r="B1833" t="s">
        <v>2767</v>
      </c>
      <c r="C1833" t="s">
        <v>2768</v>
      </c>
      <c r="D1833">
        <v>5074.82530454472</v>
      </c>
      <c r="E1833">
        <v>9629.6018888775052</v>
      </c>
      <c r="F1833" s="6">
        <v>0.8975238182590819</v>
      </c>
    </row>
    <row r="1834" spans="2:6">
      <c r="B1834" t="s">
        <v>2681</v>
      </c>
      <c r="C1834" t="s">
        <v>2380</v>
      </c>
      <c r="D1834">
        <v>7764.0594903152505</v>
      </c>
      <c r="E1834">
        <v>9626.0429000000004</v>
      </c>
      <c r="F1834" s="6">
        <v>0.23980000000000001</v>
      </c>
    </row>
    <row r="1835" spans="2:6">
      <c r="B1835" t="s">
        <v>3111</v>
      </c>
      <c r="C1835" t="s">
        <v>350</v>
      </c>
      <c r="D1835">
        <v>4238.1190731875104</v>
      </c>
      <c r="E1835">
        <v>9614.4746416145754</v>
      </c>
      <c r="F1835" s="6">
        <v>1.2685711457331665</v>
      </c>
    </row>
    <row r="1836" spans="2:6">
      <c r="B1836" t="s">
        <v>1644</v>
      </c>
      <c r="C1836" t="s">
        <v>1643</v>
      </c>
      <c r="D1836">
        <v>9075.3305999999993</v>
      </c>
      <c r="E1836">
        <v>9605.4598663498036</v>
      </c>
      <c r="F1836" s="6">
        <v>5.8414320063425951E-2</v>
      </c>
    </row>
    <row r="1837" spans="2:6">
      <c r="B1837" t="s">
        <v>2708</v>
      </c>
      <c r="C1837" t="s">
        <v>2709</v>
      </c>
      <c r="D1837">
        <v>3574.266399961376</v>
      </c>
      <c r="E1837">
        <v>9596.32278652073</v>
      </c>
      <c r="F1837" s="6">
        <v>1.6848370302293163</v>
      </c>
    </row>
    <row r="1838" spans="2:6">
      <c r="B1838" t="s">
        <v>1784</v>
      </c>
      <c r="C1838" t="s">
        <v>1783</v>
      </c>
      <c r="D1838">
        <v>9019.2177747898477</v>
      </c>
      <c r="E1838">
        <v>9580.9046999999991</v>
      </c>
      <c r="F1838" s="6">
        <v>6.2300000000000001E-2</v>
      </c>
    </row>
    <row r="1839" spans="2:6">
      <c r="B1839" t="s">
        <v>974</v>
      </c>
      <c r="C1839" t="s">
        <v>973</v>
      </c>
      <c r="D1839">
        <v>5040.9163366033181</v>
      </c>
      <c r="E1839">
        <v>9574.896656208386</v>
      </c>
      <c r="F1839" s="6">
        <v>0.89943574081615596</v>
      </c>
    </row>
    <row r="1840" spans="2:6">
      <c r="B1840" t="s">
        <v>2463</v>
      </c>
      <c r="C1840" t="s">
        <v>2308</v>
      </c>
      <c r="D1840">
        <v>27960.364560116202</v>
      </c>
      <c r="E1840">
        <v>9557.1862411634629</v>
      </c>
      <c r="F1840" s="6">
        <v>-0.65818806759064152</v>
      </c>
    </row>
    <row r="1841" spans="2:6">
      <c r="B1841" t="s">
        <v>2014</v>
      </c>
      <c r="C1841" t="s">
        <v>2013</v>
      </c>
      <c r="D1841">
        <v>10580.600837860498</v>
      </c>
      <c r="E1841">
        <v>9552.6579105959536</v>
      </c>
      <c r="F1841" s="6">
        <v>-9.7153549502242198E-2</v>
      </c>
    </row>
    <row r="1842" spans="2:6">
      <c r="B1842" t="s">
        <v>2037</v>
      </c>
      <c r="C1842" t="s">
        <v>2036</v>
      </c>
      <c r="D1842">
        <v>13705.627652658162</v>
      </c>
      <c r="E1842">
        <v>9546.0617999999995</v>
      </c>
      <c r="F1842" s="6">
        <v>-0.30349999999999999</v>
      </c>
    </row>
    <row r="1843" spans="2:6">
      <c r="B1843" t="s">
        <v>1970</v>
      </c>
      <c r="C1843" t="s">
        <v>1969</v>
      </c>
      <c r="D1843">
        <v>13288.692639833762</v>
      </c>
      <c r="E1843">
        <v>9541.5992774018487</v>
      </c>
      <c r="F1843" s="6">
        <v>-0.28197607274019909</v>
      </c>
    </row>
    <row r="1844" spans="2:6">
      <c r="B1844" t="s">
        <v>1410</v>
      </c>
      <c r="C1844" t="s">
        <v>1409</v>
      </c>
      <c r="D1844">
        <v>964.28530000000001</v>
      </c>
      <c r="E1844">
        <v>9541.5088148400282</v>
      </c>
      <c r="F1844" s="6">
        <v>8.8949022813476759</v>
      </c>
    </row>
    <row r="1845" spans="2:6">
      <c r="B1845" t="s">
        <v>1570</v>
      </c>
      <c r="C1845" t="s">
        <v>1569</v>
      </c>
      <c r="D1845">
        <v>7791.400180421283</v>
      </c>
      <c r="E1845">
        <v>9529.5226626650492</v>
      </c>
      <c r="F1845" s="6">
        <v>0.22308217290794907</v>
      </c>
    </row>
    <row r="1846" spans="2:6">
      <c r="B1846" t="s">
        <v>2618</v>
      </c>
      <c r="C1846" t="s">
        <v>2619</v>
      </c>
      <c r="D1846">
        <v>19746.389743963395</v>
      </c>
      <c r="E1846">
        <v>9485.3177533447306</v>
      </c>
      <c r="F1846" s="6">
        <v>-0.51964293846451315</v>
      </c>
    </row>
    <row r="1847" spans="2:6">
      <c r="B1847" t="s">
        <v>2540</v>
      </c>
      <c r="C1847" t="s">
        <v>2300</v>
      </c>
      <c r="D1847">
        <v>11652.57</v>
      </c>
      <c r="E1847">
        <v>9480.7482351965718</v>
      </c>
      <c r="F1847" s="6">
        <v>-0.18638135319534044</v>
      </c>
    </row>
    <row r="1848" spans="2:6">
      <c r="B1848" t="s">
        <v>2887</v>
      </c>
      <c r="C1848" t="s">
        <v>2888</v>
      </c>
      <c r="D1848">
        <v>5923.1537688237149</v>
      </c>
      <c r="E1848">
        <v>9469.371366481615</v>
      </c>
      <c r="F1848" s="6">
        <v>0.59870429437832184</v>
      </c>
    </row>
    <row r="1849" spans="2:6">
      <c r="B1849" t="s">
        <v>1477</v>
      </c>
      <c r="C1849" t="s">
        <v>1476</v>
      </c>
      <c r="D1849">
        <v>6288.8399468196094</v>
      </c>
      <c r="E1849">
        <v>9448.0348695275534</v>
      </c>
      <c r="F1849" s="6">
        <v>0.502349391846999</v>
      </c>
    </row>
    <row r="1850" spans="2:6">
      <c r="B1850" t="s">
        <v>2404</v>
      </c>
      <c r="C1850" t="s">
        <v>2405</v>
      </c>
      <c r="D1850">
        <v>10536.355434417943</v>
      </c>
      <c r="E1850">
        <v>9446.5189452874656</v>
      </c>
      <c r="F1850" s="6">
        <v>-0.10343581287799286</v>
      </c>
    </row>
    <row r="1851" spans="2:6">
      <c r="B1851" t="s">
        <v>1690</v>
      </c>
      <c r="C1851" t="s">
        <v>1689</v>
      </c>
      <c r="D1851">
        <v>9733.4888250462172</v>
      </c>
      <c r="E1851">
        <v>9433.3596182375568</v>
      </c>
      <c r="F1851" s="6">
        <v>-3.0834699890584738E-2</v>
      </c>
    </row>
    <row r="1852" spans="2:6">
      <c r="B1852" t="s">
        <v>1976</v>
      </c>
      <c r="C1852" t="s">
        <v>1975</v>
      </c>
      <c r="D1852">
        <v>15172.026765150533</v>
      </c>
      <c r="E1852">
        <v>9412.3472943106408</v>
      </c>
      <c r="F1852" s="6">
        <v>-0.37962492157406535</v>
      </c>
    </row>
    <row r="1853" spans="2:6">
      <c r="B1853" t="s">
        <v>2512</v>
      </c>
      <c r="C1853" t="s">
        <v>2513</v>
      </c>
      <c r="D1853">
        <v>16874.96297010373</v>
      </c>
      <c r="E1853">
        <v>9409.8001000000004</v>
      </c>
      <c r="F1853" s="6">
        <v>-0.44240000000000002</v>
      </c>
    </row>
    <row r="1854" spans="2:6">
      <c r="B1854" t="s">
        <v>1522</v>
      </c>
      <c r="C1854" t="s">
        <v>1521</v>
      </c>
      <c r="D1854">
        <v>9259.4190434528664</v>
      </c>
      <c r="E1854">
        <v>9400.6054128428768</v>
      </c>
      <c r="F1854" s="6">
        <v>1.5247864766401387E-2</v>
      </c>
    </row>
    <row r="1855" spans="2:6">
      <c r="B1855" t="s">
        <v>1842</v>
      </c>
      <c r="C1855" t="s">
        <v>1841</v>
      </c>
      <c r="D1855">
        <v>12118.936410498824</v>
      </c>
      <c r="E1855">
        <v>9397.6785446604317</v>
      </c>
      <c r="F1855" s="6">
        <v>-0.22454593156218916</v>
      </c>
    </row>
    <row r="1856" spans="2:6">
      <c r="B1856" t="s">
        <v>1732</v>
      </c>
      <c r="C1856" t="s">
        <v>1731</v>
      </c>
      <c r="D1856">
        <v>13863.046855334933</v>
      </c>
      <c r="E1856">
        <v>9395.163639689139</v>
      </c>
      <c r="F1856" s="6">
        <v>-0.32228724769305772</v>
      </c>
    </row>
    <row r="1857" spans="2:6">
      <c r="B1857" t="s">
        <v>1794</v>
      </c>
      <c r="C1857" t="s">
        <v>1793</v>
      </c>
      <c r="D1857">
        <v>11146.326373496662</v>
      </c>
      <c r="E1857">
        <v>9366.2340999999997</v>
      </c>
      <c r="F1857" s="6">
        <v>-0.15970000000000001</v>
      </c>
    </row>
    <row r="1858" spans="2:6">
      <c r="B1858" t="s">
        <v>1656</v>
      </c>
      <c r="C1858" t="s">
        <v>1655</v>
      </c>
      <c r="D1858">
        <v>5981.8969419036202</v>
      </c>
      <c r="E1858">
        <v>9363.40865663974</v>
      </c>
      <c r="F1858" s="6">
        <v>0.56529086802689399</v>
      </c>
    </row>
    <row r="1859" spans="2:6">
      <c r="B1859" t="s">
        <v>2786</v>
      </c>
      <c r="C1859" t="s">
        <v>2380</v>
      </c>
      <c r="D1859">
        <v>1228.8905</v>
      </c>
      <c r="E1859">
        <v>9357.6885000000002</v>
      </c>
      <c r="F1859" s="6">
        <v>6.6147455774131219</v>
      </c>
    </row>
    <row r="1860" spans="2:6">
      <c r="B1860" t="s">
        <v>1944</v>
      </c>
      <c r="C1860" t="s">
        <v>1943</v>
      </c>
      <c r="D1860">
        <v>11681.152128107358</v>
      </c>
      <c r="E1860">
        <v>9355.0286399950073</v>
      </c>
      <c r="F1860" s="6">
        <v>-0.19913476535548225</v>
      </c>
    </row>
    <row r="1861" spans="2:6">
      <c r="B1861" t="s">
        <v>1438</v>
      </c>
      <c r="C1861" t="s">
        <v>1437</v>
      </c>
      <c r="D1861">
        <v>4437.712530270046</v>
      </c>
      <c r="E1861">
        <v>9332.303805892574</v>
      </c>
      <c r="F1861" s="6">
        <v>1.1029536596244283</v>
      </c>
    </row>
    <row r="1862" spans="2:6">
      <c r="B1862" t="s">
        <v>1668</v>
      </c>
      <c r="C1862" t="s">
        <v>1667</v>
      </c>
      <c r="D1862">
        <v>7703.3451999999997</v>
      </c>
      <c r="E1862">
        <v>9315.3276000000005</v>
      </c>
      <c r="F1862" s="6">
        <v>0.20925745350214875</v>
      </c>
    </row>
    <row r="1863" spans="2:6">
      <c r="B1863" t="s">
        <v>2984</v>
      </c>
      <c r="C1863" t="s">
        <v>2985</v>
      </c>
      <c r="D1863">
        <v>61.631300000000003</v>
      </c>
      <c r="E1863">
        <v>9311.1219000000001</v>
      </c>
      <c r="F1863" s="6">
        <v>150.07781111221084</v>
      </c>
    </row>
    <row r="1864" spans="2:6">
      <c r="B1864" t="s">
        <v>2928</v>
      </c>
      <c r="C1864" t="s">
        <v>2929</v>
      </c>
      <c r="D1864">
        <v>9583.1345180771586</v>
      </c>
      <c r="E1864">
        <v>9308.1182196089285</v>
      </c>
      <c r="F1864" s="6">
        <v>-2.8697948249547411E-2</v>
      </c>
    </row>
    <row r="1865" spans="2:6">
      <c r="B1865" t="s">
        <v>2807</v>
      </c>
      <c r="C1865" t="s">
        <v>2808</v>
      </c>
      <c r="D1865">
        <v>7246.5151394648747</v>
      </c>
      <c r="E1865">
        <v>9302.4009049783472</v>
      </c>
      <c r="F1865" s="6">
        <v>0.28370681989153912</v>
      </c>
    </row>
    <row r="1866" spans="2:6">
      <c r="B1866" t="s">
        <v>1876</v>
      </c>
      <c r="C1866" t="s">
        <v>1875</v>
      </c>
      <c r="D1866">
        <v>9140.5522648561073</v>
      </c>
      <c r="E1866">
        <v>9291.3449771619853</v>
      </c>
      <c r="F1866" s="6">
        <v>1.6497111764860239E-2</v>
      </c>
    </row>
    <row r="1867" spans="2:6">
      <c r="B1867" t="s">
        <v>2644</v>
      </c>
      <c r="C1867" t="s">
        <v>2645</v>
      </c>
      <c r="D1867">
        <v>12818.557345407975</v>
      </c>
      <c r="E1867">
        <v>9280.2403053599264</v>
      </c>
      <c r="F1867" s="6">
        <v>-0.27603083129441153</v>
      </c>
    </row>
    <row r="1868" spans="2:6">
      <c r="B1868" t="s">
        <v>2140</v>
      </c>
      <c r="C1868" t="s">
        <v>2139</v>
      </c>
      <c r="D1868">
        <v>28882.110262675957</v>
      </c>
      <c r="E1868">
        <v>9278.0236501660547</v>
      </c>
      <c r="F1868" s="6">
        <v>-0.67876226612998058</v>
      </c>
    </row>
    <row r="1869" spans="2:6">
      <c r="B1869" t="s">
        <v>2484</v>
      </c>
      <c r="C1869" t="s">
        <v>2485</v>
      </c>
      <c r="D1869">
        <v>20445.2739</v>
      </c>
      <c r="E1869">
        <v>9269.1327000000001</v>
      </c>
      <c r="F1869" s="6">
        <v>-0.54663690272205157</v>
      </c>
    </row>
    <row r="1870" spans="2:6">
      <c r="B1870" t="s">
        <v>1728</v>
      </c>
      <c r="C1870" t="s">
        <v>1727</v>
      </c>
      <c r="D1870">
        <v>9310.7505637674603</v>
      </c>
      <c r="E1870">
        <v>9259.1095000000005</v>
      </c>
      <c r="F1870" s="6">
        <v>-5.4999999999999997E-3</v>
      </c>
    </row>
    <row r="1871" spans="2:6">
      <c r="B1871" t="s">
        <v>1796</v>
      </c>
      <c r="C1871" t="s">
        <v>1795</v>
      </c>
      <c r="D1871">
        <v>11309.606496080034</v>
      </c>
      <c r="E1871">
        <v>9257.6151022827962</v>
      </c>
      <c r="F1871" s="6">
        <v>-0.18143791249575913</v>
      </c>
    </row>
    <row r="1872" spans="2:6">
      <c r="B1872" t="s">
        <v>1557</v>
      </c>
      <c r="C1872" t="s">
        <v>1556</v>
      </c>
      <c r="D1872">
        <v>8686.4945718260678</v>
      </c>
      <c r="E1872">
        <v>9252.5364000000009</v>
      </c>
      <c r="F1872" s="6">
        <v>6.5199999999999994E-2</v>
      </c>
    </row>
    <row r="1873" spans="2:6">
      <c r="B1873" t="s">
        <v>1640</v>
      </c>
      <c r="C1873" t="s">
        <v>1639</v>
      </c>
      <c r="D1873">
        <v>12053.340612165319</v>
      </c>
      <c r="E1873">
        <v>9246.7689995108412</v>
      </c>
      <c r="F1873" s="6">
        <v>-0.23284595557034471</v>
      </c>
    </row>
    <row r="1874" spans="2:6">
      <c r="B1874" t="s">
        <v>1946</v>
      </c>
      <c r="C1874" t="s">
        <v>1945</v>
      </c>
      <c r="D1874">
        <v>8814.9588669239583</v>
      </c>
      <c r="E1874">
        <v>9232.8837999999996</v>
      </c>
      <c r="F1874" s="6">
        <v>4.7399999999999998E-2</v>
      </c>
    </row>
    <row r="1875" spans="2:6">
      <c r="B1875" t="s">
        <v>2309</v>
      </c>
      <c r="C1875" t="s">
        <v>2310</v>
      </c>
      <c r="D1875">
        <v>52239.249027073638</v>
      </c>
      <c r="E1875">
        <v>9225.8948491360425</v>
      </c>
      <c r="F1875" s="6">
        <v>-0.82339151077086492</v>
      </c>
    </row>
    <row r="1876" spans="2:6">
      <c r="B1876" t="s">
        <v>1495</v>
      </c>
      <c r="C1876" t="s">
        <v>1494</v>
      </c>
      <c r="D1876">
        <v>7068.5862999999999</v>
      </c>
      <c r="E1876">
        <v>9187.0249999999996</v>
      </c>
      <c r="F1876" s="6">
        <v>0.29969764958517953</v>
      </c>
    </row>
    <row r="1877" spans="2:6">
      <c r="B1877" t="s">
        <v>2649</v>
      </c>
      <c r="C1877" t="s">
        <v>2650</v>
      </c>
      <c r="D1877">
        <v>16850.604977272116</v>
      </c>
      <c r="E1877">
        <v>9179.4249999999993</v>
      </c>
      <c r="F1877" s="6">
        <v>-0.45519999999999999</v>
      </c>
    </row>
    <row r="1878" spans="2:6">
      <c r="B1878" t="s">
        <v>2958</v>
      </c>
      <c r="C1878" t="s">
        <v>2380</v>
      </c>
      <c r="D1878">
        <v>3568.7813320989253</v>
      </c>
      <c r="E1878">
        <v>9158.4057569152046</v>
      </c>
      <c r="F1878" s="6">
        <v>1.5662557900483147</v>
      </c>
    </row>
    <row r="1879" spans="2:6">
      <c r="B1879" t="s">
        <v>1802</v>
      </c>
      <c r="C1879" t="s">
        <v>1801</v>
      </c>
      <c r="D1879">
        <v>9753.2767000000003</v>
      </c>
      <c r="E1879">
        <v>9140.8642999999993</v>
      </c>
      <c r="F1879" s="6">
        <v>-6.2790426113923381E-2</v>
      </c>
    </row>
    <row r="1880" spans="2:6">
      <c r="B1880" t="s">
        <v>1770</v>
      </c>
      <c r="C1880" t="s">
        <v>1769</v>
      </c>
      <c r="D1880">
        <v>9646.0195373337374</v>
      </c>
      <c r="E1880">
        <v>9130.4414420362227</v>
      </c>
      <c r="F1880" s="6">
        <v>-5.3449829051458231E-2</v>
      </c>
    </row>
    <row r="1881" spans="2:6">
      <c r="B1881" t="s">
        <v>1493</v>
      </c>
      <c r="C1881" t="s">
        <v>1492</v>
      </c>
      <c r="D1881">
        <v>3756.0288084960716</v>
      </c>
      <c r="E1881">
        <v>9089.9117000000006</v>
      </c>
      <c r="F1881" s="6">
        <v>1.4200999999999999</v>
      </c>
    </row>
    <row r="1882" spans="2:6">
      <c r="B1882" t="s">
        <v>2101</v>
      </c>
      <c r="C1882" t="s">
        <v>2100</v>
      </c>
      <c r="D1882">
        <v>13002.279641964769</v>
      </c>
      <c r="E1882">
        <v>9078.3798673924921</v>
      </c>
      <c r="F1882" s="6">
        <v>-0.30178552397134406</v>
      </c>
    </row>
    <row r="1883" spans="2:6">
      <c r="B1883" t="s">
        <v>1888</v>
      </c>
      <c r="C1883" t="s">
        <v>1887</v>
      </c>
      <c r="D1883">
        <v>13711.219300000001</v>
      </c>
      <c r="E1883">
        <v>9066.3523635295151</v>
      </c>
      <c r="F1883" s="6">
        <v>-0.33876395926877823</v>
      </c>
    </row>
    <row r="1884" spans="2:6">
      <c r="B1884" t="s">
        <v>1296</v>
      </c>
      <c r="C1884" t="s">
        <v>1295</v>
      </c>
      <c r="D1884">
        <v>2820.9378626201374</v>
      </c>
      <c r="E1884">
        <v>9046.6876940859092</v>
      </c>
      <c r="F1884" s="6">
        <v>2.206978719369304</v>
      </c>
    </row>
    <row r="1885" spans="2:6">
      <c r="B1885" t="s">
        <v>2980</v>
      </c>
      <c r="C1885" t="s">
        <v>2981</v>
      </c>
      <c r="D1885">
        <v>2618.870951077532</v>
      </c>
      <c r="E1885">
        <v>9023.706295056978</v>
      </c>
      <c r="F1885" s="6">
        <v>2.4456475571444947</v>
      </c>
    </row>
    <row r="1886" spans="2:6">
      <c r="B1886" t="s">
        <v>1380</v>
      </c>
      <c r="C1886" t="s">
        <v>1379</v>
      </c>
      <c r="D1886">
        <v>5527.7545354219174</v>
      </c>
      <c r="E1886">
        <v>8999.3664460495529</v>
      </c>
      <c r="F1886" s="6">
        <v>0.62803293604690746</v>
      </c>
    </row>
    <row r="1887" spans="2:6">
      <c r="B1887" t="s">
        <v>1458</v>
      </c>
      <c r="C1887" t="s">
        <v>1457</v>
      </c>
      <c r="D1887">
        <v>8407.2754000000004</v>
      </c>
      <c r="E1887">
        <v>8975.0694999999996</v>
      </c>
      <c r="F1887" s="6">
        <v>6.7536041462374463E-2</v>
      </c>
    </row>
    <row r="1888" spans="2:6">
      <c r="B1888" t="s">
        <v>1948</v>
      </c>
      <c r="C1888" t="s">
        <v>1947</v>
      </c>
      <c r="D1888">
        <v>7022.6764999999996</v>
      </c>
      <c r="E1888">
        <v>8954.5967999999993</v>
      </c>
      <c r="F1888" s="6">
        <v>0.27509743614133453</v>
      </c>
    </row>
    <row r="1889" spans="2:6">
      <c r="B1889" t="s">
        <v>1914</v>
      </c>
      <c r="C1889" t="s">
        <v>1913</v>
      </c>
      <c r="D1889">
        <v>12411.6976</v>
      </c>
      <c r="E1889">
        <v>8928.0963950441328</v>
      </c>
      <c r="F1889" s="6">
        <v>-0.28067080887918727</v>
      </c>
    </row>
    <row r="1890" spans="2:6">
      <c r="B1890" t="s">
        <v>3088</v>
      </c>
      <c r="C1890" t="s">
        <v>3089</v>
      </c>
      <c r="D1890">
        <v>939.84040000000005</v>
      </c>
      <c r="E1890">
        <v>8921.271774378898</v>
      </c>
      <c r="F1890" s="6">
        <v>8.4923263294266746</v>
      </c>
    </row>
    <row r="1891" spans="2:6">
      <c r="B1891" t="s">
        <v>2480</v>
      </c>
      <c r="C1891" t="s">
        <v>2300</v>
      </c>
      <c r="D1891">
        <v>15287.757983334266</v>
      </c>
      <c r="E1891">
        <v>8909.0939734485055</v>
      </c>
      <c r="F1891" s="6">
        <v>-0.41723999142577817</v>
      </c>
    </row>
    <row r="1892" spans="2:6">
      <c r="B1892" t="s">
        <v>2706</v>
      </c>
      <c r="C1892" t="s">
        <v>2707</v>
      </c>
      <c r="D1892">
        <v>9076.1382515377627</v>
      </c>
      <c r="E1892">
        <v>8901.7611465332448</v>
      </c>
      <c r="F1892" s="6">
        <v>-1.9212698195179345E-2</v>
      </c>
    </row>
    <row r="1893" spans="2:6">
      <c r="B1893" t="s">
        <v>2197</v>
      </c>
      <c r="C1893" t="s">
        <v>2196</v>
      </c>
      <c r="D1893">
        <v>48911.350755790409</v>
      </c>
      <c r="E1893">
        <v>8894.0823999999993</v>
      </c>
      <c r="F1893" s="6">
        <v>-0.81820000000000004</v>
      </c>
    </row>
    <row r="1894" spans="2:6">
      <c r="B1894" t="s">
        <v>2398</v>
      </c>
      <c r="C1894" t="s">
        <v>2399</v>
      </c>
      <c r="D1894">
        <v>11966.139429009652</v>
      </c>
      <c r="E1894">
        <v>8891.8559000000005</v>
      </c>
      <c r="F1894" s="6">
        <v>-0.25690000000000002</v>
      </c>
    </row>
    <row r="1895" spans="2:6">
      <c r="B1895" t="s">
        <v>2667</v>
      </c>
      <c r="C1895" t="s">
        <v>2668</v>
      </c>
      <c r="D1895">
        <v>7622.2411655887536</v>
      </c>
      <c r="E1895">
        <v>8888.4483798349538</v>
      </c>
      <c r="F1895" s="6">
        <v>0.16612006714804539</v>
      </c>
    </row>
    <row r="1896" spans="2:6">
      <c r="B1896" t="s">
        <v>1412</v>
      </c>
      <c r="C1896" t="s">
        <v>1411</v>
      </c>
      <c r="D1896">
        <v>6557.8352000000004</v>
      </c>
      <c r="E1896">
        <v>8885.7852323717379</v>
      </c>
      <c r="F1896" s="6">
        <v>0.35498757766461364</v>
      </c>
    </row>
    <row r="1897" spans="2:6">
      <c r="B1897" t="s">
        <v>2770</v>
      </c>
      <c r="C1897" t="s">
        <v>2771</v>
      </c>
      <c r="D1897">
        <v>7821.4249</v>
      </c>
      <c r="E1897">
        <v>8854.4680291726236</v>
      </c>
      <c r="F1897" s="6">
        <v>0.13207863559140276</v>
      </c>
    </row>
    <row r="1898" spans="2:6">
      <c r="B1898" t="s">
        <v>1636</v>
      </c>
      <c r="C1898" t="s">
        <v>1635</v>
      </c>
      <c r="D1898">
        <v>7828.9680952927774</v>
      </c>
      <c r="E1898">
        <v>8851.2800870304818</v>
      </c>
      <c r="F1898" s="6">
        <v>0.1305806818081654</v>
      </c>
    </row>
    <row r="1899" spans="2:6">
      <c r="B1899" t="s">
        <v>1722</v>
      </c>
      <c r="C1899" t="s">
        <v>1721</v>
      </c>
      <c r="D1899">
        <v>7195.8977789669216</v>
      </c>
      <c r="E1899">
        <v>8841.939388648696</v>
      </c>
      <c r="F1899" s="6">
        <v>0.22874721963019429</v>
      </c>
    </row>
    <row r="1900" spans="2:6">
      <c r="B1900" t="s">
        <v>1555</v>
      </c>
      <c r="C1900" t="s">
        <v>1554</v>
      </c>
      <c r="D1900">
        <v>7064.9456843527032</v>
      </c>
      <c r="E1900">
        <v>8840.9964</v>
      </c>
      <c r="F1900" s="6">
        <v>0.25140000000000001</v>
      </c>
    </row>
    <row r="1901" spans="2:6">
      <c r="B1901" t="s">
        <v>1838</v>
      </c>
      <c r="C1901" t="s">
        <v>1837</v>
      </c>
      <c r="D1901">
        <v>14693.813883008037</v>
      </c>
      <c r="E1901">
        <v>8828.089525036612</v>
      </c>
      <c r="F1901" s="6">
        <v>-0.39919685962230422</v>
      </c>
    </row>
    <row r="1902" spans="2:6">
      <c r="B1902" t="s">
        <v>2851</v>
      </c>
      <c r="C1902" t="s">
        <v>2852</v>
      </c>
      <c r="D1902">
        <v>11283.0538</v>
      </c>
      <c r="E1902">
        <v>8826.6823999999997</v>
      </c>
      <c r="F1902" s="6">
        <v>-0.21770448351491511</v>
      </c>
    </row>
    <row r="1903" spans="2:6">
      <c r="B1903" t="s">
        <v>3319</v>
      </c>
      <c r="C1903" t="s">
        <v>545</v>
      </c>
      <c r="D1903">
        <v>7586.321554235501</v>
      </c>
      <c r="E1903">
        <v>8822.6849300722934</v>
      </c>
      <c r="F1903" s="6">
        <v>0.1629727091051818</v>
      </c>
    </row>
    <row r="1904" spans="2:6">
      <c r="B1904" t="s">
        <v>1008</v>
      </c>
      <c r="C1904" t="s">
        <v>1007</v>
      </c>
      <c r="D1904">
        <v>931.798</v>
      </c>
      <c r="E1904">
        <v>8816.0771999999997</v>
      </c>
      <c r="F1904" s="6">
        <v>8.4613609387442335</v>
      </c>
    </row>
    <row r="1905" spans="2:6">
      <c r="B1905" t="s">
        <v>1112</v>
      </c>
      <c r="C1905" t="s">
        <v>1111</v>
      </c>
      <c r="D1905">
        <v>4710.8842000000004</v>
      </c>
      <c r="E1905">
        <v>8792.4675999999999</v>
      </c>
      <c r="F1905" s="6">
        <v>0.86641556589312896</v>
      </c>
    </row>
    <row r="1906" spans="2:6">
      <c r="B1906" t="s">
        <v>3178</v>
      </c>
      <c r="C1906" t="s">
        <v>3179</v>
      </c>
      <c r="D1906">
        <v>803.5942</v>
      </c>
      <c r="E1906">
        <v>8782.1750005829945</v>
      </c>
      <c r="F1906" s="6">
        <v>9.9286191968321749</v>
      </c>
    </row>
    <row r="1907" spans="2:6">
      <c r="B1907" t="s">
        <v>2780</v>
      </c>
      <c r="C1907" t="s">
        <v>2781</v>
      </c>
      <c r="D1907">
        <v>5283.4292999999998</v>
      </c>
      <c r="E1907">
        <v>8778.5798437758276</v>
      </c>
      <c r="F1907" s="6">
        <v>0.6615306736054607</v>
      </c>
    </row>
    <row r="1908" spans="2:6">
      <c r="B1908" t="s">
        <v>2954</v>
      </c>
      <c r="C1908" t="s">
        <v>2599</v>
      </c>
      <c r="D1908">
        <v>7774.2083456757873</v>
      </c>
      <c r="E1908">
        <v>8776.6495264816476</v>
      </c>
      <c r="F1908" s="6">
        <v>0.12894447077218407</v>
      </c>
    </row>
    <row r="1909" spans="2:6">
      <c r="B1909" t="s">
        <v>2348</v>
      </c>
      <c r="C1909" t="s">
        <v>2349</v>
      </c>
      <c r="D1909">
        <v>52716.725874262775</v>
      </c>
      <c r="E1909">
        <v>8763.0085420758223</v>
      </c>
      <c r="F1909" s="6">
        <v>-0.83377176035217171</v>
      </c>
    </row>
    <row r="1910" spans="2:6">
      <c r="B1910" t="s">
        <v>2659</v>
      </c>
      <c r="C1910" t="s">
        <v>2660</v>
      </c>
      <c r="D1910">
        <v>9141.1005671718231</v>
      </c>
      <c r="E1910">
        <v>8757.0687061632198</v>
      </c>
      <c r="F1910" s="6">
        <v>-4.2011556287627538E-2</v>
      </c>
    </row>
    <row r="1911" spans="2:6">
      <c r="B1911" t="s">
        <v>1275</v>
      </c>
      <c r="C1911" t="s">
        <v>1274</v>
      </c>
      <c r="D1911">
        <v>4659.1201900228762</v>
      </c>
      <c r="E1911">
        <v>8749.7145999999993</v>
      </c>
      <c r="F1911" s="6">
        <v>0.878</v>
      </c>
    </row>
    <row r="1912" spans="2:6">
      <c r="B1912" t="s">
        <v>2191</v>
      </c>
      <c r="C1912" t="s">
        <v>2190</v>
      </c>
      <c r="D1912">
        <v>37990.235322636043</v>
      </c>
      <c r="E1912">
        <v>8747.6833311765422</v>
      </c>
      <c r="F1912" s="6">
        <v>-0.76973863791877228</v>
      </c>
    </row>
    <row r="1913" spans="2:6">
      <c r="B1913" t="s">
        <v>2712</v>
      </c>
      <c r="C1913" t="s">
        <v>2713</v>
      </c>
      <c r="D1913">
        <v>14161.216629801822</v>
      </c>
      <c r="E1913">
        <v>8746.405638993816</v>
      </c>
      <c r="F1913" s="6">
        <v>-0.38236905291122458</v>
      </c>
    </row>
    <row r="1914" spans="2:6">
      <c r="B1914" t="s">
        <v>1964</v>
      </c>
      <c r="C1914" t="s">
        <v>1963</v>
      </c>
      <c r="D1914">
        <v>17008.646113408151</v>
      </c>
      <c r="E1914">
        <v>8738.5008898962024</v>
      </c>
      <c r="F1914" s="6">
        <v>-0.48623183575984208</v>
      </c>
    </row>
    <row r="1915" spans="2:6">
      <c r="B1915" t="s">
        <v>2551</v>
      </c>
      <c r="C1915" t="s">
        <v>2552</v>
      </c>
      <c r="D1915">
        <v>9715.0441664520113</v>
      </c>
      <c r="E1915">
        <v>8735.4093735869719</v>
      </c>
      <c r="F1915" s="6">
        <v>-0.10083688515260836</v>
      </c>
    </row>
    <row r="1916" spans="2:6">
      <c r="B1916" t="s">
        <v>1290</v>
      </c>
      <c r="C1916" t="s">
        <v>1289</v>
      </c>
      <c r="D1916">
        <v>4023.1606669287785</v>
      </c>
      <c r="E1916">
        <v>8720.5308270299283</v>
      </c>
      <c r="F1916" s="6">
        <v>1.167582045309429</v>
      </c>
    </row>
    <row r="1917" spans="2:6">
      <c r="B1917" t="s">
        <v>2440</v>
      </c>
      <c r="C1917" t="s">
        <v>2308</v>
      </c>
      <c r="D1917">
        <v>33296.809466635503</v>
      </c>
      <c r="E1917">
        <v>8687.5262470544876</v>
      </c>
      <c r="F1917" s="6">
        <v>-0.7390883274939698</v>
      </c>
    </row>
    <row r="1918" spans="2:6">
      <c r="B1918" t="s">
        <v>2535</v>
      </c>
      <c r="C1918" t="s">
        <v>2356</v>
      </c>
      <c r="D1918">
        <v>9237.9334990225161</v>
      </c>
      <c r="E1918">
        <v>8686.4234273120528</v>
      </c>
      <c r="F1918" s="6">
        <v>-5.9700589073175214E-2</v>
      </c>
    </row>
    <row r="1919" spans="2:6">
      <c r="B1919" t="s">
        <v>1952</v>
      </c>
      <c r="C1919" t="s">
        <v>1951</v>
      </c>
      <c r="D1919">
        <v>11084.855615852168</v>
      </c>
      <c r="E1919">
        <v>8681.8153527069026</v>
      </c>
      <c r="F1919" s="6">
        <v>-0.21678588755894479</v>
      </c>
    </row>
    <row r="1920" spans="2:6">
      <c r="B1920" t="s">
        <v>1382</v>
      </c>
      <c r="C1920" t="s">
        <v>1381</v>
      </c>
      <c r="D1920">
        <v>5338.8515299447863</v>
      </c>
      <c r="E1920">
        <v>8650.1231703600752</v>
      </c>
      <c r="F1920" s="6">
        <v>0.62022171282398131</v>
      </c>
    </row>
    <row r="1921" spans="2:6">
      <c r="B1921" t="s">
        <v>1658</v>
      </c>
      <c r="C1921" t="s">
        <v>1657</v>
      </c>
      <c r="D1921">
        <v>5397.3125</v>
      </c>
      <c r="E1921">
        <v>8566.5969999999998</v>
      </c>
      <c r="F1921" s="6">
        <v>0.587196776173327</v>
      </c>
    </row>
    <row r="1922" spans="2:6">
      <c r="B1922" t="s">
        <v>934</v>
      </c>
      <c r="C1922" t="s">
        <v>933</v>
      </c>
      <c r="D1922">
        <v>7906.8674515315106</v>
      </c>
      <c r="E1922">
        <v>8554.6793360898519</v>
      </c>
      <c r="F1922" s="6">
        <v>8.1930282571369473E-2</v>
      </c>
    </row>
    <row r="1923" spans="2:6">
      <c r="B1923" t="s">
        <v>2515</v>
      </c>
      <c r="C1923" t="s">
        <v>2516</v>
      </c>
      <c r="D1923">
        <v>24446.300730317664</v>
      </c>
      <c r="E1923">
        <v>8552.3544000000002</v>
      </c>
      <c r="F1923" s="6">
        <v>-0.6502</v>
      </c>
    </row>
    <row r="1924" spans="2:6">
      <c r="B1924" t="s">
        <v>3079</v>
      </c>
      <c r="C1924" t="s">
        <v>3080</v>
      </c>
      <c r="D1924">
        <v>3295.3762193629691</v>
      </c>
      <c r="E1924">
        <v>8548.5625999999993</v>
      </c>
      <c r="F1924" s="6">
        <v>1.5941000000000001</v>
      </c>
    </row>
    <row r="1925" spans="2:6">
      <c r="B1925" t="s">
        <v>2881</v>
      </c>
      <c r="C1925" t="s">
        <v>2882</v>
      </c>
      <c r="D1925">
        <v>9324.2760999999991</v>
      </c>
      <c r="E1925">
        <v>8547.7970999999998</v>
      </c>
      <c r="F1925" s="6">
        <v>-8.3274990108883618E-2</v>
      </c>
    </row>
    <row r="1926" spans="2:6">
      <c r="B1926" t="s">
        <v>2988</v>
      </c>
      <c r="C1926" t="s">
        <v>2989</v>
      </c>
      <c r="D1926">
        <v>4768.0911999999998</v>
      </c>
      <c r="E1926">
        <v>8544.9631099284015</v>
      </c>
      <c r="F1926" s="6">
        <v>0.79211402456572166</v>
      </c>
    </row>
    <row r="1927" spans="2:6">
      <c r="B1927" t="s">
        <v>2162</v>
      </c>
      <c r="C1927" t="s">
        <v>2161</v>
      </c>
      <c r="D1927">
        <v>28572.250539719236</v>
      </c>
      <c r="E1927">
        <v>8517.274435183077</v>
      </c>
      <c r="F1927" s="6">
        <v>-0.70190397066052146</v>
      </c>
    </row>
    <row r="1928" spans="2:6">
      <c r="B1928" t="s">
        <v>1475</v>
      </c>
      <c r="C1928" t="s">
        <v>3590</v>
      </c>
      <c r="D1928">
        <v>6358.9777999999997</v>
      </c>
      <c r="E1928">
        <v>8515.9788000000008</v>
      </c>
      <c r="F1928" s="6">
        <v>0.3392056188653465</v>
      </c>
    </row>
    <row r="1929" spans="2:6">
      <c r="B1929" t="s">
        <v>1930</v>
      </c>
      <c r="C1929" t="s">
        <v>1929</v>
      </c>
      <c r="D1929">
        <v>9827.2166405061143</v>
      </c>
      <c r="E1929">
        <v>8513.1915953115022</v>
      </c>
      <c r="F1929" s="6">
        <v>-0.13371283988778926</v>
      </c>
    </row>
    <row r="1930" spans="2:6">
      <c r="B1930" t="s">
        <v>2614</v>
      </c>
      <c r="C1930" t="s">
        <v>2615</v>
      </c>
      <c r="D1930">
        <v>13300.0725</v>
      </c>
      <c r="E1930">
        <v>8505.5548834721885</v>
      </c>
      <c r="F1930" s="6">
        <v>-0.360488081288866</v>
      </c>
    </row>
    <row r="1931" spans="2:6">
      <c r="B1931" t="s">
        <v>1584</v>
      </c>
      <c r="C1931" t="s">
        <v>1583</v>
      </c>
      <c r="D1931">
        <v>8174.1307028818674</v>
      </c>
      <c r="E1931">
        <v>8492.1915406523167</v>
      </c>
      <c r="F1931" s="6">
        <v>3.8910662103593951E-2</v>
      </c>
    </row>
    <row r="1932" spans="2:6">
      <c r="B1932" t="s">
        <v>1450</v>
      </c>
      <c r="C1932" t="s">
        <v>1449</v>
      </c>
      <c r="D1932">
        <v>6023.645775055651</v>
      </c>
      <c r="E1932">
        <v>8470.5046101813896</v>
      </c>
      <c r="F1932" s="6">
        <v>0.40620895160508219</v>
      </c>
    </row>
    <row r="1933" spans="2:6">
      <c r="B1933" t="s">
        <v>1968</v>
      </c>
      <c r="C1933" t="s">
        <v>1967</v>
      </c>
      <c r="D1933">
        <v>12196.746495876796</v>
      </c>
      <c r="E1933">
        <v>8453.6320802678565</v>
      </c>
      <c r="F1933" s="6">
        <v>-0.30689449984668682</v>
      </c>
    </row>
    <row r="1934" spans="2:6">
      <c r="B1934" t="s">
        <v>2626</v>
      </c>
      <c r="C1934" t="s">
        <v>2627</v>
      </c>
      <c r="D1934">
        <v>9281.7637008944912</v>
      </c>
      <c r="E1934">
        <v>8450.7923107002916</v>
      </c>
      <c r="F1934" s="6">
        <v>-8.9527315817587327E-2</v>
      </c>
    </row>
    <row r="1935" spans="2:6">
      <c r="B1935" t="s">
        <v>1894</v>
      </c>
      <c r="C1935" t="s">
        <v>1893</v>
      </c>
      <c r="D1935">
        <v>10061.865599999999</v>
      </c>
      <c r="E1935">
        <v>8441.3905735674853</v>
      </c>
      <c r="F1935" s="6">
        <v>-0.16105115004045711</v>
      </c>
    </row>
    <row r="1936" spans="2:6">
      <c r="B1936" t="s">
        <v>2914</v>
      </c>
      <c r="C1936" t="s">
        <v>2915</v>
      </c>
      <c r="D1936">
        <v>10877.2755</v>
      </c>
      <c r="E1936">
        <v>8437.2600999999995</v>
      </c>
      <c r="F1936" s="6">
        <v>-0.2243222946775596</v>
      </c>
    </row>
    <row r="1937" spans="2:6">
      <c r="B1937" t="s">
        <v>1316</v>
      </c>
      <c r="C1937" t="s">
        <v>1315</v>
      </c>
      <c r="D1937">
        <v>6907.4900806264623</v>
      </c>
      <c r="E1937">
        <v>8429.9443387782685</v>
      </c>
      <c r="F1937" s="6">
        <v>0.22040628945987994</v>
      </c>
    </row>
    <row r="1938" spans="2:6">
      <c r="B1938" t="s">
        <v>2932</v>
      </c>
      <c r="C1938" t="s">
        <v>2933</v>
      </c>
      <c r="D1938">
        <v>7122.1814999999997</v>
      </c>
      <c r="E1938">
        <v>8422.4743128184782</v>
      </c>
      <c r="F1938" s="6">
        <v>0.18256945752063158</v>
      </c>
    </row>
    <row r="1939" spans="2:6">
      <c r="B1939" t="s">
        <v>2998</v>
      </c>
      <c r="C1939" t="s">
        <v>2380</v>
      </c>
      <c r="D1939">
        <v>2473.8409000000001</v>
      </c>
      <c r="E1939">
        <v>8406.1254000000008</v>
      </c>
      <c r="F1939" s="6">
        <v>2.3980056680282065</v>
      </c>
    </row>
    <row r="1940" spans="2:6">
      <c r="B1940" t="s">
        <v>1764</v>
      </c>
      <c r="C1940" t="s">
        <v>1763</v>
      </c>
      <c r="D1940">
        <v>6520.3235999999997</v>
      </c>
      <c r="E1940">
        <v>8392.7397371805091</v>
      </c>
      <c r="F1940" s="6">
        <v>0.28716613653661449</v>
      </c>
    </row>
    <row r="1941" spans="2:6">
      <c r="B1941" t="s">
        <v>2004</v>
      </c>
      <c r="C1941" t="s">
        <v>2003</v>
      </c>
      <c r="D1941">
        <v>15615.115231932274</v>
      </c>
      <c r="E1941">
        <v>8389.1890999999996</v>
      </c>
      <c r="F1941" s="6">
        <v>-0.46279999999999999</v>
      </c>
    </row>
    <row r="1942" spans="2:6">
      <c r="B1942" t="s">
        <v>1804</v>
      </c>
      <c r="C1942" t="s">
        <v>1803</v>
      </c>
      <c r="D1942">
        <v>14764.399782089507</v>
      </c>
      <c r="E1942">
        <v>8386.591774493354</v>
      </c>
      <c r="F1942" s="6">
        <v>-0.43197204774507569</v>
      </c>
    </row>
    <row r="1943" spans="2:6">
      <c r="B1943" t="s">
        <v>1152</v>
      </c>
      <c r="C1943" t="s">
        <v>1151</v>
      </c>
      <c r="D1943">
        <v>1554.8724241646235</v>
      </c>
      <c r="E1943">
        <v>8368.1460637645032</v>
      </c>
      <c r="F1943" s="6">
        <v>4.3818859565024475</v>
      </c>
    </row>
    <row r="1944" spans="2:6">
      <c r="B1944" t="s">
        <v>1972</v>
      </c>
      <c r="C1944" t="s">
        <v>1971</v>
      </c>
      <c r="D1944">
        <v>16828.89053970384</v>
      </c>
      <c r="E1944">
        <v>8363.2135141933886</v>
      </c>
      <c r="F1944" s="6">
        <v>-0.50304427410337371</v>
      </c>
    </row>
    <row r="1945" spans="2:6">
      <c r="B1945" t="s">
        <v>1692</v>
      </c>
      <c r="C1945" t="s">
        <v>1691</v>
      </c>
      <c r="D1945">
        <v>8752.8395682794817</v>
      </c>
      <c r="E1945">
        <v>8354.9346033866987</v>
      </c>
      <c r="F1945" s="6">
        <v>-4.5460100323876707E-2</v>
      </c>
    </row>
    <row r="1946" spans="2:6">
      <c r="B1946" t="s">
        <v>1780</v>
      </c>
      <c r="C1946" t="s">
        <v>1779</v>
      </c>
      <c r="D1946">
        <v>9681.8451871996331</v>
      </c>
      <c r="E1946">
        <v>8352.5524999999998</v>
      </c>
      <c r="F1946" s="6">
        <v>-0.13730000000000001</v>
      </c>
    </row>
    <row r="1947" spans="2:6">
      <c r="B1947" t="s">
        <v>2113</v>
      </c>
      <c r="C1947" t="s">
        <v>2112</v>
      </c>
      <c r="D1947">
        <v>22896.485391270402</v>
      </c>
      <c r="E1947">
        <v>8349.7613999999994</v>
      </c>
      <c r="F1947" s="6">
        <v>-0.63529999999999998</v>
      </c>
    </row>
    <row r="1948" spans="2:6">
      <c r="B1948" t="s">
        <v>2063</v>
      </c>
      <c r="C1948" t="s">
        <v>2062</v>
      </c>
      <c r="D1948">
        <v>15459.613318761889</v>
      </c>
      <c r="E1948">
        <v>8333.1307406014093</v>
      </c>
      <c r="F1948" s="6">
        <v>-0.46097418035105275</v>
      </c>
    </row>
    <row r="1949" spans="2:6">
      <c r="B1949" t="s">
        <v>2688</v>
      </c>
      <c r="C1949" t="s">
        <v>2689</v>
      </c>
      <c r="D1949">
        <v>10974.187400000001</v>
      </c>
      <c r="E1949">
        <v>8318.3282999999992</v>
      </c>
      <c r="F1949" s="6">
        <v>-0.24200963617588667</v>
      </c>
    </row>
    <row r="1950" spans="2:6">
      <c r="B1950" t="s">
        <v>1485</v>
      </c>
      <c r="C1950" t="s">
        <v>1484</v>
      </c>
      <c r="D1950">
        <v>6908.2417385707531</v>
      </c>
      <c r="E1950">
        <v>8313.4411999999993</v>
      </c>
      <c r="F1950" s="6">
        <v>0.2034</v>
      </c>
    </row>
    <row r="1951" spans="2:6">
      <c r="B1951" t="s">
        <v>2548</v>
      </c>
      <c r="C1951" t="s">
        <v>2308</v>
      </c>
      <c r="D1951">
        <v>21310.589463774064</v>
      </c>
      <c r="E1951">
        <v>8310.8015749427668</v>
      </c>
      <c r="F1951" s="6">
        <v>-0.61001540623405448</v>
      </c>
    </row>
    <row r="1952" spans="2:6">
      <c r="B1952" t="s">
        <v>1806</v>
      </c>
      <c r="C1952" t="s">
        <v>1805</v>
      </c>
      <c r="D1952">
        <v>8707.0904715735651</v>
      </c>
      <c r="E1952">
        <v>8308.8539274968352</v>
      </c>
      <c r="F1952" s="6">
        <v>-4.5737039873063323E-2</v>
      </c>
    </row>
    <row r="1953" spans="2:6">
      <c r="B1953" t="s">
        <v>1720</v>
      </c>
      <c r="C1953" t="s">
        <v>1719</v>
      </c>
      <c r="D1953">
        <v>9156.0416999999998</v>
      </c>
      <c r="E1953">
        <v>8281.3251999999993</v>
      </c>
      <c r="F1953" s="6">
        <v>-9.5534350831975812E-2</v>
      </c>
    </row>
    <row r="1954" spans="2:6">
      <c r="B1954" t="s">
        <v>2357</v>
      </c>
      <c r="C1954" t="s">
        <v>2300</v>
      </c>
      <c r="D1954">
        <v>9655.0387218428041</v>
      </c>
      <c r="E1954">
        <v>8277.3522215791127</v>
      </c>
      <c r="F1954" s="6">
        <v>-0.14269093474963712</v>
      </c>
    </row>
    <row r="1955" spans="2:6">
      <c r="B1955" t="s">
        <v>1974</v>
      </c>
      <c r="C1955" t="s">
        <v>1973</v>
      </c>
      <c r="D1955">
        <v>13909.121966317311</v>
      </c>
      <c r="E1955">
        <v>8270.9476627569511</v>
      </c>
      <c r="F1955" s="6">
        <v>-0.40535803174448448</v>
      </c>
    </row>
    <row r="1956" spans="2:6">
      <c r="B1956" t="s">
        <v>2757</v>
      </c>
      <c r="C1956" t="s">
        <v>2380</v>
      </c>
      <c r="D1956">
        <v>5999.2379000000001</v>
      </c>
      <c r="E1956">
        <v>8268.0408000000007</v>
      </c>
      <c r="F1956" s="6">
        <v>0.37818185206490984</v>
      </c>
    </row>
    <row r="1957" spans="2:6">
      <c r="B1957" t="s">
        <v>3090</v>
      </c>
      <c r="C1957" t="s">
        <v>2927</v>
      </c>
      <c r="D1957">
        <v>2448.0691999999999</v>
      </c>
      <c r="E1957">
        <v>8256.7925593142827</v>
      </c>
      <c r="F1957" s="6">
        <v>2.3727774359132834</v>
      </c>
    </row>
    <row r="1958" spans="2:6">
      <c r="B1958" t="s">
        <v>1536</v>
      </c>
      <c r="C1958" t="s">
        <v>1535</v>
      </c>
      <c r="D1958">
        <v>10254.318202855213</v>
      </c>
      <c r="E1958">
        <v>8253.2953963134605</v>
      </c>
      <c r="F1958" s="6">
        <v>-0.19513952726614114</v>
      </c>
    </row>
    <row r="1959" spans="2:6">
      <c r="B1959" t="s">
        <v>2412</v>
      </c>
      <c r="C1959" t="s">
        <v>2413</v>
      </c>
      <c r="D1959">
        <v>18402.537976028041</v>
      </c>
      <c r="E1959">
        <v>8233.5850727264024</v>
      </c>
      <c r="F1959" s="6">
        <v>-0.55258426400468053</v>
      </c>
    </row>
    <row r="1960" spans="2:6">
      <c r="B1960" t="s">
        <v>2199</v>
      </c>
      <c r="C1960" t="s">
        <v>2198</v>
      </c>
      <c r="D1960">
        <v>63273.715610190971</v>
      </c>
      <c r="E1960">
        <v>8221.7291000000005</v>
      </c>
      <c r="F1960" s="6">
        <v>-0.87009999999999998</v>
      </c>
    </row>
    <row r="1961" spans="2:6">
      <c r="B1961" t="s">
        <v>2328</v>
      </c>
      <c r="C1961" t="s">
        <v>2329</v>
      </c>
      <c r="D1961">
        <v>28696.735483305307</v>
      </c>
      <c r="E1961">
        <v>8218.4022064981509</v>
      </c>
      <c r="F1961" s="6">
        <v>-0.71361194686136642</v>
      </c>
    </row>
    <row r="1962" spans="2:6">
      <c r="B1962" t="s">
        <v>878</v>
      </c>
      <c r="C1962" t="s">
        <v>877</v>
      </c>
      <c r="D1962">
        <v>4546.6000885949352</v>
      </c>
      <c r="E1962">
        <v>8211.2685999999994</v>
      </c>
      <c r="F1962" s="6">
        <v>0.80600000000000005</v>
      </c>
    </row>
    <row r="1963" spans="2:6">
      <c r="B1963" t="s">
        <v>1730</v>
      </c>
      <c r="C1963" t="s">
        <v>1729</v>
      </c>
      <c r="D1963">
        <v>8799.4496207296997</v>
      </c>
      <c r="E1963">
        <v>8205.5176695236805</v>
      </c>
      <c r="F1963" s="6">
        <v>-6.7496488622065365E-2</v>
      </c>
    </row>
    <row r="1964" spans="2:6">
      <c r="B1964" t="s">
        <v>1755</v>
      </c>
      <c r="C1964" t="s">
        <v>1754</v>
      </c>
      <c r="D1964">
        <v>26030.580545308439</v>
      </c>
      <c r="E1964">
        <v>8204.7001299641215</v>
      </c>
      <c r="F1964" s="6">
        <v>-0.68480533441491476</v>
      </c>
    </row>
    <row r="1965" spans="2:6">
      <c r="B1965" t="s">
        <v>2193</v>
      </c>
      <c r="C1965" t="s">
        <v>2192</v>
      </c>
      <c r="D1965">
        <v>44764.540947745161</v>
      </c>
      <c r="E1965">
        <v>8202.610057851236</v>
      </c>
      <c r="F1965" s="6">
        <v>-0.81676099242419664</v>
      </c>
    </row>
    <row r="1966" spans="2:6">
      <c r="B1966" t="s">
        <v>1362</v>
      </c>
      <c r="C1966" t="s">
        <v>1361</v>
      </c>
      <c r="D1966">
        <v>5815.7076999999999</v>
      </c>
      <c r="E1966">
        <v>8187.8955333515278</v>
      </c>
      <c r="F1966" s="6">
        <v>0.40789323599456817</v>
      </c>
    </row>
    <row r="1967" spans="2:6">
      <c r="B1967" t="s">
        <v>1830</v>
      </c>
      <c r="C1967" t="s">
        <v>1829</v>
      </c>
      <c r="D1967">
        <v>12479.7521</v>
      </c>
      <c r="E1967">
        <v>8175.6220999999996</v>
      </c>
      <c r="F1967" s="6">
        <v>-0.34488906233962768</v>
      </c>
    </row>
    <row r="1968" spans="2:6">
      <c r="B1968" t="s">
        <v>3139</v>
      </c>
      <c r="C1968" t="s">
        <v>3140</v>
      </c>
      <c r="D1968">
        <v>3869.5077000000001</v>
      </c>
      <c r="E1968">
        <v>8172.1356737733831</v>
      </c>
      <c r="F1968" s="6">
        <v>1.1119316221475364</v>
      </c>
    </row>
    <row r="1969" spans="2:6">
      <c r="B1969" t="s">
        <v>2055</v>
      </c>
      <c r="C1969" t="s">
        <v>2054</v>
      </c>
      <c r="D1969">
        <v>15116.431013827794</v>
      </c>
      <c r="E1969">
        <v>8165.5373760754592</v>
      </c>
      <c r="F1969" s="6">
        <v>-0.45982372634082658</v>
      </c>
    </row>
    <row r="1970" spans="2:6">
      <c r="B1970" t="s">
        <v>1526</v>
      </c>
      <c r="C1970" t="s">
        <v>1525</v>
      </c>
      <c r="D1970">
        <v>9086.5573000000004</v>
      </c>
      <c r="E1970">
        <v>8165.2888000000003</v>
      </c>
      <c r="F1970" s="6">
        <v>-0.1013880691645449</v>
      </c>
    </row>
    <row r="1971" spans="2:6">
      <c r="B1971" t="s">
        <v>1286</v>
      </c>
      <c r="C1971" t="s">
        <v>1285</v>
      </c>
      <c r="D1971">
        <v>5137.3334698804965</v>
      </c>
      <c r="E1971">
        <v>8155.2249000000002</v>
      </c>
      <c r="F1971" s="6">
        <v>0.58740000000000003</v>
      </c>
    </row>
    <row r="1972" spans="2:6">
      <c r="B1972" t="s">
        <v>2568</v>
      </c>
      <c r="C1972" t="s">
        <v>2569</v>
      </c>
      <c r="D1972">
        <v>10789.855860610256</v>
      </c>
      <c r="E1972">
        <v>8109.7333670800372</v>
      </c>
      <c r="F1972" s="6">
        <v>-0.248392798583561</v>
      </c>
    </row>
    <row r="1973" spans="2:6">
      <c r="B1973" t="s">
        <v>1850</v>
      </c>
      <c r="C1973" t="s">
        <v>1849</v>
      </c>
      <c r="D1973">
        <v>12218.283254431273</v>
      </c>
      <c r="E1973">
        <v>8104.0703999999996</v>
      </c>
      <c r="F1973" s="6">
        <v>-0.3367</v>
      </c>
    </row>
    <row r="1974" spans="2:6">
      <c r="B1974" t="s">
        <v>1483</v>
      </c>
      <c r="C1974" t="s">
        <v>1482</v>
      </c>
      <c r="D1974">
        <v>4219.1929</v>
      </c>
      <c r="E1974">
        <v>8100.4381000000003</v>
      </c>
      <c r="F1974" s="6">
        <v>0.91990228747303782</v>
      </c>
    </row>
    <row r="1975" spans="2:6">
      <c r="B1975" t="s">
        <v>1512</v>
      </c>
      <c r="C1975" t="s">
        <v>1511</v>
      </c>
      <c r="D1975">
        <v>7933.5775775392685</v>
      </c>
      <c r="E1975">
        <v>8100.0924524726943</v>
      </c>
      <c r="F1975" s="6">
        <v>2.0988623771051929E-2</v>
      </c>
    </row>
    <row r="1976" spans="2:6">
      <c r="B1976" t="s">
        <v>1352</v>
      </c>
      <c r="C1976" t="s">
        <v>1351</v>
      </c>
      <c r="D1976">
        <v>6773.4296000000004</v>
      </c>
      <c r="E1976">
        <v>8098.9405999999999</v>
      </c>
      <c r="F1976" s="6">
        <v>0.19569274035120987</v>
      </c>
    </row>
    <row r="1977" spans="2:6">
      <c r="B1977" t="s">
        <v>3097</v>
      </c>
      <c r="C1977" t="s">
        <v>3098</v>
      </c>
      <c r="D1977">
        <v>712.44366242703279</v>
      </c>
      <c r="E1977">
        <v>8086.9652456973918</v>
      </c>
      <c r="F1977" s="6">
        <v>10.351024189264431</v>
      </c>
    </row>
    <row r="1978" spans="2:6">
      <c r="B1978" t="s">
        <v>1856</v>
      </c>
      <c r="C1978" t="s">
        <v>1855</v>
      </c>
      <c r="D1978">
        <v>11095.051134560215</v>
      </c>
      <c r="E1978">
        <v>8085.6430191490899</v>
      </c>
      <c r="F1978" s="6">
        <v>-0.27123877834479326</v>
      </c>
    </row>
    <row r="1979" spans="2:6">
      <c r="B1979" t="s">
        <v>2955</v>
      </c>
      <c r="C1979" t="s">
        <v>2956</v>
      </c>
      <c r="D1979">
        <v>1865.0489</v>
      </c>
      <c r="E1979">
        <v>8075.9044686223351</v>
      </c>
      <c r="F1979" s="6">
        <v>3.3301301475914844</v>
      </c>
    </row>
    <row r="1980" spans="2:6">
      <c r="B1980" t="s">
        <v>1516</v>
      </c>
      <c r="C1980" t="s">
        <v>1515</v>
      </c>
      <c r="D1980">
        <v>6662.4979839009738</v>
      </c>
      <c r="E1980">
        <v>8072.9990724421586</v>
      </c>
      <c r="F1980" s="6">
        <v>0.21170754452000895</v>
      </c>
    </row>
    <row r="1981" spans="2:6">
      <c r="B1981" t="s">
        <v>1682</v>
      </c>
      <c r="C1981" t="s">
        <v>1681</v>
      </c>
      <c r="D1981">
        <v>10440.894779732433</v>
      </c>
      <c r="E1981">
        <v>8065.2682000000004</v>
      </c>
      <c r="F1981" s="6">
        <v>-0.22750000000000001</v>
      </c>
    </row>
    <row r="1982" spans="2:6">
      <c r="B1982" t="s">
        <v>2812</v>
      </c>
      <c r="C1982" t="s">
        <v>2813</v>
      </c>
      <c r="D1982">
        <v>2431.1755610754617</v>
      </c>
      <c r="E1982">
        <v>8054.3955523813383</v>
      </c>
      <c r="F1982" s="6">
        <v>2.3129633586882443</v>
      </c>
    </row>
    <row r="1983" spans="2:6">
      <c r="B1983" t="s">
        <v>3223</v>
      </c>
      <c r="C1983" t="s">
        <v>3224</v>
      </c>
      <c r="D1983">
        <v>6911.4211237216359</v>
      </c>
      <c r="E1983">
        <v>8053.0678986112353</v>
      </c>
      <c r="F1983" s="6">
        <v>0.16518263819450918</v>
      </c>
    </row>
    <row r="1984" spans="2:6">
      <c r="B1984" t="s">
        <v>3310</v>
      </c>
      <c r="C1984" t="s">
        <v>3311</v>
      </c>
      <c r="D1984">
        <v>859.72687410619301</v>
      </c>
      <c r="E1984">
        <v>8046.1588000000002</v>
      </c>
      <c r="F1984" s="6">
        <v>8.359</v>
      </c>
    </row>
    <row r="1985" spans="2:6">
      <c r="B1985" t="s">
        <v>1312</v>
      </c>
      <c r="C1985" t="s">
        <v>1311</v>
      </c>
      <c r="D1985">
        <v>7426.3590999999997</v>
      </c>
      <c r="E1985">
        <v>8032.0465999999997</v>
      </c>
      <c r="F1985" s="6">
        <v>8.1559145180577053E-2</v>
      </c>
    </row>
    <row r="1986" spans="2:6">
      <c r="B1986" t="s">
        <v>2430</v>
      </c>
      <c r="C1986" t="s">
        <v>2431</v>
      </c>
      <c r="D1986">
        <v>91.553300474517528</v>
      </c>
      <c r="E1986">
        <v>8026.2563</v>
      </c>
      <c r="F1986" s="6">
        <v>86.667599999999993</v>
      </c>
    </row>
    <row r="1987" spans="2:6">
      <c r="B1987" t="s">
        <v>2787</v>
      </c>
      <c r="C1987" t="s">
        <v>2788</v>
      </c>
      <c r="D1987">
        <v>7155.2826391338167</v>
      </c>
      <c r="E1987">
        <v>8016.8994000000002</v>
      </c>
      <c r="F1987" s="6">
        <v>0.12039999999999999</v>
      </c>
    </row>
    <row r="1988" spans="2:6">
      <c r="B1988" t="s">
        <v>1213</v>
      </c>
      <c r="C1988" t="s">
        <v>1212</v>
      </c>
      <c r="D1988">
        <v>5137.73905841341</v>
      </c>
      <c r="E1988">
        <v>8016.4232768698548</v>
      </c>
      <c r="F1988" s="6">
        <v>0.56030175641995594</v>
      </c>
    </row>
    <row r="1989" spans="2:6">
      <c r="B1989" t="s">
        <v>1684</v>
      </c>
      <c r="C1989" t="s">
        <v>1683</v>
      </c>
      <c r="D1989">
        <v>11177.868811861988</v>
      </c>
      <c r="E1989">
        <v>8015.8091999999997</v>
      </c>
      <c r="F1989" s="6">
        <v>-0.28289999999999998</v>
      </c>
    </row>
    <row r="1990" spans="2:6">
      <c r="B1990" t="s">
        <v>1822</v>
      </c>
      <c r="C1990" t="s">
        <v>1821</v>
      </c>
      <c r="D1990">
        <v>9286.4953999999998</v>
      </c>
      <c r="E1990">
        <v>8012.9076228193826</v>
      </c>
      <c r="F1990" s="6">
        <v>-0.13714407021411079</v>
      </c>
    </row>
    <row r="1991" spans="2:6">
      <c r="B1991" t="s">
        <v>1586</v>
      </c>
      <c r="C1991" t="s">
        <v>1585</v>
      </c>
      <c r="D1991">
        <v>5873.1706902447868</v>
      </c>
      <c r="E1991">
        <v>7998.1245324688216</v>
      </c>
      <c r="F1991" s="6">
        <v>0.361806927517625</v>
      </c>
    </row>
    <row r="1992" spans="2:6">
      <c r="B1992" t="s">
        <v>1538</v>
      </c>
      <c r="C1992" t="s">
        <v>1537</v>
      </c>
      <c r="D1992">
        <v>8197.287682527578</v>
      </c>
      <c r="E1992">
        <v>7981.6755096902107</v>
      </c>
      <c r="F1992" s="6">
        <v>-2.6302867629855453E-2</v>
      </c>
    </row>
    <row r="1993" spans="2:6">
      <c r="B1993" t="s">
        <v>2170</v>
      </c>
      <c r="C1993" t="s">
        <v>2169</v>
      </c>
      <c r="D1993">
        <v>24137.633907055537</v>
      </c>
      <c r="E1993">
        <v>7976.5128000000004</v>
      </c>
      <c r="F1993" s="6">
        <v>-0.66949999999999998</v>
      </c>
    </row>
    <row r="1994" spans="2:6">
      <c r="B1994" t="s">
        <v>1978</v>
      </c>
      <c r="C1994" t="s">
        <v>1977</v>
      </c>
      <c r="D1994">
        <v>12054.759945016925</v>
      </c>
      <c r="E1994">
        <v>7964.5151119251723</v>
      </c>
      <c r="F1994" s="6">
        <v>-0.33930537412174155</v>
      </c>
    </row>
    <row r="1995" spans="2:6">
      <c r="B1995" t="s">
        <v>3143</v>
      </c>
      <c r="C1995" t="s">
        <v>3144</v>
      </c>
      <c r="D1995">
        <v>460.94959999999998</v>
      </c>
      <c r="E1995">
        <v>7960.0700999999999</v>
      </c>
      <c r="F1995" s="6">
        <v>16.268851301747524</v>
      </c>
    </row>
    <row r="1996" spans="2:6">
      <c r="B1996" t="s">
        <v>1574</v>
      </c>
      <c r="C1996" t="s">
        <v>1573</v>
      </c>
      <c r="D1996">
        <v>11275.7706</v>
      </c>
      <c r="E1996">
        <v>7959.7422807374842</v>
      </c>
      <c r="F1996" s="6">
        <v>-0.29408440778872491</v>
      </c>
    </row>
    <row r="1997" spans="2:6">
      <c r="B1997" t="s">
        <v>2969</v>
      </c>
      <c r="C1997" t="s">
        <v>2331</v>
      </c>
      <c r="D1997">
        <v>5147.5120706974694</v>
      </c>
      <c r="E1997">
        <v>7951.1424540234066</v>
      </c>
      <c r="F1997" s="6">
        <v>0.54465736938933595</v>
      </c>
    </row>
    <row r="1998" spans="2:6">
      <c r="B1998" t="s">
        <v>2358</v>
      </c>
      <c r="C1998" t="s">
        <v>2359</v>
      </c>
      <c r="D1998">
        <v>27920.123713231427</v>
      </c>
      <c r="E1998">
        <v>7948.0456999999997</v>
      </c>
      <c r="F1998" s="6">
        <v>-0.71530000000000005</v>
      </c>
    </row>
    <row r="1999" spans="2:6">
      <c r="B1999" t="s">
        <v>1215</v>
      </c>
      <c r="C1999" t="s">
        <v>1214</v>
      </c>
      <c r="D1999">
        <v>2809.2193000000002</v>
      </c>
      <c r="E1999">
        <v>7934.1697999999997</v>
      </c>
      <c r="F1999" s="6">
        <v>1.8243326535596562</v>
      </c>
    </row>
    <row r="2000" spans="2:6">
      <c r="B2000" t="s">
        <v>1748</v>
      </c>
      <c r="C2000" t="s">
        <v>1747</v>
      </c>
      <c r="D2000">
        <v>13490.622548147699</v>
      </c>
      <c r="E2000">
        <v>7927.0895950534505</v>
      </c>
      <c r="F2000" s="6">
        <v>-0.41240001588052266</v>
      </c>
    </row>
    <row r="2001" spans="2:6">
      <c r="B2001" t="s">
        <v>2784</v>
      </c>
      <c r="C2001" t="s">
        <v>2785</v>
      </c>
      <c r="D2001">
        <v>6972.9835000000003</v>
      </c>
      <c r="E2001">
        <v>7925.0468000000001</v>
      </c>
      <c r="F2001" s="6">
        <v>0.13653600356289375</v>
      </c>
    </row>
    <row r="2002" spans="2:6">
      <c r="B2002" t="s">
        <v>1638</v>
      </c>
      <c r="C2002" t="s">
        <v>1637</v>
      </c>
      <c r="D2002">
        <v>7146.5962160067011</v>
      </c>
      <c r="E2002">
        <v>7895.7382967117555</v>
      </c>
      <c r="F2002" s="6">
        <v>0.10482501852100601</v>
      </c>
    </row>
    <row r="2003" spans="2:6">
      <c r="B2003" t="s">
        <v>2077</v>
      </c>
      <c r="C2003" t="s">
        <v>2076</v>
      </c>
      <c r="D2003">
        <v>13649.028212350797</v>
      </c>
      <c r="E2003">
        <v>7884.9243856863613</v>
      </c>
      <c r="F2003" s="6">
        <v>-0.42230873414479331</v>
      </c>
    </row>
    <row r="2004" spans="2:6">
      <c r="B2004" t="s">
        <v>1592</v>
      </c>
      <c r="C2004" t="s">
        <v>1591</v>
      </c>
      <c r="D2004">
        <v>8804.9226285301338</v>
      </c>
      <c r="E2004">
        <v>7867.3798763239474</v>
      </c>
      <c r="F2004" s="6">
        <v>-0.10647938565278414</v>
      </c>
    </row>
    <row r="2005" spans="2:6">
      <c r="B2005" t="s">
        <v>1818</v>
      </c>
      <c r="C2005" t="s">
        <v>1817</v>
      </c>
      <c r="D2005">
        <v>12961.290651710598</v>
      </c>
      <c r="E2005">
        <v>7862.8554482538739</v>
      </c>
      <c r="F2005" s="6">
        <v>-0.39335860451396065</v>
      </c>
    </row>
    <row r="2006" spans="2:6">
      <c r="B2006" t="s">
        <v>1734</v>
      </c>
      <c r="C2006" t="s">
        <v>1733</v>
      </c>
      <c r="D2006">
        <v>11494.611443572532</v>
      </c>
      <c r="E2006">
        <v>7852.7595000000001</v>
      </c>
      <c r="F2006" s="6">
        <v>-0.31680000000000003</v>
      </c>
    </row>
    <row r="2007" spans="2:6">
      <c r="B2007" t="s">
        <v>1530</v>
      </c>
      <c r="C2007" t="s">
        <v>1529</v>
      </c>
      <c r="D2007">
        <v>8520.1130689979436</v>
      </c>
      <c r="E2007">
        <v>7837.4676772627818</v>
      </c>
      <c r="F2007" s="6">
        <v>-8.0121635265510416E-2</v>
      </c>
    </row>
    <row r="2008" spans="2:6">
      <c r="B2008" t="s">
        <v>1126</v>
      </c>
      <c r="C2008" t="s">
        <v>1125</v>
      </c>
      <c r="D2008">
        <v>1544.9658676852432</v>
      </c>
      <c r="E2008">
        <v>7821.8035</v>
      </c>
      <c r="F2008" s="6">
        <v>4.0628000000000002</v>
      </c>
    </row>
    <row r="2009" spans="2:6">
      <c r="B2009" t="s">
        <v>2334</v>
      </c>
      <c r="C2009" t="s">
        <v>2335</v>
      </c>
      <c r="D2009">
        <v>18116.421013877411</v>
      </c>
      <c r="E2009">
        <v>7806.7639860106292</v>
      </c>
      <c r="F2009" s="6">
        <v>-0.56907802153468678</v>
      </c>
    </row>
    <row r="2010" spans="2:6">
      <c r="B2010" t="s">
        <v>2414</v>
      </c>
      <c r="C2010" t="s">
        <v>2415</v>
      </c>
      <c r="D2010">
        <v>17001.562358925632</v>
      </c>
      <c r="E2010">
        <v>7793.8435263421943</v>
      </c>
      <c r="F2010" s="6">
        <v>-0.54158074641590148</v>
      </c>
    </row>
    <row r="2011" spans="2:6">
      <c r="B2011" t="s">
        <v>2740</v>
      </c>
      <c r="C2011" t="s">
        <v>2741</v>
      </c>
      <c r="D2011">
        <v>6101.0523000000003</v>
      </c>
      <c r="E2011">
        <v>7751.8357999999998</v>
      </c>
      <c r="F2011" s="6">
        <v>0.27057356974304247</v>
      </c>
    </row>
    <row r="2012" spans="2:6">
      <c r="B2012" t="s">
        <v>2731</v>
      </c>
      <c r="C2012" t="s">
        <v>2425</v>
      </c>
      <c r="D2012">
        <v>9528.3726999999999</v>
      </c>
      <c r="E2012">
        <v>7746.5692100096676</v>
      </c>
      <c r="F2012" s="6">
        <v>-0.18699976859535861</v>
      </c>
    </row>
    <row r="2013" spans="2:6">
      <c r="B2013" t="s">
        <v>928</v>
      </c>
      <c r="C2013" t="s">
        <v>927</v>
      </c>
      <c r="D2013">
        <v>685.77200000000005</v>
      </c>
      <c r="E2013">
        <v>7742.0261</v>
      </c>
      <c r="F2013" s="6">
        <v>10.289504529202125</v>
      </c>
    </row>
    <row r="2014" spans="2:6">
      <c r="B2014" t="s">
        <v>3211</v>
      </c>
      <c r="C2014" t="s">
        <v>3212</v>
      </c>
      <c r="D2014">
        <v>1410.4765</v>
      </c>
      <c r="E2014">
        <v>7734.3085129514984</v>
      </c>
      <c r="F2014" s="6">
        <v>4.4834720840450011</v>
      </c>
    </row>
    <row r="2015" spans="2:6">
      <c r="B2015" t="s">
        <v>1874</v>
      </c>
      <c r="C2015" t="s">
        <v>1873</v>
      </c>
      <c r="D2015">
        <v>12361.171774019045</v>
      </c>
      <c r="E2015">
        <v>7732.049443486163</v>
      </c>
      <c r="F2015" s="6">
        <v>-0.37448895745162791</v>
      </c>
    </row>
    <row r="2016" spans="2:6">
      <c r="B2016" t="s">
        <v>1360</v>
      </c>
      <c r="C2016" t="s">
        <v>1359</v>
      </c>
      <c r="D2016">
        <v>4703.5887627682769</v>
      </c>
      <c r="E2016">
        <v>7724.5455961093585</v>
      </c>
      <c r="F2016" s="6">
        <v>0.64226635994493497</v>
      </c>
    </row>
    <row r="2017" spans="2:6">
      <c r="B2017" t="s">
        <v>1892</v>
      </c>
      <c r="C2017" t="s">
        <v>1891</v>
      </c>
      <c r="D2017">
        <v>10889.149684477572</v>
      </c>
      <c r="E2017">
        <v>7704.9896684820678</v>
      </c>
      <c r="F2017" s="6">
        <v>-0.29241585507218326</v>
      </c>
    </row>
    <row r="2018" spans="2:6">
      <c r="B2018" t="s">
        <v>1710</v>
      </c>
      <c r="C2018" t="s">
        <v>1709</v>
      </c>
      <c r="D2018">
        <v>17686.09525808668</v>
      </c>
      <c r="E2018">
        <v>7694.8052345224069</v>
      </c>
      <c r="F2018" s="6">
        <v>-0.56492345414660805</v>
      </c>
    </row>
    <row r="2019" spans="2:6">
      <c r="B2019" t="s">
        <v>509</v>
      </c>
      <c r="C2019" t="s">
        <v>508</v>
      </c>
      <c r="D2019">
        <v>1776.6867999999999</v>
      </c>
      <c r="E2019">
        <v>7683.3754244250176</v>
      </c>
      <c r="F2019" s="6">
        <v>3.324552546022753</v>
      </c>
    </row>
    <row r="2020" spans="2:6">
      <c r="B2020" t="s">
        <v>1934</v>
      </c>
      <c r="C2020" t="s">
        <v>1933</v>
      </c>
      <c r="D2020">
        <v>11633.42951592403</v>
      </c>
      <c r="E2020">
        <v>7682.9185633825882</v>
      </c>
      <c r="F2020" s="6">
        <v>-0.33958266108321</v>
      </c>
    </row>
    <row r="2021" spans="2:6">
      <c r="B2021" t="s">
        <v>1778</v>
      </c>
      <c r="C2021" t="s">
        <v>1777</v>
      </c>
      <c r="D2021">
        <v>9811.9980758912479</v>
      </c>
      <c r="E2021">
        <v>7663.5000110340425</v>
      </c>
      <c r="F2021" s="6">
        <v>-0.21896641726176169</v>
      </c>
    </row>
    <row r="2022" spans="2:6">
      <c r="B2022" t="s">
        <v>2020</v>
      </c>
      <c r="C2022" t="s">
        <v>2019</v>
      </c>
      <c r="D2022">
        <v>16248.53115520501</v>
      </c>
      <c r="E2022">
        <v>7661.3485100258067</v>
      </c>
      <c r="F2022" s="6">
        <v>-0.52848977936251229</v>
      </c>
    </row>
    <row r="2023" spans="2:6">
      <c r="B2023" t="s">
        <v>1388</v>
      </c>
      <c r="C2023" t="s">
        <v>1387</v>
      </c>
      <c r="D2023">
        <v>2302.0895</v>
      </c>
      <c r="E2023">
        <v>7661.1648961534256</v>
      </c>
      <c r="F2023" s="6">
        <v>2.3279179181145762</v>
      </c>
    </row>
    <row r="2024" spans="2:6">
      <c r="B2024" t="s">
        <v>2572</v>
      </c>
      <c r="C2024" t="s">
        <v>2573</v>
      </c>
      <c r="D2024">
        <v>15011.238991053</v>
      </c>
      <c r="E2024">
        <v>7649.8821564586597</v>
      </c>
      <c r="F2024" s="6">
        <v>-0.49038968995043364</v>
      </c>
    </row>
    <row r="2025" spans="2:6">
      <c r="B2025" t="s">
        <v>2119</v>
      </c>
      <c r="C2025" t="s">
        <v>2118</v>
      </c>
      <c r="D2025">
        <v>16852.280661443354</v>
      </c>
      <c r="E2025">
        <v>7647.5744764268102</v>
      </c>
      <c r="F2025" s="6">
        <v>-0.54619943555035622</v>
      </c>
    </row>
    <row r="2026" spans="2:6">
      <c r="B2026" t="s">
        <v>1547</v>
      </c>
      <c r="C2026" t="s">
        <v>1546</v>
      </c>
      <c r="D2026">
        <v>7709.566094869152</v>
      </c>
      <c r="E2026">
        <v>7633.3780450101694</v>
      </c>
      <c r="F2026" s="6">
        <v>-9.8822746859498212E-3</v>
      </c>
    </row>
    <row r="2027" spans="2:6">
      <c r="B2027" t="s">
        <v>1468</v>
      </c>
      <c r="C2027" t="s">
        <v>1467</v>
      </c>
      <c r="D2027">
        <v>7489.2397000000001</v>
      </c>
      <c r="E2027">
        <v>7615.1816420676905</v>
      </c>
      <c r="F2027" s="6">
        <v>1.6816385522777422E-2</v>
      </c>
    </row>
    <row r="2028" spans="2:6">
      <c r="B2028" t="s">
        <v>1368</v>
      </c>
      <c r="C2028" t="s">
        <v>1367</v>
      </c>
      <c r="D2028">
        <v>11175.424000000001</v>
      </c>
      <c r="E2028">
        <v>7610.993559350547</v>
      </c>
      <c r="F2028" s="6">
        <v>-0.31895259102915952</v>
      </c>
    </row>
    <row r="2029" spans="2:6">
      <c r="B2029" t="s">
        <v>1628</v>
      </c>
      <c r="C2029" t="s">
        <v>1627</v>
      </c>
      <c r="D2029">
        <v>7488.1818058315939</v>
      </c>
      <c r="E2029">
        <v>7609.2820854812107</v>
      </c>
      <c r="F2029" s="6">
        <v>1.6172187426767293E-2</v>
      </c>
    </row>
    <row r="2030" spans="2:6">
      <c r="B2030" t="s">
        <v>1184</v>
      </c>
      <c r="C2030" t="s">
        <v>1183</v>
      </c>
      <c r="D2030">
        <v>4705.157776704933</v>
      </c>
      <c r="E2030">
        <v>7584.3625254427661</v>
      </c>
      <c r="F2030" s="6">
        <v>0.61192522873359789</v>
      </c>
    </row>
    <row r="2031" spans="2:6">
      <c r="B2031" t="s">
        <v>3120</v>
      </c>
      <c r="C2031" t="s">
        <v>3121</v>
      </c>
      <c r="D2031">
        <v>2834.7305000000001</v>
      </c>
      <c r="E2031">
        <v>7583.0343299038686</v>
      </c>
      <c r="F2031" s="6">
        <v>1.6750459452508335</v>
      </c>
    </row>
    <row r="2032" spans="2:6">
      <c r="B2032" t="s">
        <v>1366</v>
      </c>
      <c r="C2032" t="s">
        <v>1365</v>
      </c>
      <c r="D2032">
        <v>10258.9663</v>
      </c>
      <c r="E2032">
        <v>7576.0947999999999</v>
      </c>
      <c r="F2032" s="6">
        <v>-0.26151479803574362</v>
      </c>
    </row>
    <row r="2033" spans="2:6">
      <c r="B2033" t="s">
        <v>1074</v>
      </c>
      <c r="C2033" t="s">
        <v>1073</v>
      </c>
      <c r="D2033">
        <v>500.30180000000001</v>
      </c>
      <c r="E2033">
        <v>7568.0693000000001</v>
      </c>
      <c r="F2033" s="6">
        <v>14.127007938008617</v>
      </c>
    </row>
    <row r="2034" spans="2:6">
      <c r="B2034" t="s">
        <v>2454</v>
      </c>
      <c r="C2034" t="s">
        <v>2308</v>
      </c>
      <c r="D2034">
        <v>33618.495620649024</v>
      </c>
      <c r="E2034">
        <v>7567.4336999999996</v>
      </c>
      <c r="F2034" s="6">
        <v>-0.77490000000000003</v>
      </c>
    </row>
    <row r="2035" spans="2:6">
      <c r="B2035" t="s">
        <v>2749</v>
      </c>
      <c r="C2035" t="s">
        <v>2750</v>
      </c>
      <c r="D2035">
        <v>10676.255869472296</v>
      </c>
      <c r="E2035">
        <v>7565.3199222495523</v>
      </c>
      <c r="F2035" s="6">
        <v>-0.29138829054464299</v>
      </c>
    </row>
    <row r="2036" spans="2:6">
      <c r="B2036" t="s">
        <v>1263</v>
      </c>
      <c r="C2036" t="s">
        <v>1262</v>
      </c>
      <c r="D2036">
        <v>8432.0922093745794</v>
      </c>
      <c r="E2036">
        <v>7554.3096829054384</v>
      </c>
      <c r="F2036" s="6">
        <v>-0.10410020486887528</v>
      </c>
    </row>
    <row r="2037" spans="2:6">
      <c r="B2037" t="s">
        <v>1545</v>
      </c>
      <c r="C2037" t="s">
        <v>1544</v>
      </c>
      <c r="D2037">
        <v>3586.8711908876603</v>
      </c>
      <c r="E2037">
        <v>7540.3395</v>
      </c>
      <c r="F2037" s="6">
        <v>1.1022000000000001</v>
      </c>
    </row>
    <row r="2038" spans="2:6">
      <c r="B2038" t="s">
        <v>2774</v>
      </c>
      <c r="C2038" t="s">
        <v>2300</v>
      </c>
      <c r="D2038">
        <v>6872.3503000000001</v>
      </c>
      <c r="E2038">
        <v>7526.0889615509532</v>
      </c>
      <c r="F2038" s="6">
        <v>9.5125922430198795E-2</v>
      </c>
    </row>
    <row r="2039" spans="2:6">
      <c r="B2039" t="s">
        <v>1716</v>
      </c>
      <c r="C2039" t="s">
        <v>1715</v>
      </c>
      <c r="D2039">
        <v>9522.1057568861124</v>
      </c>
      <c r="E2039">
        <v>7497.3603999999996</v>
      </c>
      <c r="F2039" s="6">
        <v>-0.21260000000000001</v>
      </c>
    </row>
    <row r="2040" spans="2:6">
      <c r="B2040" t="s">
        <v>3048</v>
      </c>
      <c r="C2040" t="s">
        <v>3049</v>
      </c>
      <c r="D2040">
        <v>235.67401836838826</v>
      </c>
      <c r="E2040">
        <v>7494.1335187158429</v>
      </c>
      <c r="F2040" s="6">
        <v>30.798725929141522</v>
      </c>
    </row>
    <row r="2041" spans="2:6">
      <c r="B2041" t="s">
        <v>1788</v>
      </c>
      <c r="C2041" t="s">
        <v>1787</v>
      </c>
      <c r="D2041">
        <v>7218.3451559078321</v>
      </c>
      <c r="E2041">
        <v>7479.5404698870952</v>
      </c>
      <c r="F2041" s="6">
        <v>3.6184929971863289E-2</v>
      </c>
    </row>
    <row r="2042" spans="2:6">
      <c r="B2042" t="s">
        <v>1528</v>
      </c>
      <c r="C2042" t="s">
        <v>1527</v>
      </c>
      <c r="D2042">
        <v>8838.2748662617851</v>
      </c>
      <c r="E2042">
        <v>7462.6896356261286</v>
      </c>
      <c r="F2042" s="6">
        <v>-0.15563956218273511</v>
      </c>
    </row>
    <row r="2043" spans="2:6">
      <c r="B2043" t="s">
        <v>1018</v>
      </c>
      <c r="C2043" t="s">
        <v>1017</v>
      </c>
      <c r="D2043">
        <v>3357.2523052384308</v>
      </c>
      <c r="E2043">
        <v>7461.4272000000001</v>
      </c>
      <c r="F2043" s="6">
        <v>1.2224999999999999</v>
      </c>
    </row>
    <row r="2044" spans="2:6">
      <c r="B2044" t="s">
        <v>2500</v>
      </c>
      <c r="C2044" t="s">
        <v>2501</v>
      </c>
      <c r="D2044">
        <v>9801.4490000000005</v>
      </c>
      <c r="E2044">
        <v>7457.0582000000004</v>
      </c>
      <c r="F2044" s="6">
        <v>-0.23918818533871877</v>
      </c>
    </row>
    <row r="2045" spans="2:6">
      <c r="B2045" t="s">
        <v>3054</v>
      </c>
      <c r="C2045" t="s">
        <v>3055</v>
      </c>
      <c r="D2045">
        <v>3070.8112000000001</v>
      </c>
      <c r="E2045">
        <v>7450.6143000000002</v>
      </c>
      <c r="F2045" s="6">
        <v>1.4262690913723381</v>
      </c>
    </row>
    <row r="2046" spans="2:6">
      <c r="B2046" t="s">
        <v>1742</v>
      </c>
      <c r="C2046" t="s">
        <v>1741</v>
      </c>
      <c r="D2046">
        <v>13283.692242405452</v>
      </c>
      <c r="E2046">
        <v>7450.0367138556421</v>
      </c>
      <c r="F2046" s="6">
        <v>-0.4391591902383184</v>
      </c>
    </row>
    <row r="2047" spans="2:6">
      <c r="B2047" t="s">
        <v>1350</v>
      </c>
      <c r="C2047" t="s">
        <v>1349</v>
      </c>
      <c r="D2047">
        <v>7240.7846279795749</v>
      </c>
      <c r="E2047">
        <v>7437.1598000000004</v>
      </c>
      <c r="F2047" s="6">
        <v>2.7099999999999999E-2</v>
      </c>
    </row>
    <row r="2048" spans="2:6">
      <c r="B2048" t="s">
        <v>1346</v>
      </c>
      <c r="C2048" t="s">
        <v>1345</v>
      </c>
      <c r="D2048">
        <v>4537.3999084240659</v>
      </c>
      <c r="E2048">
        <v>7434.8123999999998</v>
      </c>
      <c r="F2048" s="6">
        <v>0.63859999999999995</v>
      </c>
    </row>
    <row r="2049" spans="2:6">
      <c r="B2049" t="s">
        <v>2847</v>
      </c>
      <c r="C2049" t="s">
        <v>2848</v>
      </c>
      <c r="D2049">
        <v>3326.9031897484811</v>
      </c>
      <c r="E2049">
        <v>7433.8895000000002</v>
      </c>
      <c r="F2049" s="6">
        <v>1.2344999999999999</v>
      </c>
    </row>
    <row r="2050" spans="2:6">
      <c r="B2050" t="s">
        <v>2502</v>
      </c>
      <c r="C2050" t="s">
        <v>2503</v>
      </c>
      <c r="D2050">
        <v>23918.280659614356</v>
      </c>
      <c r="E2050">
        <v>7417.9260800027896</v>
      </c>
      <c r="F2050" s="6">
        <v>-0.68986374122919958</v>
      </c>
    </row>
    <row r="2051" spans="2:6">
      <c r="B2051" t="s">
        <v>1866</v>
      </c>
      <c r="C2051" t="s">
        <v>1865</v>
      </c>
      <c r="D2051">
        <v>12759.427802313419</v>
      </c>
      <c r="E2051">
        <v>7411.6125000000002</v>
      </c>
      <c r="F2051" s="6">
        <v>-0.41909999999999997</v>
      </c>
    </row>
    <row r="2052" spans="2:6">
      <c r="B2052" t="s">
        <v>2517</v>
      </c>
      <c r="C2052" t="s">
        <v>2518</v>
      </c>
      <c r="D2052">
        <v>18860.7021148118</v>
      </c>
      <c r="E2052">
        <v>7406.4670304824731</v>
      </c>
      <c r="F2052" s="6">
        <v>-0.60730692922264107</v>
      </c>
    </row>
    <row r="2053" spans="2:6">
      <c r="B2053" t="s">
        <v>2821</v>
      </c>
      <c r="C2053" t="s">
        <v>2822</v>
      </c>
      <c r="D2053">
        <v>10700.9604</v>
      </c>
      <c r="E2053">
        <v>7390.9668000000001</v>
      </c>
      <c r="F2053" s="6">
        <v>-0.30931743285397073</v>
      </c>
    </row>
    <row r="2054" spans="2:6">
      <c r="B2054" t="s">
        <v>1324</v>
      </c>
      <c r="C2054" t="s">
        <v>1323</v>
      </c>
      <c r="D2054">
        <v>6224.3233402185397</v>
      </c>
      <c r="E2054">
        <v>7365.3504680184051</v>
      </c>
      <c r="F2054" s="6">
        <v>0.18331745724504778</v>
      </c>
    </row>
    <row r="2055" spans="2:6">
      <c r="B2055" t="s">
        <v>3046</v>
      </c>
      <c r="C2055" t="s">
        <v>3047</v>
      </c>
      <c r="D2055">
        <v>2364.6242999999999</v>
      </c>
      <c r="E2055">
        <v>7355.2420747722481</v>
      </c>
      <c r="F2055" s="6">
        <v>2.1105330664039306</v>
      </c>
    </row>
    <row r="2056" spans="2:6">
      <c r="B2056" t="s">
        <v>1924</v>
      </c>
      <c r="C2056" t="s">
        <v>1923</v>
      </c>
      <c r="D2056">
        <v>16280.245340419813</v>
      </c>
      <c r="E2056">
        <v>7350.5622911026967</v>
      </c>
      <c r="F2056" s="6">
        <v>-0.54849806391718969</v>
      </c>
    </row>
    <row r="2057" spans="2:6">
      <c r="B2057" t="s">
        <v>619</v>
      </c>
      <c r="C2057" t="s">
        <v>618</v>
      </c>
      <c r="D2057">
        <v>785.74400000000003</v>
      </c>
      <c r="E2057">
        <v>7333.1008000000002</v>
      </c>
      <c r="F2057" s="6">
        <v>8.3326844366613049</v>
      </c>
    </row>
    <row r="2058" spans="2:6">
      <c r="B2058" t="s">
        <v>437</v>
      </c>
      <c r="C2058" t="s">
        <v>436</v>
      </c>
      <c r="D2058">
        <v>396.18189999999998</v>
      </c>
      <c r="E2058">
        <v>7326.9521000000004</v>
      </c>
      <c r="F2058" s="6">
        <v>17.493909237145868</v>
      </c>
    </row>
    <row r="2059" spans="2:6">
      <c r="B2059" t="s">
        <v>1810</v>
      </c>
      <c r="C2059" t="s">
        <v>1809</v>
      </c>
      <c r="D2059">
        <v>12609.752423031847</v>
      </c>
      <c r="E2059">
        <v>7310.6281157674402</v>
      </c>
      <c r="F2059" s="6">
        <v>-0.42024015456366137</v>
      </c>
    </row>
    <row r="2060" spans="2:6">
      <c r="B2060" t="s">
        <v>1265</v>
      </c>
      <c r="C2060" t="s">
        <v>1264</v>
      </c>
      <c r="D2060">
        <v>6467.2265882791035</v>
      </c>
      <c r="E2060">
        <v>7307.6805005455626</v>
      </c>
      <c r="F2060" s="6">
        <v>0.12995584750187317</v>
      </c>
    </row>
    <row r="2061" spans="2:6">
      <c r="B2061" t="s">
        <v>1192</v>
      </c>
      <c r="C2061" t="s">
        <v>1191</v>
      </c>
      <c r="D2061">
        <v>5315.0781514516857</v>
      </c>
      <c r="E2061">
        <v>7305.8094644604907</v>
      </c>
      <c r="F2061" s="6">
        <v>0.3745441282862576</v>
      </c>
    </row>
    <row r="2062" spans="2:6">
      <c r="B2062" t="s">
        <v>3488</v>
      </c>
      <c r="C2062" t="s">
        <v>3489</v>
      </c>
      <c r="D2062">
        <v>964.11350000000004</v>
      </c>
      <c r="E2062">
        <v>7299.7143590153592</v>
      </c>
      <c r="F2062" s="6">
        <v>6.5714263507516062</v>
      </c>
    </row>
    <row r="2063" spans="2:6">
      <c r="B2063" t="s">
        <v>1616</v>
      </c>
      <c r="C2063" t="s">
        <v>1615</v>
      </c>
      <c r="D2063">
        <v>9503.0275629638527</v>
      </c>
      <c r="E2063">
        <v>7297.559424139773</v>
      </c>
      <c r="F2063" s="6">
        <v>-0.2320805789745839</v>
      </c>
    </row>
    <row r="2064" spans="2:6">
      <c r="B2064" t="s">
        <v>758</v>
      </c>
      <c r="C2064" t="s">
        <v>757</v>
      </c>
      <c r="D2064">
        <v>2030.0179000000001</v>
      </c>
      <c r="E2064">
        <v>7297.5482217832259</v>
      </c>
      <c r="F2064" s="6">
        <v>2.5948196426165628</v>
      </c>
    </row>
    <row r="2065" spans="2:6">
      <c r="B2065" t="s">
        <v>2661</v>
      </c>
      <c r="C2065" t="s">
        <v>2662</v>
      </c>
      <c r="D2065">
        <v>3536.8058999999998</v>
      </c>
      <c r="E2065">
        <v>7284.848</v>
      </c>
      <c r="F2065" s="6">
        <v>1.0597251322160486</v>
      </c>
    </row>
    <row r="2066" spans="2:6">
      <c r="B2066" t="s">
        <v>1284</v>
      </c>
      <c r="C2066" t="s">
        <v>3543</v>
      </c>
      <c r="D2066">
        <v>5935.0415000000003</v>
      </c>
      <c r="E2066">
        <v>7281.9323999999997</v>
      </c>
      <c r="F2066" s="6">
        <v>0.22693875013342368</v>
      </c>
    </row>
    <row r="2067" spans="2:6">
      <c r="B2067" t="s">
        <v>2835</v>
      </c>
      <c r="C2067" t="s">
        <v>2627</v>
      </c>
      <c r="D2067">
        <v>5769.4007475225626</v>
      </c>
      <c r="E2067">
        <v>7279.6834773904729</v>
      </c>
      <c r="F2067" s="6">
        <v>0.26177462720308364</v>
      </c>
    </row>
    <row r="2068" spans="2:6">
      <c r="B2068" t="s">
        <v>1962</v>
      </c>
      <c r="C2068" t="s">
        <v>1961</v>
      </c>
      <c r="D2068">
        <v>16916.179911377392</v>
      </c>
      <c r="E2068">
        <v>7277.6096137178429</v>
      </c>
      <c r="F2068" s="6">
        <v>-0.56978409712803368</v>
      </c>
    </row>
    <row r="2069" spans="2:6">
      <c r="B2069" t="s">
        <v>2751</v>
      </c>
      <c r="C2069" t="s">
        <v>2752</v>
      </c>
      <c r="D2069">
        <v>5870.5061999999998</v>
      </c>
      <c r="E2069">
        <v>7272.1288999999997</v>
      </c>
      <c r="F2069" s="6">
        <v>0.23875670210517796</v>
      </c>
    </row>
    <row r="2070" spans="2:6">
      <c r="B2070" t="s">
        <v>1255</v>
      </c>
      <c r="C2070" t="s">
        <v>1254</v>
      </c>
      <c r="D2070">
        <v>5408.190345944472</v>
      </c>
      <c r="E2070">
        <v>7256.8488281265791</v>
      </c>
      <c r="F2070" s="6">
        <v>0.34182570581458749</v>
      </c>
    </row>
    <row r="2071" spans="2:6">
      <c r="B2071" t="s">
        <v>2584</v>
      </c>
      <c r="C2071" t="s">
        <v>2585</v>
      </c>
      <c r="D2071">
        <v>13654.996904506474</v>
      </c>
      <c r="E2071">
        <v>7254.3480573705292</v>
      </c>
      <c r="F2071" s="6">
        <v>-0.46874040996842536</v>
      </c>
    </row>
    <row r="2072" spans="2:6">
      <c r="B2072" t="s">
        <v>2842</v>
      </c>
      <c r="C2072" t="s">
        <v>2843</v>
      </c>
      <c r="D2072">
        <v>5531.4271035509382</v>
      </c>
      <c r="E2072">
        <v>7250.4124479884549</v>
      </c>
      <c r="F2072" s="6">
        <v>0.31076706105988494</v>
      </c>
    </row>
    <row r="2073" spans="2:6">
      <c r="B2073" t="s">
        <v>2734</v>
      </c>
      <c r="C2073" t="s">
        <v>2735</v>
      </c>
      <c r="D2073">
        <v>9636.348972170128</v>
      </c>
      <c r="E2073">
        <v>7250.0053493060323</v>
      </c>
      <c r="F2073" s="6">
        <v>-0.24763980940871688</v>
      </c>
    </row>
    <row r="2074" spans="2:6">
      <c r="B2074" t="s">
        <v>2296</v>
      </c>
      <c r="C2074" t="s">
        <v>2297</v>
      </c>
      <c r="D2074">
        <v>119047.43712471043</v>
      </c>
      <c r="E2074">
        <v>7248.1056005426281</v>
      </c>
      <c r="F2074" s="6">
        <v>-0.93911581991513404</v>
      </c>
    </row>
    <row r="2075" spans="2:6">
      <c r="B2075" t="s">
        <v>1698</v>
      </c>
      <c r="C2075" t="s">
        <v>1697</v>
      </c>
      <c r="D2075">
        <v>6147.6287486118263</v>
      </c>
      <c r="E2075">
        <v>7242.9178000000002</v>
      </c>
      <c r="F2075" s="6">
        <v>0.1782</v>
      </c>
    </row>
    <row r="2076" spans="2:6">
      <c r="B2076" t="s">
        <v>2344</v>
      </c>
      <c r="C2076" t="s">
        <v>2345</v>
      </c>
      <c r="D2076">
        <v>59552.636585767134</v>
      </c>
      <c r="E2076">
        <v>7240.5363576434265</v>
      </c>
      <c r="F2076" s="6">
        <v>-0.87841787076520661</v>
      </c>
    </row>
    <row r="2077" spans="2:6">
      <c r="B2077" t="s">
        <v>1726</v>
      </c>
      <c r="C2077" t="s">
        <v>1725</v>
      </c>
      <c r="D2077">
        <v>9613.7622150225488</v>
      </c>
      <c r="E2077">
        <v>7233.886236175329</v>
      </c>
      <c r="F2077" s="6">
        <v>-0.24754887063135433</v>
      </c>
    </row>
    <row r="2078" spans="2:6">
      <c r="B2078" t="s">
        <v>1292</v>
      </c>
      <c r="C2078" t="s">
        <v>1291</v>
      </c>
      <c r="D2078">
        <v>3135.4085807177403</v>
      </c>
      <c r="E2078">
        <v>7229.2484000000004</v>
      </c>
      <c r="F2078" s="6">
        <v>1.3057000000000001</v>
      </c>
    </row>
    <row r="2079" spans="2:6">
      <c r="B2079" t="s">
        <v>1444</v>
      </c>
      <c r="C2079" t="s">
        <v>1443</v>
      </c>
      <c r="D2079">
        <v>7512.7957993273594</v>
      </c>
      <c r="E2079">
        <v>7224.0125817448707</v>
      </c>
      <c r="F2079" s="6">
        <v>-3.8438848239205958E-2</v>
      </c>
    </row>
    <row r="2080" spans="2:6">
      <c r="B2080" t="s">
        <v>2925</v>
      </c>
      <c r="C2080" t="s">
        <v>2926</v>
      </c>
      <c r="D2080">
        <v>4462.1373070501859</v>
      </c>
      <c r="E2080">
        <v>7213.8968709116834</v>
      </c>
      <c r="F2080" s="6">
        <v>0.61669092062983188</v>
      </c>
    </row>
    <row r="2081" spans="2:6">
      <c r="B2081" t="s">
        <v>1132</v>
      </c>
      <c r="C2081" t="s">
        <v>1131</v>
      </c>
      <c r="D2081">
        <v>3921.2046014185466</v>
      </c>
      <c r="E2081">
        <v>7209.8565788274918</v>
      </c>
      <c r="F2081" s="6">
        <v>0.8386841064654551</v>
      </c>
    </row>
    <row r="2082" spans="2:6">
      <c r="B2082" t="s">
        <v>2893</v>
      </c>
      <c r="C2082" t="s">
        <v>2894</v>
      </c>
      <c r="D2082">
        <v>7709.3419057052897</v>
      </c>
      <c r="E2082">
        <v>7209.8082999999997</v>
      </c>
      <c r="F2082" s="6">
        <v>-6.4799999999999996E-2</v>
      </c>
    </row>
    <row r="2083" spans="2:6">
      <c r="B2083" t="s">
        <v>818</v>
      </c>
      <c r="C2083" t="s">
        <v>817</v>
      </c>
      <c r="D2083">
        <v>2916.4102133272299</v>
      </c>
      <c r="E2083">
        <v>7202.1787749253817</v>
      </c>
      <c r="F2083" s="6">
        <v>1.4695355756242088</v>
      </c>
    </row>
    <row r="2084" spans="2:6">
      <c r="B2084" t="s">
        <v>1674</v>
      </c>
      <c r="C2084" t="s">
        <v>1673</v>
      </c>
      <c r="D2084">
        <v>6208.7647396821303</v>
      </c>
      <c r="E2084">
        <v>7199.1557894166181</v>
      </c>
      <c r="F2084" s="6">
        <v>0.159514990704124</v>
      </c>
    </row>
    <row r="2085" spans="2:6">
      <c r="B2085" t="s">
        <v>2690</v>
      </c>
      <c r="C2085" t="s">
        <v>2691</v>
      </c>
      <c r="D2085">
        <v>9924.2943545884755</v>
      </c>
      <c r="E2085">
        <v>7195.4748751806046</v>
      </c>
      <c r="F2085" s="6">
        <v>-0.27496357745034106</v>
      </c>
    </row>
    <row r="2086" spans="2:6">
      <c r="B2086" t="s">
        <v>2758</v>
      </c>
      <c r="C2086" t="s">
        <v>2759</v>
      </c>
      <c r="D2086">
        <v>7475.1427000000003</v>
      </c>
      <c r="E2086">
        <v>7183.7893802441631</v>
      </c>
      <c r="F2086" s="6">
        <v>-3.8976288674173021E-2</v>
      </c>
    </row>
    <row r="2087" spans="2:6">
      <c r="B2087" t="s">
        <v>972</v>
      </c>
      <c r="C2087" t="s">
        <v>971</v>
      </c>
      <c r="D2087">
        <v>1572.5751</v>
      </c>
      <c r="E2087">
        <v>7172.8178606610609</v>
      </c>
      <c r="F2087" s="6">
        <v>3.5611925692204212</v>
      </c>
    </row>
    <row r="2088" spans="2:6">
      <c r="B2088" t="s">
        <v>954</v>
      </c>
      <c r="C2088" t="s">
        <v>953</v>
      </c>
      <c r="D2088">
        <v>923.60382913195758</v>
      </c>
      <c r="E2088">
        <v>7172.2529999999997</v>
      </c>
      <c r="F2088" s="6">
        <v>6.7655000000000003</v>
      </c>
    </row>
    <row r="2089" spans="2:6">
      <c r="B2089" t="s">
        <v>1392</v>
      </c>
      <c r="C2089" t="s">
        <v>1391</v>
      </c>
      <c r="D2089">
        <v>5169.5055485261064</v>
      </c>
      <c r="E2089">
        <v>7168.0790999999999</v>
      </c>
      <c r="F2089" s="6">
        <v>0.3866</v>
      </c>
    </row>
    <row r="2090" spans="2:6">
      <c r="B2090" t="s">
        <v>2138</v>
      </c>
      <c r="C2090" t="s">
        <v>2137</v>
      </c>
      <c r="D2090">
        <v>17627.575099999998</v>
      </c>
      <c r="E2090">
        <v>7152.3168999999998</v>
      </c>
      <c r="F2090" s="6">
        <v>-0.59425406731071018</v>
      </c>
    </row>
    <row r="2091" spans="2:6">
      <c r="B2091" t="s">
        <v>2903</v>
      </c>
      <c r="C2091" t="s">
        <v>2904</v>
      </c>
      <c r="D2091">
        <v>5625.6768000000002</v>
      </c>
      <c r="E2091">
        <v>7134.7876999999999</v>
      </c>
      <c r="F2091" s="6">
        <v>0.26825410588820175</v>
      </c>
    </row>
    <row r="2092" spans="2:6">
      <c r="B2092" t="s">
        <v>1072</v>
      </c>
      <c r="C2092" t="s">
        <v>1071</v>
      </c>
      <c r="D2092">
        <v>5845.8657798514496</v>
      </c>
      <c r="E2092">
        <v>7132.9426999999996</v>
      </c>
      <c r="F2092" s="6">
        <v>0.22020000000000001</v>
      </c>
    </row>
    <row r="2093" spans="2:6">
      <c r="B2093" t="s">
        <v>1646</v>
      </c>
      <c r="C2093" t="s">
        <v>1645</v>
      </c>
      <c r="D2093">
        <v>9196.6578635811002</v>
      </c>
      <c r="E2093">
        <v>7128.0330533648694</v>
      </c>
      <c r="F2093" s="6">
        <v>-0.22493223526429262</v>
      </c>
    </row>
    <row r="2094" spans="2:6">
      <c r="B2094" t="s">
        <v>2949</v>
      </c>
      <c r="C2094" t="s">
        <v>2950</v>
      </c>
      <c r="D2094">
        <v>5306.0369046361502</v>
      </c>
      <c r="E2094">
        <v>7111.2254072855058</v>
      </c>
      <c r="F2094" s="6">
        <v>0.34021408729216951</v>
      </c>
    </row>
    <row r="2095" spans="2:6">
      <c r="B2095" t="s">
        <v>1201</v>
      </c>
      <c r="C2095" t="s">
        <v>1200</v>
      </c>
      <c r="D2095">
        <v>4783.5931</v>
      </c>
      <c r="E2095">
        <v>7088.3573264311963</v>
      </c>
      <c r="F2095" s="6">
        <v>0.4818060771998347</v>
      </c>
    </row>
    <row r="2096" spans="2:6">
      <c r="B2096" t="s">
        <v>1056</v>
      </c>
      <c r="C2096" t="s">
        <v>1055</v>
      </c>
      <c r="D2096">
        <v>2774.7064999999998</v>
      </c>
      <c r="E2096">
        <v>7088.1067000000003</v>
      </c>
      <c r="F2096" s="6">
        <v>1.5545428678672861</v>
      </c>
    </row>
    <row r="2097" spans="2:6">
      <c r="B2097" t="s">
        <v>1602</v>
      </c>
      <c r="C2097" t="s">
        <v>1601</v>
      </c>
      <c r="D2097">
        <v>7312.5461838632373</v>
      </c>
      <c r="E2097">
        <v>7080.8428999999996</v>
      </c>
      <c r="F2097" s="6">
        <v>-3.1699999999999999E-2</v>
      </c>
    </row>
    <row r="2098" spans="2:6">
      <c r="B2098" t="s">
        <v>3003</v>
      </c>
      <c r="C2098" t="s">
        <v>3004</v>
      </c>
      <c r="D2098">
        <v>7845.8527999999997</v>
      </c>
      <c r="E2098">
        <v>7068.3320000000003</v>
      </c>
      <c r="F2098" s="6">
        <v>-9.9099590550564498E-2</v>
      </c>
    </row>
    <row r="2099" spans="2:6">
      <c r="B2099" t="s">
        <v>3010</v>
      </c>
      <c r="C2099" t="s">
        <v>3011</v>
      </c>
      <c r="D2099">
        <v>1968.3259</v>
      </c>
      <c r="E2099">
        <v>7066.3999376046777</v>
      </c>
      <c r="F2099" s="6">
        <v>2.5900558630075832</v>
      </c>
    </row>
    <row r="2100" spans="2:6">
      <c r="B2100" t="s">
        <v>2726</v>
      </c>
      <c r="C2100" t="s">
        <v>2727</v>
      </c>
      <c r="D2100">
        <v>11194.348102664893</v>
      </c>
      <c r="E2100">
        <v>7038.3391773964177</v>
      </c>
      <c r="F2100" s="6">
        <v>-0.37125957556019795</v>
      </c>
    </row>
    <row r="2101" spans="2:6">
      <c r="B2101" t="s">
        <v>2965</v>
      </c>
      <c r="C2101" t="s">
        <v>2966</v>
      </c>
      <c r="D2101">
        <v>3308.7618000000002</v>
      </c>
      <c r="E2101">
        <v>7035.9926791245352</v>
      </c>
      <c r="F2101" s="6">
        <v>1.1264730145048625</v>
      </c>
    </row>
    <row r="2102" spans="2:6">
      <c r="B2102" t="s">
        <v>2410</v>
      </c>
      <c r="C2102" t="s">
        <v>2411</v>
      </c>
      <c r="D2102">
        <v>22008.689037596982</v>
      </c>
      <c r="E2102">
        <v>7032.2956497648802</v>
      </c>
      <c r="F2102" s="6">
        <v>-0.68047639558395523</v>
      </c>
    </row>
    <row r="2103" spans="2:6">
      <c r="B2103" t="s">
        <v>2298</v>
      </c>
      <c r="C2103" t="s">
        <v>2299</v>
      </c>
      <c r="D2103">
        <v>116316.41891540881</v>
      </c>
      <c r="E2103">
        <v>7028.0595026764377</v>
      </c>
      <c r="F2103" s="6">
        <v>-0.93957809595404074</v>
      </c>
    </row>
    <row r="2104" spans="2:6">
      <c r="B2104" t="s">
        <v>3151</v>
      </c>
      <c r="C2104" t="s">
        <v>3152</v>
      </c>
      <c r="D2104">
        <v>422.51010000000002</v>
      </c>
      <c r="E2104">
        <v>7012.2111803351381</v>
      </c>
      <c r="F2104" s="6">
        <v>15.596552793258997</v>
      </c>
    </row>
    <row r="2105" spans="2:6">
      <c r="B2105" t="s">
        <v>2117</v>
      </c>
      <c r="C2105" t="s">
        <v>2116</v>
      </c>
      <c r="D2105">
        <v>13918.425863432407</v>
      </c>
      <c r="E2105">
        <v>7005.4005583490571</v>
      </c>
      <c r="F2105" s="6">
        <v>-0.49668154810852561</v>
      </c>
    </row>
    <row r="2106" spans="2:6">
      <c r="B2106" t="s">
        <v>3299</v>
      </c>
      <c r="C2106" t="s">
        <v>2300</v>
      </c>
      <c r="D2106">
        <v>387.9495</v>
      </c>
      <c r="E2106">
        <v>6989.7266</v>
      </c>
      <c r="F2106" s="6">
        <v>17.01710428805811</v>
      </c>
    </row>
    <row r="2107" spans="2:6">
      <c r="B2107" t="s">
        <v>1750</v>
      </c>
      <c r="C2107" t="s">
        <v>1749</v>
      </c>
      <c r="D2107">
        <v>15418.49623391284</v>
      </c>
      <c r="E2107">
        <v>6973.3574588102892</v>
      </c>
      <c r="F2107" s="6">
        <v>-0.54772778401875177</v>
      </c>
    </row>
    <row r="2108" spans="2:6">
      <c r="B2108" t="s">
        <v>2381</v>
      </c>
      <c r="C2108" t="s">
        <v>2382</v>
      </c>
      <c r="D2108">
        <v>29027.843806376608</v>
      </c>
      <c r="E2108">
        <v>6967.8303999999998</v>
      </c>
      <c r="F2108" s="6">
        <v>-0.76</v>
      </c>
    </row>
    <row r="2109" spans="2:6">
      <c r="B2109" t="s">
        <v>1358</v>
      </c>
      <c r="C2109" t="s">
        <v>1357</v>
      </c>
      <c r="D2109">
        <v>9273.2566999999999</v>
      </c>
      <c r="E2109">
        <v>6930.4157559708465</v>
      </c>
      <c r="F2109" s="6">
        <v>-0.25264489270842183</v>
      </c>
    </row>
    <row r="2110" spans="2:6">
      <c r="B2110" t="s">
        <v>1130</v>
      </c>
      <c r="C2110" t="s">
        <v>1129</v>
      </c>
      <c r="D2110">
        <v>3807.2723840364597</v>
      </c>
      <c r="E2110">
        <v>6929.7861999999996</v>
      </c>
      <c r="F2110" s="6">
        <v>0.82010000000000005</v>
      </c>
    </row>
    <row r="2111" spans="2:6">
      <c r="B2111" t="s">
        <v>2959</v>
      </c>
      <c r="C2111" t="s">
        <v>2960</v>
      </c>
      <c r="D2111">
        <v>2124.7685000000001</v>
      </c>
      <c r="E2111">
        <v>6928.1859277608564</v>
      </c>
      <c r="F2111" s="6">
        <v>2.2606780116331997</v>
      </c>
    </row>
    <row r="2112" spans="2:6">
      <c r="B2112" t="s">
        <v>2671</v>
      </c>
      <c r="C2112" t="s">
        <v>2672</v>
      </c>
      <c r="D2112">
        <v>17061.342868782278</v>
      </c>
      <c r="E2112">
        <v>6923.2191000000003</v>
      </c>
      <c r="F2112" s="6">
        <v>-0.59419999999999995</v>
      </c>
    </row>
    <row r="2113" spans="2:6">
      <c r="B2113" t="s">
        <v>3042</v>
      </c>
      <c r="C2113" t="s">
        <v>3043</v>
      </c>
      <c r="D2113">
        <v>877.52650000000006</v>
      </c>
      <c r="E2113">
        <v>6914.897618580756</v>
      </c>
      <c r="F2113" s="6">
        <v>6.8799872352353528</v>
      </c>
    </row>
    <row r="2114" spans="2:6">
      <c r="B2114" t="s">
        <v>1502</v>
      </c>
      <c r="C2114" t="s">
        <v>1501</v>
      </c>
      <c r="D2114">
        <v>10766.326314172757</v>
      </c>
      <c r="E2114">
        <v>6911.7532000000001</v>
      </c>
      <c r="F2114" s="6">
        <v>-0.35799999999999998</v>
      </c>
    </row>
    <row r="2115" spans="2:6">
      <c r="B2115" t="s">
        <v>1436</v>
      </c>
      <c r="C2115" t="s">
        <v>1435</v>
      </c>
      <c r="D2115">
        <v>5713.4786891526865</v>
      </c>
      <c r="E2115">
        <v>6910.9763000000003</v>
      </c>
      <c r="F2115" s="6">
        <v>0.20960000000000001</v>
      </c>
    </row>
    <row r="2116" spans="2:6">
      <c r="B2116" t="s">
        <v>1466</v>
      </c>
      <c r="C2116" t="s">
        <v>1465</v>
      </c>
      <c r="D2116">
        <v>6676.439270232032</v>
      </c>
      <c r="E2116">
        <v>6899.8155999999999</v>
      </c>
      <c r="F2116" s="6">
        <v>3.3500000000000002E-2</v>
      </c>
    </row>
    <row r="2117" spans="2:6">
      <c r="B2117" t="s">
        <v>2684</v>
      </c>
      <c r="C2117" t="s">
        <v>2685</v>
      </c>
      <c r="D2117">
        <v>5797.4411268934427</v>
      </c>
      <c r="E2117">
        <v>6880.9014999999999</v>
      </c>
      <c r="F2117" s="6">
        <v>0.18690000000000001</v>
      </c>
    </row>
    <row r="2118" spans="2:6">
      <c r="B2118" t="s">
        <v>2961</v>
      </c>
      <c r="C2118" t="s">
        <v>2962</v>
      </c>
      <c r="D2118">
        <v>4353.9709000000003</v>
      </c>
      <c r="E2118">
        <v>6868.6466086561877</v>
      </c>
      <c r="F2118" s="6">
        <v>0.57755914460893321</v>
      </c>
    </row>
    <row r="2119" spans="2:6">
      <c r="B2119" t="s">
        <v>1578</v>
      </c>
      <c r="C2119" t="s">
        <v>1577</v>
      </c>
      <c r="D2119">
        <v>6377.2491000032505</v>
      </c>
      <c r="E2119">
        <v>6860.4592303793543</v>
      </c>
      <c r="F2119" s="6">
        <v>7.5770935523885585E-2</v>
      </c>
    </row>
    <row r="2120" spans="2:6">
      <c r="B2120" t="s">
        <v>1064</v>
      </c>
      <c r="C2120" t="s">
        <v>1063</v>
      </c>
      <c r="D2120">
        <v>3243.7653243130712</v>
      </c>
      <c r="E2120">
        <v>6859.9711954102977</v>
      </c>
      <c r="F2120" s="6">
        <v>1.1148173525355221</v>
      </c>
    </row>
    <row r="2121" spans="2:6">
      <c r="B2121" t="s">
        <v>3025</v>
      </c>
      <c r="C2121" t="s">
        <v>2220</v>
      </c>
      <c r="D2121">
        <v>3761.3130000000001</v>
      </c>
      <c r="E2121">
        <v>6853.1646579685203</v>
      </c>
      <c r="F2121" s="6">
        <v>0.82201392385279282</v>
      </c>
    </row>
    <row r="2122" spans="2:6">
      <c r="B2122" t="s">
        <v>1882</v>
      </c>
      <c r="C2122" t="s">
        <v>1881</v>
      </c>
      <c r="D2122">
        <v>12000.4972</v>
      </c>
      <c r="E2122">
        <v>6852.9769999999999</v>
      </c>
      <c r="F2122" s="6">
        <v>-0.42894224415968363</v>
      </c>
    </row>
    <row r="2123" spans="2:6">
      <c r="B2123" t="s">
        <v>1606</v>
      </c>
      <c r="C2123" t="s">
        <v>1605</v>
      </c>
      <c r="D2123">
        <v>8514.7854000000007</v>
      </c>
      <c r="E2123">
        <v>6842.9503180569391</v>
      </c>
      <c r="F2123" s="6">
        <v>-0.19634494627933452</v>
      </c>
    </row>
    <row r="2124" spans="2:6">
      <c r="B2124" t="s">
        <v>1744</v>
      </c>
      <c r="C2124" t="s">
        <v>1743</v>
      </c>
      <c r="D2124">
        <v>11511.223769325827</v>
      </c>
      <c r="E2124">
        <v>6827.8876025555346</v>
      </c>
      <c r="F2124" s="6">
        <v>-0.40684954620116631</v>
      </c>
    </row>
    <row r="2125" spans="2:6">
      <c r="B2125" t="s">
        <v>1782</v>
      </c>
      <c r="C2125" t="s">
        <v>1781</v>
      </c>
      <c r="D2125">
        <v>9558.6578388443031</v>
      </c>
      <c r="E2125">
        <v>6803.0836418594163</v>
      </c>
      <c r="F2125" s="6">
        <v>-0.28828045144443115</v>
      </c>
    </row>
    <row r="2126" spans="2:6">
      <c r="B2126" t="s">
        <v>1203</v>
      </c>
      <c r="C2126" t="s">
        <v>1202</v>
      </c>
      <c r="D2126">
        <v>5015.4573462172457</v>
      </c>
      <c r="E2126">
        <v>6788.4415782628139</v>
      </c>
      <c r="F2126" s="6">
        <v>0.35350399966670776</v>
      </c>
    </row>
    <row r="2127" spans="2:6">
      <c r="B2127" t="s">
        <v>2566</v>
      </c>
      <c r="C2127" t="s">
        <v>2300</v>
      </c>
      <c r="D2127">
        <v>12252.7114666568</v>
      </c>
      <c r="E2127">
        <v>6774.8532926873031</v>
      </c>
      <c r="F2127" s="6">
        <v>-0.44707313878045241</v>
      </c>
    </row>
    <row r="2128" spans="2:6">
      <c r="B2128" t="s">
        <v>1470</v>
      </c>
      <c r="C2128" t="s">
        <v>1469</v>
      </c>
      <c r="D2128">
        <v>5675.9621999999999</v>
      </c>
      <c r="E2128">
        <v>6769.0478999999996</v>
      </c>
      <c r="F2128" s="6">
        <v>0.19258156793221781</v>
      </c>
    </row>
    <row r="2129" spans="2:6">
      <c r="B2129" t="s">
        <v>822</v>
      </c>
      <c r="C2129" t="s">
        <v>821</v>
      </c>
      <c r="D2129">
        <v>2760.8427175660504</v>
      </c>
      <c r="E2129">
        <v>6753.7694841925704</v>
      </c>
      <c r="F2129" s="6">
        <v>1.4462710031329387</v>
      </c>
    </row>
    <row r="2130" spans="2:6">
      <c r="B2130" t="s">
        <v>1233</v>
      </c>
      <c r="C2130" t="s">
        <v>1232</v>
      </c>
      <c r="D2130">
        <v>5553.3936771280205</v>
      </c>
      <c r="E2130">
        <v>6748.2508180590112</v>
      </c>
      <c r="F2130" s="6">
        <v>0.21515801155104142</v>
      </c>
    </row>
    <row r="2131" spans="2:6">
      <c r="B2131" t="s">
        <v>1596</v>
      </c>
      <c r="C2131" t="s">
        <v>1595</v>
      </c>
      <c r="D2131">
        <v>6276.0678189714181</v>
      </c>
      <c r="E2131">
        <v>6732.1895886196389</v>
      </c>
      <c r="F2131" s="6">
        <v>7.2676360868734857E-2</v>
      </c>
    </row>
    <row r="2132" spans="2:6">
      <c r="B2132" t="s">
        <v>2963</v>
      </c>
      <c r="C2132" t="s">
        <v>2964</v>
      </c>
      <c r="D2132">
        <v>6552.9171999999999</v>
      </c>
      <c r="E2132">
        <v>6722.188982521162</v>
      </c>
      <c r="F2132" s="6">
        <v>2.5831515545650774E-2</v>
      </c>
    </row>
    <row r="2133" spans="2:6">
      <c r="B2133" t="s">
        <v>1990</v>
      </c>
      <c r="C2133" t="s">
        <v>1989</v>
      </c>
      <c r="D2133">
        <v>15927.819035321738</v>
      </c>
      <c r="E2133">
        <v>6721.0955609493176</v>
      </c>
      <c r="F2133" s="6">
        <v>-0.57802788027384477</v>
      </c>
    </row>
    <row r="2134" spans="2:6">
      <c r="B2134" t="s">
        <v>2207</v>
      </c>
      <c r="C2134" t="s">
        <v>2206</v>
      </c>
      <c r="D2134">
        <v>63772.342381945411</v>
      </c>
      <c r="E2134">
        <v>6691.6035000000002</v>
      </c>
      <c r="F2134" s="6">
        <v>-0.89510000000000001</v>
      </c>
    </row>
    <row r="2135" spans="2:6">
      <c r="B2135" t="s">
        <v>1608</v>
      </c>
      <c r="C2135" t="s">
        <v>1607</v>
      </c>
      <c r="D2135">
        <v>7360.0798999999997</v>
      </c>
      <c r="E2135">
        <v>6680.1494805611073</v>
      </c>
      <c r="F2135" s="6">
        <v>-9.2380847582767767E-2</v>
      </c>
    </row>
    <row r="2136" spans="2:6">
      <c r="B2136" t="s">
        <v>1344</v>
      </c>
      <c r="C2136" t="s">
        <v>1343</v>
      </c>
      <c r="D2136">
        <v>6393.4672</v>
      </c>
      <c r="E2136">
        <v>6674.5697</v>
      </c>
      <c r="F2136" s="6">
        <v>4.396714508834898E-2</v>
      </c>
    </row>
    <row r="2137" spans="2:6">
      <c r="B2137" t="s">
        <v>2543</v>
      </c>
      <c r="C2137" t="s">
        <v>2544</v>
      </c>
      <c r="D2137">
        <v>12531.759768580701</v>
      </c>
      <c r="E2137">
        <v>6674.0001000000002</v>
      </c>
      <c r="F2137" s="6">
        <v>-0.46739999999999998</v>
      </c>
    </row>
    <row r="2138" spans="2:6">
      <c r="B2138" t="s">
        <v>2801</v>
      </c>
      <c r="C2138" t="s">
        <v>2802</v>
      </c>
      <c r="D2138">
        <v>3550.2390999999998</v>
      </c>
      <c r="E2138">
        <v>6673.1494000000002</v>
      </c>
      <c r="F2138" s="6">
        <v>0.87963379705890787</v>
      </c>
    </row>
    <row r="2139" spans="2:6">
      <c r="B2139" t="s">
        <v>2860</v>
      </c>
      <c r="C2139" t="s">
        <v>2861</v>
      </c>
      <c r="D2139">
        <v>7593.6642076755434</v>
      </c>
      <c r="E2139">
        <v>6645.4076999999997</v>
      </c>
      <c r="F2139" s="6">
        <v>-0.1249</v>
      </c>
    </row>
    <row r="2140" spans="2:6">
      <c r="B2140" t="s">
        <v>2498</v>
      </c>
      <c r="C2140" t="s">
        <v>2499</v>
      </c>
      <c r="D2140">
        <v>19824.741584126918</v>
      </c>
      <c r="E2140">
        <v>6639.5300435225536</v>
      </c>
      <c r="F2140" s="6">
        <v>-0.66508869659927228</v>
      </c>
    </row>
    <row r="2141" spans="2:6">
      <c r="B2141" t="s">
        <v>1614</v>
      </c>
      <c r="C2141" t="s">
        <v>1613</v>
      </c>
      <c r="D2141">
        <v>8165.8250687702348</v>
      </c>
      <c r="E2141">
        <v>6639.0333672826127</v>
      </c>
      <c r="F2141" s="6">
        <v>-0.18697335402478266</v>
      </c>
    </row>
    <row r="2142" spans="2:6">
      <c r="B2142" t="s">
        <v>1666</v>
      </c>
      <c r="C2142" t="s">
        <v>1665</v>
      </c>
      <c r="D2142">
        <v>9308.3047907565924</v>
      </c>
      <c r="E2142">
        <v>6632.5025999999998</v>
      </c>
      <c r="F2142" s="6">
        <v>-0.28749999999999998</v>
      </c>
    </row>
    <row r="2143" spans="2:6">
      <c r="B2143" t="s">
        <v>784</v>
      </c>
      <c r="C2143" t="s">
        <v>783</v>
      </c>
      <c r="D2143">
        <v>483.3501</v>
      </c>
      <c r="E2143">
        <v>6625.0852000000004</v>
      </c>
      <c r="F2143" s="6">
        <v>12.706597350450533</v>
      </c>
    </row>
    <row r="2144" spans="2:6">
      <c r="B2144" t="s">
        <v>1864</v>
      </c>
      <c r="C2144" t="s">
        <v>1863</v>
      </c>
      <c r="D2144">
        <v>11428.53938242127</v>
      </c>
      <c r="E2144">
        <v>6618.4386618170256</v>
      </c>
      <c r="F2144" s="6">
        <v>-0.42088499323044448</v>
      </c>
    </row>
    <row r="2145" spans="2:6">
      <c r="B2145" t="s">
        <v>1308</v>
      </c>
      <c r="C2145" t="s">
        <v>1307</v>
      </c>
      <c r="D2145">
        <v>5467.6848860914151</v>
      </c>
      <c r="E2145">
        <v>6617.8940127533288</v>
      </c>
      <c r="F2145" s="6">
        <v>0.21036492603803714</v>
      </c>
    </row>
    <row r="2146" spans="2:6">
      <c r="B2146" t="s">
        <v>1454</v>
      </c>
      <c r="C2146" t="s">
        <v>1453</v>
      </c>
      <c r="D2146">
        <v>4593.8135788256022</v>
      </c>
      <c r="E2146">
        <v>6611.6502</v>
      </c>
      <c r="F2146" s="6">
        <v>0.43930000000000002</v>
      </c>
    </row>
    <row r="2147" spans="2:6">
      <c r="B2147" t="s">
        <v>1239</v>
      </c>
      <c r="C2147" t="s">
        <v>1238</v>
      </c>
      <c r="D2147">
        <v>7803.0721999999996</v>
      </c>
      <c r="E2147">
        <v>6595.0726999999997</v>
      </c>
      <c r="F2147" s="6">
        <v>-0.15481075517922283</v>
      </c>
    </row>
    <row r="2148" spans="2:6">
      <c r="B2148" t="s">
        <v>1221</v>
      </c>
      <c r="C2148" t="s">
        <v>1220</v>
      </c>
      <c r="D2148">
        <v>4804.8524424449897</v>
      </c>
      <c r="E2148">
        <v>6582.7156000000004</v>
      </c>
      <c r="F2148" s="6">
        <v>0.37</v>
      </c>
    </row>
    <row r="2149" spans="2:6">
      <c r="B2149" t="s">
        <v>2677</v>
      </c>
      <c r="C2149" t="s">
        <v>2678</v>
      </c>
      <c r="D2149">
        <v>12230.114611092544</v>
      </c>
      <c r="E2149">
        <v>6572.4043688000347</v>
      </c>
      <c r="F2149" s="6">
        <v>-0.46260484240769462</v>
      </c>
    </row>
    <row r="2150" spans="2:6">
      <c r="B2150" t="s">
        <v>3077</v>
      </c>
      <c r="C2150" t="s">
        <v>3078</v>
      </c>
      <c r="D2150">
        <v>2414.06</v>
      </c>
      <c r="E2150">
        <v>6561.4445999999998</v>
      </c>
      <c r="F2150" s="6">
        <v>1.7180122283621784</v>
      </c>
    </row>
    <row r="2151" spans="2:6">
      <c r="B2151" t="s">
        <v>1812</v>
      </c>
      <c r="C2151" t="s">
        <v>1811</v>
      </c>
      <c r="D2151">
        <v>10287.311307750184</v>
      </c>
      <c r="E2151">
        <v>6557.6396000000004</v>
      </c>
      <c r="F2151" s="6">
        <v>-0.36259999999999998</v>
      </c>
    </row>
    <row r="2152" spans="2:6">
      <c r="B2152" t="s">
        <v>1772</v>
      </c>
      <c r="C2152" t="s">
        <v>1771</v>
      </c>
      <c r="D2152">
        <v>9923.8778747982233</v>
      </c>
      <c r="E2152">
        <v>6552.5050125524685</v>
      </c>
      <c r="F2152" s="6">
        <v>-0.3397233324290887</v>
      </c>
    </row>
    <row r="2153" spans="2:6">
      <c r="B2153" t="s">
        <v>1456</v>
      </c>
      <c r="C2153" t="s">
        <v>1455</v>
      </c>
      <c r="D2153">
        <v>6841.4923232532919</v>
      </c>
      <c r="E2153">
        <v>6549.7266899349397</v>
      </c>
      <c r="F2153" s="6">
        <v>-4.2646489907864238E-2</v>
      </c>
    </row>
    <row r="2154" spans="2:6">
      <c r="B2154" t="s">
        <v>3268</v>
      </c>
      <c r="C2154" t="s">
        <v>2380</v>
      </c>
      <c r="D2154">
        <v>394.10489999999999</v>
      </c>
      <c r="E2154">
        <v>6546.5632999999998</v>
      </c>
      <c r="F2154" s="6">
        <v>15.61122026140756</v>
      </c>
    </row>
    <row r="2155" spans="2:6">
      <c r="B2155" t="s">
        <v>3052</v>
      </c>
      <c r="C2155" t="s">
        <v>3053</v>
      </c>
      <c r="D2155">
        <v>3933.9461989126894</v>
      </c>
      <c r="E2155">
        <v>6529.9830886977352</v>
      </c>
      <c r="F2155" s="6">
        <v>0.65990655655193486</v>
      </c>
    </row>
    <row r="2156" spans="2:6">
      <c r="B2156" t="s">
        <v>2027</v>
      </c>
      <c r="C2156" t="s">
        <v>2026</v>
      </c>
      <c r="D2156">
        <v>10689.198288666694</v>
      </c>
      <c r="E2156">
        <v>6524.4540282603275</v>
      </c>
      <c r="F2156" s="6">
        <v>-0.38962176095302381</v>
      </c>
    </row>
    <row r="2157" spans="2:6">
      <c r="B2157" t="s">
        <v>3093</v>
      </c>
      <c r="C2157" t="s">
        <v>3094</v>
      </c>
      <c r="D2157">
        <v>13681.5245</v>
      </c>
      <c r="E2157">
        <v>6523.6928712167173</v>
      </c>
      <c r="F2157" s="6">
        <v>-0.52317500354461832</v>
      </c>
    </row>
    <row r="2158" spans="2:6">
      <c r="B2158" t="s">
        <v>1487</v>
      </c>
      <c r="C2158" t="s">
        <v>1486</v>
      </c>
      <c r="D2158">
        <v>10113.991788112604</v>
      </c>
      <c r="E2158">
        <v>6522.6072429757778</v>
      </c>
      <c r="F2158" s="6">
        <v>-0.35509071199345155</v>
      </c>
    </row>
    <row r="2159" spans="2:6">
      <c r="B2159" t="s">
        <v>1942</v>
      </c>
      <c r="C2159" t="s">
        <v>1941</v>
      </c>
      <c r="D2159">
        <v>16175.179826991633</v>
      </c>
      <c r="E2159">
        <v>6520.0050000000001</v>
      </c>
      <c r="F2159" s="6">
        <v>-0.59689999999999999</v>
      </c>
    </row>
    <row r="2160" spans="2:6">
      <c r="B2160" t="s">
        <v>1162</v>
      </c>
      <c r="C2160" t="s">
        <v>1161</v>
      </c>
      <c r="D2160">
        <v>5052.2156000000004</v>
      </c>
      <c r="E2160">
        <v>6519.7965999999997</v>
      </c>
      <c r="F2160" s="6">
        <v>0.29048265477823243</v>
      </c>
    </row>
    <row r="2161" spans="2:6">
      <c r="B2161" t="s">
        <v>2775</v>
      </c>
      <c r="C2161" t="s">
        <v>2776</v>
      </c>
      <c r="D2161">
        <v>4074.7997</v>
      </c>
      <c r="E2161">
        <v>6517.8166079131843</v>
      </c>
      <c r="F2161" s="6">
        <v>0.59954282118779578</v>
      </c>
    </row>
    <row r="2162" spans="2:6">
      <c r="B2162" t="s">
        <v>2091</v>
      </c>
      <c r="C2162" t="s">
        <v>2090</v>
      </c>
      <c r="D2162">
        <v>12687.6059</v>
      </c>
      <c r="E2162">
        <v>6506.3049000000001</v>
      </c>
      <c r="F2162" s="6">
        <v>-0.48719207143721255</v>
      </c>
    </row>
    <row r="2163" spans="2:6">
      <c r="B2163" t="s">
        <v>1776</v>
      </c>
      <c r="C2163" t="s">
        <v>1775</v>
      </c>
      <c r="D2163">
        <v>10934.93704913393</v>
      </c>
      <c r="E2163">
        <v>6496.3478999999998</v>
      </c>
      <c r="F2163" s="6">
        <v>-0.40589999999999998</v>
      </c>
    </row>
    <row r="2164" spans="2:6">
      <c r="B2164" t="s">
        <v>3069</v>
      </c>
      <c r="C2164" t="s">
        <v>3070</v>
      </c>
      <c r="D2164">
        <v>4875.7839999999997</v>
      </c>
      <c r="E2164">
        <v>6483.7929999999997</v>
      </c>
      <c r="F2164" s="6">
        <v>0.32979496220505267</v>
      </c>
    </row>
    <row r="2165" spans="2:6">
      <c r="B2165" t="s">
        <v>2494</v>
      </c>
      <c r="C2165" t="s">
        <v>2495</v>
      </c>
      <c r="D2165">
        <v>19462.153139758124</v>
      </c>
      <c r="E2165">
        <v>6482.6386296212086</v>
      </c>
      <c r="F2165" s="6">
        <v>-0.66691051174712035</v>
      </c>
    </row>
    <row r="2166" spans="2:6">
      <c r="B2166" t="s">
        <v>1504</v>
      </c>
      <c r="C2166" t="s">
        <v>1503</v>
      </c>
      <c r="D2166">
        <v>9124.7956153414725</v>
      </c>
      <c r="E2166">
        <v>6474.6602000000003</v>
      </c>
      <c r="F2166" s="6">
        <v>-0.29039999999999999</v>
      </c>
    </row>
    <row r="2167" spans="2:6">
      <c r="B2167" t="s">
        <v>1269</v>
      </c>
      <c r="C2167" t="s">
        <v>1268</v>
      </c>
      <c r="D2167">
        <v>5160.2076254882641</v>
      </c>
      <c r="E2167">
        <v>6474.2771889845426</v>
      </c>
      <c r="F2167" s="6">
        <v>0.25465439743268847</v>
      </c>
    </row>
    <row r="2168" spans="2:6">
      <c r="B2168" t="s">
        <v>2562</v>
      </c>
      <c r="C2168" t="s">
        <v>2563</v>
      </c>
      <c r="D2168">
        <v>14869.843406784703</v>
      </c>
      <c r="E2168">
        <v>6463.8042929315498</v>
      </c>
      <c r="F2168" s="6">
        <v>-0.56530784379462307</v>
      </c>
    </row>
    <row r="2169" spans="2:6">
      <c r="B2169" t="s">
        <v>2653</v>
      </c>
      <c r="C2169" t="s">
        <v>2300</v>
      </c>
      <c r="D2169">
        <v>11299.879165540215</v>
      </c>
      <c r="E2169">
        <v>6454.9291000000003</v>
      </c>
      <c r="F2169" s="6">
        <v>-0.42880000000000001</v>
      </c>
    </row>
    <row r="2170" spans="2:6">
      <c r="B2170" t="s">
        <v>1330</v>
      </c>
      <c r="C2170" t="s">
        <v>1329</v>
      </c>
      <c r="D2170">
        <v>6888.8651511006474</v>
      </c>
      <c r="E2170">
        <v>6448.8833000000004</v>
      </c>
      <c r="F2170" s="6">
        <v>-6.3899999999999998E-2</v>
      </c>
    </row>
    <row r="2171" spans="2:6">
      <c r="B2171" t="s">
        <v>3141</v>
      </c>
      <c r="C2171" t="s">
        <v>3142</v>
      </c>
      <c r="D2171">
        <v>820.20810740035586</v>
      </c>
      <c r="E2171">
        <v>6437.7954</v>
      </c>
      <c r="F2171" s="6">
        <v>6.8490000000000002</v>
      </c>
    </row>
    <row r="2172" spans="2:6">
      <c r="B2172" t="s">
        <v>2803</v>
      </c>
      <c r="C2172" t="s">
        <v>2804</v>
      </c>
      <c r="D2172">
        <v>10432.184794106181</v>
      </c>
      <c r="E2172">
        <v>6436.9117999999999</v>
      </c>
      <c r="F2172" s="6">
        <v>-0.38300000000000001</v>
      </c>
    </row>
    <row r="2173" spans="2:6">
      <c r="B2173" t="s">
        <v>1158</v>
      </c>
      <c r="C2173" t="s">
        <v>1157</v>
      </c>
      <c r="D2173">
        <v>6019.7752</v>
      </c>
      <c r="E2173">
        <v>6436.851727471616</v>
      </c>
      <c r="F2173" s="6">
        <v>6.9284402426126546E-2</v>
      </c>
    </row>
    <row r="2174" spans="2:6">
      <c r="B2174" t="s">
        <v>2934</v>
      </c>
      <c r="C2174" t="s">
        <v>2935</v>
      </c>
      <c r="D2174">
        <v>6337.4880402712142</v>
      </c>
      <c r="E2174">
        <v>6415.6793388104061</v>
      </c>
      <c r="F2174" s="6">
        <v>1.2337900764834542E-2</v>
      </c>
    </row>
    <row r="2175" spans="2:6">
      <c r="B2175" t="s">
        <v>1604</v>
      </c>
      <c r="C2175" t="s">
        <v>1603</v>
      </c>
      <c r="D2175">
        <v>8816.0706739198831</v>
      </c>
      <c r="E2175">
        <v>6408.3353893897456</v>
      </c>
      <c r="F2175" s="6">
        <v>-0.27310752982650355</v>
      </c>
    </row>
    <row r="2176" spans="2:6">
      <c r="B2176" t="s">
        <v>1088</v>
      </c>
      <c r="C2176" t="s">
        <v>1087</v>
      </c>
      <c r="D2176">
        <v>5780.6080000000002</v>
      </c>
      <c r="E2176">
        <v>6402.6976000000004</v>
      </c>
      <c r="F2176" s="6">
        <v>0.10761663824981738</v>
      </c>
    </row>
    <row r="2177" spans="2:6">
      <c r="B2177" t="s">
        <v>1676</v>
      </c>
      <c r="C2177" t="s">
        <v>1675</v>
      </c>
      <c r="D2177">
        <v>11186.8559</v>
      </c>
      <c r="E2177">
        <v>6400.4668000000001</v>
      </c>
      <c r="F2177" s="6">
        <v>-0.42785829573437162</v>
      </c>
    </row>
    <row r="2178" spans="2:6">
      <c r="B2178" t="s">
        <v>2858</v>
      </c>
      <c r="C2178" t="s">
        <v>2859</v>
      </c>
      <c r="D2178">
        <v>9080.5283627970057</v>
      </c>
      <c r="E2178">
        <v>6398.7387784600487</v>
      </c>
      <c r="F2178" s="6">
        <v>-0.29533409039547409</v>
      </c>
    </row>
    <row r="2179" spans="2:6">
      <c r="B2179" t="s">
        <v>2986</v>
      </c>
      <c r="C2179" t="s">
        <v>2987</v>
      </c>
      <c r="D2179">
        <v>3605.7000087964052</v>
      </c>
      <c r="E2179">
        <v>6392.8967637951719</v>
      </c>
      <c r="F2179" s="6">
        <v>0.77299740638410519</v>
      </c>
    </row>
    <row r="2180" spans="2:6">
      <c r="B2180" t="s">
        <v>633</v>
      </c>
      <c r="C2180" t="s">
        <v>632</v>
      </c>
      <c r="D2180">
        <v>242.39519999999999</v>
      </c>
      <c r="E2180">
        <v>6382.6032999999998</v>
      </c>
      <c r="F2180" s="6">
        <v>25.331393113394984</v>
      </c>
    </row>
    <row r="2181" spans="2:6">
      <c r="B2181" t="s">
        <v>3246</v>
      </c>
      <c r="C2181" t="s">
        <v>3247</v>
      </c>
      <c r="D2181">
        <v>4598.2073323811874</v>
      </c>
      <c r="E2181">
        <v>6373.1595930414915</v>
      </c>
      <c r="F2181" s="6">
        <v>0.38600961904454678</v>
      </c>
    </row>
    <row r="2182" spans="2:6">
      <c r="B2182" t="s">
        <v>2799</v>
      </c>
      <c r="C2182" t="s">
        <v>2800</v>
      </c>
      <c r="D2182">
        <v>4824.3648000000003</v>
      </c>
      <c r="E2182">
        <v>6367.0302761180874</v>
      </c>
      <c r="F2182" s="6">
        <v>0.31976551112347207</v>
      </c>
    </row>
    <row r="2183" spans="2:6">
      <c r="B2183" t="s">
        <v>1746</v>
      </c>
      <c r="C2183" t="s">
        <v>1745</v>
      </c>
      <c r="D2183">
        <v>10167.883009945515</v>
      </c>
      <c r="E2183">
        <v>6358.6854000000003</v>
      </c>
      <c r="F2183" s="6">
        <v>-0.37459999999999999</v>
      </c>
    </row>
    <row r="2184" spans="2:6">
      <c r="B2184" t="s">
        <v>2115</v>
      </c>
      <c r="C2184" t="s">
        <v>2114</v>
      </c>
      <c r="D2184">
        <v>14046.558408603767</v>
      </c>
      <c r="E2184">
        <v>6336.8990999999996</v>
      </c>
      <c r="F2184" s="6">
        <v>-0.54890000000000005</v>
      </c>
    </row>
    <row r="2185" spans="2:6">
      <c r="B2185" t="s">
        <v>2555</v>
      </c>
      <c r="C2185" t="s">
        <v>2300</v>
      </c>
      <c r="D2185">
        <v>10850.274299999999</v>
      </c>
      <c r="E2185">
        <v>6327.4029777689757</v>
      </c>
      <c r="F2185" s="6">
        <v>-0.41684396146842329</v>
      </c>
    </row>
    <row r="2186" spans="2:6">
      <c r="B2186" t="s">
        <v>1408</v>
      </c>
      <c r="C2186" t="s">
        <v>1407</v>
      </c>
      <c r="D2186">
        <v>6730.2151533267579</v>
      </c>
      <c r="E2186">
        <v>6323.6836318584074</v>
      </c>
      <c r="F2186" s="6">
        <v>-6.040394136098326E-2</v>
      </c>
    </row>
    <row r="2187" spans="2:6">
      <c r="B2187" t="s">
        <v>2936</v>
      </c>
      <c r="C2187" t="s">
        <v>2937</v>
      </c>
      <c r="D2187">
        <v>6374.4417999999996</v>
      </c>
      <c r="E2187">
        <v>6322.9670999999998</v>
      </c>
      <c r="F2187" s="6">
        <v>-8.0751698133003647E-3</v>
      </c>
    </row>
    <row r="2188" spans="2:6">
      <c r="B2188" t="s">
        <v>3133</v>
      </c>
      <c r="C2188" t="s">
        <v>3134</v>
      </c>
      <c r="D2188">
        <v>1390.9876999999999</v>
      </c>
      <c r="E2188">
        <v>6318.9744033265588</v>
      </c>
      <c r="F2188" s="6">
        <v>3.5427967503426228</v>
      </c>
    </row>
    <row r="2189" spans="2:6">
      <c r="B2189" t="s">
        <v>1549</v>
      </c>
      <c r="C2189" t="s">
        <v>1548</v>
      </c>
      <c r="D2189">
        <v>5159.9986809983448</v>
      </c>
      <c r="E2189">
        <v>6312.1821</v>
      </c>
      <c r="F2189" s="6">
        <v>0.2233</v>
      </c>
    </row>
    <row r="2190" spans="2:6">
      <c r="B2190" t="s">
        <v>1938</v>
      </c>
      <c r="C2190" t="s">
        <v>1937</v>
      </c>
      <c r="D2190">
        <v>9597.9878000000008</v>
      </c>
      <c r="E2190">
        <v>6311.6345456469153</v>
      </c>
      <c r="F2190" s="6">
        <v>-0.34240023251051488</v>
      </c>
    </row>
    <row r="2191" spans="2:6">
      <c r="B2191" t="s">
        <v>3112</v>
      </c>
      <c r="C2191" t="s">
        <v>2380</v>
      </c>
      <c r="D2191">
        <v>2452.4529000000002</v>
      </c>
      <c r="E2191">
        <v>6302.7083000000002</v>
      </c>
      <c r="F2191" s="6">
        <v>1.5699609970083421</v>
      </c>
    </row>
    <row r="2192" spans="2:6">
      <c r="B2192" t="s">
        <v>2838</v>
      </c>
      <c r="C2192" t="s">
        <v>2839</v>
      </c>
      <c r="D2192">
        <v>10030.921908940056</v>
      </c>
      <c r="E2192">
        <v>6296.8204218695355</v>
      </c>
      <c r="F2192" s="6">
        <v>-0.37225905265422354</v>
      </c>
    </row>
    <row r="2193" spans="2:6">
      <c r="B2193" t="s">
        <v>3193</v>
      </c>
      <c r="C2193" t="s">
        <v>3194</v>
      </c>
      <c r="D2193">
        <v>3455.7568999999999</v>
      </c>
      <c r="E2193">
        <v>6280.0810000000001</v>
      </c>
      <c r="F2193" s="6">
        <v>0.81728089727607856</v>
      </c>
    </row>
    <row r="2194" spans="2:6">
      <c r="B2194" t="s">
        <v>1372</v>
      </c>
      <c r="C2194" t="s">
        <v>1371</v>
      </c>
      <c r="D2194">
        <v>5856.7409891827165</v>
      </c>
      <c r="E2194">
        <v>6278.926146303621</v>
      </c>
      <c r="F2194" s="6">
        <v>7.2085338569807256E-2</v>
      </c>
    </row>
    <row r="2195" spans="2:6">
      <c r="B2195" t="s">
        <v>1108</v>
      </c>
      <c r="C2195" t="s">
        <v>1107</v>
      </c>
      <c r="D2195">
        <v>4138.4766</v>
      </c>
      <c r="E2195">
        <v>6267.9392096110523</v>
      </c>
      <c r="F2195" s="6">
        <v>0.51455228950939391</v>
      </c>
    </row>
    <row r="2196" spans="2:6">
      <c r="B2196" t="s">
        <v>2591</v>
      </c>
      <c r="C2196" t="s">
        <v>2592</v>
      </c>
      <c r="D2196">
        <v>10741.955868149802</v>
      </c>
      <c r="E2196">
        <v>6262.1011773565297</v>
      </c>
      <c r="F2196" s="6">
        <v>-0.41704273837841455</v>
      </c>
    </row>
    <row r="2197" spans="2:6">
      <c r="B2197" t="s">
        <v>1396</v>
      </c>
      <c r="C2197" t="s">
        <v>1395</v>
      </c>
      <c r="D2197">
        <v>6948.9132954896131</v>
      </c>
      <c r="E2197">
        <v>6253.9842722847579</v>
      </c>
      <c r="F2197" s="6">
        <v>-0.10000542439577109</v>
      </c>
    </row>
    <row r="2198" spans="2:6">
      <c r="B2198" t="s">
        <v>1532</v>
      </c>
      <c r="C2198" t="s">
        <v>1531</v>
      </c>
      <c r="D2198">
        <v>7289.6273241998697</v>
      </c>
      <c r="E2198">
        <v>6234.3593000000001</v>
      </c>
      <c r="F2198" s="6">
        <v>-0.14480000000000001</v>
      </c>
    </row>
    <row r="2199" spans="2:6">
      <c r="B2199" t="s">
        <v>1442</v>
      </c>
      <c r="C2199" t="s">
        <v>1441</v>
      </c>
      <c r="D2199">
        <v>7271.3225988494805</v>
      </c>
      <c r="E2199">
        <v>6227.8131999999996</v>
      </c>
      <c r="F2199" s="6">
        <v>-0.14349999999999999</v>
      </c>
    </row>
    <row r="2200" spans="2:6">
      <c r="B2200" t="s">
        <v>942</v>
      </c>
      <c r="C2200" t="s">
        <v>941</v>
      </c>
      <c r="D2200">
        <v>4673.499448020917</v>
      </c>
      <c r="E2200">
        <v>6221.4682000000003</v>
      </c>
      <c r="F2200" s="6">
        <v>0.33119999999999999</v>
      </c>
    </row>
    <row r="2201" spans="2:6">
      <c r="B2201" t="s">
        <v>2829</v>
      </c>
      <c r="C2201" t="s">
        <v>2830</v>
      </c>
      <c r="D2201">
        <v>8217.495009702383</v>
      </c>
      <c r="E2201">
        <v>6219.4383714553378</v>
      </c>
      <c r="F2201" s="6">
        <v>-0.2431466810613141</v>
      </c>
    </row>
    <row r="2202" spans="2:6">
      <c r="B2202" t="s">
        <v>2351</v>
      </c>
      <c r="C2202" t="s">
        <v>2352</v>
      </c>
      <c r="D2202">
        <v>48148.993318759931</v>
      </c>
      <c r="E2202">
        <v>6219.2920670732274</v>
      </c>
      <c r="F2202" s="6">
        <v>-0.87083235518757873</v>
      </c>
    </row>
    <row r="2203" spans="2:6">
      <c r="B2203" t="s">
        <v>2809</v>
      </c>
      <c r="C2203" t="s">
        <v>2356</v>
      </c>
      <c r="D2203">
        <v>6549.5743879725351</v>
      </c>
      <c r="E2203">
        <v>6212.7992337796804</v>
      </c>
      <c r="F2203" s="6">
        <v>-5.1419395252812139E-2</v>
      </c>
    </row>
    <row r="2204" spans="2:6">
      <c r="B2204" t="s">
        <v>3091</v>
      </c>
      <c r="C2204" t="s">
        <v>3092</v>
      </c>
      <c r="D2204">
        <v>2980.6035243130714</v>
      </c>
      <c r="E2204">
        <v>6206.8128925217616</v>
      </c>
      <c r="F2204" s="6">
        <v>1.0824013800870151</v>
      </c>
    </row>
    <row r="2205" spans="2:6">
      <c r="B2205" t="s">
        <v>1524</v>
      </c>
      <c r="C2205" t="s">
        <v>1523</v>
      </c>
      <c r="D2205">
        <v>8559.0825000000004</v>
      </c>
      <c r="E2205">
        <v>6196.3068315931987</v>
      </c>
      <c r="F2205" s="6">
        <v>-0.27605478372323222</v>
      </c>
    </row>
    <row r="2206" spans="2:6">
      <c r="B2206" t="s">
        <v>2790</v>
      </c>
      <c r="C2206" t="s">
        <v>2791</v>
      </c>
      <c r="D2206">
        <v>8426.8095492379707</v>
      </c>
      <c r="E2206">
        <v>6157.3665000000001</v>
      </c>
      <c r="F2206" s="6">
        <v>-0.26929999999999998</v>
      </c>
    </row>
    <row r="2207" spans="2:6">
      <c r="B2207" t="s">
        <v>1862</v>
      </c>
      <c r="C2207" t="s">
        <v>1861</v>
      </c>
      <c r="D2207">
        <v>3830.4363784944521</v>
      </c>
      <c r="E2207">
        <v>6155.8023000000003</v>
      </c>
      <c r="F2207" s="6">
        <v>0.60709999999999997</v>
      </c>
    </row>
    <row r="2208" spans="2:6">
      <c r="B2208" t="s">
        <v>1920</v>
      </c>
      <c r="C2208" t="s">
        <v>1919</v>
      </c>
      <c r="D2208">
        <v>10155.047269794642</v>
      </c>
      <c r="E2208">
        <v>6154.6668040002869</v>
      </c>
      <c r="F2208" s="6">
        <v>-0.39393026536598796</v>
      </c>
    </row>
    <row r="2209" spans="2:6">
      <c r="B2209" t="s">
        <v>2762</v>
      </c>
      <c r="C2209" t="s">
        <v>2763</v>
      </c>
      <c r="D2209">
        <v>8329.1859000000004</v>
      </c>
      <c r="E2209">
        <v>6152.8851999999997</v>
      </c>
      <c r="F2209" s="6">
        <v>-0.2612861240136326</v>
      </c>
    </row>
    <row r="2210" spans="2:6">
      <c r="B2210" t="s">
        <v>2602</v>
      </c>
      <c r="C2210" t="s">
        <v>2603</v>
      </c>
      <c r="D2210">
        <v>16237.338600379655</v>
      </c>
      <c r="E2210">
        <v>6151.8266474222301</v>
      </c>
      <c r="F2210" s="6">
        <v>-0.6211308516237759</v>
      </c>
    </row>
    <row r="2211" spans="2:6">
      <c r="B2211" t="s">
        <v>810</v>
      </c>
      <c r="C2211" t="s">
        <v>809</v>
      </c>
      <c r="D2211">
        <v>3088.3164000000002</v>
      </c>
      <c r="E2211">
        <v>6136.9715999999999</v>
      </c>
      <c r="F2211" s="6">
        <v>0.98715766299074792</v>
      </c>
    </row>
    <row r="2212" spans="2:6">
      <c r="B2212" t="s">
        <v>1298</v>
      </c>
      <c r="C2212" t="s">
        <v>1297</v>
      </c>
      <c r="D2212">
        <v>3912.3753000000002</v>
      </c>
      <c r="E2212">
        <v>6131.8705</v>
      </c>
      <c r="F2212" s="6">
        <v>0.56730119935068601</v>
      </c>
    </row>
    <row r="2213" spans="2:6">
      <c r="B2213" t="s">
        <v>1042</v>
      </c>
      <c r="C2213" t="s">
        <v>1041</v>
      </c>
      <c r="D2213">
        <v>3714.4978999999998</v>
      </c>
      <c r="E2213">
        <v>6129.2974000000004</v>
      </c>
      <c r="F2213" s="6">
        <v>0.65010118864248123</v>
      </c>
    </row>
    <row r="2214" spans="2:6">
      <c r="B2214" t="s">
        <v>2663</v>
      </c>
      <c r="C2214" t="s">
        <v>2664</v>
      </c>
      <c r="D2214">
        <v>11708.135887100849</v>
      </c>
      <c r="E2214">
        <v>6124.769945614973</v>
      </c>
      <c r="F2214" s="6">
        <v>-0.47687915440383744</v>
      </c>
    </row>
    <row r="2215" spans="2:6">
      <c r="B2215" t="s">
        <v>1306</v>
      </c>
      <c r="C2215" t="s">
        <v>1305</v>
      </c>
      <c r="D2215">
        <v>6213.8970765574004</v>
      </c>
      <c r="E2215">
        <v>6122.8102289492126</v>
      </c>
      <c r="F2215" s="6">
        <v>-1.4658570376362201E-2</v>
      </c>
    </row>
    <row r="2216" spans="2:6">
      <c r="B2216" t="s">
        <v>1364</v>
      </c>
      <c r="C2216" t="s">
        <v>1363</v>
      </c>
      <c r="D2216">
        <v>5341.8512000000001</v>
      </c>
      <c r="E2216">
        <v>6117.4211999999998</v>
      </c>
      <c r="F2216" s="6">
        <v>0.14518749605005854</v>
      </c>
    </row>
    <row r="2217" spans="2:6">
      <c r="B2217" t="s">
        <v>2982</v>
      </c>
      <c r="C2217" t="s">
        <v>2983</v>
      </c>
      <c r="D2217">
        <v>1433.740373875298</v>
      </c>
      <c r="E2217">
        <v>6090.9312</v>
      </c>
      <c r="F2217" s="6">
        <v>3.2483</v>
      </c>
    </row>
    <row r="2218" spans="2:6">
      <c r="B2218" t="s">
        <v>553</v>
      </c>
      <c r="C2218" t="s">
        <v>552</v>
      </c>
      <c r="D2218">
        <v>388.2817</v>
      </c>
      <c r="E2218">
        <v>6087.4413000000004</v>
      </c>
      <c r="F2218" s="6">
        <v>14.677899061428855</v>
      </c>
    </row>
    <row r="2219" spans="2:6">
      <c r="B2219" t="s">
        <v>2996</v>
      </c>
      <c r="C2219" t="s">
        <v>2997</v>
      </c>
      <c r="D2219">
        <v>5365.5524999999998</v>
      </c>
      <c r="E2219">
        <v>6077.2600312576706</v>
      </c>
      <c r="F2219" s="6">
        <v>0.13264384818854547</v>
      </c>
    </row>
    <row r="2220" spans="2:6">
      <c r="B2220" t="s">
        <v>1128</v>
      </c>
      <c r="C2220" t="s">
        <v>1127</v>
      </c>
      <c r="D2220">
        <v>3625.4130917333209</v>
      </c>
      <c r="E2220">
        <v>6069.3501634854811</v>
      </c>
      <c r="F2220" s="6">
        <v>0.67411271761687885</v>
      </c>
    </row>
    <row r="2221" spans="2:6">
      <c r="B2221" t="s">
        <v>1338</v>
      </c>
      <c r="C2221" t="s">
        <v>1337</v>
      </c>
      <c r="D2221">
        <v>5377.3207403290808</v>
      </c>
      <c r="E2221">
        <v>6040.7038795582175</v>
      </c>
      <c r="F2221" s="6">
        <v>0.12336685335763309</v>
      </c>
    </row>
    <row r="2222" spans="2:6">
      <c r="B2222" t="s">
        <v>3056</v>
      </c>
      <c r="C2222" t="s">
        <v>2380</v>
      </c>
      <c r="D2222">
        <v>2652.2912000000001</v>
      </c>
      <c r="E2222">
        <v>6014.6720999999998</v>
      </c>
      <c r="F2222" s="6">
        <v>1.2677268996707451</v>
      </c>
    </row>
    <row r="2223" spans="2:6">
      <c r="B2223" t="s">
        <v>2908</v>
      </c>
      <c r="C2223" t="s">
        <v>2909</v>
      </c>
      <c r="D2223">
        <v>3481.0511627947008</v>
      </c>
      <c r="E2223">
        <v>6003.8507166661911</v>
      </c>
      <c r="F2223" s="6">
        <v>0.72472349181047524</v>
      </c>
    </row>
    <row r="2224" spans="2:6">
      <c r="B2224" t="s">
        <v>2067</v>
      </c>
      <c r="C2224" t="s">
        <v>2066</v>
      </c>
      <c r="D2224">
        <v>19294.753730237993</v>
      </c>
      <c r="E2224">
        <v>5991.8966047364456</v>
      </c>
      <c r="F2224" s="6">
        <v>-0.68945462126597779</v>
      </c>
    </row>
    <row r="2225" spans="2:6">
      <c r="B2225" t="s">
        <v>1424</v>
      </c>
      <c r="C2225" t="s">
        <v>1423</v>
      </c>
      <c r="D2225">
        <v>5344.8191999999999</v>
      </c>
      <c r="E2225">
        <v>5979.8449084422709</v>
      </c>
      <c r="F2225" s="6">
        <v>0.11881144799851628</v>
      </c>
    </row>
    <row r="2226" spans="2:6">
      <c r="B2226" t="s">
        <v>2873</v>
      </c>
      <c r="C2226" t="s">
        <v>2874</v>
      </c>
      <c r="D2226">
        <v>2942.9865160038707</v>
      </c>
      <c r="E2226">
        <v>5976.6250654724445</v>
      </c>
      <c r="F2226" s="6">
        <v>1.0308027348993072</v>
      </c>
    </row>
    <row r="2227" spans="2:6">
      <c r="B2227" t="s">
        <v>3145</v>
      </c>
      <c r="C2227" t="s">
        <v>3146</v>
      </c>
      <c r="D2227">
        <v>2927.4965999999999</v>
      </c>
      <c r="E2227">
        <v>5968.7125620557099</v>
      </c>
      <c r="F2227" s="6">
        <v>1.03884525845588</v>
      </c>
    </row>
    <row r="2228" spans="2:6">
      <c r="B2228" t="s">
        <v>1326</v>
      </c>
      <c r="C2228" t="s">
        <v>1325</v>
      </c>
      <c r="D2228">
        <v>11480.140255651117</v>
      </c>
      <c r="E2228">
        <v>5962.5036</v>
      </c>
      <c r="F2228" s="6">
        <v>-0.48060000000000003</v>
      </c>
    </row>
    <row r="2229" spans="2:6">
      <c r="B2229" t="s">
        <v>1094</v>
      </c>
      <c r="C2229" t="s">
        <v>1093</v>
      </c>
      <c r="D2229">
        <v>2130.2619</v>
      </c>
      <c r="E2229">
        <v>5956.2710999999999</v>
      </c>
      <c r="F2229" s="6">
        <v>1.796027615196047</v>
      </c>
    </row>
    <row r="2230" spans="2:6">
      <c r="B2230" t="s">
        <v>3328</v>
      </c>
      <c r="C2230" t="s">
        <v>3329</v>
      </c>
      <c r="D2230">
        <v>1099.3430836178075</v>
      </c>
      <c r="E2230">
        <v>5954.5955999999996</v>
      </c>
      <c r="F2230" s="6">
        <v>4.4165000000000001</v>
      </c>
    </row>
    <row r="2231" spans="2:6">
      <c r="B2231" t="s">
        <v>2990</v>
      </c>
      <c r="C2231" t="s">
        <v>2991</v>
      </c>
      <c r="D2231">
        <v>5508.2648315499127</v>
      </c>
      <c r="E2231">
        <v>5945.0663642899563</v>
      </c>
      <c r="F2231" s="6">
        <v>7.9299297709535921E-2</v>
      </c>
    </row>
    <row r="2232" spans="2:6">
      <c r="B2232" t="s">
        <v>1404</v>
      </c>
      <c r="C2232" t="s">
        <v>1403</v>
      </c>
      <c r="D2232">
        <v>7669.3292000000001</v>
      </c>
      <c r="E2232">
        <v>5937.2398374271061</v>
      </c>
      <c r="F2232" s="6">
        <v>-0.22584626600366742</v>
      </c>
    </row>
    <row r="2233" spans="2:6">
      <c r="B2233" t="s">
        <v>1654</v>
      </c>
      <c r="C2233" t="s">
        <v>1653</v>
      </c>
      <c r="D2233">
        <v>8979.353313772559</v>
      </c>
      <c r="E2233">
        <v>5920.2097999999996</v>
      </c>
      <c r="F2233" s="6">
        <v>-0.3407</v>
      </c>
    </row>
    <row r="2234" spans="2:6">
      <c r="B2234" t="s">
        <v>1253</v>
      </c>
      <c r="C2234" t="s">
        <v>1252</v>
      </c>
      <c r="D2234">
        <v>5949.5706</v>
      </c>
      <c r="E2234">
        <v>5908.9336429596542</v>
      </c>
      <c r="F2234" s="6">
        <v>-6.8302336038076339E-3</v>
      </c>
    </row>
    <row r="2235" spans="2:6">
      <c r="B2235" t="s">
        <v>1626</v>
      </c>
      <c r="C2235" t="s">
        <v>1625</v>
      </c>
      <c r="D2235">
        <v>10118.835620982158</v>
      </c>
      <c r="E2235">
        <v>5903.9214044232813</v>
      </c>
      <c r="F2235" s="6">
        <v>-0.41654142575643172</v>
      </c>
    </row>
    <row r="2236" spans="2:6">
      <c r="B2236" t="s">
        <v>1740</v>
      </c>
      <c r="C2236" t="s">
        <v>1739</v>
      </c>
      <c r="D2236">
        <v>9773.7076851265738</v>
      </c>
      <c r="E2236">
        <v>5891.8416329409865</v>
      </c>
      <c r="F2236" s="6">
        <v>-0.39717435565347736</v>
      </c>
    </row>
    <row r="2237" spans="2:6">
      <c r="B2237" t="s">
        <v>1384</v>
      </c>
      <c r="C2237" t="s">
        <v>1383</v>
      </c>
      <c r="D2237">
        <v>7334.253944453415</v>
      </c>
      <c r="E2237">
        <v>5878.1419999999998</v>
      </c>
      <c r="F2237" s="6">
        <v>-0.19850000000000001</v>
      </c>
    </row>
    <row r="2238" spans="2:6">
      <c r="B2238" t="s">
        <v>1302</v>
      </c>
      <c r="C2238" t="s">
        <v>1301</v>
      </c>
      <c r="D2238">
        <v>7085.1918678987804</v>
      </c>
      <c r="E2238">
        <v>5877.775928378549</v>
      </c>
      <c r="F2238" s="6">
        <v>-0.17041400741604884</v>
      </c>
    </row>
    <row r="2239" spans="2:6">
      <c r="B2239" t="s">
        <v>3086</v>
      </c>
      <c r="C2239" t="s">
        <v>3087</v>
      </c>
      <c r="D2239">
        <v>3019.3589067406442</v>
      </c>
      <c r="E2239">
        <v>5877.5980278000197</v>
      </c>
      <c r="F2239" s="6">
        <v>0.94663774971515546</v>
      </c>
    </row>
    <row r="2240" spans="2:6">
      <c r="B2240" t="s">
        <v>1354</v>
      </c>
      <c r="C2240" t="s">
        <v>1353</v>
      </c>
      <c r="D2240">
        <v>7373.8764238198446</v>
      </c>
      <c r="E2240">
        <v>5877.5820025510193</v>
      </c>
      <c r="F2240" s="6">
        <v>-0.20291829361763414</v>
      </c>
    </row>
    <row r="2241" spans="2:6">
      <c r="B2241" t="s">
        <v>1281</v>
      </c>
      <c r="C2241" t="s">
        <v>1280</v>
      </c>
      <c r="D2241">
        <v>5765.2622314959281</v>
      </c>
      <c r="E2241">
        <v>5860.0700464101692</v>
      </c>
      <c r="F2241" s="6">
        <v>1.6444666540283537E-2</v>
      </c>
    </row>
    <row r="2242" spans="2:6">
      <c r="B2242" t="s">
        <v>2436</v>
      </c>
      <c r="C2242" t="s">
        <v>2437</v>
      </c>
      <c r="D2242">
        <v>13711.580757457145</v>
      </c>
      <c r="E2242">
        <v>5858.0543873384322</v>
      </c>
      <c r="F2242" s="6">
        <v>-0.57276593479913052</v>
      </c>
    </row>
    <row r="2243" spans="2:6">
      <c r="B2243" t="s">
        <v>3005</v>
      </c>
      <c r="C2243" t="s">
        <v>2981</v>
      </c>
      <c r="D2243">
        <v>2060.5466999999999</v>
      </c>
      <c r="E2243">
        <v>5837.3756638639325</v>
      </c>
      <c r="F2243" s="6">
        <v>1.8329256812592178</v>
      </c>
    </row>
    <row r="2244" spans="2:6">
      <c r="B2244" t="s">
        <v>1106</v>
      </c>
      <c r="C2244" t="s">
        <v>1105</v>
      </c>
      <c r="D2244">
        <v>5034.6360246961704</v>
      </c>
      <c r="E2244">
        <v>5830.5037271122746</v>
      </c>
      <c r="F2244" s="6">
        <v>0.15807849832881082</v>
      </c>
    </row>
    <row r="2245" spans="2:6">
      <c r="B2245" t="s">
        <v>754</v>
      </c>
      <c r="C2245" t="s">
        <v>753</v>
      </c>
      <c r="D2245">
        <v>3772.6545000000001</v>
      </c>
      <c r="E2245">
        <v>5810.8829935240437</v>
      </c>
      <c r="F2245" s="6">
        <v>0.54026375686510475</v>
      </c>
    </row>
    <row r="2246" spans="2:6">
      <c r="B2246" t="s">
        <v>2905</v>
      </c>
      <c r="C2246" t="s">
        <v>2380</v>
      </c>
      <c r="D2246">
        <v>3883.3877789463963</v>
      </c>
      <c r="E2246">
        <v>5807.5998878538521</v>
      </c>
      <c r="F2246" s="6">
        <v>0.49549831704664693</v>
      </c>
    </row>
    <row r="2247" spans="2:6">
      <c r="B2247" t="s">
        <v>3057</v>
      </c>
      <c r="C2247" t="s">
        <v>3058</v>
      </c>
      <c r="D2247">
        <v>5219.8449131249372</v>
      </c>
      <c r="E2247">
        <v>5803.9386999999997</v>
      </c>
      <c r="F2247" s="6">
        <v>0.1119</v>
      </c>
    </row>
    <row r="2248" spans="2:6">
      <c r="B2248" t="s">
        <v>2869</v>
      </c>
      <c r="C2248" t="s">
        <v>2870</v>
      </c>
      <c r="D2248">
        <v>8251.2967147025538</v>
      </c>
      <c r="E2248">
        <v>5799.2699221456105</v>
      </c>
      <c r="F2248" s="6">
        <v>-0.2971686605558379</v>
      </c>
    </row>
    <row r="2249" spans="2:6">
      <c r="B2249" t="s">
        <v>2008</v>
      </c>
      <c r="C2249" t="s">
        <v>2007</v>
      </c>
      <c r="D2249">
        <v>14648.291300000001</v>
      </c>
      <c r="E2249">
        <v>5786.9197999999997</v>
      </c>
      <c r="F2249" s="6">
        <v>-0.60494233207937365</v>
      </c>
    </row>
    <row r="2250" spans="2:6">
      <c r="B2250" t="s">
        <v>1310</v>
      </c>
      <c r="C2250" t="s">
        <v>1309</v>
      </c>
      <c r="D2250">
        <v>5391.7813361804874</v>
      </c>
      <c r="E2250">
        <v>5779.3760180593008</v>
      </c>
      <c r="F2250" s="6">
        <v>7.1886201926983917E-2</v>
      </c>
    </row>
    <row r="2251" spans="2:6">
      <c r="B2251" t="s">
        <v>2394</v>
      </c>
      <c r="C2251" t="s">
        <v>2395</v>
      </c>
      <c r="D2251">
        <v>39016.000782739262</v>
      </c>
      <c r="E2251">
        <v>5774.1335687693982</v>
      </c>
      <c r="F2251" s="6">
        <v>-0.85200601156118794</v>
      </c>
    </row>
    <row r="2252" spans="2:6">
      <c r="B2252" t="s">
        <v>1534</v>
      </c>
      <c r="C2252" t="s">
        <v>1533</v>
      </c>
      <c r="D2252">
        <v>7419.0497522170326</v>
      </c>
      <c r="E2252">
        <v>5769.2659212514245</v>
      </c>
      <c r="F2252" s="6">
        <v>-0.22237131250839826</v>
      </c>
    </row>
    <row r="2253" spans="2:6">
      <c r="B2253" t="s">
        <v>2301</v>
      </c>
      <c r="C2253" t="s">
        <v>2302</v>
      </c>
      <c r="D2253">
        <v>95170.543258500809</v>
      </c>
      <c r="E2253">
        <v>5759.8993</v>
      </c>
      <c r="F2253" s="6">
        <v>-0.9395</v>
      </c>
    </row>
    <row r="2254" spans="2:6">
      <c r="B2254" t="s">
        <v>569</v>
      </c>
      <c r="C2254" t="s">
        <v>568</v>
      </c>
      <c r="D2254">
        <v>1478.0248951872418</v>
      </c>
      <c r="E2254">
        <v>5755.6247999999996</v>
      </c>
      <c r="F2254" s="6">
        <v>2.8940999999999999</v>
      </c>
    </row>
    <row r="2255" spans="2:6">
      <c r="B2255" t="s">
        <v>2443</v>
      </c>
      <c r="C2255" t="s">
        <v>2444</v>
      </c>
      <c r="D2255">
        <v>19354.967263078255</v>
      </c>
      <c r="E2255">
        <v>5745.3123999999998</v>
      </c>
      <c r="F2255" s="6">
        <v>-0.70320000000000005</v>
      </c>
    </row>
    <row r="2256" spans="2:6">
      <c r="B2256" t="s">
        <v>852</v>
      </c>
      <c r="C2256" t="s">
        <v>851</v>
      </c>
      <c r="D2256">
        <v>832.89909999999998</v>
      </c>
      <c r="E2256">
        <v>5733.6794</v>
      </c>
      <c r="F2256" s="6">
        <v>5.8840023959684915</v>
      </c>
    </row>
    <row r="2257" spans="2:6">
      <c r="B2257" t="s">
        <v>1884</v>
      </c>
      <c r="C2257" t="s">
        <v>1883</v>
      </c>
      <c r="D2257">
        <v>7485.1596704277435</v>
      </c>
      <c r="E2257">
        <v>5721.6045999999997</v>
      </c>
      <c r="F2257" s="6">
        <v>-0.2356</v>
      </c>
    </row>
    <row r="2258" spans="2:6">
      <c r="B2258" t="s">
        <v>3124</v>
      </c>
      <c r="C2258" t="s">
        <v>3125</v>
      </c>
      <c r="D2258">
        <v>2085.6635999999999</v>
      </c>
      <c r="E2258">
        <v>5679.6074410486008</v>
      </c>
      <c r="F2258" s="6">
        <v>1.7231656346922875</v>
      </c>
    </row>
    <row r="2259" spans="2:6">
      <c r="B2259" t="s">
        <v>1174</v>
      </c>
      <c r="C2259" t="s">
        <v>1173</v>
      </c>
      <c r="D2259">
        <v>1886.2029</v>
      </c>
      <c r="E2259">
        <v>5661.049</v>
      </c>
      <c r="F2259" s="6">
        <v>2.0012937632531473</v>
      </c>
    </row>
    <row r="2260" spans="2:6">
      <c r="B2260" t="s">
        <v>1012</v>
      </c>
      <c r="C2260" t="s">
        <v>1011</v>
      </c>
      <c r="D2260">
        <v>4186.7294000000002</v>
      </c>
      <c r="E2260">
        <v>5646.7070000000003</v>
      </c>
      <c r="F2260" s="6">
        <v>0.34871553915091824</v>
      </c>
    </row>
    <row r="2261" spans="2:6">
      <c r="B2261" t="s">
        <v>2468</v>
      </c>
      <c r="C2261" t="s">
        <v>2469</v>
      </c>
      <c r="D2261">
        <v>13431.316005433609</v>
      </c>
      <c r="E2261">
        <v>5621.7402000000002</v>
      </c>
      <c r="F2261" s="6">
        <v>-0.58140000000000003</v>
      </c>
    </row>
    <row r="2262" spans="2:6">
      <c r="B2262" t="s">
        <v>3275</v>
      </c>
      <c r="C2262" t="s">
        <v>2380</v>
      </c>
      <c r="D2262">
        <v>547.84339999999997</v>
      </c>
      <c r="E2262">
        <v>5620.8738999999996</v>
      </c>
      <c r="F2262" s="6">
        <v>9.2600011244089089</v>
      </c>
    </row>
    <row r="2263" spans="2:6">
      <c r="B2263" t="s">
        <v>2387</v>
      </c>
      <c r="C2263" t="s">
        <v>2388</v>
      </c>
      <c r="D2263">
        <v>21501.167322496862</v>
      </c>
      <c r="E2263">
        <v>5604.3300985046799</v>
      </c>
      <c r="F2263" s="6">
        <v>-0.73934763566809603</v>
      </c>
    </row>
    <row r="2264" spans="2:6">
      <c r="B2264" t="s">
        <v>952</v>
      </c>
      <c r="C2264" t="s">
        <v>951</v>
      </c>
      <c r="D2264">
        <v>3879.1179000000002</v>
      </c>
      <c r="E2264">
        <v>5599.9402</v>
      </c>
      <c r="F2264" s="6">
        <v>0.44361175513639317</v>
      </c>
    </row>
    <row r="2265" spans="2:6">
      <c r="B2265" t="s">
        <v>1044</v>
      </c>
      <c r="C2265" t="s">
        <v>1043</v>
      </c>
      <c r="D2265">
        <v>4469.9211999999998</v>
      </c>
      <c r="E2265">
        <v>5592.1801999999998</v>
      </c>
      <c r="F2265" s="6">
        <v>0.25106907924909283</v>
      </c>
    </row>
    <row r="2266" spans="2:6">
      <c r="B2266" t="s">
        <v>2600</v>
      </c>
      <c r="C2266" t="s">
        <v>2601</v>
      </c>
      <c r="D2266">
        <v>6680.1455341964011</v>
      </c>
      <c r="E2266">
        <v>5587.2297989046074</v>
      </c>
      <c r="F2266" s="6">
        <v>-0.16360657558986369</v>
      </c>
    </row>
    <row r="2267" spans="2:6">
      <c r="B2267" t="s">
        <v>2957</v>
      </c>
      <c r="C2267" t="s">
        <v>2380</v>
      </c>
      <c r="D2267">
        <v>4349.8145999999997</v>
      </c>
      <c r="E2267">
        <v>5578.1026018048533</v>
      </c>
      <c r="F2267" s="6">
        <v>0.28237709299261948</v>
      </c>
    </row>
    <row r="2268" spans="2:6">
      <c r="B2268" t="s">
        <v>3233</v>
      </c>
      <c r="C2268" t="s">
        <v>2380</v>
      </c>
      <c r="D2268">
        <v>2300.3087</v>
      </c>
      <c r="E2268">
        <v>5535.7406000000001</v>
      </c>
      <c r="F2268" s="6">
        <v>1.4065207421942976</v>
      </c>
    </row>
    <row r="2269" spans="2:6">
      <c r="B2269" t="s">
        <v>1227</v>
      </c>
      <c r="C2269" t="s">
        <v>1226</v>
      </c>
      <c r="D2269">
        <v>4700.9493904122492</v>
      </c>
      <c r="E2269">
        <v>5534.7158187598689</v>
      </c>
      <c r="F2269" s="6">
        <v>0.17736128579646393</v>
      </c>
    </row>
    <row r="2270" spans="2:6">
      <c r="B2270" t="s">
        <v>1245</v>
      </c>
      <c r="C2270" t="s">
        <v>1244</v>
      </c>
      <c r="D2270">
        <v>5618.0273999999999</v>
      </c>
      <c r="E2270">
        <v>5531.188550171506</v>
      </c>
      <c r="F2270" s="6">
        <v>-1.5457178053010945E-2</v>
      </c>
    </row>
    <row r="2271" spans="2:6">
      <c r="B2271" t="s">
        <v>2999</v>
      </c>
      <c r="C2271" t="s">
        <v>3000</v>
      </c>
      <c r="D2271">
        <v>5168.0904931892655</v>
      </c>
      <c r="E2271">
        <v>5529.691602510331</v>
      </c>
      <c r="F2271" s="6">
        <v>6.9968029738952664E-2</v>
      </c>
    </row>
    <row r="2272" spans="2:6">
      <c r="B2272" t="s">
        <v>694</v>
      </c>
      <c r="C2272" t="s">
        <v>693</v>
      </c>
      <c r="D2272">
        <v>2335.2065199367967</v>
      </c>
      <c r="E2272">
        <v>5523.2266</v>
      </c>
      <c r="F2272" s="6">
        <v>1.3652</v>
      </c>
    </row>
    <row r="2273" spans="2:6">
      <c r="B2273" t="s">
        <v>2798</v>
      </c>
      <c r="C2273" t="s">
        <v>2660</v>
      </c>
      <c r="D2273">
        <v>9458.5805257259617</v>
      </c>
      <c r="E2273">
        <v>5522.2306683491624</v>
      </c>
      <c r="F2273" s="6">
        <v>-0.41616708201304631</v>
      </c>
    </row>
    <row r="2274" spans="2:6">
      <c r="B2274" t="s">
        <v>3153</v>
      </c>
      <c r="C2274" t="s">
        <v>3154</v>
      </c>
      <c r="D2274">
        <v>2302.6691999999998</v>
      </c>
      <c r="E2274">
        <v>5517.1324999999997</v>
      </c>
      <c r="F2274" s="6">
        <v>1.3959726824851786</v>
      </c>
    </row>
    <row r="2275" spans="2:6">
      <c r="B2275" t="s">
        <v>1205</v>
      </c>
      <c r="C2275" t="s">
        <v>1204</v>
      </c>
      <c r="D2275">
        <v>5555.1461477183739</v>
      </c>
      <c r="E2275">
        <v>5515.303971467597</v>
      </c>
      <c r="F2275" s="6">
        <v>-7.1721202631439551E-3</v>
      </c>
    </row>
    <row r="2276" spans="2:6">
      <c r="B2276" t="s">
        <v>3062</v>
      </c>
      <c r="C2276" t="s">
        <v>2380</v>
      </c>
      <c r="D2276">
        <v>3719.1059</v>
      </c>
      <c r="E2276">
        <v>5511.22406755458</v>
      </c>
      <c r="F2276" s="6">
        <v>0.48186801229687481</v>
      </c>
    </row>
    <row r="2277" spans="2:6">
      <c r="B2277" t="s">
        <v>1700</v>
      </c>
      <c r="C2277" t="s">
        <v>1699</v>
      </c>
      <c r="D2277">
        <v>13861.9902</v>
      </c>
      <c r="E2277">
        <v>5508.5451999999996</v>
      </c>
      <c r="F2277" s="6">
        <v>-0.60261512809322282</v>
      </c>
    </row>
    <row r="2278" spans="2:6">
      <c r="B2278" t="s">
        <v>3513</v>
      </c>
      <c r="C2278" t="s">
        <v>3514</v>
      </c>
      <c r="D2278">
        <v>426.12310000000002</v>
      </c>
      <c r="E2278">
        <v>5493.57054396678</v>
      </c>
      <c r="F2278" s="6">
        <v>11.891980143688009</v>
      </c>
    </row>
    <row r="2279" spans="2:6">
      <c r="B2279" t="s">
        <v>2486</v>
      </c>
      <c r="C2279" t="s">
        <v>2308</v>
      </c>
      <c r="D2279">
        <v>28730.87707446035</v>
      </c>
      <c r="E2279">
        <v>5490.7580518312552</v>
      </c>
      <c r="F2279" s="6">
        <v>-0.80888999533146388</v>
      </c>
    </row>
    <row r="2280" spans="2:6">
      <c r="B2280" t="s">
        <v>3060</v>
      </c>
      <c r="C2280" t="s">
        <v>3061</v>
      </c>
      <c r="D2280">
        <v>5297.4999407821824</v>
      </c>
      <c r="E2280">
        <v>5477.3374999999996</v>
      </c>
      <c r="F2280" s="6">
        <v>3.39E-2</v>
      </c>
    </row>
    <row r="2281" spans="2:6">
      <c r="B2281" t="s">
        <v>1982</v>
      </c>
      <c r="C2281" t="s">
        <v>1981</v>
      </c>
      <c r="D2281">
        <v>21177.07219866521</v>
      </c>
      <c r="E2281">
        <v>5472.4625999999998</v>
      </c>
      <c r="F2281" s="6">
        <v>-0.74160000000000004</v>
      </c>
    </row>
    <row r="2282" spans="2:6">
      <c r="B2282" t="s">
        <v>1283</v>
      </c>
      <c r="C2282" t="s">
        <v>1282</v>
      </c>
      <c r="D2282">
        <v>5422.5011470637492</v>
      </c>
      <c r="E2282">
        <v>5465.316605545283</v>
      </c>
      <c r="F2282" s="6">
        <v>7.8958873996215484E-3</v>
      </c>
    </row>
    <row r="2283" spans="2:6">
      <c r="B2283" t="s">
        <v>1004</v>
      </c>
      <c r="C2283" t="s">
        <v>1003</v>
      </c>
      <c r="D2283">
        <v>3770.6014434840131</v>
      </c>
      <c r="E2283">
        <v>5459.3889048969813</v>
      </c>
      <c r="F2283" s="6">
        <v>0.44788278122880554</v>
      </c>
    </row>
    <row r="2284" spans="2:6">
      <c r="B2284" t="s">
        <v>1694</v>
      </c>
      <c r="C2284" t="s">
        <v>1693</v>
      </c>
      <c r="D2284">
        <v>12060.872216775928</v>
      </c>
      <c r="E2284">
        <v>5458.1993000000002</v>
      </c>
      <c r="F2284" s="6">
        <v>-0.5474</v>
      </c>
    </row>
    <row r="2285" spans="2:6">
      <c r="B2285" t="s">
        <v>1582</v>
      </c>
      <c r="C2285" t="s">
        <v>1581</v>
      </c>
      <c r="D2285">
        <v>5725.7011000000002</v>
      </c>
      <c r="E2285">
        <v>5455.55791886923</v>
      </c>
      <c r="F2285" s="6">
        <v>-4.7180803959670614E-2</v>
      </c>
    </row>
    <row r="2286" spans="2:6">
      <c r="B2286" t="s">
        <v>1590</v>
      </c>
      <c r="C2286" t="s">
        <v>1589</v>
      </c>
      <c r="D2286">
        <v>9461.2864000000009</v>
      </c>
      <c r="E2286">
        <v>5454.3592707052767</v>
      </c>
      <c r="F2286" s="6">
        <v>-0.42350764577792754</v>
      </c>
    </row>
    <row r="2287" spans="2:6">
      <c r="B2287" t="s">
        <v>918</v>
      </c>
      <c r="C2287" t="s">
        <v>917</v>
      </c>
      <c r="D2287">
        <v>3601.1272407912643</v>
      </c>
      <c r="E2287">
        <v>5450.3823206055995</v>
      </c>
      <c r="F2287" s="6">
        <v>0.51352117161181021</v>
      </c>
    </row>
    <row r="2288" spans="2:6">
      <c r="B2288" t="s">
        <v>3105</v>
      </c>
      <c r="C2288" t="s">
        <v>3106</v>
      </c>
      <c r="D2288">
        <v>3760.6882999999998</v>
      </c>
      <c r="E2288">
        <v>5441.6124</v>
      </c>
      <c r="F2288" s="6">
        <v>0.44697245980210587</v>
      </c>
    </row>
    <row r="2289" spans="2:6">
      <c r="B2289" t="s">
        <v>1136</v>
      </c>
      <c r="C2289" t="s">
        <v>1135</v>
      </c>
      <c r="D2289">
        <v>6671.0203491970206</v>
      </c>
      <c r="E2289">
        <v>5429.0648000000001</v>
      </c>
      <c r="F2289" s="6">
        <v>-0.1862</v>
      </c>
    </row>
    <row r="2290" spans="2:6">
      <c r="B2290" t="s">
        <v>1648</v>
      </c>
      <c r="C2290" t="s">
        <v>1647</v>
      </c>
      <c r="D2290">
        <v>9025.4415176038219</v>
      </c>
      <c r="E2290">
        <v>5425.5432905371008</v>
      </c>
      <c r="F2290" s="6">
        <v>-0.39886117704549295</v>
      </c>
    </row>
    <row r="2291" spans="2:6">
      <c r="B2291" t="s">
        <v>1738</v>
      </c>
      <c r="C2291" t="s">
        <v>1737</v>
      </c>
      <c r="D2291">
        <v>10238.022848973895</v>
      </c>
      <c r="E2291">
        <v>5416.6902</v>
      </c>
      <c r="F2291" s="6">
        <v>-0.47089999999999999</v>
      </c>
    </row>
    <row r="2292" spans="2:6">
      <c r="B2292" t="s">
        <v>2918</v>
      </c>
      <c r="C2292" t="s">
        <v>2132</v>
      </c>
      <c r="D2292">
        <v>5711.7605781113516</v>
      </c>
      <c r="E2292">
        <v>5409.7416000000003</v>
      </c>
      <c r="F2292" s="6">
        <v>-5.2900000000000003E-2</v>
      </c>
    </row>
    <row r="2293" spans="2:6">
      <c r="B2293" t="s">
        <v>1154</v>
      </c>
      <c r="C2293" t="s">
        <v>1153</v>
      </c>
      <c r="D2293">
        <v>3039.8755000000001</v>
      </c>
      <c r="E2293">
        <v>5406.3010000000004</v>
      </c>
      <c r="F2293" s="6">
        <v>0.77846132185347727</v>
      </c>
    </row>
    <row r="2294" spans="2:6">
      <c r="B2294" t="s">
        <v>3028</v>
      </c>
      <c r="C2294" t="s">
        <v>3029</v>
      </c>
      <c r="D2294">
        <v>3253.0111000000002</v>
      </c>
      <c r="E2294">
        <v>5386.7295000000004</v>
      </c>
      <c r="F2294" s="6">
        <v>0.65592103267031576</v>
      </c>
    </row>
    <row r="2295" spans="2:6">
      <c r="B2295" t="s">
        <v>1028</v>
      </c>
      <c r="C2295" t="s">
        <v>1027</v>
      </c>
      <c r="D2295">
        <v>5486.6124528238906</v>
      </c>
      <c r="E2295">
        <v>5381.9360856875501</v>
      </c>
      <c r="F2295" s="6">
        <v>-1.9078505733071238E-2</v>
      </c>
    </row>
    <row r="2296" spans="2:6">
      <c r="B2296" t="s">
        <v>1096</v>
      </c>
      <c r="C2296" t="s">
        <v>1095</v>
      </c>
      <c r="D2296">
        <v>7405.1116691913112</v>
      </c>
      <c r="E2296">
        <v>5376.1274138681265</v>
      </c>
      <c r="F2296" s="6">
        <v>-0.27399779314128336</v>
      </c>
    </row>
    <row r="2297" spans="2:6">
      <c r="B2297" t="s">
        <v>726</v>
      </c>
      <c r="C2297" t="s">
        <v>725</v>
      </c>
      <c r="D2297">
        <v>2257.3523937907507</v>
      </c>
      <c r="E2297">
        <v>5356.1541869319299</v>
      </c>
      <c r="F2297" s="6">
        <v>1.3727594334251862</v>
      </c>
    </row>
    <row r="2298" spans="2:6">
      <c r="B2298" t="s">
        <v>734</v>
      </c>
      <c r="C2298" t="s">
        <v>733</v>
      </c>
      <c r="D2298">
        <v>1929.5988</v>
      </c>
      <c r="E2298">
        <v>5352.9971863249903</v>
      </c>
      <c r="F2298" s="6">
        <v>1.7741503499717095</v>
      </c>
    </row>
    <row r="2299" spans="2:6">
      <c r="B2299" t="s">
        <v>2490</v>
      </c>
      <c r="C2299" t="s">
        <v>2491</v>
      </c>
      <c r="D2299">
        <v>13324.016030957353</v>
      </c>
      <c r="E2299">
        <v>5329.9561624928856</v>
      </c>
      <c r="F2299" s="6">
        <v>-0.59997375039859357</v>
      </c>
    </row>
    <row r="2300" spans="2:6">
      <c r="B2300" t="s">
        <v>2951</v>
      </c>
      <c r="C2300" t="s">
        <v>2375</v>
      </c>
      <c r="D2300">
        <v>4690.0073047635924</v>
      </c>
      <c r="E2300">
        <v>5322.0555248850023</v>
      </c>
      <c r="F2300" s="6">
        <v>0.13476486901831586</v>
      </c>
    </row>
    <row r="2301" spans="2:6">
      <c r="B2301" t="s">
        <v>3173</v>
      </c>
      <c r="C2301" t="s">
        <v>3174</v>
      </c>
      <c r="D2301">
        <v>551.34720000000004</v>
      </c>
      <c r="E2301">
        <v>5321.4484000000002</v>
      </c>
      <c r="F2301" s="6">
        <v>8.6517192796118305</v>
      </c>
    </row>
    <row r="2302" spans="2:6">
      <c r="B2302" t="s">
        <v>1464</v>
      </c>
      <c r="C2302" t="s">
        <v>1463</v>
      </c>
      <c r="D2302">
        <v>7027.1503000000002</v>
      </c>
      <c r="E2302">
        <v>5318.6371430239305</v>
      </c>
      <c r="F2302" s="6">
        <v>-0.24313029948655995</v>
      </c>
    </row>
    <row r="2303" spans="2:6">
      <c r="B2303" t="s">
        <v>1390</v>
      </c>
      <c r="C2303" t="s">
        <v>1389</v>
      </c>
      <c r="D2303">
        <v>6153.3978749462431</v>
      </c>
      <c r="E2303">
        <v>5308.0330976678961</v>
      </c>
      <c r="F2303" s="6">
        <v>-0.13738178392791356</v>
      </c>
    </row>
    <row r="2304" spans="2:6">
      <c r="B2304" t="s">
        <v>3260</v>
      </c>
      <c r="C2304" t="s">
        <v>3261</v>
      </c>
      <c r="D2304">
        <v>1824.8909008606186</v>
      </c>
      <c r="E2304">
        <v>5301.0331999999999</v>
      </c>
      <c r="F2304" s="6">
        <v>1.9048</v>
      </c>
    </row>
    <row r="2305" spans="2:6">
      <c r="B2305" t="s">
        <v>1836</v>
      </c>
      <c r="C2305" t="s">
        <v>1835</v>
      </c>
      <c r="D2305">
        <v>11434.157240957054</v>
      </c>
      <c r="E2305">
        <v>5295.9916000000003</v>
      </c>
      <c r="F2305" s="6">
        <v>-0.53680000000000005</v>
      </c>
    </row>
    <row r="2306" spans="2:6">
      <c r="B2306" t="s">
        <v>3085</v>
      </c>
      <c r="C2306" t="s">
        <v>2583</v>
      </c>
      <c r="D2306">
        <v>3030.1018802926592</v>
      </c>
      <c r="E2306">
        <v>5284.0888573155125</v>
      </c>
      <c r="F2306" s="6">
        <v>0.74386507981215289</v>
      </c>
    </row>
    <row r="2307" spans="2:6">
      <c r="B2307" t="s">
        <v>2071</v>
      </c>
      <c r="C2307" t="s">
        <v>2070</v>
      </c>
      <c r="D2307">
        <v>18445.961238722241</v>
      </c>
      <c r="E2307">
        <v>5275.8512000000001</v>
      </c>
      <c r="F2307" s="6">
        <v>-0.71399999999999997</v>
      </c>
    </row>
    <row r="2308" spans="2:6">
      <c r="B2308" t="s">
        <v>1188</v>
      </c>
      <c r="C2308" t="s">
        <v>1187</v>
      </c>
      <c r="D2308">
        <v>4784.409184455315</v>
      </c>
      <c r="E2308">
        <v>5267.784959778367</v>
      </c>
      <c r="F2308" s="6">
        <v>0.10103144540679221</v>
      </c>
    </row>
    <row r="2309" spans="2:6">
      <c r="B2309" t="s">
        <v>1190</v>
      </c>
      <c r="C2309" t="s">
        <v>1189</v>
      </c>
      <c r="D2309">
        <v>4702.0085107377654</v>
      </c>
      <c r="E2309">
        <v>5266.5047000000004</v>
      </c>
      <c r="F2309" s="6">
        <v>0.1201</v>
      </c>
    </row>
    <row r="2310" spans="2:6">
      <c r="B2310" t="s">
        <v>1006</v>
      </c>
      <c r="C2310" t="s">
        <v>1005</v>
      </c>
      <c r="D2310">
        <v>2952.8389999999999</v>
      </c>
      <c r="E2310">
        <v>5262.5438999999997</v>
      </c>
      <c r="F2310" s="6">
        <v>0.78219804737068288</v>
      </c>
    </row>
    <row r="2311" spans="2:6">
      <c r="B2311" t="s">
        <v>1588</v>
      </c>
      <c r="C2311" t="s">
        <v>1587</v>
      </c>
      <c r="D2311">
        <v>8218.3290677227833</v>
      </c>
      <c r="E2311">
        <v>5261.1782318877122</v>
      </c>
      <c r="F2311" s="6">
        <v>-0.3598238536649967</v>
      </c>
    </row>
    <row r="2312" spans="2:6">
      <c r="B2312" t="s">
        <v>1070</v>
      </c>
      <c r="C2312" t="s">
        <v>1069</v>
      </c>
      <c r="D2312">
        <v>3640.344867607334</v>
      </c>
      <c r="E2312">
        <v>5257.9301019528039</v>
      </c>
      <c r="F2312" s="6">
        <v>0.44434944852042269</v>
      </c>
    </row>
    <row r="2313" spans="2:6">
      <c r="B2313" t="s">
        <v>1030</v>
      </c>
      <c r="C2313" t="s">
        <v>1029</v>
      </c>
      <c r="D2313">
        <v>5082.6728611706458</v>
      </c>
      <c r="E2313">
        <v>5256.0333817845676</v>
      </c>
      <c r="F2313" s="6">
        <v>3.4108140608127391E-2</v>
      </c>
    </row>
    <row r="2314" spans="2:6">
      <c r="B2314" t="s">
        <v>1792</v>
      </c>
      <c r="C2314" t="s">
        <v>1791</v>
      </c>
      <c r="D2314">
        <v>12107.7675472746</v>
      </c>
      <c r="E2314">
        <v>5235.8986999999997</v>
      </c>
      <c r="F2314" s="6">
        <v>-0.56759999999999999</v>
      </c>
    </row>
    <row r="2315" spans="2:6">
      <c r="B2315" t="s">
        <v>1572</v>
      </c>
      <c r="C2315" t="s">
        <v>1571</v>
      </c>
      <c r="D2315">
        <v>11284.1371</v>
      </c>
      <c r="E2315">
        <v>5233.5855909301108</v>
      </c>
      <c r="F2315" s="6">
        <v>-0.53619975151399824</v>
      </c>
    </row>
    <row r="2316" spans="2:6">
      <c r="B2316" t="s">
        <v>1251</v>
      </c>
      <c r="C2316" t="s">
        <v>1250</v>
      </c>
      <c r="D2316">
        <v>7758.2337061175922</v>
      </c>
      <c r="E2316">
        <v>5229.1331986951072</v>
      </c>
      <c r="F2316" s="6">
        <v>-0.32598921394030911</v>
      </c>
    </row>
    <row r="2317" spans="2:6">
      <c r="B2317" t="s">
        <v>2855</v>
      </c>
      <c r="C2317" t="s">
        <v>2300</v>
      </c>
      <c r="D2317">
        <v>489.00420000000003</v>
      </c>
      <c r="E2317">
        <v>5211.4609908174125</v>
      </c>
      <c r="F2317" s="6">
        <v>9.6572929042683313</v>
      </c>
    </row>
    <row r="2318" spans="2:6">
      <c r="B2318" t="s">
        <v>1267</v>
      </c>
      <c r="C2318" t="s">
        <v>1266</v>
      </c>
      <c r="D2318">
        <v>8200.2775999999994</v>
      </c>
      <c r="E2318">
        <v>5179.8278</v>
      </c>
      <c r="F2318" s="6">
        <v>-0.36833506709577735</v>
      </c>
    </row>
    <row r="2319" spans="2:6">
      <c r="B2319" t="s">
        <v>3071</v>
      </c>
      <c r="C2319" t="s">
        <v>3072</v>
      </c>
      <c r="D2319">
        <v>6257.5880999999999</v>
      </c>
      <c r="E2319">
        <v>5176.6069356742364</v>
      </c>
      <c r="F2319" s="6">
        <v>-0.17274725454137252</v>
      </c>
    </row>
    <row r="2320" spans="2:6">
      <c r="B2320" t="s">
        <v>2732</v>
      </c>
      <c r="C2320" t="s">
        <v>2733</v>
      </c>
      <c r="D2320">
        <v>5901.149225535356</v>
      </c>
      <c r="E2320">
        <v>5171.6689308863306</v>
      </c>
      <c r="F2320" s="6">
        <v>-0.12361664936253947</v>
      </c>
    </row>
    <row r="2321" spans="2:6">
      <c r="B2321" t="s">
        <v>2815</v>
      </c>
      <c r="C2321" t="s">
        <v>2816</v>
      </c>
      <c r="D2321">
        <v>4233.5638105820626</v>
      </c>
      <c r="E2321">
        <v>5170.3905323632698</v>
      </c>
      <c r="F2321" s="6">
        <v>0.22128560326398028</v>
      </c>
    </row>
    <row r="2322" spans="2:6">
      <c r="B2322" t="s">
        <v>1257</v>
      </c>
      <c r="C2322" t="s">
        <v>1256</v>
      </c>
      <c r="D2322">
        <v>7309.1383999999998</v>
      </c>
      <c r="E2322">
        <v>5167.0155002654819</v>
      </c>
      <c r="F2322" s="6">
        <v>-0.29307461187689621</v>
      </c>
    </row>
    <row r="2323" spans="2:6">
      <c r="B2323" t="s">
        <v>3006</v>
      </c>
      <c r="C2323" t="s">
        <v>3007</v>
      </c>
      <c r="D2323">
        <v>2736.9767164553409</v>
      </c>
      <c r="E2323">
        <v>5155.351633204592</v>
      </c>
      <c r="F2323" s="6">
        <v>0.88359352938935087</v>
      </c>
    </row>
    <row r="2324" spans="2:6">
      <c r="B2324" t="s">
        <v>2587</v>
      </c>
      <c r="C2324" t="s">
        <v>2588</v>
      </c>
      <c r="D2324">
        <v>5705.9768079263067</v>
      </c>
      <c r="E2324">
        <v>5151.6756999999998</v>
      </c>
      <c r="F2324" s="6">
        <v>-9.7100000000000006E-2</v>
      </c>
    </row>
    <row r="2325" spans="2:6">
      <c r="B2325" t="s">
        <v>1124</v>
      </c>
      <c r="C2325" t="s">
        <v>1123</v>
      </c>
      <c r="D2325">
        <v>4692.8437999999996</v>
      </c>
      <c r="E2325">
        <v>5145.9731625948507</v>
      </c>
      <c r="F2325" s="6">
        <v>9.6557520749966486E-2</v>
      </c>
    </row>
    <row r="2326" spans="2:6">
      <c r="B2326" t="s">
        <v>2292</v>
      </c>
      <c r="C2326" t="s">
        <v>2293</v>
      </c>
      <c r="D2326">
        <v>149103.02767571362</v>
      </c>
      <c r="E2326">
        <v>5139.6611594403448</v>
      </c>
      <c r="F2326" s="6">
        <v>-0.96552946483005919</v>
      </c>
    </row>
    <row r="2327" spans="2:6">
      <c r="B2327" t="s">
        <v>1400</v>
      </c>
      <c r="C2327" t="s">
        <v>1399</v>
      </c>
      <c r="D2327">
        <v>6354.099185651623</v>
      </c>
      <c r="E2327">
        <v>5137.4849981011266</v>
      </c>
      <c r="F2327" s="6">
        <v>-0.19146918422327563</v>
      </c>
    </row>
    <row r="2328" spans="2:6">
      <c r="B2328" t="s">
        <v>2025</v>
      </c>
      <c r="C2328" t="s">
        <v>2024</v>
      </c>
      <c r="D2328">
        <v>12800.291450217057</v>
      </c>
      <c r="E2328">
        <v>5121.3116</v>
      </c>
      <c r="F2328" s="6">
        <v>-0.59989999999999999</v>
      </c>
    </row>
    <row r="2329" spans="2:6">
      <c r="B2329" t="s">
        <v>1508</v>
      </c>
      <c r="C2329" t="s">
        <v>1507</v>
      </c>
      <c r="D2329">
        <v>5924.9342261531547</v>
      </c>
      <c r="E2329">
        <v>5115.9851175004733</v>
      </c>
      <c r="F2329" s="6">
        <v>-0.13653301079392788</v>
      </c>
    </row>
    <row r="2330" spans="2:6">
      <c r="B2330" t="s">
        <v>850</v>
      </c>
      <c r="C2330" t="s">
        <v>849</v>
      </c>
      <c r="D2330">
        <v>3229.8299000000002</v>
      </c>
      <c r="E2330">
        <v>5107.4013999999997</v>
      </c>
      <c r="F2330" s="6">
        <v>0.58132209996569784</v>
      </c>
    </row>
    <row r="2331" spans="2:6">
      <c r="B2331" t="s">
        <v>1460</v>
      </c>
      <c r="C2331" t="s">
        <v>1459</v>
      </c>
      <c r="D2331">
        <v>6726.0850656068405</v>
      </c>
      <c r="E2331">
        <v>5105.3281373512418</v>
      </c>
      <c r="F2331" s="6">
        <v>-0.24096586832408295</v>
      </c>
    </row>
    <row r="2332" spans="2:6">
      <c r="B2332" t="s">
        <v>1249</v>
      </c>
      <c r="C2332" t="s">
        <v>1248</v>
      </c>
      <c r="D2332">
        <v>8837.9776850789731</v>
      </c>
      <c r="E2332">
        <v>5101.5439999999999</v>
      </c>
      <c r="F2332" s="6">
        <v>-0.42280000000000001</v>
      </c>
    </row>
    <row r="2333" spans="2:6">
      <c r="B2333" t="s">
        <v>3209</v>
      </c>
      <c r="C2333" t="s">
        <v>3210</v>
      </c>
      <c r="D2333">
        <v>994.4357</v>
      </c>
      <c r="E2333">
        <v>5098.7124000000003</v>
      </c>
      <c r="F2333" s="6">
        <v>4.1272419121718977</v>
      </c>
    </row>
    <row r="2334" spans="2:6">
      <c r="B2334" t="s">
        <v>1225</v>
      </c>
      <c r="C2334" t="s">
        <v>1224</v>
      </c>
      <c r="D2334">
        <v>4352.4244142760135</v>
      </c>
      <c r="E2334">
        <v>5095.3351000000002</v>
      </c>
      <c r="F2334" s="6">
        <v>0.17069999999999999</v>
      </c>
    </row>
    <row r="2335" spans="2:6">
      <c r="B2335" t="s">
        <v>1660</v>
      </c>
      <c r="C2335" t="s">
        <v>1659</v>
      </c>
      <c r="D2335">
        <v>8400.9253000000008</v>
      </c>
      <c r="E2335">
        <v>5067.3959899664706</v>
      </c>
      <c r="F2335" s="6">
        <v>-0.39680501742272722</v>
      </c>
    </row>
    <row r="2336" spans="2:6">
      <c r="B2336" t="s">
        <v>1273</v>
      </c>
      <c r="C2336" t="s">
        <v>1272</v>
      </c>
      <c r="D2336">
        <v>5086.4102136545998</v>
      </c>
      <c r="E2336">
        <v>5048.9128000000001</v>
      </c>
      <c r="F2336" s="6">
        <v>-7.4000000000000003E-3</v>
      </c>
    </row>
    <row r="2337" spans="2:6">
      <c r="B2337" t="s">
        <v>2189</v>
      </c>
      <c r="C2337" t="s">
        <v>2188</v>
      </c>
      <c r="D2337">
        <v>21764.499426277547</v>
      </c>
      <c r="E2337">
        <v>5044.8003342945813</v>
      </c>
      <c r="F2337" s="6">
        <v>-0.76820967781121119</v>
      </c>
    </row>
    <row r="2338" spans="2:6">
      <c r="B2338" t="s">
        <v>1568</v>
      </c>
      <c r="C2338" t="s">
        <v>1567</v>
      </c>
      <c r="D2338">
        <v>6282.3020967267948</v>
      </c>
      <c r="E2338">
        <v>5040.1461658280232</v>
      </c>
      <c r="F2338" s="6">
        <v>-0.19772304989057432</v>
      </c>
    </row>
    <row r="2339" spans="2:6">
      <c r="B2339" t="s">
        <v>3304</v>
      </c>
      <c r="C2339" t="s">
        <v>3305</v>
      </c>
      <c r="D2339">
        <v>2153.7006000000001</v>
      </c>
      <c r="E2339">
        <v>5037.1020858456568</v>
      </c>
      <c r="F2339" s="6">
        <v>1.3388125934708177</v>
      </c>
    </row>
    <row r="2340" spans="2:6">
      <c r="B2340" t="s">
        <v>880</v>
      </c>
      <c r="C2340" t="s">
        <v>879</v>
      </c>
      <c r="D2340">
        <v>3406.5949000000001</v>
      </c>
      <c r="E2340">
        <v>5031.6469652318383</v>
      </c>
      <c r="F2340" s="6">
        <v>0.47703120357276352</v>
      </c>
    </row>
    <row r="2341" spans="2:6">
      <c r="B2341" t="s">
        <v>1060</v>
      </c>
      <c r="C2341" t="s">
        <v>1059</v>
      </c>
      <c r="D2341">
        <v>5113.6141566548704</v>
      </c>
      <c r="E2341">
        <v>5030.8228345024017</v>
      </c>
      <c r="F2341" s="6">
        <v>-1.6190373308616501E-2</v>
      </c>
    </row>
    <row r="2342" spans="2:6">
      <c r="B2342" t="s">
        <v>2923</v>
      </c>
      <c r="C2342" t="s">
        <v>2924</v>
      </c>
      <c r="D2342">
        <v>7629.8389574853236</v>
      </c>
      <c r="E2342">
        <v>5030.3838999999998</v>
      </c>
      <c r="F2342" s="6">
        <v>-0.3407</v>
      </c>
    </row>
    <row r="2343" spans="2:6">
      <c r="B2343" t="s">
        <v>1376</v>
      </c>
      <c r="C2343" t="s">
        <v>1375</v>
      </c>
      <c r="D2343">
        <v>6594.6367</v>
      </c>
      <c r="E2343">
        <v>5025.9058000000005</v>
      </c>
      <c r="F2343" s="6">
        <v>-0.23787980617643423</v>
      </c>
    </row>
    <row r="2344" spans="2:6">
      <c r="B2344" t="s">
        <v>2294</v>
      </c>
      <c r="C2344" t="s">
        <v>2295</v>
      </c>
      <c r="D2344">
        <v>126433.94900184814</v>
      </c>
      <c r="E2344">
        <v>5025.8837999999996</v>
      </c>
      <c r="F2344" s="6">
        <v>-0.96020000000000005</v>
      </c>
    </row>
    <row r="2345" spans="2:6">
      <c r="B2345" t="s">
        <v>1868</v>
      </c>
      <c r="C2345" t="s">
        <v>1867</v>
      </c>
      <c r="D2345">
        <v>13673.164301432755</v>
      </c>
      <c r="E2345">
        <v>5010.8525</v>
      </c>
      <c r="F2345" s="6">
        <v>-0.63349999999999995</v>
      </c>
    </row>
    <row r="2346" spans="2:6">
      <c r="B2346" t="s">
        <v>1814</v>
      </c>
      <c r="C2346" t="s">
        <v>1813</v>
      </c>
      <c r="D2346">
        <v>11080.078039532858</v>
      </c>
      <c r="E2346">
        <v>4996.9315840748905</v>
      </c>
      <c r="F2346" s="6">
        <v>-0.54901657134126436</v>
      </c>
    </row>
    <row r="2347" spans="2:6">
      <c r="B2347" t="s">
        <v>3129</v>
      </c>
      <c r="C2347" t="s">
        <v>3130</v>
      </c>
      <c r="D2347">
        <v>4176.7808881317414</v>
      </c>
      <c r="E2347">
        <v>4978.9399999999996</v>
      </c>
      <c r="F2347" s="6">
        <v>0.19209999999999999</v>
      </c>
    </row>
    <row r="2348" spans="2:6">
      <c r="B2348" t="s">
        <v>1197</v>
      </c>
      <c r="C2348" t="s">
        <v>1196</v>
      </c>
      <c r="D2348">
        <v>6390.3576000000003</v>
      </c>
      <c r="E2348">
        <v>4969.9210999999996</v>
      </c>
      <c r="F2348" s="6">
        <v>-0.22227809285665012</v>
      </c>
    </row>
    <row r="2349" spans="2:6">
      <c r="B2349" t="s">
        <v>786</v>
      </c>
      <c r="C2349" t="s">
        <v>785</v>
      </c>
      <c r="D2349">
        <v>7054.2624906870869</v>
      </c>
      <c r="E2349">
        <v>4967.6162000000004</v>
      </c>
      <c r="F2349" s="6">
        <v>-0.29580000000000001</v>
      </c>
    </row>
    <row r="2350" spans="2:6">
      <c r="B2350" t="s">
        <v>2895</v>
      </c>
      <c r="C2350" t="s">
        <v>2896</v>
      </c>
      <c r="D2350">
        <v>5100.4309000000003</v>
      </c>
      <c r="E2350">
        <v>4948.9709999999995</v>
      </c>
      <c r="F2350" s="6">
        <v>-2.9695510628327537E-2</v>
      </c>
    </row>
    <row r="2351" spans="2:6">
      <c r="B2351" t="s">
        <v>2107</v>
      </c>
      <c r="C2351" t="s">
        <v>2106</v>
      </c>
      <c r="D2351">
        <v>28647.853822470232</v>
      </c>
      <c r="E2351">
        <v>4946.9880624439902</v>
      </c>
      <c r="F2351" s="6">
        <v>-0.82731732390494916</v>
      </c>
    </row>
    <row r="2352" spans="2:6">
      <c r="B2352" t="s">
        <v>1416</v>
      </c>
      <c r="C2352" t="s">
        <v>1415</v>
      </c>
      <c r="D2352">
        <v>7520.4677230788566</v>
      </c>
      <c r="E2352">
        <v>4945.990683259477</v>
      </c>
      <c r="F2352" s="6">
        <v>-0.34232937825380316</v>
      </c>
    </row>
    <row r="2353" spans="2:6">
      <c r="B2353" t="s">
        <v>2185</v>
      </c>
      <c r="C2353" t="s">
        <v>2184</v>
      </c>
      <c r="D2353">
        <v>39295.093737189163</v>
      </c>
      <c r="E2353">
        <v>4939.0385999999999</v>
      </c>
      <c r="F2353" s="6">
        <v>-0.87429999999999997</v>
      </c>
    </row>
    <row r="2354" spans="2:6">
      <c r="B2354" t="s">
        <v>1172</v>
      </c>
      <c r="C2354" t="s">
        <v>1171</v>
      </c>
      <c r="D2354">
        <v>5476.8949601204267</v>
      </c>
      <c r="E2354">
        <v>4934.9898140333589</v>
      </c>
      <c r="F2354" s="6">
        <v>-9.894386327159943E-2</v>
      </c>
    </row>
    <row r="2355" spans="2:6">
      <c r="B2355" t="s">
        <v>1500</v>
      </c>
      <c r="C2355" t="s">
        <v>3591</v>
      </c>
      <c r="D2355">
        <v>14981.819938604063</v>
      </c>
      <c r="E2355">
        <v>4934.1985000000004</v>
      </c>
      <c r="F2355" s="6">
        <v>-0.67069999999999996</v>
      </c>
    </row>
    <row r="2356" spans="2:6">
      <c r="B2356" t="s">
        <v>3158</v>
      </c>
      <c r="C2356" t="s">
        <v>3159</v>
      </c>
      <c r="D2356">
        <v>5217.8839466475929</v>
      </c>
      <c r="E2356">
        <v>4923.7573000000002</v>
      </c>
      <c r="F2356" s="6">
        <v>-5.6399999999999999E-2</v>
      </c>
    </row>
    <row r="2357" spans="2:6">
      <c r="B2357" t="s">
        <v>3340</v>
      </c>
      <c r="C2357" t="s">
        <v>3341</v>
      </c>
      <c r="D2357">
        <v>1055.9455</v>
      </c>
      <c r="E2357">
        <v>4901.5075331681874</v>
      </c>
      <c r="F2357" s="6">
        <v>3.64181866693706</v>
      </c>
    </row>
    <row r="2358" spans="2:6">
      <c r="B2358" t="s">
        <v>1356</v>
      </c>
      <c r="C2358" t="s">
        <v>1355</v>
      </c>
      <c r="D2358">
        <v>5594.8185000000003</v>
      </c>
      <c r="E2358">
        <v>4895.82</v>
      </c>
      <c r="F2358" s="6">
        <v>-0.12493676068312132</v>
      </c>
    </row>
    <row r="2359" spans="2:6">
      <c r="B2359" t="s">
        <v>3063</v>
      </c>
      <c r="C2359" t="s">
        <v>3064</v>
      </c>
      <c r="D2359">
        <v>2350.6019253947038</v>
      </c>
      <c r="E2359">
        <v>4894.8565465788197</v>
      </c>
      <c r="F2359" s="6">
        <v>1.0823843006751961</v>
      </c>
    </row>
    <row r="2360" spans="2:6">
      <c r="B2360" t="s">
        <v>1398</v>
      </c>
      <c r="C2360" t="s">
        <v>1397</v>
      </c>
      <c r="D2360">
        <v>6691.0258000000003</v>
      </c>
      <c r="E2360">
        <v>4890.458901466407</v>
      </c>
      <c r="F2360" s="6">
        <v>-0.2691017718887877</v>
      </c>
    </row>
    <row r="2361" spans="2:6">
      <c r="B2361" t="s">
        <v>3166</v>
      </c>
      <c r="C2361" t="s">
        <v>3167</v>
      </c>
      <c r="D2361">
        <v>5072.470745369028</v>
      </c>
      <c r="E2361">
        <v>4884.5645999999997</v>
      </c>
      <c r="F2361" s="6">
        <v>-3.6999999999999998E-2</v>
      </c>
    </row>
    <row r="2362" spans="2:6">
      <c r="B2362" t="s">
        <v>3122</v>
      </c>
      <c r="C2362" t="s">
        <v>3123</v>
      </c>
      <c r="D2362">
        <v>3576.4801000000002</v>
      </c>
      <c r="E2362">
        <v>4884.0501000000004</v>
      </c>
      <c r="F2362" s="6">
        <v>0.36560248161313691</v>
      </c>
    </row>
    <row r="2363" spans="2:6">
      <c r="B2363" t="s">
        <v>3404</v>
      </c>
      <c r="C2363" t="s">
        <v>3405</v>
      </c>
      <c r="D2363">
        <v>971.05259999999998</v>
      </c>
      <c r="E2363">
        <v>4880.9146590204609</v>
      </c>
      <c r="F2363" s="6">
        <v>4.026416343481765</v>
      </c>
    </row>
    <row r="2364" spans="2:6">
      <c r="B2364" t="s">
        <v>1243</v>
      </c>
      <c r="C2364" t="s">
        <v>1242</v>
      </c>
      <c r="D2364">
        <v>5305.6310999999996</v>
      </c>
      <c r="E2364">
        <v>4874.6800999999996</v>
      </c>
      <c r="F2364" s="6">
        <v>-8.1225209947220045E-2</v>
      </c>
    </row>
    <row r="2365" spans="2:6">
      <c r="B2365" t="s">
        <v>2396</v>
      </c>
      <c r="C2365" t="s">
        <v>2397</v>
      </c>
      <c r="D2365">
        <v>24952.563699999999</v>
      </c>
      <c r="E2365">
        <v>4863.9957999999997</v>
      </c>
      <c r="F2365" s="6">
        <v>-0.80507029824755039</v>
      </c>
    </row>
    <row r="2366" spans="2:6">
      <c r="B2366" t="s">
        <v>1156</v>
      </c>
      <c r="C2366" t="s">
        <v>1155</v>
      </c>
      <c r="D2366">
        <v>4001.3609640908039</v>
      </c>
      <c r="E2366">
        <v>4848.2704585751717</v>
      </c>
      <c r="F2366" s="6">
        <v>0.21165535978501859</v>
      </c>
    </row>
    <row r="2367" spans="2:6">
      <c r="B2367" t="s">
        <v>3059</v>
      </c>
      <c r="C2367" t="s">
        <v>2627</v>
      </c>
      <c r="D2367">
        <v>4025.6214634467979</v>
      </c>
      <c r="E2367">
        <v>4846.8191498852339</v>
      </c>
      <c r="F2367" s="6">
        <v>0.20399277326371212</v>
      </c>
    </row>
    <row r="2368" spans="2:6">
      <c r="B2368" t="s">
        <v>2378</v>
      </c>
      <c r="C2368" t="s">
        <v>2379</v>
      </c>
      <c r="D2368">
        <v>45757.25973290993</v>
      </c>
      <c r="E2368">
        <v>4844.3595008213788</v>
      </c>
      <c r="F2368" s="6">
        <v>-0.89412916050702274</v>
      </c>
    </row>
    <row r="2369" spans="2:6">
      <c r="B2369" t="s">
        <v>453</v>
      </c>
      <c r="C2369" t="s">
        <v>452</v>
      </c>
      <c r="D2369">
        <v>108.24809999999999</v>
      </c>
      <c r="E2369">
        <v>4839.1414740327482</v>
      </c>
      <c r="F2369" s="6">
        <v>43.704170087352558</v>
      </c>
    </row>
    <row r="2370" spans="2:6">
      <c r="B2370" t="s">
        <v>2755</v>
      </c>
      <c r="C2370" t="s">
        <v>2756</v>
      </c>
      <c r="D2370">
        <v>7279.6856603176466</v>
      </c>
      <c r="E2370">
        <v>4825.5808999999999</v>
      </c>
      <c r="F2370" s="6">
        <v>-0.33710000000000001</v>
      </c>
    </row>
    <row r="2371" spans="2:6">
      <c r="B2371" t="s">
        <v>3195</v>
      </c>
      <c r="C2371" t="s">
        <v>3196</v>
      </c>
      <c r="D2371">
        <v>3763.0362169437894</v>
      </c>
      <c r="E2371">
        <v>4819.0159465943207</v>
      </c>
      <c r="F2371" s="6">
        <v>0.2806190716145065</v>
      </c>
    </row>
    <row r="2372" spans="2:6">
      <c r="B2372" t="s">
        <v>1300</v>
      </c>
      <c r="C2372" t="s">
        <v>1299</v>
      </c>
      <c r="D2372">
        <v>4991.6931148989461</v>
      </c>
      <c r="E2372">
        <v>4812.3362062410533</v>
      </c>
      <c r="F2372" s="6">
        <v>-3.5931076796880346E-2</v>
      </c>
    </row>
    <row r="2373" spans="2:6">
      <c r="B2373" t="s">
        <v>884</v>
      </c>
      <c r="C2373" t="s">
        <v>883</v>
      </c>
      <c r="D2373">
        <v>4079.3940417235572</v>
      </c>
      <c r="E2373">
        <v>4807.6934000000001</v>
      </c>
      <c r="F2373" s="6">
        <v>0.17849999999999999</v>
      </c>
    </row>
    <row r="2374" spans="2:6">
      <c r="B2374" t="s">
        <v>1022</v>
      </c>
      <c r="C2374" t="s">
        <v>1021</v>
      </c>
      <c r="D2374">
        <v>2948.0000003926357</v>
      </c>
      <c r="E2374">
        <v>4793.9213747713029</v>
      </c>
      <c r="F2374" s="6">
        <v>0.6261605746719181</v>
      </c>
    </row>
    <row r="2375" spans="2:6">
      <c r="B2375" t="s">
        <v>1195</v>
      </c>
      <c r="C2375" t="s">
        <v>1194</v>
      </c>
      <c r="D2375">
        <v>6071.2737999999999</v>
      </c>
      <c r="E2375">
        <v>4790.982</v>
      </c>
      <c r="F2375" s="6">
        <v>-0.2108769662142399</v>
      </c>
    </row>
    <row r="2376" spans="2:6">
      <c r="B2376" t="s">
        <v>1014</v>
      </c>
      <c r="C2376" t="s">
        <v>1013</v>
      </c>
      <c r="D2376">
        <v>3144.9233801781343</v>
      </c>
      <c r="E2376">
        <v>4790.231835363481</v>
      </c>
      <c r="F2376" s="6">
        <v>0.52316328771486753</v>
      </c>
    </row>
    <row r="2377" spans="2:6">
      <c r="B2377" t="s">
        <v>3014</v>
      </c>
      <c r="C2377" t="s">
        <v>3015</v>
      </c>
      <c r="D2377">
        <v>6669.3855000000003</v>
      </c>
      <c r="E2377">
        <v>4784.6280999999999</v>
      </c>
      <c r="F2377" s="6">
        <v>-0.28259835932410859</v>
      </c>
    </row>
    <row r="2378" spans="2:6">
      <c r="B2378" t="s">
        <v>2402</v>
      </c>
      <c r="C2378" t="s">
        <v>2403</v>
      </c>
      <c r="D2378">
        <v>16675.795028821336</v>
      </c>
      <c r="E2378">
        <v>4783.0474000000004</v>
      </c>
      <c r="F2378" s="6">
        <v>-0.71319999999999995</v>
      </c>
    </row>
    <row r="2379" spans="2:6">
      <c r="B2379" t="s">
        <v>2819</v>
      </c>
      <c r="C2379" t="s">
        <v>2820</v>
      </c>
      <c r="D2379">
        <v>12132.778926868716</v>
      </c>
      <c r="E2379">
        <v>4779.1992446633567</v>
      </c>
      <c r="F2379" s="6">
        <v>-0.60609195358537749</v>
      </c>
    </row>
    <row r="2380" spans="2:6">
      <c r="B2380" t="s">
        <v>3176</v>
      </c>
      <c r="C2380" t="s">
        <v>3061</v>
      </c>
      <c r="D2380">
        <v>3372.7496999999998</v>
      </c>
      <c r="E2380">
        <v>4772.4618</v>
      </c>
      <c r="F2380" s="6">
        <v>0.41500621881309474</v>
      </c>
    </row>
    <row r="2381" spans="2:6">
      <c r="B2381" t="s">
        <v>1800</v>
      </c>
      <c r="C2381" t="s">
        <v>1799</v>
      </c>
      <c r="D2381">
        <v>10448.178422281497</v>
      </c>
      <c r="E2381">
        <v>4767.4002984547105</v>
      </c>
      <c r="F2381" s="6">
        <v>-0.54370990752915516</v>
      </c>
    </row>
    <row r="2382" spans="2:6">
      <c r="B2382" t="s">
        <v>1209</v>
      </c>
      <c r="C2382" t="s">
        <v>1208</v>
      </c>
      <c r="D2382">
        <v>5789.6574680816439</v>
      </c>
      <c r="E2382">
        <v>4765.20138307255</v>
      </c>
      <c r="F2382" s="6">
        <v>-0.17694588853605164</v>
      </c>
    </row>
    <row r="2383" spans="2:6">
      <c r="B2383" t="s">
        <v>2930</v>
      </c>
      <c r="C2383" t="s">
        <v>2931</v>
      </c>
      <c r="D2383">
        <v>6350.6420251525442</v>
      </c>
      <c r="E2383">
        <v>4756.9075999999995</v>
      </c>
      <c r="F2383" s="6">
        <v>-0.251</v>
      </c>
    </row>
    <row r="2384" spans="2:6">
      <c r="B2384" t="s">
        <v>2724</v>
      </c>
      <c r="C2384" t="s">
        <v>2725</v>
      </c>
      <c r="D2384">
        <v>7340.0311000000002</v>
      </c>
      <c r="E2384">
        <v>4738.1004000000003</v>
      </c>
      <c r="F2384" s="6">
        <v>-0.3544849694165465</v>
      </c>
    </row>
    <row r="2385" spans="2:6">
      <c r="B2385" t="s">
        <v>2656</v>
      </c>
      <c r="C2385" t="s">
        <v>2411</v>
      </c>
      <c r="D2385">
        <v>13046.183092505131</v>
      </c>
      <c r="E2385">
        <v>4737.7750643459276</v>
      </c>
      <c r="F2385" s="6">
        <v>-0.63684588582328572</v>
      </c>
    </row>
    <row r="2386" spans="2:6">
      <c r="B2386" t="s">
        <v>3248</v>
      </c>
      <c r="C2386" t="s">
        <v>3249</v>
      </c>
      <c r="D2386">
        <v>2981.3371676833799</v>
      </c>
      <c r="E2386">
        <v>4728.8133985329141</v>
      </c>
      <c r="F2386" s="6">
        <v>0.58613841124430555</v>
      </c>
    </row>
    <row r="2387" spans="2:6">
      <c r="B2387" t="s">
        <v>1082</v>
      </c>
      <c r="C2387" t="s">
        <v>1081</v>
      </c>
      <c r="D2387">
        <v>4735.2205999999996</v>
      </c>
      <c r="E2387">
        <v>4723.2202533633399</v>
      </c>
      <c r="F2387" s="6">
        <v>-2.5342740392411134E-3</v>
      </c>
    </row>
    <row r="2388" spans="2:6">
      <c r="B2388" t="s">
        <v>3101</v>
      </c>
      <c r="C2388" t="s">
        <v>3102</v>
      </c>
      <c r="D2388">
        <v>3024.2294999999999</v>
      </c>
      <c r="E2388">
        <v>4704.4829080787604</v>
      </c>
      <c r="F2388" s="6">
        <v>0.55559718866533125</v>
      </c>
    </row>
    <row r="2389" spans="2:6">
      <c r="B2389" t="s">
        <v>1078</v>
      </c>
      <c r="C2389" t="s">
        <v>1077</v>
      </c>
      <c r="D2389">
        <v>5922.4331808653396</v>
      </c>
      <c r="E2389">
        <v>4698.7365097338943</v>
      </c>
      <c r="F2389" s="6">
        <v>-0.2066205955830891</v>
      </c>
    </row>
    <row r="2390" spans="2:6">
      <c r="B2390" t="s">
        <v>2564</v>
      </c>
      <c r="C2390" t="s">
        <v>2565</v>
      </c>
      <c r="D2390">
        <v>23747.43118401926</v>
      </c>
      <c r="E2390">
        <v>4697.6295352704692</v>
      </c>
      <c r="F2390" s="6">
        <v>-0.80218367625245635</v>
      </c>
    </row>
    <row r="2391" spans="2:6">
      <c r="B2391" t="s">
        <v>1235</v>
      </c>
      <c r="C2391" t="s">
        <v>1234</v>
      </c>
      <c r="D2391">
        <v>5413.6581666417924</v>
      </c>
      <c r="E2391">
        <v>4691.0513000000001</v>
      </c>
      <c r="F2391" s="6">
        <v>-0.13350000000000001</v>
      </c>
    </row>
    <row r="2392" spans="2:6">
      <c r="B2392" t="s">
        <v>3231</v>
      </c>
      <c r="C2392" t="s">
        <v>3232</v>
      </c>
      <c r="D2392">
        <v>165.33330000000001</v>
      </c>
      <c r="E2392">
        <v>4687.6068909277346</v>
      </c>
      <c r="F2392" s="6">
        <v>27.352466750060238</v>
      </c>
    </row>
    <row r="2393" spans="2:6">
      <c r="B2393" t="s">
        <v>1086</v>
      </c>
      <c r="C2393" t="s">
        <v>1085</v>
      </c>
      <c r="D2393">
        <v>4992.3921</v>
      </c>
      <c r="E2393">
        <v>4675.4198435062726</v>
      </c>
      <c r="F2393" s="6">
        <v>-6.3491058022811853E-2</v>
      </c>
    </row>
    <row r="2394" spans="2:6">
      <c r="B2394" t="s">
        <v>838</v>
      </c>
      <c r="C2394" t="s">
        <v>837</v>
      </c>
      <c r="D2394">
        <v>3232.3806</v>
      </c>
      <c r="E2394">
        <v>4670.1863079212226</v>
      </c>
      <c r="F2394" s="6">
        <v>0.44481324628703156</v>
      </c>
    </row>
    <row r="2395" spans="2:6">
      <c r="B2395" t="s">
        <v>1247</v>
      </c>
      <c r="C2395" t="s">
        <v>1246</v>
      </c>
      <c r="D2395">
        <v>6377.3415000000005</v>
      </c>
      <c r="E2395">
        <v>4650.2266</v>
      </c>
      <c r="F2395" s="6">
        <v>-0.27082051353216696</v>
      </c>
    </row>
    <row r="2396" spans="2:6">
      <c r="B2396" t="s">
        <v>2368</v>
      </c>
      <c r="C2396" t="s">
        <v>2369</v>
      </c>
      <c r="D2396">
        <v>47999.371032462244</v>
      </c>
      <c r="E2396">
        <v>4645.4921784515736</v>
      </c>
      <c r="F2396" s="6">
        <v>-0.90321764476226574</v>
      </c>
    </row>
    <row r="2397" spans="2:6">
      <c r="B2397" t="s">
        <v>1798</v>
      </c>
      <c r="C2397" t="s">
        <v>1797</v>
      </c>
      <c r="D2397">
        <v>11876.634227835615</v>
      </c>
      <c r="E2397">
        <v>4643.774871164881</v>
      </c>
      <c r="F2397" s="6">
        <v>-0.60899908323511975</v>
      </c>
    </row>
    <row r="2398" spans="2:6">
      <c r="B2398" t="s">
        <v>940</v>
      </c>
      <c r="C2398" t="s">
        <v>939</v>
      </c>
      <c r="D2398">
        <v>4912.0249529296998</v>
      </c>
      <c r="E2398">
        <v>4627.4036999999998</v>
      </c>
      <c r="F2398" s="6">
        <v>-5.79E-2</v>
      </c>
    </row>
    <row r="2399" spans="2:6">
      <c r="B2399" t="s">
        <v>3001</v>
      </c>
      <c r="C2399" t="s">
        <v>3002</v>
      </c>
      <c r="D2399">
        <v>2132.4875999999999</v>
      </c>
      <c r="E2399">
        <v>4623.9914382547095</v>
      </c>
      <c r="F2399" s="6">
        <v>1.168355604156718</v>
      </c>
    </row>
    <row r="2400" spans="2:6">
      <c r="B2400" t="s">
        <v>1090</v>
      </c>
      <c r="C2400" t="s">
        <v>1089</v>
      </c>
      <c r="D2400">
        <v>3030.3198374970252</v>
      </c>
      <c r="E2400">
        <v>4619.5439695971909</v>
      </c>
      <c r="F2400" s="6">
        <v>0.52444105484681391</v>
      </c>
    </row>
    <row r="2401" spans="2:6">
      <c r="B2401" t="s">
        <v>1176</v>
      </c>
      <c r="C2401" t="s">
        <v>1175</v>
      </c>
      <c r="D2401">
        <v>5712.1952000000001</v>
      </c>
      <c r="E2401">
        <v>4602.3020999999999</v>
      </c>
      <c r="F2401" s="6">
        <v>-0.19430237608126555</v>
      </c>
    </row>
    <row r="2402" spans="2:6">
      <c r="B2402" t="s">
        <v>950</v>
      </c>
      <c r="C2402" t="s">
        <v>949</v>
      </c>
      <c r="D2402">
        <v>2766.8865000000001</v>
      </c>
      <c r="E2402">
        <v>4585.8030926542606</v>
      </c>
      <c r="F2402" s="6">
        <v>0.6573874976997649</v>
      </c>
    </row>
    <row r="2403" spans="2:6">
      <c r="B2403" t="s">
        <v>1032</v>
      </c>
      <c r="C2403" t="s">
        <v>1031</v>
      </c>
      <c r="D2403">
        <v>7436.3005180606515</v>
      </c>
      <c r="E2403">
        <v>4583.4532414335845</v>
      </c>
      <c r="F2403" s="6">
        <v>-0.38363797558992074</v>
      </c>
    </row>
    <row r="2404" spans="2:6">
      <c r="B2404" t="s">
        <v>3118</v>
      </c>
      <c r="C2404" t="s">
        <v>3119</v>
      </c>
      <c r="D2404">
        <v>5740.7964527032755</v>
      </c>
      <c r="E2404">
        <v>4579.1316999999999</v>
      </c>
      <c r="F2404" s="6">
        <v>-0.2024</v>
      </c>
    </row>
    <row r="2405" spans="2:6">
      <c r="B2405" t="s">
        <v>3016</v>
      </c>
      <c r="C2405" t="s">
        <v>3017</v>
      </c>
      <c r="D2405">
        <v>5182.3029999999999</v>
      </c>
      <c r="E2405">
        <v>4578.1791999999996</v>
      </c>
      <c r="F2405" s="6">
        <v>-0.1165743878734995</v>
      </c>
    </row>
    <row r="2406" spans="2:6">
      <c r="B2406" t="s">
        <v>3018</v>
      </c>
      <c r="C2406" t="s">
        <v>3019</v>
      </c>
      <c r="D2406">
        <v>4285.5712000000003</v>
      </c>
      <c r="E2406">
        <v>4573.1571999999996</v>
      </c>
      <c r="F2406" s="6">
        <v>6.7105640433648528E-2</v>
      </c>
    </row>
    <row r="2407" spans="2:6">
      <c r="B2407" t="s">
        <v>1223</v>
      </c>
      <c r="C2407" t="s">
        <v>1222</v>
      </c>
      <c r="D2407">
        <v>5343.2872953051274</v>
      </c>
      <c r="E2407">
        <v>4546.9275133279043</v>
      </c>
      <c r="F2407" s="6">
        <v>-0.14903929696554841</v>
      </c>
    </row>
    <row r="2408" spans="2:6">
      <c r="B2408" t="s">
        <v>2883</v>
      </c>
      <c r="C2408" t="s">
        <v>2884</v>
      </c>
      <c r="D2408">
        <v>6423.8259979324657</v>
      </c>
      <c r="E2408">
        <v>4546.4479622076542</v>
      </c>
      <c r="F2408" s="6">
        <v>-0.29225231759531678</v>
      </c>
    </row>
    <row r="2409" spans="2:6">
      <c r="B2409" t="s">
        <v>524</v>
      </c>
      <c r="C2409" t="s">
        <v>523</v>
      </c>
      <c r="D2409">
        <v>1125.5017</v>
      </c>
      <c r="E2409">
        <v>4537.4485000000004</v>
      </c>
      <c r="F2409" s="6">
        <v>3.0314896903309876</v>
      </c>
    </row>
    <row r="2410" spans="2:6">
      <c r="B2410" t="s">
        <v>2919</v>
      </c>
      <c r="C2410" t="s">
        <v>2920</v>
      </c>
      <c r="D2410">
        <v>6519.8870208012577</v>
      </c>
      <c r="E2410">
        <v>4537.1165689516865</v>
      </c>
      <c r="F2410" s="6">
        <v>-0.30411116719103815</v>
      </c>
    </row>
    <row r="2411" spans="2:6">
      <c r="B2411" t="s">
        <v>3406</v>
      </c>
      <c r="C2411" t="s">
        <v>3407</v>
      </c>
      <c r="D2411">
        <v>1201.9244000000001</v>
      </c>
      <c r="E2411">
        <v>4531.9039000000002</v>
      </c>
      <c r="F2411" s="6">
        <v>2.7705398941896844</v>
      </c>
    </row>
    <row r="2412" spans="2:6">
      <c r="B2412" t="s">
        <v>1160</v>
      </c>
      <c r="C2412" t="s">
        <v>1159</v>
      </c>
      <c r="D2412">
        <v>5996.4671216202232</v>
      </c>
      <c r="E2412">
        <v>4531.782454386368</v>
      </c>
      <c r="F2412" s="6">
        <v>-0.24425793346768199</v>
      </c>
    </row>
    <row r="2413" spans="2:6">
      <c r="B2413" t="s">
        <v>2362</v>
      </c>
      <c r="C2413" t="s">
        <v>2363</v>
      </c>
      <c r="D2413">
        <v>35203.628385690572</v>
      </c>
      <c r="E2413">
        <v>4531.7470944875131</v>
      </c>
      <c r="F2413" s="6">
        <v>-0.871270454146438</v>
      </c>
    </row>
    <row r="2414" spans="2:6">
      <c r="B2414" t="s">
        <v>1144</v>
      </c>
      <c r="C2414" t="s">
        <v>1143</v>
      </c>
      <c r="D2414">
        <v>5890.2687236636039</v>
      </c>
      <c r="E2414">
        <v>4513.4326516868168</v>
      </c>
      <c r="F2414" s="6">
        <v>-0.23374758208322088</v>
      </c>
    </row>
    <row r="2415" spans="2:6">
      <c r="B2415" t="s">
        <v>2360</v>
      </c>
      <c r="C2415" t="s">
        <v>2361</v>
      </c>
      <c r="D2415">
        <v>49280.435057608134</v>
      </c>
      <c r="E2415">
        <v>4509.6455677929271</v>
      </c>
      <c r="F2415" s="6">
        <v>-0.90849014294372166</v>
      </c>
    </row>
    <row r="2416" spans="2:6">
      <c r="B2416" t="s">
        <v>1986</v>
      </c>
      <c r="C2416" t="s">
        <v>1985</v>
      </c>
      <c r="D2416">
        <v>17086.838032358693</v>
      </c>
      <c r="E2416">
        <v>4494.9252999999999</v>
      </c>
      <c r="F2416" s="6">
        <v>-0.7369</v>
      </c>
    </row>
    <row r="2417" spans="2:6">
      <c r="B2417" t="s">
        <v>964</v>
      </c>
      <c r="C2417" t="s">
        <v>963</v>
      </c>
      <c r="D2417">
        <v>1784.4519</v>
      </c>
      <c r="E2417">
        <v>4493.4364999999998</v>
      </c>
      <c r="F2417" s="6">
        <v>1.5181045787785035</v>
      </c>
    </row>
    <row r="2418" spans="2:6">
      <c r="B2418" t="s">
        <v>1332</v>
      </c>
      <c r="C2418" t="s">
        <v>1331</v>
      </c>
      <c r="D2418">
        <v>8524.8688999999995</v>
      </c>
      <c r="E2418">
        <v>4491.1733999999997</v>
      </c>
      <c r="F2418" s="6">
        <v>-0.47316803898298077</v>
      </c>
    </row>
    <row r="2419" spans="2:6">
      <c r="B2419" t="s">
        <v>2810</v>
      </c>
      <c r="C2419" t="s">
        <v>2811</v>
      </c>
      <c r="D2419">
        <v>6876.8699987449127</v>
      </c>
      <c r="E2419">
        <v>4484.6157999999996</v>
      </c>
      <c r="F2419" s="6">
        <v>-0.34789999999999999</v>
      </c>
    </row>
    <row r="2420" spans="2:6">
      <c r="B2420" t="s">
        <v>3262</v>
      </c>
      <c r="C2420" t="s">
        <v>3263</v>
      </c>
      <c r="D2420">
        <v>2339.9288999999999</v>
      </c>
      <c r="E2420">
        <v>4482.2696898326521</v>
      </c>
      <c r="F2420" s="6">
        <v>0.9155580709450839</v>
      </c>
    </row>
    <row r="2421" spans="2:6">
      <c r="B2421" t="s">
        <v>1704</v>
      </c>
      <c r="C2421" t="s">
        <v>1703</v>
      </c>
      <c r="D2421">
        <v>8775.9517883767712</v>
      </c>
      <c r="E2421">
        <v>4467.1283000000003</v>
      </c>
      <c r="F2421" s="6">
        <v>-0.49099999999999999</v>
      </c>
    </row>
    <row r="2422" spans="2:6">
      <c r="B2422" t="s">
        <v>2589</v>
      </c>
      <c r="C2422" t="s">
        <v>2590</v>
      </c>
      <c r="D2422">
        <v>2369.1011176751995</v>
      </c>
      <c r="E2422">
        <v>4460.0915999999997</v>
      </c>
      <c r="F2422" s="6">
        <v>0.88260000000000005</v>
      </c>
    </row>
    <row r="2423" spans="2:6">
      <c r="B2423" t="s">
        <v>762</v>
      </c>
      <c r="C2423" t="s">
        <v>761</v>
      </c>
      <c r="D2423">
        <v>1995.6585</v>
      </c>
      <c r="E2423">
        <v>4457.9967999999999</v>
      </c>
      <c r="F2423" s="6">
        <v>1.2338475245138385</v>
      </c>
    </row>
    <row r="2424" spans="2:6">
      <c r="B2424" t="s">
        <v>623</v>
      </c>
      <c r="C2424" t="s">
        <v>622</v>
      </c>
      <c r="D2424">
        <v>961.09490000000005</v>
      </c>
      <c r="E2424">
        <v>4453.191828191003</v>
      </c>
      <c r="F2424" s="6">
        <v>3.6334569335359106</v>
      </c>
    </row>
    <row r="2425" spans="2:6">
      <c r="B2425" t="s">
        <v>1828</v>
      </c>
      <c r="C2425" t="s">
        <v>1827</v>
      </c>
      <c r="D2425">
        <v>9815.4994069443474</v>
      </c>
      <c r="E2425">
        <v>4452.0666352530334</v>
      </c>
      <c r="F2425" s="6">
        <v>-0.54642484802115621</v>
      </c>
    </row>
    <row r="2426" spans="2:6">
      <c r="B2426" t="s">
        <v>3364</v>
      </c>
      <c r="C2426" t="s">
        <v>3365</v>
      </c>
      <c r="D2426">
        <v>1542.5953999999999</v>
      </c>
      <c r="E2426">
        <v>4445.09074637904</v>
      </c>
      <c r="F2426" s="6">
        <v>1.8815661879836023</v>
      </c>
    </row>
    <row r="2427" spans="2:6">
      <c r="B2427" t="s">
        <v>1414</v>
      </c>
      <c r="C2427" t="s">
        <v>1413</v>
      </c>
      <c r="D2427">
        <v>6287.055611239678</v>
      </c>
      <c r="E2427">
        <v>4444.2208000000001</v>
      </c>
      <c r="F2427" s="6">
        <v>-0.29310000000000003</v>
      </c>
    </row>
    <row r="2428" spans="2:6">
      <c r="B2428" t="s">
        <v>2910</v>
      </c>
      <c r="C2428" t="s">
        <v>2911</v>
      </c>
      <c r="D2428">
        <v>6679.1807772377315</v>
      </c>
      <c r="E2428">
        <v>4439.7612300915907</v>
      </c>
      <c r="F2428" s="6">
        <v>-0.33528356572979057</v>
      </c>
    </row>
    <row r="2429" spans="2:6">
      <c r="B2429" t="s">
        <v>3276</v>
      </c>
      <c r="C2429" t="s">
        <v>2795</v>
      </c>
      <c r="D2429">
        <v>1748.7791</v>
      </c>
      <c r="E2429">
        <v>4436.9949999999999</v>
      </c>
      <c r="F2429" s="6">
        <v>1.5371958070633394</v>
      </c>
    </row>
    <row r="2430" spans="2:6">
      <c r="B2430" t="s">
        <v>3099</v>
      </c>
      <c r="C2430" t="s">
        <v>3100</v>
      </c>
      <c r="D2430">
        <v>4064.122194241359</v>
      </c>
      <c r="E2430">
        <v>4422.9933000000001</v>
      </c>
      <c r="F2430" s="6">
        <v>8.8300000000000003E-2</v>
      </c>
    </row>
    <row r="2431" spans="2:6">
      <c r="B2431" t="s">
        <v>2952</v>
      </c>
      <c r="C2431" t="s">
        <v>2953</v>
      </c>
      <c r="D2431">
        <v>6231.7271388218296</v>
      </c>
      <c r="E2431">
        <v>4393.3153384777615</v>
      </c>
      <c r="F2431" s="6">
        <v>-0.29500839163693526</v>
      </c>
    </row>
    <row r="2432" spans="2:6">
      <c r="B2432" t="s">
        <v>3117</v>
      </c>
      <c r="C2432" t="s">
        <v>2331</v>
      </c>
      <c r="D2432">
        <v>5100.051695787115</v>
      </c>
      <c r="E2432">
        <v>4382.3815012289506</v>
      </c>
      <c r="F2432" s="6">
        <v>-0.14071821961157649</v>
      </c>
    </row>
    <row r="2433" spans="2:6">
      <c r="B2433" t="s">
        <v>1340</v>
      </c>
      <c r="C2433" t="s">
        <v>1339</v>
      </c>
      <c r="D2433">
        <v>5832.8050999999996</v>
      </c>
      <c r="E2433">
        <v>4365.5528000000004</v>
      </c>
      <c r="F2433" s="6">
        <v>-0.25155174480285647</v>
      </c>
    </row>
    <row r="2434" spans="2:6">
      <c r="B2434" t="s">
        <v>2073</v>
      </c>
      <c r="C2434" t="s">
        <v>2072</v>
      </c>
      <c r="D2434">
        <v>23647.566970318992</v>
      </c>
      <c r="E2434">
        <v>4354.6916074906958</v>
      </c>
      <c r="F2434" s="6">
        <v>-0.81585033196199663</v>
      </c>
    </row>
    <row r="2435" spans="2:6">
      <c r="B2435" t="s">
        <v>657</v>
      </c>
      <c r="C2435" t="s">
        <v>656</v>
      </c>
      <c r="D2435">
        <v>1692.8012000000001</v>
      </c>
      <c r="E2435">
        <v>4344.1682000000001</v>
      </c>
      <c r="F2435" s="6">
        <v>1.5662601137097494</v>
      </c>
    </row>
    <row r="2436" spans="2:6">
      <c r="B2436" t="s">
        <v>2470</v>
      </c>
      <c r="C2436" t="s">
        <v>2471</v>
      </c>
      <c r="D2436">
        <v>25525.921689072933</v>
      </c>
      <c r="E2436">
        <v>4329.4057564782379</v>
      </c>
      <c r="F2436" s="6">
        <v>-0.8303917950852463</v>
      </c>
    </row>
    <row r="2437" spans="2:6">
      <c r="B2437" t="s">
        <v>2994</v>
      </c>
      <c r="C2437" t="s">
        <v>2995</v>
      </c>
      <c r="D2437">
        <v>6506.605435361631</v>
      </c>
      <c r="E2437">
        <v>4316.300080139782</v>
      </c>
      <c r="F2437" s="6">
        <v>-0.33662796629992886</v>
      </c>
    </row>
    <row r="2438" spans="2:6">
      <c r="B2438" t="s">
        <v>2701</v>
      </c>
      <c r="C2438" t="s">
        <v>2702</v>
      </c>
      <c r="D2438">
        <v>13012.077867507043</v>
      </c>
      <c r="E2438">
        <v>4305.278060379409</v>
      </c>
      <c r="F2438" s="6">
        <v>-0.66913216288612265</v>
      </c>
    </row>
    <row r="2439" spans="2:6">
      <c r="B2439" t="s">
        <v>1491</v>
      </c>
      <c r="C2439" t="s">
        <v>1490</v>
      </c>
      <c r="D2439">
        <v>8415.2040769948308</v>
      </c>
      <c r="E2439">
        <v>4300.3701897760802</v>
      </c>
      <c r="F2439" s="6">
        <v>-0.48897612578020888</v>
      </c>
    </row>
    <row r="2440" spans="2:6">
      <c r="B2440" t="s">
        <v>3349</v>
      </c>
      <c r="C2440" t="s">
        <v>3350</v>
      </c>
      <c r="D2440">
        <v>1291.6170230882228</v>
      </c>
      <c r="E2440">
        <v>4299.6098000000002</v>
      </c>
      <c r="F2440" s="6">
        <v>2.3289</v>
      </c>
    </row>
    <row r="2441" spans="2:6">
      <c r="B2441" t="s">
        <v>836</v>
      </c>
      <c r="C2441" t="s">
        <v>835</v>
      </c>
      <c r="D2441">
        <v>667.28740000000005</v>
      </c>
      <c r="E2441">
        <v>4299.0158956984242</v>
      </c>
      <c r="F2441" s="6">
        <v>5.4425252083261633</v>
      </c>
    </row>
    <row r="2442" spans="2:6">
      <c r="B2442" t="s">
        <v>2673</v>
      </c>
      <c r="C2442" t="s">
        <v>2674</v>
      </c>
      <c r="D2442">
        <v>11837.836080338693</v>
      </c>
      <c r="E2442">
        <v>4278.3545666185164</v>
      </c>
      <c r="F2442" s="6">
        <v>-0.63858643272444193</v>
      </c>
    </row>
    <row r="2443" spans="2:6">
      <c r="B2443" t="s">
        <v>1790</v>
      </c>
      <c r="C2443" t="s">
        <v>1789</v>
      </c>
      <c r="D2443">
        <v>9535.89</v>
      </c>
      <c r="E2443">
        <v>4272.3869000000004</v>
      </c>
      <c r="F2443" s="6">
        <v>-0.55196768209364833</v>
      </c>
    </row>
    <row r="2444" spans="2:6">
      <c r="B2444" t="s">
        <v>674</v>
      </c>
      <c r="C2444" t="s">
        <v>673</v>
      </c>
      <c r="D2444">
        <v>3103.4954675031158</v>
      </c>
      <c r="E2444">
        <v>4256.4114226411821</v>
      </c>
      <c r="F2444" s="6">
        <v>0.3714894921582188</v>
      </c>
    </row>
    <row r="2445" spans="2:6">
      <c r="B2445" t="s">
        <v>916</v>
      </c>
      <c r="C2445" t="s">
        <v>915</v>
      </c>
      <c r="D2445">
        <v>3182.1262000000002</v>
      </c>
      <c r="E2445">
        <v>4231.1976843160437</v>
      </c>
      <c r="F2445" s="6">
        <v>0.32967626623860591</v>
      </c>
    </row>
    <row r="2446" spans="2:6">
      <c r="B2446" t="s">
        <v>3026</v>
      </c>
      <c r="C2446" t="s">
        <v>3027</v>
      </c>
      <c r="D2446">
        <v>4353.4750577217364</v>
      </c>
      <c r="E2446">
        <v>4226.4051977688878</v>
      </c>
      <c r="F2446" s="6">
        <v>-2.9188144704645924E-2</v>
      </c>
    </row>
    <row r="2447" spans="2:6">
      <c r="B2447" t="s">
        <v>794</v>
      </c>
      <c r="C2447" t="s">
        <v>793</v>
      </c>
      <c r="D2447">
        <v>2570.8625000000002</v>
      </c>
      <c r="E2447">
        <v>4224.5978999999998</v>
      </c>
      <c r="F2447" s="6">
        <v>0.64326092896839104</v>
      </c>
    </row>
    <row r="2448" spans="2:6">
      <c r="B2448" t="s">
        <v>3109</v>
      </c>
      <c r="C2448" t="s">
        <v>3110</v>
      </c>
      <c r="D2448">
        <v>1033.8534999999999</v>
      </c>
      <c r="E2448">
        <v>4213.9661999999998</v>
      </c>
      <c r="F2448" s="6">
        <v>3.0759800107075135</v>
      </c>
    </row>
    <row r="2449" spans="2:6">
      <c r="B2449" t="s">
        <v>2970</v>
      </c>
      <c r="C2449" t="s">
        <v>2971</v>
      </c>
      <c r="D2449">
        <v>6412.0937000000004</v>
      </c>
      <c r="E2449">
        <v>4203.197174217471</v>
      </c>
      <c r="F2449" s="6">
        <v>-0.34448912151463562</v>
      </c>
    </row>
    <row r="2450" spans="2:6">
      <c r="B2450" t="s">
        <v>922</v>
      </c>
      <c r="C2450" t="s">
        <v>921</v>
      </c>
      <c r="D2450">
        <v>3415.4088000000002</v>
      </c>
      <c r="E2450">
        <v>4199.9860987950851</v>
      </c>
      <c r="F2450" s="6">
        <v>0.22971695183167684</v>
      </c>
    </row>
    <row r="2451" spans="2:6">
      <c r="B2451" t="s">
        <v>3023</v>
      </c>
      <c r="C2451" t="s">
        <v>3024</v>
      </c>
      <c r="D2451">
        <v>4639.4919055447754</v>
      </c>
      <c r="E2451">
        <v>4198.6256999999996</v>
      </c>
      <c r="F2451" s="6">
        <v>-9.5000000000000001E-2</v>
      </c>
    </row>
    <row r="2452" spans="2:6">
      <c r="B2452" t="s">
        <v>926</v>
      </c>
      <c r="C2452" t="s">
        <v>925</v>
      </c>
      <c r="D2452">
        <v>3141.6243025333893</v>
      </c>
      <c r="E2452">
        <v>4191.8188890743422</v>
      </c>
      <c r="F2452" s="6">
        <v>0.33428395167878011</v>
      </c>
    </row>
    <row r="2453" spans="2:6">
      <c r="B2453" t="s">
        <v>1428</v>
      </c>
      <c r="C2453" t="s">
        <v>1427</v>
      </c>
      <c r="D2453">
        <v>5973.1619000000001</v>
      </c>
      <c r="E2453">
        <v>4188.7124999999996</v>
      </c>
      <c r="F2453" s="6">
        <v>-0.29874452256182782</v>
      </c>
    </row>
    <row r="2454" spans="2:6">
      <c r="B2454" t="s">
        <v>732</v>
      </c>
      <c r="C2454" t="s">
        <v>731</v>
      </c>
      <c r="D2454">
        <v>2562.7386000000001</v>
      </c>
      <c r="E2454">
        <v>4177.7823409557313</v>
      </c>
      <c r="F2454" s="6">
        <v>0.6302022925614541</v>
      </c>
    </row>
    <row r="2455" spans="2:6">
      <c r="B2455" t="s">
        <v>1102</v>
      </c>
      <c r="C2455" t="s">
        <v>1101</v>
      </c>
      <c r="D2455">
        <v>5159.6243999999997</v>
      </c>
      <c r="E2455">
        <v>4169.3903205615352</v>
      </c>
      <c r="F2455" s="6">
        <v>-0.19191979932462999</v>
      </c>
    </row>
    <row r="2456" spans="2:6">
      <c r="B2456" t="s">
        <v>645</v>
      </c>
      <c r="C2456" t="s">
        <v>644</v>
      </c>
      <c r="D2456">
        <v>2287.6750000000002</v>
      </c>
      <c r="E2456">
        <v>4166.2936</v>
      </c>
      <c r="F2456" s="6">
        <v>0.82119120941567303</v>
      </c>
    </row>
    <row r="2457" spans="2:6">
      <c r="B2457" t="s">
        <v>3020</v>
      </c>
      <c r="C2457" t="s">
        <v>2380</v>
      </c>
      <c r="D2457">
        <v>3064.3013999999998</v>
      </c>
      <c r="E2457">
        <v>4157.7813999999998</v>
      </c>
      <c r="F2457" s="6">
        <v>0.35684479340054476</v>
      </c>
    </row>
    <row r="2458" spans="2:6">
      <c r="B2458" t="s">
        <v>882</v>
      </c>
      <c r="C2458" t="s">
        <v>881</v>
      </c>
      <c r="D2458">
        <v>2889.0434904424151</v>
      </c>
      <c r="E2458">
        <v>4157.6773413701821</v>
      </c>
      <c r="F2458" s="6">
        <v>0.43911898700199004</v>
      </c>
    </row>
    <row r="2459" spans="2:6">
      <c r="B2459" t="s">
        <v>898</v>
      </c>
      <c r="C2459" t="s">
        <v>897</v>
      </c>
      <c r="D2459">
        <v>4531.7088000000003</v>
      </c>
      <c r="E2459">
        <v>4145.2710999999999</v>
      </c>
      <c r="F2459" s="6">
        <v>-8.5274168543221451E-2</v>
      </c>
    </row>
    <row r="2460" spans="2:6">
      <c r="B2460" t="s">
        <v>1010</v>
      </c>
      <c r="C2460" t="s">
        <v>1009</v>
      </c>
      <c r="D2460">
        <v>4738.0662741447813</v>
      </c>
      <c r="E2460">
        <v>4141.7339806744121</v>
      </c>
      <c r="F2460" s="6">
        <v>-0.12585984639440417</v>
      </c>
    </row>
    <row r="2461" spans="2:6">
      <c r="B2461" t="s">
        <v>1148</v>
      </c>
      <c r="C2461" t="s">
        <v>1147</v>
      </c>
      <c r="D2461">
        <v>5016.2470032318815</v>
      </c>
      <c r="E2461">
        <v>4133.2813130177165</v>
      </c>
      <c r="F2461" s="6">
        <v>-0.17602117472390921</v>
      </c>
    </row>
    <row r="2462" spans="2:6">
      <c r="B2462" t="s">
        <v>3107</v>
      </c>
      <c r="C2462" t="s">
        <v>3108</v>
      </c>
      <c r="D2462">
        <v>328.02010000000001</v>
      </c>
      <c r="E2462">
        <v>4132.5990645180182</v>
      </c>
      <c r="F2462" s="6">
        <v>11.598615342529369</v>
      </c>
    </row>
    <row r="2463" spans="2:6">
      <c r="B2463" t="s">
        <v>1406</v>
      </c>
      <c r="C2463" t="s">
        <v>1405</v>
      </c>
      <c r="D2463">
        <v>9614.9285389429133</v>
      </c>
      <c r="E2463">
        <v>4128.6144000000004</v>
      </c>
      <c r="F2463" s="6">
        <v>-0.5706</v>
      </c>
    </row>
    <row r="2464" spans="2:6">
      <c r="B2464" t="s">
        <v>1098</v>
      </c>
      <c r="C2464" t="s">
        <v>1097</v>
      </c>
      <c r="D2464">
        <v>1887.7059999999999</v>
      </c>
      <c r="E2464">
        <v>4122.8242671233347</v>
      </c>
      <c r="F2464" s="6">
        <v>1.1840393933818798</v>
      </c>
    </row>
    <row r="2465" spans="2:6">
      <c r="B2465" t="s">
        <v>998</v>
      </c>
      <c r="C2465" t="s">
        <v>997</v>
      </c>
      <c r="D2465">
        <v>5643.0955938511997</v>
      </c>
      <c r="E2465">
        <v>4119.8841347534817</v>
      </c>
      <c r="F2465" s="6">
        <v>-0.2699248016917225</v>
      </c>
    </row>
    <row r="2466" spans="2:6">
      <c r="B2466" t="s">
        <v>443</v>
      </c>
      <c r="C2466" t="s">
        <v>442</v>
      </c>
      <c r="D2466">
        <v>601.68269999999995</v>
      </c>
      <c r="E2466">
        <v>4111.1917000000003</v>
      </c>
      <c r="F2466" s="6">
        <v>5.8328235131241097</v>
      </c>
    </row>
    <row r="2467" spans="2:6">
      <c r="B2467" t="s">
        <v>3032</v>
      </c>
      <c r="C2467" t="s">
        <v>3033</v>
      </c>
      <c r="D2467">
        <v>5244.1300314986665</v>
      </c>
      <c r="E2467">
        <v>4085.9789999999998</v>
      </c>
      <c r="F2467" s="6">
        <v>-0.2208</v>
      </c>
    </row>
    <row r="2468" spans="2:6">
      <c r="B2468" t="s">
        <v>3190</v>
      </c>
      <c r="C2468" t="s">
        <v>3191</v>
      </c>
      <c r="D2468">
        <v>3185.5763999999999</v>
      </c>
      <c r="E2468">
        <v>4083.8794261807402</v>
      </c>
      <c r="F2468" s="6">
        <v>0.28199073366463301</v>
      </c>
    </row>
    <row r="2469" spans="2:6">
      <c r="B2469" t="s">
        <v>854</v>
      </c>
      <c r="C2469" t="s">
        <v>853</v>
      </c>
      <c r="D2469">
        <v>2715.7017999999998</v>
      </c>
      <c r="E2469">
        <v>4083.5684000000001</v>
      </c>
      <c r="F2469" s="6">
        <v>0.50368807061217113</v>
      </c>
    </row>
    <row r="2470" spans="2:6">
      <c r="B2470" t="s">
        <v>1040</v>
      </c>
      <c r="C2470" t="s">
        <v>1039</v>
      </c>
      <c r="D2470">
        <v>3922.8972184415211</v>
      </c>
      <c r="E2470">
        <v>4078.9515609854679</v>
      </c>
      <c r="F2470" s="6">
        <v>3.9780380125774339E-2</v>
      </c>
    </row>
    <row r="2471" spans="2:6">
      <c r="B2471" t="s">
        <v>3184</v>
      </c>
      <c r="C2471" t="s">
        <v>2583</v>
      </c>
      <c r="D2471">
        <v>3340.1522282968517</v>
      </c>
      <c r="E2471">
        <v>4074.6174941488248</v>
      </c>
      <c r="F2471" s="6">
        <v>0.21988975820616363</v>
      </c>
    </row>
    <row r="2472" spans="2:6">
      <c r="B2472" t="s">
        <v>3269</v>
      </c>
      <c r="C2472" t="s">
        <v>3270</v>
      </c>
      <c r="D2472">
        <v>1851.2429</v>
      </c>
      <c r="E2472">
        <v>4065.2662783292026</v>
      </c>
      <c r="F2472" s="6">
        <v>1.1959658985480526</v>
      </c>
    </row>
    <row r="2473" spans="2:6">
      <c r="B2473" t="s">
        <v>900</v>
      </c>
      <c r="C2473" t="s">
        <v>899</v>
      </c>
      <c r="D2473">
        <v>2115.3832389885274</v>
      </c>
      <c r="E2473">
        <v>4063.1626000000001</v>
      </c>
      <c r="F2473" s="6">
        <v>0.92079999999999995</v>
      </c>
    </row>
    <row r="2474" spans="2:6">
      <c r="B2474" t="s">
        <v>1034</v>
      </c>
      <c r="C2474" t="s">
        <v>1033</v>
      </c>
      <c r="D2474">
        <v>4425.2055284007993</v>
      </c>
      <c r="E2474">
        <v>4052.761</v>
      </c>
      <c r="F2474" s="6">
        <v>-8.4199999999999997E-2</v>
      </c>
    </row>
    <row r="2475" spans="2:6">
      <c r="B2475" t="s">
        <v>3205</v>
      </c>
      <c r="C2475" t="s">
        <v>3206</v>
      </c>
      <c r="D2475">
        <v>2934.5900783297561</v>
      </c>
      <c r="E2475">
        <v>4051.2437791209359</v>
      </c>
      <c r="F2475" s="6">
        <v>0.38051437201979899</v>
      </c>
    </row>
    <row r="2476" spans="2:6">
      <c r="B2476" t="s">
        <v>3285</v>
      </c>
      <c r="C2476" t="s">
        <v>3286</v>
      </c>
      <c r="D2476">
        <v>3959.2534999999998</v>
      </c>
      <c r="E2476">
        <v>4048.777895586828</v>
      </c>
      <c r="F2476" s="6">
        <v>2.261143308626945E-2</v>
      </c>
    </row>
    <row r="2477" spans="2:6">
      <c r="B2477" t="s">
        <v>3380</v>
      </c>
      <c r="C2477" t="s">
        <v>3381</v>
      </c>
      <c r="D2477">
        <v>1006.5525</v>
      </c>
      <c r="E2477">
        <v>4022.3270000000002</v>
      </c>
      <c r="F2477" s="6">
        <v>2.9961422777252058</v>
      </c>
    </row>
    <row r="2478" spans="2:6">
      <c r="B2478" t="s">
        <v>2967</v>
      </c>
      <c r="C2478" t="s">
        <v>2968</v>
      </c>
      <c r="D2478">
        <v>2154.8375999999998</v>
      </c>
      <c r="E2478">
        <v>4005.9096</v>
      </c>
      <c r="F2478" s="6">
        <v>0.85903086153685093</v>
      </c>
    </row>
    <row r="2479" spans="2:6">
      <c r="B2479" t="s">
        <v>686</v>
      </c>
      <c r="C2479" t="s">
        <v>685</v>
      </c>
      <c r="D2479">
        <v>2312.4341948556712</v>
      </c>
      <c r="E2479">
        <v>3996.2737323090541</v>
      </c>
      <c r="F2479" s="6">
        <v>0.72816754794550098</v>
      </c>
    </row>
    <row r="2480" spans="2:6">
      <c r="B2480" t="s">
        <v>1217</v>
      </c>
      <c r="C2480" t="s">
        <v>1216</v>
      </c>
      <c r="D2480">
        <v>5546.3431151015066</v>
      </c>
      <c r="E2480">
        <v>3992.9900528761918</v>
      </c>
      <c r="F2480" s="6">
        <v>-0.28006797091147617</v>
      </c>
    </row>
    <row r="2481" spans="2:6">
      <c r="B2481" t="s">
        <v>1481</v>
      </c>
      <c r="C2481" t="s">
        <v>1480</v>
      </c>
      <c r="D2481">
        <v>8246.2073410422963</v>
      </c>
      <c r="E2481">
        <v>3980.4753142644886</v>
      </c>
      <c r="F2481" s="6">
        <v>-0.5172962369678461</v>
      </c>
    </row>
    <row r="2482" spans="2:6">
      <c r="B2482" t="s">
        <v>3164</v>
      </c>
      <c r="C2482" t="s">
        <v>3165</v>
      </c>
      <c r="D2482">
        <v>1906.6863000000001</v>
      </c>
      <c r="E2482">
        <v>3937.9250000000002</v>
      </c>
      <c r="F2482" s="6">
        <v>1.0653240126600796</v>
      </c>
    </row>
    <row r="2483" spans="2:6">
      <c r="B2483" t="s">
        <v>2976</v>
      </c>
      <c r="C2483" t="s">
        <v>2977</v>
      </c>
      <c r="D2483">
        <v>2132.4875999999999</v>
      </c>
      <c r="E2483">
        <v>3935.1941399522434</v>
      </c>
      <c r="F2483" s="6">
        <v>0.84535382055785147</v>
      </c>
    </row>
    <row r="2484" spans="2:6">
      <c r="B2484" t="s">
        <v>1068</v>
      </c>
      <c r="C2484" t="s">
        <v>1067</v>
      </c>
      <c r="D2484">
        <v>4535.4843945117918</v>
      </c>
      <c r="E2484">
        <v>3921.2992473833619</v>
      </c>
      <c r="F2484" s="6">
        <v>-0.13541776218470314</v>
      </c>
    </row>
    <row r="2485" spans="2:6">
      <c r="B2485" t="s">
        <v>639</v>
      </c>
      <c r="C2485" t="s">
        <v>638</v>
      </c>
      <c r="D2485">
        <v>1452.8361676333968</v>
      </c>
      <c r="E2485">
        <v>3918.9823000000001</v>
      </c>
      <c r="F2485" s="6">
        <v>1.6975</v>
      </c>
    </row>
    <row r="2486" spans="2:6">
      <c r="B2486" t="s">
        <v>1670</v>
      </c>
      <c r="C2486" t="s">
        <v>1669</v>
      </c>
      <c r="D2486">
        <v>14156.438058839098</v>
      </c>
      <c r="E2486">
        <v>3908.5227</v>
      </c>
      <c r="F2486" s="6">
        <v>-0.72389999999999999</v>
      </c>
    </row>
    <row r="2487" spans="2:6">
      <c r="B2487" t="s">
        <v>3201</v>
      </c>
      <c r="C2487" t="s">
        <v>3202</v>
      </c>
      <c r="D2487">
        <v>3697.386374091453</v>
      </c>
      <c r="E2487">
        <v>3907.6618731873996</v>
      </c>
      <c r="F2487" s="6">
        <v>5.6871389089709901E-2</v>
      </c>
    </row>
    <row r="2488" spans="2:6">
      <c r="B2488" t="s">
        <v>587</v>
      </c>
      <c r="C2488" t="s">
        <v>586</v>
      </c>
      <c r="D2488">
        <v>423.31970000000001</v>
      </c>
      <c r="E2488">
        <v>3897.9191532805057</v>
      </c>
      <c r="F2488" s="6">
        <v>8.2079795796900203</v>
      </c>
    </row>
    <row r="2489" spans="2:6">
      <c r="B2489" t="s">
        <v>2921</v>
      </c>
      <c r="C2489" t="s">
        <v>2922</v>
      </c>
      <c r="D2489">
        <v>7691.9991024436576</v>
      </c>
      <c r="E2489">
        <v>3892.0727999999999</v>
      </c>
      <c r="F2489" s="6">
        <v>-0.49399999999999999</v>
      </c>
    </row>
    <row r="2490" spans="2:6">
      <c r="B2490" t="s">
        <v>996</v>
      </c>
      <c r="C2490" t="s">
        <v>995</v>
      </c>
      <c r="D2490">
        <v>5996.0038000000004</v>
      </c>
      <c r="E2490">
        <v>3888.9137000000001</v>
      </c>
      <c r="F2490" s="6">
        <v>-0.35141573792865177</v>
      </c>
    </row>
    <row r="2491" spans="2:6">
      <c r="B2491" t="s">
        <v>1050</v>
      </c>
      <c r="C2491" t="s">
        <v>1049</v>
      </c>
      <c r="D2491">
        <v>3552.4483</v>
      </c>
      <c r="E2491">
        <v>3848.9436999999998</v>
      </c>
      <c r="F2491" s="6">
        <v>8.346227023205377E-2</v>
      </c>
    </row>
    <row r="2492" spans="2:6">
      <c r="B2492" t="s">
        <v>1342</v>
      </c>
      <c r="C2492" t="s">
        <v>1341</v>
      </c>
      <c r="D2492">
        <v>5135.9245599960241</v>
      </c>
      <c r="E2492">
        <v>3845.3967316275161</v>
      </c>
      <c r="F2492" s="6">
        <v>-0.25127468546179488</v>
      </c>
    </row>
    <row r="2493" spans="2:6">
      <c r="B2493" t="s">
        <v>846</v>
      </c>
      <c r="C2493" t="s">
        <v>845</v>
      </c>
      <c r="D2493">
        <v>3411.8597456317343</v>
      </c>
      <c r="E2493">
        <v>3845.0701061205318</v>
      </c>
      <c r="F2493" s="6">
        <v>0.12697191349774695</v>
      </c>
    </row>
    <row r="2494" spans="2:6">
      <c r="B2494" t="s">
        <v>1610</v>
      </c>
      <c r="C2494" t="s">
        <v>1609</v>
      </c>
      <c r="D2494">
        <v>7558.1789785164947</v>
      </c>
      <c r="E2494">
        <v>3839.3719999999998</v>
      </c>
      <c r="F2494" s="6">
        <v>-0.49199999999999999</v>
      </c>
    </row>
    <row r="2495" spans="2:6">
      <c r="B2495" t="s">
        <v>764</v>
      </c>
      <c r="C2495" t="s">
        <v>763</v>
      </c>
      <c r="D2495">
        <v>3255.5948582054102</v>
      </c>
      <c r="E2495">
        <v>3836.2347</v>
      </c>
      <c r="F2495" s="6">
        <v>0.1784</v>
      </c>
    </row>
    <row r="2496" spans="2:6">
      <c r="B2496" t="s">
        <v>1084</v>
      </c>
      <c r="C2496" t="s">
        <v>1083</v>
      </c>
      <c r="D2496">
        <v>6610.2736879500226</v>
      </c>
      <c r="E2496">
        <v>3836.1172999999999</v>
      </c>
      <c r="F2496" s="6">
        <v>-0.41970000000000002</v>
      </c>
    </row>
    <row r="2497" spans="2:6">
      <c r="B2497" t="s">
        <v>2844</v>
      </c>
      <c r="C2497" t="s">
        <v>2845</v>
      </c>
      <c r="D2497">
        <v>11528.335784062356</v>
      </c>
      <c r="E2497">
        <v>3832.5828000000001</v>
      </c>
      <c r="F2497" s="6">
        <v>-0.66759999999999997</v>
      </c>
    </row>
    <row r="2498" spans="2:6">
      <c r="B2498" t="s">
        <v>834</v>
      </c>
      <c r="C2498" t="s">
        <v>833</v>
      </c>
      <c r="D2498">
        <v>2991.4340999999999</v>
      </c>
      <c r="E2498">
        <v>3826.0697</v>
      </c>
      <c r="F2498" s="6">
        <v>0.27900851969294593</v>
      </c>
    </row>
    <row r="2499" spans="2:6">
      <c r="B2499" t="s">
        <v>992</v>
      </c>
      <c r="C2499" t="s">
        <v>991</v>
      </c>
      <c r="D2499">
        <v>3089.8422999999998</v>
      </c>
      <c r="E2499">
        <v>3824.2978497771001</v>
      </c>
      <c r="F2499" s="6">
        <v>0.23770001134915542</v>
      </c>
    </row>
    <row r="2500" spans="2:6">
      <c r="B2500" t="s">
        <v>956</v>
      </c>
      <c r="C2500" t="s">
        <v>955</v>
      </c>
      <c r="D2500">
        <v>1938.9503994037793</v>
      </c>
      <c r="E2500">
        <v>3822.9312832598625</v>
      </c>
      <c r="F2500" s="6">
        <v>0.97164985985995367</v>
      </c>
    </row>
    <row r="2501" spans="2:6">
      <c r="B2501" t="s">
        <v>1166</v>
      </c>
      <c r="C2501" t="s">
        <v>1165</v>
      </c>
      <c r="D2501">
        <v>8156.4889349427112</v>
      </c>
      <c r="E2501">
        <v>3821.8805000000002</v>
      </c>
      <c r="F2501" s="6">
        <v>-0.53139999999999998</v>
      </c>
    </row>
    <row r="2502" spans="2:6">
      <c r="B2502" t="s">
        <v>1279</v>
      </c>
      <c r="C2502" t="s">
        <v>1278</v>
      </c>
      <c r="D2502">
        <v>7394.1510857196045</v>
      </c>
      <c r="E2502">
        <v>3816.8491883486763</v>
      </c>
      <c r="F2502" s="6">
        <v>-0.48380156909152239</v>
      </c>
    </row>
    <row r="2503" spans="2:6">
      <c r="B2503" t="s">
        <v>631</v>
      </c>
      <c r="C2503" t="s">
        <v>630</v>
      </c>
      <c r="D2503">
        <v>1619.9687364242677</v>
      </c>
      <c r="E2503">
        <v>3783.1880999999998</v>
      </c>
      <c r="F2503" s="6">
        <v>1.3352999999999999</v>
      </c>
    </row>
    <row r="2504" spans="2:6">
      <c r="B2504" t="s">
        <v>982</v>
      </c>
      <c r="C2504" t="s">
        <v>981</v>
      </c>
      <c r="D2504">
        <v>6572.7747190946375</v>
      </c>
      <c r="E2504">
        <v>3782.2840999999999</v>
      </c>
      <c r="F2504" s="6">
        <v>-0.42459999999999998</v>
      </c>
    </row>
    <row r="2505" spans="2:6">
      <c r="B2505" t="s">
        <v>936</v>
      </c>
      <c r="C2505" t="s">
        <v>935</v>
      </c>
      <c r="D2505">
        <v>2981.6540718303895</v>
      </c>
      <c r="E2505">
        <v>3775.9528</v>
      </c>
      <c r="F2505" s="6">
        <v>0.26640000000000003</v>
      </c>
    </row>
    <row r="2506" spans="2:6">
      <c r="B2506" t="s">
        <v>1852</v>
      </c>
      <c r="C2506" t="s">
        <v>1851</v>
      </c>
      <c r="D2506">
        <v>7204.7476999999999</v>
      </c>
      <c r="E2506">
        <v>3767.4897999999998</v>
      </c>
      <c r="F2506" s="6">
        <v>-0.4770823411345827</v>
      </c>
    </row>
    <row r="2507" spans="2:6">
      <c r="B2507" t="s">
        <v>2307</v>
      </c>
      <c r="C2507" t="s">
        <v>2295</v>
      </c>
      <c r="D2507">
        <v>61236.078200000004</v>
      </c>
      <c r="E2507">
        <v>3761.9279252518045</v>
      </c>
      <c r="F2507" s="6">
        <v>-0.93856680512809509</v>
      </c>
    </row>
    <row r="2508" spans="2:6">
      <c r="B2508" t="s">
        <v>704</v>
      </c>
      <c r="C2508" t="s">
        <v>703</v>
      </c>
      <c r="D2508">
        <v>3732.0401000000002</v>
      </c>
      <c r="E2508">
        <v>3761.5884000000001</v>
      </c>
      <c r="F2508" s="6">
        <v>7.9174658385905428E-3</v>
      </c>
    </row>
    <row r="2509" spans="2:6">
      <c r="B2509" t="s">
        <v>3446</v>
      </c>
      <c r="C2509" t="s">
        <v>3447</v>
      </c>
      <c r="D2509">
        <v>223.93940000000001</v>
      </c>
      <c r="E2509">
        <v>3753.2567559613908</v>
      </c>
      <c r="F2509" s="6">
        <v>15.760144735412307</v>
      </c>
    </row>
    <row r="2510" spans="2:6">
      <c r="B2510" t="s">
        <v>910</v>
      </c>
      <c r="C2510" t="s">
        <v>909</v>
      </c>
      <c r="D2510">
        <v>3038.7840999999999</v>
      </c>
      <c r="E2510">
        <v>3745.5441618636969</v>
      </c>
      <c r="F2510" s="6">
        <v>0.23257988675921304</v>
      </c>
    </row>
    <row r="2511" spans="2:6">
      <c r="B2511" t="s">
        <v>3156</v>
      </c>
      <c r="C2511" t="s">
        <v>3157</v>
      </c>
      <c r="D2511">
        <v>2009.4532830552414</v>
      </c>
      <c r="E2511">
        <v>3744.5169999999998</v>
      </c>
      <c r="F2511" s="6">
        <v>0.86350000000000005</v>
      </c>
    </row>
    <row r="2512" spans="2:6">
      <c r="B2512" t="s">
        <v>742</v>
      </c>
      <c r="C2512" t="s">
        <v>741</v>
      </c>
      <c r="D2512">
        <v>2232.0526462878984</v>
      </c>
      <c r="E2512">
        <v>3721.5369999999998</v>
      </c>
      <c r="F2512" s="6">
        <v>0.6673</v>
      </c>
    </row>
    <row r="2513" spans="2:6">
      <c r="B2513" t="s">
        <v>651</v>
      </c>
      <c r="C2513" t="s">
        <v>650</v>
      </c>
      <c r="D2513">
        <v>964.63687556072898</v>
      </c>
      <c r="E2513">
        <v>3712.0083</v>
      </c>
      <c r="F2513" s="6">
        <v>2.8481000000000001</v>
      </c>
    </row>
    <row r="2514" spans="2:6">
      <c r="B2514" t="s">
        <v>1062</v>
      </c>
      <c r="C2514" t="s">
        <v>1061</v>
      </c>
      <c r="D2514">
        <v>4770.5471910597616</v>
      </c>
      <c r="E2514">
        <v>3708.8238693495809</v>
      </c>
      <c r="F2514" s="6">
        <v>-0.22255797483775075</v>
      </c>
    </row>
    <row r="2515" spans="2:6">
      <c r="B2515" t="s">
        <v>906</v>
      </c>
      <c r="C2515" t="s">
        <v>905</v>
      </c>
      <c r="D2515">
        <v>3723.1986999999999</v>
      </c>
      <c r="E2515">
        <v>3703.8560735106626</v>
      </c>
      <c r="F2515" s="6">
        <v>-5.1951636342527641E-3</v>
      </c>
    </row>
    <row r="2516" spans="2:6">
      <c r="B2516" t="s">
        <v>3113</v>
      </c>
      <c r="C2516" t="s">
        <v>3114</v>
      </c>
      <c r="D2516">
        <v>5098.9896247639745</v>
      </c>
      <c r="E2516">
        <v>3703.1015000000002</v>
      </c>
      <c r="F2516" s="6">
        <v>-0.27379999999999999</v>
      </c>
    </row>
    <row r="2517" spans="2:6">
      <c r="B2517" t="s">
        <v>3175</v>
      </c>
      <c r="C2517" t="s">
        <v>2331</v>
      </c>
      <c r="D2517">
        <v>2069.7777338383162</v>
      </c>
      <c r="E2517">
        <v>3702.2660320826853</v>
      </c>
      <c r="F2517" s="6">
        <v>0.78872637943446611</v>
      </c>
    </row>
    <row r="2518" spans="2:6">
      <c r="B2518" t="s">
        <v>477</v>
      </c>
      <c r="C2518" t="s">
        <v>476</v>
      </c>
      <c r="D2518">
        <v>855.9606</v>
      </c>
      <c r="E2518">
        <v>3691.7887999999998</v>
      </c>
      <c r="F2518" s="6">
        <v>3.3130359037553827</v>
      </c>
    </row>
    <row r="2519" spans="2:6">
      <c r="B2519" t="s">
        <v>3370</v>
      </c>
      <c r="C2519" t="s">
        <v>3371</v>
      </c>
      <c r="D2519">
        <v>448.91570000000002</v>
      </c>
      <c r="E2519">
        <v>3687.763897266927</v>
      </c>
      <c r="F2519" s="6">
        <v>7.2148249599355214</v>
      </c>
    </row>
    <row r="2520" spans="2:6">
      <c r="B2520" t="s">
        <v>567</v>
      </c>
      <c r="C2520" t="s">
        <v>566</v>
      </c>
      <c r="D2520">
        <v>1586.9694999999999</v>
      </c>
      <c r="E2520">
        <v>3683.2070098705021</v>
      </c>
      <c r="F2520" s="6">
        <v>1.3209059845639768</v>
      </c>
    </row>
    <row r="2521" spans="2:6">
      <c r="B2521" t="s">
        <v>988</v>
      </c>
      <c r="C2521" t="s">
        <v>987</v>
      </c>
      <c r="D2521">
        <v>3884.3820999999998</v>
      </c>
      <c r="E2521">
        <v>3664.565880620793</v>
      </c>
      <c r="F2521" s="6">
        <v>-5.6589751914263742E-2</v>
      </c>
    </row>
    <row r="2522" spans="2:6">
      <c r="B2522" t="s">
        <v>1038</v>
      </c>
      <c r="C2522" t="s">
        <v>1037</v>
      </c>
      <c r="D2522">
        <v>4248.2160000000003</v>
      </c>
      <c r="E2522">
        <v>3648.8346999999999</v>
      </c>
      <c r="F2522" s="6">
        <v>-0.14109011876985544</v>
      </c>
    </row>
    <row r="2523" spans="2:6">
      <c r="B2523" t="s">
        <v>3073</v>
      </c>
      <c r="C2523" t="s">
        <v>3074</v>
      </c>
      <c r="D2523">
        <v>2107.7224999999999</v>
      </c>
      <c r="E2523">
        <v>3639.6777000000002</v>
      </c>
      <c r="F2523" s="6">
        <v>0.72682964669210492</v>
      </c>
    </row>
    <row r="2524" spans="2:6">
      <c r="B2524" t="s">
        <v>1259</v>
      </c>
      <c r="C2524" t="s">
        <v>1258</v>
      </c>
      <c r="D2524">
        <v>2145.2411999999999</v>
      </c>
      <c r="E2524">
        <v>3613.3285999999998</v>
      </c>
      <c r="F2524" s="6">
        <v>0.68434607726161523</v>
      </c>
    </row>
    <row r="2525" spans="2:6">
      <c r="B2525" t="s">
        <v>1231</v>
      </c>
      <c r="C2525" t="s">
        <v>1230</v>
      </c>
      <c r="D2525">
        <v>5617.2862999999998</v>
      </c>
      <c r="E2525">
        <v>3612.3960374728431</v>
      </c>
      <c r="F2525" s="6">
        <v>-0.35691438097558903</v>
      </c>
    </row>
    <row r="2526" spans="2:6">
      <c r="B2526" t="s">
        <v>1092</v>
      </c>
      <c r="C2526" t="s">
        <v>1091</v>
      </c>
      <c r="D2526">
        <v>3635.1129999999998</v>
      </c>
      <c r="E2526">
        <v>3610.9511846807072</v>
      </c>
      <c r="F2526" s="6">
        <v>-6.6467852084082235E-3</v>
      </c>
    </row>
    <row r="2527" spans="2:6">
      <c r="B2527" t="s">
        <v>3219</v>
      </c>
      <c r="C2527" t="s">
        <v>3220</v>
      </c>
      <c r="D2527">
        <v>2170.4704000000002</v>
      </c>
      <c r="E2527">
        <v>3607.7177879108231</v>
      </c>
      <c r="F2527" s="6">
        <v>0.66218244114769909</v>
      </c>
    </row>
    <row r="2528" spans="2:6">
      <c r="B2528" t="s">
        <v>3180</v>
      </c>
      <c r="C2528" t="s">
        <v>3181</v>
      </c>
      <c r="D2528">
        <v>2435.2557609236733</v>
      </c>
      <c r="E2528">
        <v>3606.6300999999999</v>
      </c>
      <c r="F2528" s="6">
        <v>0.48099999999999998</v>
      </c>
    </row>
    <row r="2529" spans="2:6">
      <c r="B2529" t="s">
        <v>3012</v>
      </c>
      <c r="C2529" t="s">
        <v>3013</v>
      </c>
      <c r="D2529">
        <v>9019.6220669641589</v>
      </c>
      <c r="E2529">
        <v>3600.6714901634277</v>
      </c>
      <c r="F2529" s="6">
        <v>-0.60079574693584159</v>
      </c>
    </row>
    <row r="2530" spans="2:6">
      <c r="B2530" t="s">
        <v>3486</v>
      </c>
      <c r="C2530" t="s">
        <v>3487</v>
      </c>
      <c r="D2530">
        <v>938.46019999999999</v>
      </c>
      <c r="E2530">
        <v>3600.6067434770298</v>
      </c>
      <c r="F2530" s="6">
        <v>2.8367175757448528</v>
      </c>
    </row>
    <row r="2531" spans="2:6">
      <c r="B2531" t="s">
        <v>3177</v>
      </c>
      <c r="C2531" t="s">
        <v>347</v>
      </c>
      <c r="D2531">
        <v>3277.5374000000002</v>
      </c>
      <c r="E2531">
        <v>3595.3535667444671</v>
      </c>
      <c r="F2531" s="6">
        <v>9.6967975634531856E-2</v>
      </c>
    </row>
    <row r="2532" spans="2:6">
      <c r="B2532" t="s">
        <v>1757</v>
      </c>
      <c r="C2532" t="s">
        <v>1756</v>
      </c>
      <c r="D2532">
        <v>19615.154175307194</v>
      </c>
      <c r="E2532">
        <v>3589.396403848953</v>
      </c>
      <c r="F2532" s="6">
        <v>-0.81700901396087344</v>
      </c>
    </row>
    <row r="2533" spans="2:6">
      <c r="B2533" t="s">
        <v>3217</v>
      </c>
      <c r="C2533" t="s">
        <v>3218</v>
      </c>
      <c r="D2533">
        <v>1511.0985000000001</v>
      </c>
      <c r="E2533">
        <v>3579.6539132745293</v>
      </c>
      <c r="F2533" s="6">
        <v>1.3689083890127143</v>
      </c>
    </row>
    <row r="2534" spans="2:6">
      <c r="B2534" t="s">
        <v>3428</v>
      </c>
      <c r="C2534" t="s">
        <v>3429</v>
      </c>
      <c r="D2534">
        <v>174.55520000000001</v>
      </c>
      <c r="E2534">
        <v>3577.7791999999999</v>
      </c>
      <c r="F2534" s="6">
        <v>19.496548942684033</v>
      </c>
    </row>
    <row r="2535" spans="2:6">
      <c r="B2535" t="s">
        <v>641</v>
      </c>
      <c r="C2535" t="s">
        <v>640</v>
      </c>
      <c r="D2535">
        <v>1896.8375000000001</v>
      </c>
      <c r="E2535">
        <v>3573.1972561408475</v>
      </c>
      <c r="F2535" s="6">
        <v>0.88376561310119994</v>
      </c>
    </row>
    <row r="2536" spans="2:6">
      <c r="B2536" t="s">
        <v>3075</v>
      </c>
      <c r="C2536" t="s">
        <v>3076</v>
      </c>
      <c r="D2536">
        <v>6278.6211000000003</v>
      </c>
      <c r="E2536">
        <v>3560.6385</v>
      </c>
      <c r="F2536" s="6">
        <v>-0.4328948278149799</v>
      </c>
    </row>
    <row r="2537" spans="2:6">
      <c r="B2537" t="s">
        <v>3030</v>
      </c>
      <c r="C2537" t="s">
        <v>3031</v>
      </c>
      <c r="D2537">
        <v>4642.3981476452491</v>
      </c>
      <c r="E2537">
        <v>3535.8719292590426</v>
      </c>
      <c r="F2537" s="6">
        <v>-0.23835228758814375</v>
      </c>
    </row>
    <row r="2538" spans="2:6">
      <c r="B2538" t="s">
        <v>2730</v>
      </c>
      <c r="C2538" t="s">
        <v>2641</v>
      </c>
      <c r="D2538">
        <v>13563.50231703534</v>
      </c>
      <c r="E2538">
        <v>3534.9766</v>
      </c>
      <c r="F2538" s="6">
        <v>-0.73939999999999995</v>
      </c>
    </row>
    <row r="2539" spans="2:6">
      <c r="B2539" t="s">
        <v>1277</v>
      </c>
      <c r="C2539" t="s">
        <v>1276</v>
      </c>
      <c r="D2539">
        <v>11800.985134034107</v>
      </c>
      <c r="E2539">
        <v>3534.4537357127292</v>
      </c>
      <c r="F2539" s="6">
        <v>-0.700495026849975</v>
      </c>
    </row>
    <row r="2540" spans="2:6">
      <c r="B2540" t="s">
        <v>1514</v>
      </c>
      <c r="C2540" t="s">
        <v>1513</v>
      </c>
      <c r="D2540">
        <v>12065.344502243352</v>
      </c>
      <c r="E2540">
        <v>3526.3346999999999</v>
      </c>
      <c r="F2540" s="6">
        <v>-0.7077</v>
      </c>
    </row>
    <row r="2541" spans="2:6">
      <c r="B2541" t="s">
        <v>3160</v>
      </c>
      <c r="C2541" t="s">
        <v>3161</v>
      </c>
      <c r="D2541">
        <v>2384.6084939531315</v>
      </c>
      <c r="E2541">
        <v>3504.2298999999998</v>
      </c>
      <c r="F2541" s="6">
        <v>0.46949999999999997</v>
      </c>
    </row>
    <row r="2542" spans="2:6">
      <c r="B2542" t="s">
        <v>3366</v>
      </c>
      <c r="C2542" t="s">
        <v>3061</v>
      </c>
      <c r="D2542">
        <v>1461.4178999999999</v>
      </c>
      <c r="E2542">
        <v>3496.3407000000002</v>
      </c>
      <c r="F2542" s="6">
        <v>1.392430460855858</v>
      </c>
    </row>
    <row r="2543" spans="2:6">
      <c r="B2543" t="s">
        <v>886</v>
      </c>
      <c r="C2543" t="s">
        <v>885</v>
      </c>
      <c r="D2543">
        <v>2853.0727999999999</v>
      </c>
      <c r="E2543">
        <v>3473.759174633301</v>
      </c>
      <c r="F2543" s="6">
        <v>0.21755013564087844</v>
      </c>
    </row>
    <row r="2544" spans="2:6">
      <c r="B2544" t="s">
        <v>1374</v>
      </c>
      <c r="C2544" t="s">
        <v>1373</v>
      </c>
      <c r="D2544">
        <v>7778.9884505543296</v>
      </c>
      <c r="E2544">
        <v>3471.1435999999999</v>
      </c>
      <c r="F2544" s="6">
        <v>-0.55379999999999996</v>
      </c>
    </row>
    <row r="2545" spans="2:6">
      <c r="B2545" t="s">
        <v>840</v>
      </c>
      <c r="C2545" t="s">
        <v>839</v>
      </c>
      <c r="D2545">
        <v>3134.5857000000001</v>
      </c>
      <c r="E2545">
        <v>3469.8188289627324</v>
      </c>
      <c r="F2545" s="6">
        <v>0.10694655085127591</v>
      </c>
    </row>
    <row r="2546" spans="2:6">
      <c r="B2546" t="s">
        <v>708</v>
      </c>
      <c r="C2546" t="s">
        <v>707</v>
      </c>
      <c r="D2546">
        <v>2626.0403000000001</v>
      </c>
      <c r="E2546">
        <v>3466.9798226296189</v>
      </c>
      <c r="F2546" s="6">
        <v>0.32023100431079388</v>
      </c>
    </row>
    <row r="2547" spans="2:6">
      <c r="B2547" t="s">
        <v>966</v>
      </c>
      <c r="C2547" t="s">
        <v>965</v>
      </c>
      <c r="D2547">
        <v>9329.0095999999994</v>
      </c>
      <c r="E2547">
        <v>3457.8778000000002</v>
      </c>
      <c r="F2547" s="6">
        <v>-0.62934138260507311</v>
      </c>
    </row>
    <row r="2548" spans="2:6">
      <c r="B2548" t="s">
        <v>3394</v>
      </c>
      <c r="C2548" t="s">
        <v>3395</v>
      </c>
      <c r="D2548">
        <v>366.48206942176625</v>
      </c>
      <c r="E2548">
        <v>3443.2142947203079</v>
      </c>
      <c r="F2548" s="6">
        <v>8.3953144833333742</v>
      </c>
    </row>
    <row r="2549" spans="2:6">
      <c r="B2549" t="s">
        <v>1114</v>
      </c>
      <c r="C2549" t="s">
        <v>1113</v>
      </c>
      <c r="D2549">
        <v>961.90440000000001</v>
      </c>
      <c r="E2549">
        <v>3433.8787085214585</v>
      </c>
      <c r="F2549" s="6">
        <v>2.5698752480199265</v>
      </c>
    </row>
    <row r="2550" spans="2:6">
      <c r="B2550" t="s">
        <v>864</v>
      </c>
      <c r="C2550" t="s">
        <v>863</v>
      </c>
      <c r="D2550">
        <v>4634.104833438173</v>
      </c>
      <c r="E2550">
        <v>3427.9023358338609</v>
      </c>
      <c r="F2550" s="6">
        <v>-0.26028813351410451</v>
      </c>
    </row>
    <row r="2551" spans="2:6">
      <c r="B2551" t="s">
        <v>653</v>
      </c>
      <c r="C2551" t="s">
        <v>652</v>
      </c>
      <c r="D2551">
        <v>1368.7836</v>
      </c>
      <c r="E2551">
        <v>3424.6862609518298</v>
      </c>
      <c r="F2551" s="6">
        <v>1.5019924705058054</v>
      </c>
    </row>
    <row r="2552" spans="2:6">
      <c r="B2552" t="s">
        <v>3312</v>
      </c>
      <c r="C2552" t="s">
        <v>3313</v>
      </c>
      <c r="D2552">
        <v>1167.9680973876239</v>
      </c>
      <c r="E2552">
        <v>3421.215365047306</v>
      </c>
      <c r="F2552" s="6">
        <v>1.9292027519411579</v>
      </c>
    </row>
    <row r="2553" spans="2:6">
      <c r="B2553" t="s">
        <v>3192</v>
      </c>
      <c r="C2553" t="s">
        <v>2987</v>
      </c>
      <c r="D2553">
        <v>1119.7433000000001</v>
      </c>
      <c r="E2553">
        <v>3418.8184127093205</v>
      </c>
      <c r="F2553" s="6">
        <v>2.0532162261737312</v>
      </c>
    </row>
    <row r="2554" spans="2:6">
      <c r="B2554" t="s">
        <v>3467</v>
      </c>
      <c r="C2554" t="s">
        <v>3468</v>
      </c>
      <c r="D2554">
        <v>2594.0522999999998</v>
      </c>
      <c r="E2554">
        <v>3417.0945000000002</v>
      </c>
      <c r="F2554" s="6">
        <v>0.317280495848137</v>
      </c>
    </row>
    <row r="2555" spans="2:6">
      <c r="B2555" t="s">
        <v>766</v>
      </c>
      <c r="C2555" t="s">
        <v>765</v>
      </c>
      <c r="D2555">
        <v>2597.8498</v>
      </c>
      <c r="E2555">
        <v>3410.4277999999999</v>
      </c>
      <c r="F2555" s="6">
        <v>0.31278867623524653</v>
      </c>
    </row>
    <row r="2556" spans="2:6">
      <c r="B2556" t="s">
        <v>3337</v>
      </c>
      <c r="C2556" t="s">
        <v>3338</v>
      </c>
      <c r="D2556">
        <v>1756.1044999999999</v>
      </c>
      <c r="E2556">
        <v>3397.9839999999999</v>
      </c>
      <c r="F2556" s="6">
        <v>0.93495546534958485</v>
      </c>
    </row>
    <row r="2557" spans="2:6">
      <c r="B2557" t="s">
        <v>1016</v>
      </c>
      <c r="C2557" t="s">
        <v>1015</v>
      </c>
      <c r="D2557">
        <v>838.43230000000005</v>
      </c>
      <c r="E2557">
        <v>3397.5385000000001</v>
      </c>
      <c r="F2557" s="6">
        <v>3.0522514459426242</v>
      </c>
    </row>
    <row r="2558" spans="2:6">
      <c r="B2558" t="s">
        <v>924</v>
      </c>
      <c r="C2558" t="s">
        <v>923</v>
      </c>
      <c r="D2558">
        <v>2838.1123759419074</v>
      </c>
      <c r="E2558">
        <v>3382.8453</v>
      </c>
      <c r="F2558" s="6">
        <v>0.19189999999999999</v>
      </c>
    </row>
    <row r="2559" spans="2:6">
      <c r="B2559" t="s">
        <v>986</v>
      </c>
      <c r="C2559" t="s">
        <v>985</v>
      </c>
      <c r="D2559">
        <v>3531.7444999999998</v>
      </c>
      <c r="E2559">
        <v>3375.4292999999998</v>
      </c>
      <c r="F2559" s="6">
        <v>-4.4260053353236573E-2</v>
      </c>
    </row>
    <row r="2560" spans="2:6">
      <c r="B2560" t="s">
        <v>1686</v>
      </c>
      <c r="C2560" t="s">
        <v>1685</v>
      </c>
      <c r="D2560">
        <v>10279.466714592794</v>
      </c>
      <c r="E2560">
        <v>3370.5689817440611</v>
      </c>
      <c r="F2560" s="6">
        <v>-0.67210663010765126</v>
      </c>
    </row>
    <row r="2561" spans="2:6">
      <c r="B2561" t="s">
        <v>2972</v>
      </c>
      <c r="C2561" t="s">
        <v>2973</v>
      </c>
      <c r="D2561">
        <v>5412.0613111493349</v>
      </c>
      <c r="E2561">
        <v>3368.9841300339908</v>
      </c>
      <c r="F2561" s="6">
        <v>-0.37750444122028337</v>
      </c>
    </row>
    <row r="2562" spans="2:6">
      <c r="B2562" t="s">
        <v>3244</v>
      </c>
      <c r="C2562" t="s">
        <v>3245</v>
      </c>
      <c r="D2562">
        <v>1295.8617999999999</v>
      </c>
      <c r="E2562">
        <v>3367.4022</v>
      </c>
      <c r="F2562" s="6">
        <v>1.598581268465511</v>
      </c>
    </row>
    <row r="2563" spans="2:6">
      <c r="B2563" t="s">
        <v>2753</v>
      </c>
      <c r="C2563" t="s">
        <v>2754</v>
      </c>
      <c r="D2563">
        <v>5361.4577509026449</v>
      </c>
      <c r="E2563">
        <v>3357.2463538013621</v>
      </c>
      <c r="F2563" s="6">
        <v>-0.37381836996922291</v>
      </c>
    </row>
    <row r="2564" spans="2:6">
      <c r="B2564" t="s">
        <v>3187</v>
      </c>
      <c r="C2564" t="s">
        <v>3188</v>
      </c>
      <c r="D2564">
        <v>2650.5533560152553</v>
      </c>
      <c r="E2564">
        <v>3352.8506000000002</v>
      </c>
      <c r="F2564" s="6">
        <v>0.26500000000000001</v>
      </c>
    </row>
    <row r="2565" spans="2:6">
      <c r="B2565" t="s">
        <v>3264</v>
      </c>
      <c r="C2565" t="s">
        <v>3265</v>
      </c>
      <c r="D2565">
        <v>4174.4134999999997</v>
      </c>
      <c r="E2565">
        <v>3346.0479999999998</v>
      </c>
      <c r="F2565" s="6">
        <v>-0.19843877469254068</v>
      </c>
    </row>
    <row r="2566" spans="2:6">
      <c r="B2566" t="s">
        <v>611</v>
      </c>
      <c r="C2566" t="s">
        <v>610</v>
      </c>
      <c r="D2566">
        <v>177.6</v>
      </c>
      <c r="E2566">
        <v>3335.7019</v>
      </c>
      <c r="F2566" s="6">
        <v>17.782105292792792</v>
      </c>
    </row>
    <row r="2567" spans="2:6">
      <c r="B2567" t="s">
        <v>2877</v>
      </c>
      <c r="C2567" t="s">
        <v>2878</v>
      </c>
      <c r="D2567">
        <v>8288.3193664127102</v>
      </c>
      <c r="E2567">
        <v>3316.9167134085387</v>
      </c>
      <c r="F2567" s="6">
        <v>-0.59980828841491152</v>
      </c>
    </row>
    <row r="2568" spans="2:6">
      <c r="B2568" t="s">
        <v>1080</v>
      </c>
      <c r="C2568" t="s">
        <v>1079</v>
      </c>
      <c r="D2568">
        <v>4840.3346553673327</v>
      </c>
      <c r="E2568">
        <v>3312.1956</v>
      </c>
      <c r="F2568" s="6">
        <v>-0.31569999999999998</v>
      </c>
    </row>
    <row r="2569" spans="2:6">
      <c r="B2569" t="s">
        <v>2616</v>
      </c>
      <c r="C2569" t="s">
        <v>2617</v>
      </c>
      <c r="D2569">
        <v>10979.241257539339</v>
      </c>
      <c r="E2569">
        <v>3306.2730999999999</v>
      </c>
      <c r="F2569" s="6">
        <v>-0.69889999999999997</v>
      </c>
    </row>
    <row r="2570" spans="2:6">
      <c r="B2570" t="s">
        <v>804</v>
      </c>
      <c r="C2570" t="s">
        <v>803</v>
      </c>
      <c r="D2570">
        <v>4974.0674017144011</v>
      </c>
      <c r="E2570">
        <v>3304.6725999999999</v>
      </c>
      <c r="F2570" s="6">
        <v>-0.33560000000000001</v>
      </c>
    </row>
    <row r="2571" spans="2:6">
      <c r="B2571" t="s">
        <v>2772</v>
      </c>
      <c r="C2571" t="s">
        <v>2773</v>
      </c>
      <c r="D2571">
        <v>14494.457946726605</v>
      </c>
      <c r="E2571">
        <v>3298.1678000000002</v>
      </c>
      <c r="F2571" s="6">
        <v>-0.77249999999999996</v>
      </c>
    </row>
    <row r="2572" spans="2:6">
      <c r="B2572" t="s">
        <v>3302</v>
      </c>
      <c r="C2572" t="s">
        <v>3303</v>
      </c>
      <c r="D2572">
        <v>2129.9695999999999</v>
      </c>
      <c r="E2572">
        <v>3286.5808999999999</v>
      </c>
      <c r="F2572" s="6">
        <v>0.54301775011248976</v>
      </c>
    </row>
    <row r="2573" spans="2:6">
      <c r="B2573" t="s">
        <v>3258</v>
      </c>
      <c r="C2573" t="s">
        <v>3259</v>
      </c>
      <c r="D2573">
        <v>1353.3443</v>
      </c>
      <c r="E2573">
        <v>3283.5551</v>
      </c>
      <c r="F2573" s="6">
        <v>1.426252580367021</v>
      </c>
    </row>
    <row r="2574" spans="2:6">
      <c r="B2574" t="s">
        <v>1322</v>
      </c>
      <c r="C2574" t="s">
        <v>1321</v>
      </c>
      <c r="D2574">
        <v>1250.486020909452</v>
      </c>
      <c r="E2574">
        <v>3280.8249000000001</v>
      </c>
      <c r="F2574" s="6">
        <v>1.6235999999999999</v>
      </c>
    </row>
    <row r="2575" spans="2:6">
      <c r="B2575" t="s">
        <v>3266</v>
      </c>
      <c r="C2575" t="s">
        <v>3267</v>
      </c>
      <c r="D2575">
        <v>3218.2349730917608</v>
      </c>
      <c r="E2575">
        <v>3279.5446999999999</v>
      </c>
      <c r="F2575" s="6">
        <v>1.9099999999999999E-2</v>
      </c>
    </row>
    <row r="2576" spans="2:6">
      <c r="B2576" t="s">
        <v>1418</v>
      </c>
      <c r="C2576" t="s">
        <v>1417</v>
      </c>
      <c r="D2576">
        <v>7689.9204113754968</v>
      </c>
      <c r="E2576">
        <v>3276.2860999999998</v>
      </c>
      <c r="F2576" s="6">
        <v>-0.57399999999999995</v>
      </c>
    </row>
    <row r="2577" spans="2:6">
      <c r="B2577" t="s">
        <v>3426</v>
      </c>
      <c r="C2577" t="s">
        <v>3427</v>
      </c>
      <c r="D2577">
        <v>651.59479999999996</v>
      </c>
      <c r="E2577">
        <v>3272.4617560820125</v>
      </c>
      <c r="F2577" s="6">
        <v>4.0222343027937191</v>
      </c>
    </row>
    <row r="2578" spans="2:6">
      <c r="B2578" t="s">
        <v>1229</v>
      </c>
      <c r="C2578" t="s">
        <v>1228</v>
      </c>
      <c r="D2578">
        <v>71.1892</v>
      </c>
      <c r="E2578">
        <v>3251.8708000000001</v>
      </c>
      <c r="F2578" s="6">
        <v>44.679271574901811</v>
      </c>
    </row>
    <row r="2579" spans="2:6">
      <c r="B2579" t="s">
        <v>798</v>
      </c>
      <c r="C2579" t="s">
        <v>797</v>
      </c>
      <c r="D2579">
        <v>826.52340000000004</v>
      </c>
      <c r="E2579">
        <v>3251.4885896532628</v>
      </c>
      <c r="F2579" s="6">
        <v>2.933934102353621</v>
      </c>
    </row>
    <row r="2580" spans="2:6">
      <c r="B2580" t="s">
        <v>655</v>
      </c>
      <c r="C2580" t="s">
        <v>654</v>
      </c>
      <c r="D2580">
        <v>1292.9585999999999</v>
      </c>
      <c r="E2580">
        <v>3228.8455589965633</v>
      </c>
      <c r="F2580" s="6">
        <v>1.4972536313201084</v>
      </c>
    </row>
    <row r="2581" spans="2:6">
      <c r="B2581" t="s">
        <v>595</v>
      </c>
      <c r="C2581" t="s">
        <v>594</v>
      </c>
      <c r="D2581">
        <v>1135.7011588989076</v>
      </c>
      <c r="E2581">
        <v>3219.7303000000002</v>
      </c>
      <c r="F2581" s="6">
        <v>1.835</v>
      </c>
    </row>
    <row r="2582" spans="2:6">
      <c r="B2582" t="s">
        <v>2105</v>
      </c>
      <c r="C2582" t="s">
        <v>2104</v>
      </c>
      <c r="D2582">
        <v>16786.944420208933</v>
      </c>
      <c r="E2582">
        <v>3204.3135505067385</v>
      </c>
      <c r="F2582" s="6">
        <v>-0.80911871331096852</v>
      </c>
    </row>
    <row r="2583" spans="2:6">
      <c r="B2583" t="s">
        <v>3213</v>
      </c>
      <c r="C2583" t="s">
        <v>3214</v>
      </c>
      <c r="D2583">
        <v>3966.4719</v>
      </c>
      <c r="E2583">
        <v>3199.5687638337758</v>
      </c>
      <c r="F2583" s="6">
        <v>-0.19334641855554913</v>
      </c>
    </row>
    <row r="2584" spans="2:6">
      <c r="B2584" t="s">
        <v>2326</v>
      </c>
      <c r="C2584" t="s">
        <v>2327</v>
      </c>
      <c r="D2584">
        <v>26760.311044309565</v>
      </c>
      <c r="E2584">
        <v>3188.9639456994601</v>
      </c>
      <c r="F2584" s="6">
        <v>-0.88083232887617813</v>
      </c>
    </row>
    <row r="2585" spans="2:6">
      <c r="B2585" t="s">
        <v>3221</v>
      </c>
      <c r="C2585" t="s">
        <v>3222</v>
      </c>
      <c r="D2585">
        <v>4750.0329000000002</v>
      </c>
      <c r="E2585">
        <v>3186.8683999999998</v>
      </c>
      <c r="F2585" s="6">
        <v>-0.3290849838113753</v>
      </c>
    </row>
    <row r="2586" spans="2:6">
      <c r="B2586" t="s">
        <v>3155</v>
      </c>
      <c r="C2586" t="s">
        <v>2995</v>
      </c>
      <c r="D2586">
        <v>5473.8634296358077</v>
      </c>
      <c r="E2586">
        <v>3186.7622482325141</v>
      </c>
      <c r="F2586" s="6">
        <v>-0.41782211244453005</v>
      </c>
    </row>
    <row r="2587" spans="2:6">
      <c r="B2587" t="s">
        <v>3348</v>
      </c>
      <c r="C2587" t="s">
        <v>3311</v>
      </c>
      <c r="D2587">
        <v>2021.2922000000001</v>
      </c>
      <c r="E2587">
        <v>3166.2850412762164</v>
      </c>
      <c r="F2587" s="6">
        <v>0.56646576941038806</v>
      </c>
    </row>
    <row r="2588" spans="2:6">
      <c r="B2588" t="s">
        <v>722</v>
      </c>
      <c r="C2588" t="s">
        <v>721</v>
      </c>
      <c r="D2588">
        <v>1079.8897999999999</v>
      </c>
      <c r="E2588">
        <v>3159.8708647684957</v>
      </c>
      <c r="F2588" s="6">
        <v>1.9261049273439714</v>
      </c>
    </row>
    <row r="2589" spans="2:6">
      <c r="B2589" t="s">
        <v>1314</v>
      </c>
      <c r="C2589" t="s">
        <v>1313</v>
      </c>
      <c r="D2589">
        <v>4787.8215</v>
      </c>
      <c r="E2589">
        <v>3158.6428000000001</v>
      </c>
      <c r="F2589" s="6">
        <v>-0.3402755720947408</v>
      </c>
    </row>
    <row r="2590" spans="2:6">
      <c r="B2590" t="s">
        <v>706</v>
      </c>
      <c r="C2590" t="s">
        <v>705</v>
      </c>
      <c r="D2590">
        <v>1359.9718519565008</v>
      </c>
      <c r="E2590">
        <v>3157.3629000000001</v>
      </c>
      <c r="F2590" s="6">
        <v>1.3216000000000001</v>
      </c>
    </row>
    <row r="2591" spans="2:6">
      <c r="B2591" t="s">
        <v>1182</v>
      </c>
      <c r="C2591" t="s">
        <v>1181</v>
      </c>
      <c r="D2591">
        <v>4220.4893000000002</v>
      </c>
      <c r="E2591">
        <v>3148.4360821044993</v>
      </c>
      <c r="F2591" s="6">
        <v>-0.25401159479198321</v>
      </c>
    </row>
    <row r="2592" spans="2:6">
      <c r="B2592" t="s">
        <v>1207</v>
      </c>
      <c r="C2592" t="s">
        <v>1206</v>
      </c>
      <c r="D2592">
        <v>5657.5957524236665</v>
      </c>
      <c r="E2592">
        <v>3145.2557644715444</v>
      </c>
      <c r="F2592" s="6">
        <v>-0.44406495230343324</v>
      </c>
    </row>
    <row r="2593" spans="2:6">
      <c r="B2593" t="s">
        <v>1120</v>
      </c>
      <c r="C2593" t="s">
        <v>1119</v>
      </c>
      <c r="D2593">
        <v>1820.5820000000001</v>
      </c>
      <c r="E2593">
        <v>3143.8046037566137</v>
      </c>
      <c r="F2593" s="6">
        <v>0.7268129662693652</v>
      </c>
    </row>
    <row r="2594" spans="2:6">
      <c r="B2594" t="s">
        <v>930</v>
      </c>
      <c r="C2594" t="s">
        <v>929</v>
      </c>
      <c r="D2594">
        <v>1757.585</v>
      </c>
      <c r="E2594">
        <v>3139.8662443114545</v>
      </c>
      <c r="F2594" s="6">
        <v>0.78646622741514882</v>
      </c>
    </row>
    <row r="2595" spans="2:6">
      <c r="B2595" t="s">
        <v>1020</v>
      </c>
      <c r="C2595" t="s">
        <v>1019</v>
      </c>
      <c r="D2595">
        <v>4624.723</v>
      </c>
      <c r="E2595">
        <v>3136.2311</v>
      </c>
      <c r="F2595" s="6">
        <v>-0.32185536301309292</v>
      </c>
    </row>
    <row r="2596" spans="2:6">
      <c r="B2596" t="s">
        <v>894</v>
      </c>
      <c r="C2596" t="s">
        <v>893</v>
      </c>
      <c r="D2596">
        <v>2229.0677295850323</v>
      </c>
      <c r="E2596">
        <v>3130.6818176186812</v>
      </c>
      <c r="F2596" s="6">
        <v>0.40448034667905541</v>
      </c>
    </row>
    <row r="2597" spans="2:6">
      <c r="B2597" t="s">
        <v>716</v>
      </c>
      <c r="C2597" t="s">
        <v>715</v>
      </c>
      <c r="D2597">
        <v>2697.6129507703704</v>
      </c>
      <c r="E2597">
        <v>3125.7858999999999</v>
      </c>
      <c r="F2597" s="6">
        <v>0.15870000000000001</v>
      </c>
    </row>
    <row r="2598" spans="2:6">
      <c r="B2598" t="s">
        <v>960</v>
      </c>
      <c r="C2598" t="s">
        <v>959</v>
      </c>
      <c r="D2598">
        <v>4443.4385004654459</v>
      </c>
      <c r="E2598">
        <v>3125.3245244156506</v>
      </c>
      <c r="F2598" s="6">
        <v>-0.29664278596670668</v>
      </c>
    </row>
    <row r="2599" spans="2:6">
      <c r="B2599" t="s">
        <v>3040</v>
      </c>
      <c r="C2599" t="s">
        <v>3041</v>
      </c>
      <c r="D2599">
        <v>4611.5127000000002</v>
      </c>
      <c r="E2599">
        <v>3122.1888282504478</v>
      </c>
      <c r="F2599" s="6">
        <v>-0.32295777299920525</v>
      </c>
    </row>
    <row r="2600" spans="2:6">
      <c r="B2600" t="s">
        <v>2453</v>
      </c>
      <c r="C2600" t="s">
        <v>2318</v>
      </c>
      <c r="D2600">
        <v>28707.3948977986</v>
      </c>
      <c r="E2600">
        <v>3119.0987</v>
      </c>
      <c r="F2600" s="6">
        <v>-0.89129999999999998</v>
      </c>
    </row>
    <row r="2601" spans="2:6">
      <c r="B2601" t="s">
        <v>2891</v>
      </c>
      <c r="C2601" t="s">
        <v>2892</v>
      </c>
      <c r="D2601">
        <v>7797.6345712955599</v>
      </c>
      <c r="E2601">
        <v>3114.6734257829667</v>
      </c>
      <c r="F2601" s="6">
        <v>-0.60056176045378973</v>
      </c>
    </row>
    <row r="2602" spans="2:6">
      <c r="B2602" t="s">
        <v>3479</v>
      </c>
      <c r="C2602" t="s">
        <v>3480</v>
      </c>
      <c r="D2602">
        <v>252.27869999999999</v>
      </c>
      <c r="E2602">
        <v>3109.3730999999998</v>
      </c>
      <c r="F2602" s="6">
        <v>11.325151112638522</v>
      </c>
    </row>
    <row r="2603" spans="2:6">
      <c r="B2603" t="s">
        <v>3287</v>
      </c>
      <c r="C2603" t="s">
        <v>3288</v>
      </c>
      <c r="D2603">
        <v>1670.0101121906746</v>
      </c>
      <c r="E2603">
        <v>3107.2325985910302</v>
      </c>
      <c r="F2603" s="6">
        <v>0.86060705615431599</v>
      </c>
    </row>
    <row r="2604" spans="2:6">
      <c r="B2604" t="s">
        <v>1026</v>
      </c>
      <c r="C2604" t="s">
        <v>1025</v>
      </c>
      <c r="D2604">
        <v>4193.9790999999996</v>
      </c>
      <c r="E2604">
        <v>3102.952129824138</v>
      </c>
      <c r="F2604" s="6">
        <v>-0.26014125110348352</v>
      </c>
    </row>
    <row r="2605" spans="2:6">
      <c r="B2605" t="s">
        <v>1479</v>
      </c>
      <c r="C2605" t="s">
        <v>1478</v>
      </c>
      <c r="D2605">
        <v>8877.1933000000008</v>
      </c>
      <c r="E2605">
        <v>3092.9746</v>
      </c>
      <c r="F2605" s="6">
        <v>-0.65158192511139756</v>
      </c>
    </row>
    <row r="2606" spans="2:6">
      <c r="B2606" t="s">
        <v>688</v>
      </c>
      <c r="C2606" t="s">
        <v>687</v>
      </c>
      <c r="D2606">
        <v>1953.3892535432124</v>
      </c>
      <c r="E2606">
        <v>3088.7769647966147</v>
      </c>
      <c r="F2606" s="6">
        <v>0.58123986767816294</v>
      </c>
    </row>
    <row r="2607" spans="2:6">
      <c r="B2607" t="s">
        <v>605</v>
      </c>
      <c r="C2607" t="s">
        <v>604</v>
      </c>
      <c r="D2607">
        <v>3117.2686448595477</v>
      </c>
      <c r="E2607">
        <v>3085.3145986650966</v>
      </c>
      <c r="F2607" s="6">
        <v>-1.0250655248191132E-2</v>
      </c>
    </row>
    <row r="2608" spans="2:6">
      <c r="B2608" t="s">
        <v>2853</v>
      </c>
      <c r="C2608" t="s">
        <v>2854</v>
      </c>
      <c r="D2608">
        <v>12730.543858968884</v>
      </c>
      <c r="E2608">
        <v>3079.5335</v>
      </c>
      <c r="F2608" s="6">
        <v>-0.7581</v>
      </c>
    </row>
    <row r="2609" spans="2:6">
      <c r="B2609" t="s">
        <v>3271</v>
      </c>
      <c r="C2609" t="s">
        <v>3220</v>
      </c>
      <c r="D2609">
        <v>1858.3071</v>
      </c>
      <c r="E2609">
        <v>3064.0778151276313</v>
      </c>
      <c r="F2609" s="6">
        <v>0.64885438748398006</v>
      </c>
    </row>
    <row r="2610" spans="2:6">
      <c r="B2610" t="s">
        <v>3510</v>
      </c>
      <c r="C2610" t="s">
        <v>3314</v>
      </c>
      <c r="D2610">
        <v>914.18340000000001</v>
      </c>
      <c r="E2610">
        <v>3056.0185999999999</v>
      </c>
      <c r="F2610" s="6">
        <v>2.3428944345303142</v>
      </c>
    </row>
    <row r="2611" spans="2:6">
      <c r="B2611" t="s">
        <v>1219</v>
      </c>
      <c r="C2611" t="s">
        <v>1218</v>
      </c>
      <c r="D2611">
        <v>4427.3281993651353</v>
      </c>
      <c r="E2611">
        <v>3055.4887011380392</v>
      </c>
      <c r="F2611" s="6">
        <v>-0.30985719523206201</v>
      </c>
    </row>
    <row r="2612" spans="2:6">
      <c r="B2612" t="s">
        <v>756</v>
      </c>
      <c r="C2612" t="s">
        <v>755</v>
      </c>
      <c r="D2612">
        <v>3073.1818667576422</v>
      </c>
      <c r="E2612">
        <v>3054.1421070601605</v>
      </c>
      <c r="F2612" s="6">
        <v>-6.1954549138251158E-3</v>
      </c>
    </row>
    <row r="2613" spans="2:6">
      <c r="B2613" t="s">
        <v>896</v>
      </c>
      <c r="C2613" t="s">
        <v>895</v>
      </c>
      <c r="D2613">
        <v>3622.2181999999998</v>
      </c>
      <c r="E2613">
        <v>3053.4791</v>
      </c>
      <c r="F2613" s="6">
        <v>-0.15701403631619981</v>
      </c>
    </row>
    <row r="2614" spans="2:6">
      <c r="B2614" t="s">
        <v>866</v>
      </c>
      <c r="C2614" t="s">
        <v>865</v>
      </c>
      <c r="D2614">
        <v>3104.4466000000002</v>
      </c>
      <c r="E2614">
        <v>3045.5147649850023</v>
      </c>
      <c r="F2614" s="6">
        <v>-1.8983040331567613E-2</v>
      </c>
    </row>
    <row r="2615" spans="2:6">
      <c r="B2615" t="s">
        <v>3236</v>
      </c>
      <c r="C2615" t="s">
        <v>3237</v>
      </c>
      <c r="D2615">
        <v>4296.5261</v>
      </c>
      <c r="E2615">
        <v>3037.6968999999999</v>
      </c>
      <c r="F2615" s="6">
        <v>-0.29298767671864023</v>
      </c>
    </row>
    <row r="2616" spans="2:6">
      <c r="B2616" t="s">
        <v>583</v>
      </c>
      <c r="C2616" t="s">
        <v>582</v>
      </c>
      <c r="D2616">
        <v>1989.0820000000001</v>
      </c>
      <c r="E2616">
        <v>3036.8877000000002</v>
      </c>
      <c r="F2616" s="6">
        <v>0.52677853401719998</v>
      </c>
    </row>
    <row r="2617" spans="2:6">
      <c r="B2617" t="s">
        <v>3402</v>
      </c>
      <c r="C2617" t="s">
        <v>3403</v>
      </c>
      <c r="D2617">
        <v>854.58979999999997</v>
      </c>
      <c r="E2617">
        <v>3027.4899</v>
      </c>
      <c r="F2617" s="6">
        <v>2.5426234902405809</v>
      </c>
    </row>
    <row r="2618" spans="2:6">
      <c r="B2618" t="s">
        <v>3432</v>
      </c>
      <c r="C2618" t="s">
        <v>3433</v>
      </c>
      <c r="D2618">
        <v>915.75450000000001</v>
      </c>
      <c r="E2618">
        <v>3024.2112999999999</v>
      </c>
      <c r="F2618" s="6">
        <v>2.3024258139053644</v>
      </c>
    </row>
    <row r="2619" spans="2:6">
      <c r="B2619" t="s">
        <v>2476</v>
      </c>
      <c r="C2619" t="s">
        <v>2477</v>
      </c>
      <c r="D2619">
        <v>13725.938549953908</v>
      </c>
      <c r="E2619">
        <v>3021.5030999999999</v>
      </c>
      <c r="F2619" s="6">
        <v>-0.77990000000000004</v>
      </c>
    </row>
    <row r="2620" spans="2:6">
      <c r="B2620" t="s">
        <v>2778</v>
      </c>
      <c r="C2620" t="s">
        <v>2779</v>
      </c>
      <c r="D2620">
        <v>6569.6995999999999</v>
      </c>
      <c r="E2620">
        <v>3016.7006999999999</v>
      </c>
      <c r="F2620" s="6">
        <v>-0.54081603670280454</v>
      </c>
    </row>
    <row r="2621" spans="2:6">
      <c r="B2621" t="s">
        <v>1170</v>
      </c>
      <c r="C2621" t="s">
        <v>1169</v>
      </c>
      <c r="D2621">
        <v>3466.7863698812075</v>
      </c>
      <c r="E2621">
        <v>3014.4160000000002</v>
      </c>
      <c r="F2621" s="6">
        <v>-0.1305</v>
      </c>
    </row>
    <row r="2622" spans="2:6">
      <c r="B2622" t="s">
        <v>3469</v>
      </c>
      <c r="C2622" t="s">
        <v>2330</v>
      </c>
      <c r="D2622">
        <v>167.56791514177962</v>
      </c>
      <c r="E2622">
        <v>3011.0421999999999</v>
      </c>
      <c r="F2622" s="6">
        <v>16.969100000000001</v>
      </c>
    </row>
    <row r="2623" spans="2:6">
      <c r="B2623" t="s">
        <v>1320</v>
      </c>
      <c r="C2623" t="s">
        <v>1319</v>
      </c>
      <c r="D2623">
        <v>7587.8178703133899</v>
      </c>
      <c r="E2623">
        <v>3003.3357541173132</v>
      </c>
      <c r="F2623" s="6">
        <v>-0.60418979402924566</v>
      </c>
    </row>
    <row r="2624" spans="2:6">
      <c r="B2624" t="s">
        <v>666</v>
      </c>
      <c r="C2624" t="s">
        <v>665</v>
      </c>
      <c r="D2624">
        <v>1742.7665</v>
      </c>
      <c r="E2624">
        <v>3000.444</v>
      </c>
      <c r="F2624" s="6">
        <v>0.72165576972015466</v>
      </c>
    </row>
    <row r="2625" spans="2:6">
      <c r="B2625" t="s">
        <v>774</v>
      </c>
      <c r="C2625" t="s">
        <v>773</v>
      </c>
      <c r="D2625">
        <v>1254.5440070008608</v>
      </c>
      <c r="E2625">
        <v>2987.8692685930973</v>
      </c>
      <c r="F2625" s="6">
        <v>1.381637672269433</v>
      </c>
    </row>
    <row r="2626" spans="2:6">
      <c r="B2626" t="s">
        <v>3215</v>
      </c>
      <c r="C2626" t="s">
        <v>3216</v>
      </c>
      <c r="D2626">
        <v>3525.861539074916</v>
      </c>
      <c r="E2626">
        <v>2987.7757999999999</v>
      </c>
      <c r="F2626" s="6">
        <v>-0.15260000000000001</v>
      </c>
    </row>
    <row r="2627" spans="2:6">
      <c r="B2627" t="s">
        <v>643</v>
      </c>
      <c r="C2627" t="s">
        <v>642</v>
      </c>
      <c r="D2627">
        <v>1758.3543999999999</v>
      </c>
      <c r="E2627">
        <v>2986.9580999999998</v>
      </c>
      <c r="F2627" s="6">
        <v>0.69872359064816503</v>
      </c>
    </row>
    <row r="2628" spans="2:6">
      <c r="B2628" t="s">
        <v>1046</v>
      </c>
      <c r="C2628" t="s">
        <v>1045</v>
      </c>
      <c r="D2628">
        <v>4608.375081363406</v>
      </c>
      <c r="E2628">
        <v>2971.1653000000001</v>
      </c>
      <c r="F2628" s="6">
        <v>-0.3553</v>
      </c>
    </row>
    <row r="2629" spans="2:6">
      <c r="B2629" t="s">
        <v>3137</v>
      </c>
      <c r="C2629" t="s">
        <v>3138</v>
      </c>
      <c r="D2629">
        <v>4833.3836000000001</v>
      </c>
      <c r="E2629">
        <v>2970.8595</v>
      </c>
      <c r="F2629" s="6">
        <v>-0.38534580619671899</v>
      </c>
    </row>
    <row r="2630" spans="2:6">
      <c r="B2630" t="s">
        <v>932</v>
      </c>
      <c r="C2630" t="s">
        <v>931</v>
      </c>
      <c r="D2630">
        <v>2593.2986000000001</v>
      </c>
      <c r="E2630">
        <v>2956.2201</v>
      </c>
      <c r="F2630" s="6">
        <v>0.13994589747590203</v>
      </c>
    </row>
    <row r="2631" spans="2:6">
      <c r="B2631" t="s">
        <v>814</v>
      </c>
      <c r="C2631" t="s">
        <v>813</v>
      </c>
      <c r="D2631">
        <v>4306.3298531197634</v>
      </c>
      <c r="E2631">
        <v>2953.6426999999999</v>
      </c>
      <c r="F2631" s="6">
        <v>-0.31409999999999999</v>
      </c>
    </row>
    <row r="2632" spans="2:6">
      <c r="B2632" t="s">
        <v>858</v>
      </c>
      <c r="C2632" t="s">
        <v>857</v>
      </c>
      <c r="D2632">
        <v>4868.3534</v>
      </c>
      <c r="E2632">
        <v>2947.1986161542241</v>
      </c>
      <c r="F2632" s="6">
        <v>-0.39462106096196214</v>
      </c>
    </row>
    <row r="2633" spans="2:6">
      <c r="B2633" t="s">
        <v>690</v>
      </c>
      <c r="C2633" t="s">
        <v>689</v>
      </c>
      <c r="D2633">
        <v>2160.9733000000001</v>
      </c>
      <c r="E2633">
        <v>2938.0893999999998</v>
      </c>
      <c r="F2633" s="6">
        <v>0.35961392951962901</v>
      </c>
    </row>
    <row r="2634" spans="2:6">
      <c r="B2634" t="s">
        <v>3372</v>
      </c>
      <c r="C2634" t="s">
        <v>3373</v>
      </c>
      <c r="D2634">
        <v>584.10230000000001</v>
      </c>
      <c r="E2634">
        <v>2938.0722000000001</v>
      </c>
      <c r="F2634" s="6">
        <v>4.0300644253583657</v>
      </c>
    </row>
    <row r="2635" spans="2:6">
      <c r="B2635" t="s">
        <v>2622</v>
      </c>
      <c r="C2635" t="s">
        <v>2623</v>
      </c>
      <c r="D2635">
        <v>9625.0552526837128</v>
      </c>
      <c r="E2635">
        <v>2935.0889999999999</v>
      </c>
      <c r="F2635" s="6">
        <v>-0.69510000000000005</v>
      </c>
    </row>
    <row r="2636" spans="2:6">
      <c r="B2636" t="s">
        <v>744</v>
      </c>
      <c r="C2636" t="s">
        <v>743</v>
      </c>
      <c r="D2636">
        <v>2373.5309999999999</v>
      </c>
      <c r="E2636">
        <v>2930.7311</v>
      </c>
      <c r="F2636" s="6">
        <v>0.23475577104322642</v>
      </c>
    </row>
    <row r="2637" spans="2:6">
      <c r="B2637" t="s">
        <v>1104</v>
      </c>
      <c r="C2637" t="s">
        <v>1103</v>
      </c>
      <c r="D2637">
        <v>4424.7595795885118</v>
      </c>
      <c r="E2637">
        <v>2906.0958273317601</v>
      </c>
      <c r="F2637" s="6">
        <v>-0.34321949587100109</v>
      </c>
    </row>
    <row r="2638" spans="2:6">
      <c r="B2638" t="s">
        <v>3351</v>
      </c>
      <c r="C2638" t="s">
        <v>3352</v>
      </c>
      <c r="D2638">
        <v>1060.5971</v>
      </c>
      <c r="E2638">
        <v>2896.0834</v>
      </c>
      <c r="F2638" s="6">
        <v>1.7306159898042339</v>
      </c>
    </row>
    <row r="2639" spans="2:6">
      <c r="B2639" t="s">
        <v>800</v>
      </c>
      <c r="C2639" t="s">
        <v>799</v>
      </c>
      <c r="D2639">
        <v>2942.7862984683188</v>
      </c>
      <c r="E2639">
        <v>2894.9607000000001</v>
      </c>
      <c r="F2639" s="6">
        <v>-1.6299999999999999E-2</v>
      </c>
    </row>
    <row r="2640" spans="2:6">
      <c r="B2640" t="s">
        <v>2831</v>
      </c>
      <c r="C2640" t="s">
        <v>2832</v>
      </c>
      <c r="D2640">
        <v>8635.5613764199697</v>
      </c>
      <c r="E2640">
        <v>2893.224205672615</v>
      </c>
      <c r="F2640" s="6">
        <v>-0.66496396938677615</v>
      </c>
    </row>
    <row r="2641" spans="2:6">
      <c r="B2641" t="s">
        <v>3135</v>
      </c>
      <c r="C2641" t="s">
        <v>3136</v>
      </c>
      <c r="D2641">
        <v>3972.1573683320908</v>
      </c>
      <c r="E2641">
        <v>2890.5165000000002</v>
      </c>
      <c r="F2641" s="6">
        <v>-0.27229999999999999</v>
      </c>
    </row>
    <row r="2642" spans="2:6">
      <c r="B2642" t="s">
        <v>676</v>
      </c>
      <c r="C2642" t="s">
        <v>675</v>
      </c>
      <c r="D2642">
        <v>2090.5219511899745</v>
      </c>
      <c r="E2642">
        <v>2889.5029663248843</v>
      </c>
      <c r="F2642" s="6">
        <v>0.38219211937961761</v>
      </c>
    </row>
    <row r="2643" spans="2:6">
      <c r="B2643" t="s">
        <v>2916</v>
      </c>
      <c r="C2643" t="s">
        <v>2917</v>
      </c>
      <c r="D2643">
        <v>10840.911599999999</v>
      </c>
      <c r="E2643">
        <v>2864.3966999999998</v>
      </c>
      <c r="F2643" s="6">
        <v>-0.73577898190775759</v>
      </c>
    </row>
    <row r="2644" spans="2:6">
      <c r="B2644" t="s">
        <v>2574</v>
      </c>
      <c r="C2644" t="s">
        <v>2575</v>
      </c>
      <c r="D2644">
        <v>24268.527176756234</v>
      </c>
      <c r="E2644">
        <v>2860.8235038955895</v>
      </c>
      <c r="F2644" s="6">
        <v>-0.88211795948475968</v>
      </c>
    </row>
    <row r="2645" spans="2:6">
      <c r="B2645" t="s">
        <v>3369</v>
      </c>
      <c r="C2645" t="s">
        <v>2380</v>
      </c>
      <c r="D2645">
        <v>1059.0506</v>
      </c>
      <c r="E2645">
        <v>2848.3928000000001</v>
      </c>
      <c r="F2645" s="6">
        <v>1.6895719619062581</v>
      </c>
    </row>
    <row r="2646" spans="2:6">
      <c r="B2646" t="s">
        <v>3021</v>
      </c>
      <c r="C2646" t="s">
        <v>3022</v>
      </c>
      <c r="D2646">
        <v>15143.752477320091</v>
      </c>
      <c r="E2646">
        <v>2828.1282112566741</v>
      </c>
      <c r="F2646" s="6">
        <v>-0.81324785811890443</v>
      </c>
    </row>
    <row r="2647" spans="2:6">
      <c r="B2647" t="s">
        <v>459</v>
      </c>
      <c r="C2647" t="s">
        <v>458</v>
      </c>
      <c r="D2647">
        <v>789.59220000000005</v>
      </c>
      <c r="E2647">
        <v>2826.3107</v>
      </c>
      <c r="F2647" s="6">
        <v>2.5794562053677836</v>
      </c>
    </row>
    <row r="2648" spans="2:6">
      <c r="B2648" t="s">
        <v>501</v>
      </c>
      <c r="C2648" t="s">
        <v>500</v>
      </c>
      <c r="D2648">
        <v>854.55029999999999</v>
      </c>
      <c r="E2648">
        <v>2825.1057999999998</v>
      </c>
      <c r="F2648" s="6">
        <v>2.3059561268657913</v>
      </c>
    </row>
    <row r="2649" spans="2:6">
      <c r="B2649" t="s">
        <v>2901</v>
      </c>
      <c r="C2649" t="s">
        <v>2902</v>
      </c>
      <c r="D2649">
        <v>5702.8753579814102</v>
      </c>
      <c r="E2649">
        <v>2821.8218999999999</v>
      </c>
      <c r="F2649" s="6">
        <v>-0.50519999999999998</v>
      </c>
    </row>
    <row r="2650" spans="2:6">
      <c r="B2650" t="s">
        <v>2862</v>
      </c>
      <c r="C2650" t="s">
        <v>2863</v>
      </c>
      <c r="D2650">
        <v>15306.161099999999</v>
      </c>
      <c r="E2650">
        <v>2814.6612</v>
      </c>
      <c r="F2650" s="6">
        <v>-0.81610926596088162</v>
      </c>
    </row>
    <row r="2651" spans="2:6">
      <c r="B2651" t="s">
        <v>728</v>
      </c>
      <c r="C2651" t="s">
        <v>727</v>
      </c>
      <c r="D2651">
        <v>3800.5773703466039</v>
      </c>
      <c r="E2651">
        <v>2804.5655974823767</v>
      </c>
      <c r="F2651" s="6">
        <v>-0.26206854269970914</v>
      </c>
    </row>
    <row r="2652" spans="2:6">
      <c r="B2652" t="s">
        <v>1186</v>
      </c>
      <c r="C2652" t="s">
        <v>1185</v>
      </c>
      <c r="D2652">
        <v>6472.0101999999997</v>
      </c>
      <c r="E2652">
        <v>2801.9245000000001</v>
      </c>
      <c r="F2652" s="6">
        <v>-0.5670704443574579</v>
      </c>
    </row>
    <row r="2653" spans="2:6">
      <c r="B2653" t="s">
        <v>802</v>
      </c>
      <c r="C2653" t="s">
        <v>801</v>
      </c>
      <c r="D2653">
        <v>838.49623282799962</v>
      </c>
      <c r="E2653">
        <v>2796.2235000000001</v>
      </c>
      <c r="F2653" s="6">
        <v>2.3348</v>
      </c>
    </row>
    <row r="2654" spans="2:6">
      <c r="B2654" t="s">
        <v>369</v>
      </c>
      <c r="C2654" t="s">
        <v>368</v>
      </c>
      <c r="D2654">
        <v>459.11559999999997</v>
      </c>
      <c r="E2654">
        <v>2790.5578999999998</v>
      </c>
      <c r="F2654" s="6">
        <v>5.0781160561740881</v>
      </c>
    </row>
    <row r="2655" spans="2:6">
      <c r="B2655" t="s">
        <v>2745</v>
      </c>
      <c r="C2655" t="s">
        <v>2746</v>
      </c>
      <c r="D2655">
        <v>12542.714102976368</v>
      </c>
      <c r="E2655">
        <v>2788.4102507039001</v>
      </c>
      <c r="F2655" s="6">
        <v>-0.77768685247778913</v>
      </c>
    </row>
    <row r="2656" spans="2:6">
      <c r="B2656" t="s">
        <v>660</v>
      </c>
      <c r="C2656" t="s">
        <v>659</v>
      </c>
      <c r="D2656">
        <v>1790.1352999999999</v>
      </c>
      <c r="E2656">
        <v>2786.3270720778605</v>
      </c>
      <c r="F2656" s="6">
        <v>0.55648965308815512</v>
      </c>
    </row>
    <row r="2657" spans="2:6">
      <c r="B2657" t="s">
        <v>1048</v>
      </c>
      <c r="C2657" t="s">
        <v>1047</v>
      </c>
      <c r="D2657">
        <v>5867.6784886723226</v>
      </c>
      <c r="E2657">
        <v>2784.1071308934984</v>
      </c>
      <c r="F2657" s="6">
        <v>-0.52551811823564021</v>
      </c>
    </row>
    <row r="2658" spans="2:6">
      <c r="B2658" t="s">
        <v>978</v>
      </c>
      <c r="C2658" t="s">
        <v>977</v>
      </c>
      <c r="D2658">
        <v>4050.2181999999998</v>
      </c>
      <c r="E2658">
        <v>2775.5336000000002</v>
      </c>
      <c r="F2658" s="6">
        <v>-0.31471998224688236</v>
      </c>
    </row>
    <row r="2659" spans="2:6">
      <c r="B2659" t="s">
        <v>3423</v>
      </c>
      <c r="C2659" t="s">
        <v>3424</v>
      </c>
      <c r="D2659">
        <v>448.8888</v>
      </c>
      <c r="E2659">
        <v>2763.2501000000002</v>
      </c>
      <c r="F2659" s="6">
        <v>5.1557563922289882</v>
      </c>
    </row>
    <row r="2660" spans="2:6">
      <c r="B2660" t="s">
        <v>2796</v>
      </c>
      <c r="C2660" t="s">
        <v>2797</v>
      </c>
      <c r="D2660">
        <v>5630.390544285794</v>
      </c>
      <c r="E2660">
        <v>2761.3679055362818</v>
      </c>
      <c r="F2660" s="6">
        <v>-0.50956014794768434</v>
      </c>
    </row>
    <row r="2661" spans="2:6">
      <c r="B2661" t="s">
        <v>920</v>
      </c>
      <c r="C2661" t="s">
        <v>919</v>
      </c>
      <c r="D2661">
        <v>3059.0522000000001</v>
      </c>
      <c r="E2661">
        <v>2760.0209</v>
      </c>
      <c r="F2661" s="6">
        <v>-9.7752924909225158E-2</v>
      </c>
    </row>
    <row r="2662" spans="2:6">
      <c r="B2662" t="s">
        <v>824</v>
      </c>
      <c r="C2662" t="s">
        <v>823</v>
      </c>
      <c r="D2662">
        <v>2835.0127382942574</v>
      </c>
      <c r="E2662">
        <v>2759.6315393196405</v>
      </c>
      <c r="F2662" s="6">
        <v>-2.6589368702438887E-2</v>
      </c>
    </row>
    <row r="2663" spans="2:6">
      <c r="B2663" t="s">
        <v>3345</v>
      </c>
      <c r="C2663" t="s">
        <v>3346</v>
      </c>
      <c r="D2663">
        <v>1737.6144999999999</v>
      </c>
      <c r="E2663">
        <v>2758.2552000000001</v>
      </c>
      <c r="F2663" s="6">
        <v>0.58738039996788705</v>
      </c>
    </row>
    <row r="2664" spans="2:6">
      <c r="B2664" t="s">
        <v>3324</v>
      </c>
      <c r="C2664" t="s">
        <v>3325</v>
      </c>
      <c r="D2664">
        <v>1208.144</v>
      </c>
      <c r="E2664">
        <v>2749.0992999999999</v>
      </c>
      <c r="F2664" s="6">
        <v>1.2754732051808393</v>
      </c>
    </row>
    <row r="2665" spans="2:6">
      <c r="B2665" t="s">
        <v>826</v>
      </c>
      <c r="C2665" t="s">
        <v>825</v>
      </c>
      <c r="D2665">
        <v>4645.7519000000002</v>
      </c>
      <c r="E2665">
        <v>2738.8881999999999</v>
      </c>
      <c r="F2665" s="6">
        <v>-0.4104531927329137</v>
      </c>
    </row>
    <row r="2666" spans="2:6">
      <c r="B2666" t="s">
        <v>2612</v>
      </c>
      <c r="C2666" t="s">
        <v>2613</v>
      </c>
      <c r="D2666">
        <v>12173.395971288235</v>
      </c>
      <c r="E2666">
        <v>2738.2711278478801</v>
      </c>
      <c r="F2666" s="6">
        <v>-0.77506103191695441</v>
      </c>
    </row>
    <row r="2667" spans="2:6">
      <c r="B2667" t="s">
        <v>621</v>
      </c>
      <c r="C2667" t="s">
        <v>620</v>
      </c>
      <c r="D2667">
        <v>1284.3665000000001</v>
      </c>
      <c r="E2667">
        <v>2724.6010999999999</v>
      </c>
      <c r="F2667" s="6">
        <v>1.1213579612984299</v>
      </c>
    </row>
    <row r="2668" spans="2:6">
      <c r="B2668" t="s">
        <v>678</v>
      </c>
      <c r="C2668" t="s">
        <v>677</v>
      </c>
      <c r="D2668">
        <v>2340.1718000000001</v>
      </c>
      <c r="E2668">
        <v>2715.1283552713644</v>
      </c>
      <c r="F2668" s="6">
        <v>0.160226080525953</v>
      </c>
    </row>
    <row r="2669" spans="2:6">
      <c r="B2669" t="s">
        <v>3335</v>
      </c>
      <c r="C2669" t="s">
        <v>3336</v>
      </c>
      <c r="D2669">
        <v>4946.4596659545232</v>
      </c>
      <c r="E2669">
        <v>2713.6235323506598</v>
      </c>
      <c r="F2669" s="6">
        <v>-0.45140085725797396</v>
      </c>
    </row>
    <row r="2670" spans="2:6">
      <c r="B2670" t="s">
        <v>3254</v>
      </c>
      <c r="C2670" t="s">
        <v>3255</v>
      </c>
      <c r="D2670">
        <v>329.55590000000001</v>
      </c>
      <c r="E2670">
        <v>2713.3836000000001</v>
      </c>
      <c r="F2670" s="6">
        <v>7.2334547795988478</v>
      </c>
    </row>
    <row r="2671" spans="2:6">
      <c r="B2671" t="s">
        <v>2315</v>
      </c>
      <c r="C2671" t="s">
        <v>2302</v>
      </c>
      <c r="D2671">
        <v>52887.9012</v>
      </c>
      <c r="E2671">
        <v>2705.6075931142072</v>
      </c>
      <c r="F2671" s="6">
        <v>-0.94884259855798159</v>
      </c>
    </row>
    <row r="2672" spans="2:6">
      <c r="B2672" t="s">
        <v>3382</v>
      </c>
      <c r="C2672" t="s">
        <v>3383</v>
      </c>
      <c r="D2672">
        <v>53.076769599335996</v>
      </c>
      <c r="E2672">
        <v>2697.6998265773541</v>
      </c>
      <c r="F2672" s="6">
        <v>49.826375586563636</v>
      </c>
    </row>
    <row r="2673" spans="2:6">
      <c r="B2673" t="s">
        <v>629</v>
      </c>
      <c r="C2673" t="s">
        <v>628</v>
      </c>
      <c r="D2673">
        <v>2002.371528250085</v>
      </c>
      <c r="E2673">
        <v>2696.2450613513847</v>
      </c>
      <c r="F2673" s="6">
        <v>0.34652586860725609</v>
      </c>
    </row>
    <row r="2674" spans="2:6">
      <c r="B2674" t="s">
        <v>1664</v>
      </c>
      <c r="C2674" t="s">
        <v>1663</v>
      </c>
      <c r="D2674">
        <v>11299.78114758859</v>
      </c>
      <c r="E2674">
        <v>2683.7730299768982</v>
      </c>
      <c r="F2674" s="6">
        <v>-0.76249336204625306</v>
      </c>
    </row>
    <row r="2675" spans="2:6">
      <c r="B2675" t="s">
        <v>712</v>
      </c>
      <c r="C2675" t="s">
        <v>711</v>
      </c>
      <c r="D2675">
        <v>2528.8697778602018</v>
      </c>
      <c r="E2675">
        <v>2675.5818494102055</v>
      </c>
      <c r="F2675" s="6">
        <v>5.8014877964235767E-2</v>
      </c>
    </row>
    <row r="2676" spans="2:6">
      <c r="B2676" t="s">
        <v>3357</v>
      </c>
      <c r="C2676" t="s">
        <v>3358</v>
      </c>
      <c r="D2676">
        <v>738.89319999999998</v>
      </c>
      <c r="E2676">
        <v>2653.2121419205146</v>
      </c>
      <c r="F2676" s="6">
        <v>2.5907924743664101</v>
      </c>
    </row>
    <row r="2677" spans="2:6">
      <c r="B2677" t="s">
        <v>1110</v>
      </c>
      <c r="C2677" t="s">
        <v>1109</v>
      </c>
      <c r="D2677">
        <v>4578.6856483251131</v>
      </c>
      <c r="E2677">
        <v>2644.9576382583809</v>
      </c>
      <c r="F2677" s="6">
        <v>-0.4223325553642433</v>
      </c>
    </row>
    <row r="2678" spans="2:6">
      <c r="B2678" t="s">
        <v>968</v>
      </c>
      <c r="C2678" t="s">
        <v>967</v>
      </c>
      <c r="D2678">
        <v>4081.1764183738564</v>
      </c>
      <c r="E2678">
        <v>2630.8357879199434</v>
      </c>
      <c r="F2678" s="6">
        <v>-0.35537317718595485</v>
      </c>
    </row>
    <row r="2679" spans="2:6">
      <c r="B2679" t="s">
        <v>740</v>
      </c>
      <c r="C2679" t="s">
        <v>739</v>
      </c>
      <c r="D2679">
        <v>3261.5050999999999</v>
      </c>
      <c r="E2679">
        <v>2628.0985999999998</v>
      </c>
      <c r="F2679" s="6">
        <v>-0.1942068096106917</v>
      </c>
    </row>
    <row r="2680" spans="2:6">
      <c r="B2680" t="s">
        <v>3272</v>
      </c>
      <c r="C2680" t="s">
        <v>3273</v>
      </c>
      <c r="D2680">
        <v>968.50289999999995</v>
      </c>
      <c r="E2680">
        <v>2623.1093000000001</v>
      </c>
      <c r="F2680" s="6">
        <v>1.7084165674671703</v>
      </c>
    </row>
    <row r="2681" spans="2:6">
      <c r="B2681" t="s">
        <v>417</v>
      </c>
      <c r="C2681" t="s">
        <v>416</v>
      </c>
      <c r="D2681">
        <v>705.32590000000005</v>
      </c>
      <c r="E2681">
        <v>2595.0488999999998</v>
      </c>
      <c r="F2681" s="6">
        <v>2.6792196344980383</v>
      </c>
    </row>
    <row r="2682" spans="2:6">
      <c r="B2682" t="s">
        <v>876</v>
      </c>
      <c r="C2682" t="s">
        <v>875</v>
      </c>
      <c r="D2682">
        <v>4988.8819000000003</v>
      </c>
      <c r="E2682">
        <v>2594.2096999999999</v>
      </c>
      <c r="F2682" s="6">
        <v>-0.48000178156151585</v>
      </c>
    </row>
    <row r="2683" spans="2:6">
      <c r="B2683" t="s">
        <v>872</v>
      </c>
      <c r="C2683" t="s">
        <v>871</v>
      </c>
      <c r="D2683">
        <v>5140.9417000000003</v>
      </c>
      <c r="E2683">
        <v>2591.3121000000001</v>
      </c>
      <c r="F2683" s="6">
        <v>-0.49594602483043138</v>
      </c>
    </row>
    <row r="2684" spans="2:6">
      <c r="B2684" t="s">
        <v>613</v>
      </c>
      <c r="C2684" t="s">
        <v>612</v>
      </c>
      <c r="D2684">
        <v>980.51170000000002</v>
      </c>
      <c r="E2684">
        <v>2578.6846</v>
      </c>
      <c r="F2684" s="6">
        <v>1.6299376131870735</v>
      </c>
    </row>
    <row r="2685" spans="2:6">
      <c r="B2685" t="s">
        <v>752</v>
      </c>
      <c r="C2685" t="s">
        <v>751</v>
      </c>
      <c r="D2685">
        <v>1235.4130711044656</v>
      </c>
      <c r="E2685">
        <v>2572.434066577297</v>
      </c>
      <c r="F2685" s="6">
        <v>1.0822461140689792</v>
      </c>
    </row>
    <row r="2686" spans="2:6">
      <c r="B2686" t="s">
        <v>565</v>
      </c>
      <c r="C2686" t="s">
        <v>564</v>
      </c>
      <c r="D2686">
        <v>1738.1569</v>
      </c>
      <c r="E2686">
        <v>2547.1715835868454</v>
      </c>
      <c r="F2686" s="6">
        <v>0.46544399046302742</v>
      </c>
    </row>
    <row r="2687" spans="2:6">
      <c r="B2687" t="s">
        <v>2728</v>
      </c>
      <c r="C2687" t="s">
        <v>2729</v>
      </c>
      <c r="D2687">
        <v>2938.6293746644219</v>
      </c>
      <c r="E2687">
        <v>2539.8245000000002</v>
      </c>
      <c r="F2687" s="6">
        <v>-0.13569999999999999</v>
      </c>
    </row>
    <row r="2688" spans="2:6">
      <c r="B2688" t="s">
        <v>3126</v>
      </c>
      <c r="C2688" t="s">
        <v>3127</v>
      </c>
      <c r="D2688">
        <v>3515.6544062773046</v>
      </c>
      <c r="E2688">
        <v>2537.0565999999999</v>
      </c>
      <c r="F2688" s="6">
        <v>-0.27839999999999998</v>
      </c>
    </row>
    <row r="2689" spans="2:6">
      <c r="B2689" t="s">
        <v>2944</v>
      </c>
      <c r="C2689" t="s">
        <v>2945</v>
      </c>
      <c r="D2689">
        <v>12830.672931073983</v>
      </c>
      <c r="E2689">
        <v>2534.9719</v>
      </c>
      <c r="F2689" s="6">
        <v>-0.8024</v>
      </c>
    </row>
    <row r="2690" spans="2:6">
      <c r="B2690" t="s">
        <v>1052</v>
      </c>
      <c r="C2690" t="s">
        <v>1051</v>
      </c>
      <c r="D2690">
        <v>4434.1935512404925</v>
      </c>
      <c r="E2690">
        <v>2531.1954999999998</v>
      </c>
      <c r="F2690" s="6">
        <v>-0.42920000000000003</v>
      </c>
    </row>
    <row r="2691" spans="2:6">
      <c r="B2691" t="s">
        <v>3387</v>
      </c>
      <c r="C2691" t="s">
        <v>3388</v>
      </c>
      <c r="D2691">
        <v>1524.8987999999999</v>
      </c>
      <c r="E2691">
        <v>2526.4809</v>
      </c>
      <c r="F2691" s="6">
        <v>0.65681873446290329</v>
      </c>
    </row>
    <row r="2692" spans="2:6">
      <c r="B2692" t="s">
        <v>3227</v>
      </c>
      <c r="C2692" t="s">
        <v>3228</v>
      </c>
      <c r="D2692">
        <v>5579.4759000000004</v>
      </c>
      <c r="E2692">
        <v>2521.8874000000001</v>
      </c>
      <c r="F2692" s="6">
        <v>-0.54800639966918752</v>
      </c>
    </row>
    <row r="2693" spans="2:6">
      <c r="B2693" t="s">
        <v>3297</v>
      </c>
      <c r="C2693" t="s">
        <v>3298</v>
      </c>
      <c r="D2693">
        <v>1740.4105999999999</v>
      </c>
      <c r="E2693">
        <v>2504.5612999999998</v>
      </c>
      <c r="F2693" s="6">
        <v>0.43906346008235064</v>
      </c>
    </row>
    <row r="2694" spans="2:6">
      <c r="B2694" t="s">
        <v>3410</v>
      </c>
      <c r="C2694" t="s">
        <v>3411</v>
      </c>
      <c r="D2694">
        <v>715.1</v>
      </c>
      <c r="E2694">
        <v>2495.9787000000001</v>
      </c>
      <c r="F2694" s="6">
        <v>2.4903911341071181</v>
      </c>
    </row>
    <row r="2695" spans="2:6">
      <c r="B2695" t="s">
        <v>497</v>
      </c>
      <c r="C2695" t="s">
        <v>496</v>
      </c>
      <c r="D2695">
        <v>1391.7303999999999</v>
      </c>
      <c r="E2695">
        <v>2487.2232060965989</v>
      </c>
      <c r="F2695" s="6">
        <v>0.78714441108464617</v>
      </c>
    </row>
    <row r="2696" spans="2:6">
      <c r="B2696" t="s">
        <v>2342</v>
      </c>
      <c r="C2696" t="s">
        <v>2343</v>
      </c>
      <c r="D2696">
        <v>464.53219999999999</v>
      </c>
      <c r="E2696">
        <v>2484.5917300292122</v>
      </c>
      <c r="F2696" s="6">
        <v>4.348588816941457</v>
      </c>
    </row>
    <row r="2697" spans="2:6">
      <c r="B2697" t="s">
        <v>3274</v>
      </c>
      <c r="C2697" t="s">
        <v>3148</v>
      </c>
      <c r="D2697">
        <v>1996.3927738736609</v>
      </c>
      <c r="E2697">
        <v>2474.6154998342377</v>
      </c>
      <c r="F2697" s="6">
        <v>0.23954340659762408</v>
      </c>
    </row>
    <row r="2698" spans="2:6">
      <c r="B2698" t="s">
        <v>3065</v>
      </c>
      <c r="C2698" t="s">
        <v>3066</v>
      </c>
      <c r="D2698">
        <v>4021.0653000000002</v>
      </c>
      <c r="E2698">
        <v>2473.4231</v>
      </c>
      <c r="F2698" s="6">
        <v>-0.38488362772919904</v>
      </c>
    </row>
    <row r="2699" spans="2:6">
      <c r="B2699" t="s">
        <v>1116</v>
      </c>
      <c r="C2699" t="s">
        <v>1115</v>
      </c>
      <c r="D2699">
        <v>6365.3406000000004</v>
      </c>
      <c r="E2699">
        <v>2470.3641960627315</v>
      </c>
      <c r="F2699" s="6">
        <v>-0.61190384752345672</v>
      </c>
    </row>
    <row r="2700" spans="2:6">
      <c r="B2700" t="s">
        <v>625</v>
      </c>
      <c r="C2700" t="s">
        <v>624</v>
      </c>
      <c r="D2700">
        <v>3389.7686040929675</v>
      </c>
      <c r="E2700">
        <v>2465.3411999999998</v>
      </c>
      <c r="F2700" s="6">
        <v>-0.2727</v>
      </c>
    </row>
    <row r="2701" spans="2:6">
      <c r="B2701" t="s">
        <v>3331</v>
      </c>
      <c r="C2701" t="s">
        <v>3332</v>
      </c>
      <c r="D2701">
        <v>2170.3333283315806</v>
      </c>
      <c r="E2701">
        <v>2463.6062467279889</v>
      </c>
      <c r="F2701" s="6">
        <v>0.13512805363490354</v>
      </c>
    </row>
    <row r="2702" spans="2:6">
      <c r="B2702" t="s">
        <v>962</v>
      </c>
      <c r="C2702" t="s">
        <v>961</v>
      </c>
      <c r="D2702">
        <v>3760.8705</v>
      </c>
      <c r="E2702">
        <v>2462.4386745379038</v>
      </c>
      <c r="F2702" s="6">
        <v>-0.34524768280697149</v>
      </c>
    </row>
    <row r="2703" spans="2:6">
      <c r="B2703" t="s">
        <v>2825</v>
      </c>
      <c r="C2703" t="s">
        <v>2826</v>
      </c>
      <c r="D2703">
        <v>7907.376231896661</v>
      </c>
      <c r="E2703">
        <v>2458.3046373445218</v>
      </c>
      <c r="F2703" s="6">
        <v>-0.68911247356256455</v>
      </c>
    </row>
    <row r="2704" spans="2:6">
      <c r="B2704" t="s">
        <v>736</v>
      </c>
      <c r="C2704" t="s">
        <v>735</v>
      </c>
      <c r="D2704">
        <v>2728.1808999999998</v>
      </c>
      <c r="E2704">
        <v>2457.5387999999998</v>
      </c>
      <c r="F2704" s="6">
        <v>-9.9202402597276418E-2</v>
      </c>
    </row>
    <row r="2705" spans="2:6">
      <c r="B2705" t="s">
        <v>808</v>
      </c>
      <c r="C2705" t="s">
        <v>807</v>
      </c>
      <c r="D2705">
        <v>3527.6958047572452</v>
      </c>
      <c r="E2705">
        <v>2451.4370448495538</v>
      </c>
      <c r="F2705" s="6">
        <v>-0.30508831244925128</v>
      </c>
    </row>
    <row r="2706" spans="2:6">
      <c r="B2706" t="s">
        <v>3462</v>
      </c>
      <c r="C2706" t="s">
        <v>3592</v>
      </c>
      <c r="D2706">
        <v>1652.6793</v>
      </c>
      <c r="E2706">
        <v>2440.8357999999998</v>
      </c>
      <c r="F2706" s="6">
        <v>0.47689621331857901</v>
      </c>
    </row>
    <row r="2707" spans="2:6">
      <c r="B2707" t="s">
        <v>3322</v>
      </c>
      <c r="C2707" t="s">
        <v>3323</v>
      </c>
      <c r="D2707">
        <v>202.34559999999999</v>
      </c>
      <c r="E2707">
        <v>2434.0189999999998</v>
      </c>
      <c r="F2707" s="6">
        <v>11.029018669049389</v>
      </c>
    </row>
    <row r="2708" spans="2:6">
      <c r="B2708" t="s">
        <v>778</v>
      </c>
      <c r="C2708" t="s">
        <v>777</v>
      </c>
      <c r="D2708">
        <v>3134.0454</v>
      </c>
      <c r="E2708">
        <v>2428.2008999999998</v>
      </c>
      <c r="F2708" s="6">
        <v>-0.22521833921104017</v>
      </c>
    </row>
    <row r="2709" spans="2:6">
      <c r="B2709" t="s">
        <v>581</v>
      </c>
      <c r="C2709" t="s">
        <v>580</v>
      </c>
      <c r="D2709">
        <v>2200.5737829976538</v>
      </c>
      <c r="E2709">
        <v>2409.2375146107561</v>
      </c>
      <c r="F2709" s="6">
        <v>9.4822420054853751E-2</v>
      </c>
    </row>
    <row r="2710" spans="2:6">
      <c r="B2710" t="s">
        <v>3493</v>
      </c>
      <c r="C2710" t="s">
        <v>3468</v>
      </c>
      <c r="D2710">
        <v>1724.635</v>
      </c>
      <c r="E2710">
        <v>2406.5039999999999</v>
      </c>
      <c r="F2710" s="6">
        <v>0.39537003481896171</v>
      </c>
    </row>
    <row r="2711" spans="2:6">
      <c r="B2711" t="s">
        <v>3464</v>
      </c>
      <c r="C2711" t="s">
        <v>3465</v>
      </c>
      <c r="D2711">
        <v>1401.4889380587208</v>
      </c>
      <c r="E2711">
        <v>2403.6079</v>
      </c>
      <c r="F2711" s="6">
        <v>0.71499999999999997</v>
      </c>
    </row>
    <row r="2712" spans="2:6">
      <c r="B2712" t="s">
        <v>1076</v>
      </c>
      <c r="C2712" t="s">
        <v>1075</v>
      </c>
      <c r="D2712">
        <v>5463.0559809516708</v>
      </c>
      <c r="E2712">
        <v>2400.0451471996962</v>
      </c>
      <c r="F2712" s="6">
        <v>-0.56067718222766483</v>
      </c>
    </row>
    <row r="2713" spans="2:6">
      <c r="B2713" t="s">
        <v>730</v>
      </c>
      <c r="C2713" t="s">
        <v>729</v>
      </c>
      <c r="D2713">
        <v>2614.0293631514469</v>
      </c>
      <c r="E2713">
        <v>2396.4859758954276</v>
      </c>
      <c r="F2713" s="6">
        <v>-8.3221478045583663E-2</v>
      </c>
    </row>
    <row r="2714" spans="2:6">
      <c r="B2714" t="s">
        <v>3283</v>
      </c>
      <c r="C2714" t="s">
        <v>3284</v>
      </c>
      <c r="D2714">
        <v>3722.3490663058051</v>
      </c>
      <c r="E2714">
        <v>2396.1523361801542</v>
      </c>
      <c r="F2714" s="6">
        <v>-0.35627951771912059</v>
      </c>
    </row>
    <row r="2715" spans="2:6">
      <c r="B2715" t="s">
        <v>3398</v>
      </c>
      <c r="C2715" t="s">
        <v>3399</v>
      </c>
      <c r="D2715">
        <v>594.07479999999998</v>
      </c>
      <c r="E2715">
        <v>2389.5150294959526</v>
      </c>
      <c r="F2715" s="6">
        <v>3.0222460698483635</v>
      </c>
    </row>
    <row r="2716" spans="2:6">
      <c r="B2716" t="s">
        <v>890</v>
      </c>
      <c r="C2716" t="s">
        <v>889</v>
      </c>
      <c r="D2716">
        <v>4668.8203414858799</v>
      </c>
      <c r="E2716">
        <v>2389.1822999999999</v>
      </c>
      <c r="F2716" s="6">
        <v>-0.48830000000000001</v>
      </c>
    </row>
    <row r="2717" spans="2:6">
      <c r="B2717" t="s">
        <v>684</v>
      </c>
      <c r="C2717" t="s">
        <v>683</v>
      </c>
      <c r="D2717">
        <v>3240.1449952611811</v>
      </c>
      <c r="E2717">
        <v>2387.9812999999999</v>
      </c>
      <c r="F2717" s="6">
        <v>-0.26300000000000001</v>
      </c>
    </row>
    <row r="2718" spans="2:6">
      <c r="B2718" t="s">
        <v>862</v>
      </c>
      <c r="C2718" t="s">
        <v>861</v>
      </c>
      <c r="D2718">
        <v>1317.9983</v>
      </c>
      <c r="E2718">
        <v>2381.364</v>
      </c>
      <c r="F2718" s="6">
        <v>0.80680354443552771</v>
      </c>
    </row>
    <row r="2719" spans="2:6">
      <c r="B2719" t="s">
        <v>3295</v>
      </c>
      <c r="C2719" t="s">
        <v>3296</v>
      </c>
      <c r="D2719">
        <v>1318.4004</v>
      </c>
      <c r="E2719">
        <v>2380.6484</v>
      </c>
      <c r="F2719" s="6">
        <v>0.80570970700555011</v>
      </c>
    </row>
    <row r="2720" spans="2:6">
      <c r="B2720" t="s">
        <v>427</v>
      </c>
      <c r="C2720" t="s">
        <v>426</v>
      </c>
      <c r="D2720">
        <v>1305.3864000000001</v>
      </c>
      <c r="E2720">
        <v>2379.9949999999999</v>
      </c>
      <c r="F2720" s="6">
        <v>0.82321111971137428</v>
      </c>
    </row>
    <row r="2721" spans="2:6">
      <c r="B2721" t="s">
        <v>748</v>
      </c>
      <c r="C2721" t="s">
        <v>747</v>
      </c>
      <c r="D2721">
        <v>2470.5120999999999</v>
      </c>
      <c r="E2721">
        <v>2367.9665746162891</v>
      </c>
      <c r="F2721" s="6">
        <v>-4.1507801311198134E-2</v>
      </c>
    </row>
    <row r="2722" spans="2:6">
      <c r="B2722" t="s">
        <v>698</v>
      </c>
      <c r="C2722" t="s">
        <v>697</v>
      </c>
      <c r="D2722">
        <v>1685.1908226068722</v>
      </c>
      <c r="E2722">
        <v>2360.4258</v>
      </c>
      <c r="F2722" s="6">
        <v>0.4007</v>
      </c>
    </row>
    <row r="2723" spans="2:6">
      <c r="B2723" t="s">
        <v>493</v>
      </c>
      <c r="C2723" t="s">
        <v>492</v>
      </c>
      <c r="D2723">
        <v>695.62549999999999</v>
      </c>
      <c r="E2723">
        <v>2347.4927010518172</v>
      </c>
      <c r="F2723" s="6">
        <v>2.3746501545038492</v>
      </c>
    </row>
    <row r="2724" spans="2:6">
      <c r="B2724" t="s">
        <v>3242</v>
      </c>
      <c r="C2724" t="s">
        <v>3243</v>
      </c>
      <c r="D2724">
        <v>4049.8413</v>
      </c>
      <c r="E2724">
        <v>2345.8655305027632</v>
      </c>
      <c r="F2724" s="6">
        <v>-0.42075124511600903</v>
      </c>
    </row>
    <row r="2725" spans="2:6">
      <c r="B2725" t="s">
        <v>702</v>
      </c>
      <c r="C2725" t="s">
        <v>701</v>
      </c>
      <c r="D2725">
        <v>1442.8674000000001</v>
      </c>
      <c r="E2725">
        <v>2344.7840999999999</v>
      </c>
      <c r="F2725" s="6">
        <v>0.62508633849513817</v>
      </c>
    </row>
    <row r="2726" spans="2:6">
      <c r="B2726" t="s">
        <v>860</v>
      </c>
      <c r="C2726" t="s">
        <v>859</v>
      </c>
      <c r="D2726">
        <v>4617.9403082028366</v>
      </c>
      <c r="E2726">
        <v>2340.6662999999999</v>
      </c>
      <c r="F2726" s="6">
        <v>-0.49309999999999998</v>
      </c>
    </row>
    <row r="2727" spans="2:6">
      <c r="B2727" t="s">
        <v>672</v>
      </c>
      <c r="C2727" t="s">
        <v>671</v>
      </c>
      <c r="D2727">
        <v>1081.9792</v>
      </c>
      <c r="E2727">
        <v>2331.0014815550753</v>
      </c>
      <c r="F2727" s="6">
        <v>1.1543865922330809</v>
      </c>
    </row>
    <row r="2728" spans="2:6">
      <c r="B2728" t="s">
        <v>1168</v>
      </c>
      <c r="C2728" t="s">
        <v>1167</v>
      </c>
      <c r="D2728">
        <v>7918.834177888888</v>
      </c>
      <c r="E2728">
        <v>2327.806</v>
      </c>
      <c r="F2728" s="6">
        <v>-0.70599999999999996</v>
      </c>
    </row>
    <row r="2729" spans="2:6">
      <c r="B2729" t="s">
        <v>1940</v>
      </c>
      <c r="C2729" t="s">
        <v>1939</v>
      </c>
      <c r="D2729">
        <v>15279.618700000001</v>
      </c>
      <c r="E2729">
        <v>2322.3121000000001</v>
      </c>
      <c r="F2729" s="6">
        <v>-0.84801243109554825</v>
      </c>
    </row>
    <row r="2730" spans="2:6">
      <c r="B2730" t="s">
        <v>1672</v>
      </c>
      <c r="C2730" t="s">
        <v>1671</v>
      </c>
      <c r="D2730">
        <v>10520.399641463358</v>
      </c>
      <c r="E2730">
        <v>2321.9993545237485</v>
      </c>
      <c r="F2730" s="6">
        <v>-0.77928601254155727</v>
      </c>
    </row>
    <row r="2731" spans="2:6">
      <c r="B2731" t="s">
        <v>3417</v>
      </c>
      <c r="C2731" t="s">
        <v>3418</v>
      </c>
      <c r="D2731">
        <v>3111.7049000000002</v>
      </c>
      <c r="E2731">
        <v>2319.9137000000001</v>
      </c>
      <c r="F2731" s="6">
        <v>-0.25445574867976717</v>
      </c>
    </row>
    <row r="2732" spans="2:6">
      <c r="B2732" t="s">
        <v>3081</v>
      </c>
      <c r="C2732" t="s">
        <v>3082</v>
      </c>
      <c r="D2732">
        <v>2381.5430674049544</v>
      </c>
      <c r="E2732">
        <v>2305.6355065259081</v>
      </c>
      <c r="F2732" s="6">
        <v>-3.1873268183958969E-2</v>
      </c>
    </row>
    <row r="2733" spans="2:6">
      <c r="B2733" t="s">
        <v>848</v>
      </c>
      <c r="C2733" t="s">
        <v>847</v>
      </c>
      <c r="D2733">
        <v>2718.8425715677117</v>
      </c>
      <c r="E2733">
        <v>2301.6950147041666</v>
      </c>
      <c r="F2733" s="6">
        <v>-0.15342836000357818</v>
      </c>
    </row>
    <row r="2734" spans="2:6">
      <c r="B2734" t="s">
        <v>1736</v>
      </c>
      <c r="C2734" t="s">
        <v>1735</v>
      </c>
      <c r="D2734">
        <v>13227.90204902595</v>
      </c>
      <c r="E2734">
        <v>2294.4643999999998</v>
      </c>
      <c r="F2734" s="6">
        <v>-0.82650000000000001</v>
      </c>
    </row>
    <row r="2735" spans="2:6">
      <c r="B2735" t="s">
        <v>718</v>
      </c>
      <c r="C2735" t="s">
        <v>717</v>
      </c>
      <c r="D2735">
        <v>2064.3651</v>
      </c>
      <c r="E2735">
        <v>2288.1316000000002</v>
      </c>
      <c r="F2735" s="6">
        <v>0.10839482802727085</v>
      </c>
    </row>
    <row r="2736" spans="2:6">
      <c r="B2736" t="s">
        <v>668</v>
      </c>
      <c r="C2736" t="s">
        <v>667</v>
      </c>
      <c r="D2736">
        <v>1909.5636887985042</v>
      </c>
      <c r="E2736">
        <v>2286.8930510458822</v>
      </c>
      <c r="F2736" s="6">
        <v>0.19759977866189593</v>
      </c>
    </row>
    <row r="2737" spans="2:6">
      <c r="B2737" t="s">
        <v>812</v>
      </c>
      <c r="C2737" t="s">
        <v>811</v>
      </c>
      <c r="D2737">
        <v>3380.3660237950248</v>
      </c>
      <c r="E2737">
        <v>2281.9045678846987</v>
      </c>
      <c r="F2737" s="6">
        <v>-0.32495340687311725</v>
      </c>
    </row>
    <row r="2738" spans="2:6">
      <c r="B2738" t="s">
        <v>670</v>
      </c>
      <c r="C2738" t="s">
        <v>669</v>
      </c>
      <c r="D2738">
        <v>2809.0162999999998</v>
      </c>
      <c r="E2738">
        <v>2277.5016000000001</v>
      </c>
      <c r="F2738" s="6">
        <v>-0.18921737833988361</v>
      </c>
    </row>
    <row r="2739" spans="2:6">
      <c r="B2739" t="s">
        <v>2695</v>
      </c>
      <c r="C2739" t="s">
        <v>2696</v>
      </c>
      <c r="D2739">
        <v>6864.5287878522131</v>
      </c>
      <c r="E2739">
        <v>2272.7869000000001</v>
      </c>
      <c r="F2739" s="6">
        <v>-0.66890000000000005</v>
      </c>
    </row>
    <row r="2740" spans="2:6">
      <c r="B2740" t="s">
        <v>1328</v>
      </c>
      <c r="C2740" t="s">
        <v>1327</v>
      </c>
      <c r="D2740">
        <v>8181.9247275824509</v>
      </c>
      <c r="E2740">
        <v>2267.4146999999998</v>
      </c>
      <c r="F2740" s="6">
        <v>-0.72289999999999999</v>
      </c>
    </row>
    <row r="2741" spans="2:6">
      <c r="B2741" t="s">
        <v>2578</v>
      </c>
      <c r="C2741" t="s">
        <v>2579</v>
      </c>
      <c r="D2741">
        <v>14337.7984</v>
      </c>
      <c r="E2741">
        <v>2237.4322000000002</v>
      </c>
      <c r="F2741" s="6">
        <v>-0.84394869159270647</v>
      </c>
    </row>
    <row r="2742" spans="2:6">
      <c r="B2742" t="s">
        <v>2637</v>
      </c>
      <c r="C2742" t="s">
        <v>2638</v>
      </c>
      <c r="D2742">
        <v>16260.828119171427</v>
      </c>
      <c r="E2742">
        <v>2234.0353</v>
      </c>
      <c r="F2742" s="6">
        <v>-0.86260000000000003</v>
      </c>
    </row>
    <row r="2743" spans="2:6">
      <c r="B2743" t="s">
        <v>530</v>
      </c>
      <c r="C2743" t="s">
        <v>529</v>
      </c>
      <c r="D2743">
        <v>2124.1363999999999</v>
      </c>
      <c r="E2743">
        <v>2231.8966999999998</v>
      </c>
      <c r="F2743" s="6">
        <v>5.0731346631035512E-2</v>
      </c>
    </row>
    <row r="2744" spans="2:6">
      <c r="B2744" t="s">
        <v>830</v>
      </c>
      <c r="C2744" t="s">
        <v>829</v>
      </c>
      <c r="D2744">
        <v>1453.5397</v>
      </c>
      <c r="E2744">
        <v>2231.3814000000002</v>
      </c>
      <c r="F2744" s="6">
        <v>0.53513619201456963</v>
      </c>
    </row>
    <row r="2745" spans="2:6">
      <c r="B2745" t="s">
        <v>3362</v>
      </c>
      <c r="C2745" t="s">
        <v>3363</v>
      </c>
      <c r="D2745">
        <v>1286.8204000000001</v>
      </c>
      <c r="E2745">
        <v>2227.5754999999999</v>
      </c>
      <c r="F2745" s="6">
        <v>0.73106946392829952</v>
      </c>
    </row>
    <row r="2746" spans="2:6">
      <c r="B2746" t="s">
        <v>1918</v>
      </c>
      <c r="C2746" t="s">
        <v>1917</v>
      </c>
      <c r="D2746">
        <v>14640.397596900511</v>
      </c>
      <c r="E2746">
        <v>2221.9980999999998</v>
      </c>
      <c r="F2746" s="6">
        <v>-0.84819999999999995</v>
      </c>
    </row>
    <row r="2747" spans="2:6">
      <c r="B2747" t="s">
        <v>2016</v>
      </c>
      <c r="C2747" t="s">
        <v>2015</v>
      </c>
      <c r="D2747">
        <v>9280.3936275029318</v>
      </c>
      <c r="E2747">
        <v>2220.4645388289846</v>
      </c>
      <c r="F2747" s="6">
        <v>-0.76073595281039352</v>
      </c>
    </row>
    <row r="2748" spans="2:6">
      <c r="B2748" t="s">
        <v>2912</v>
      </c>
      <c r="C2748" t="s">
        <v>2913</v>
      </c>
      <c r="D2748">
        <v>1135.6452999999999</v>
      </c>
      <c r="E2748">
        <v>2213.3339000000001</v>
      </c>
      <c r="F2748" s="6">
        <v>0.94896584347242929</v>
      </c>
    </row>
    <row r="2749" spans="2:6">
      <c r="B2749" t="s">
        <v>3044</v>
      </c>
      <c r="C2749" t="s">
        <v>3045</v>
      </c>
      <c r="D2749">
        <v>3568.2689661680051</v>
      </c>
      <c r="E2749">
        <v>2212.2617</v>
      </c>
      <c r="F2749" s="6">
        <v>-0.38</v>
      </c>
    </row>
    <row r="2750" spans="2:6">
      <c r="B2750" t="s">
        <v>505</v>
      </c>
      <c r="C2750" t="s">
        <v>504</v>
      </c>
      <c r="D2750">
        <v>1232.5353</v>
      </c>
      <c r="E2750">
        <v>2196.2307000000001</v>
      </c>
      <c r="F2750" s="6">
        <v>0.78188056763972602</v>
      </c>
    </row>
    <row r="2751" spans="2:6">
      <c r="B2751" t="s">
        <v>782</v>
      </c>
      <c r="C2751" t="s">
        <v>781</v>
      </c>
      <c r="D2751">
        <v>4838.6188323474607</v>
      </c>
      <c r="E2751">
        <v>2192.4704999999999</v>
      </c>
      <c r="F2751" s="6">
        <v>-0.54690000000000005</v>
      </c>
    </row>
    <row r="2752" spans="2:6">
      <c r="B2752" t="s">
        <v>1122</v>
      </c>
      <c r="C2752" t="s">
        <v>1121</v>
      </c>
      <c r="D2752">
        <v>5356.0865735291072</v>
      </c>
      <c r="E2752">
        <v>2189.7656999999999</v>
      </c>
      <c r="F2752" s="6">
        <v>-0.59119999999999995</v>
      </c>
    </row>
    <row r="2753" spans="2:6">
      <c r="B2753" t="s">
        <v>772</v>
      </c>
      <c r="C2753" t="s">
        <v>771</v>
      </c>
      <c r="D2753">
        <v>3052.4614999999999</v>
      </c>
      <c r="E2753">
        <v>2179.8561932542884</v>
      </c>
      <c r="F2753" s="6">
        <v>-0.28586938991555222</v>
      </c>
    </row>
    <row r="2754" spans="2:6">
      <c r="B2754" t="s">
        <v>635</v>
      </c>
      <c r="C2754" t="s">
        <v>634</v>
      </c>
      <c r="D2754">
        <v>1696.4376</v>
      </c>
      <c r="E2754">
        <v>2178.6848213359153</v>
      </c>
      <c r="F2754" s="6">
        <v>0.28427053334346941</v>
      </c>
    </row>
    <row r="2755" spans="2:6">
      <c r="B2755" t="s">
        <v>874</v>
      </c>
      <c r="C2755" t="s">
        <v>873</v>
      </c>
      <c r="D2755">
        <v>2855.0625</v>
      </c>
      <c r="E2755">
        <v>2177.243264963708</v>
      </c>
      <c r="F2755" s="6">
        <v>-0.23740959612488066</v>
      </c>
    </row>
    <row r="2756" spans="2:6">
      <c r="B2756" t="s">
        <v>3256</v>
      </c>
      <c r="C2756" t="s">
        <v>3257</v>
      </c>
      <c r="D2756">
        <v>3512.5468973539896</v>
      </c>
      <c r="E2756">
        <v>2177.1104679928162</v>
      </c>
      <c r="F2756" s="6">
        <v>-0.38019034859496426</v>
      </c>
    </row>
    <row r="2757" spans="2:6">
      <c r="B2757" t="s">
        <v>3456</v>
      </c>
      <c r="C2757" t="s">
        <v>3457</v>
      </c>
      <c r="D2757">
        <v>2481.1469999999999</v>
      </c>
      <c r="E2757">
        <v>2170.7485999999999</v>
      </c>
      <c r="F2757" s="6">
        <v>-0.12510278512317086</v>
      </c>
    </row>
    <row r="2758" spans="2:6">
      <c r="B2758" t="s">
        <v>1462</v>
      </c>
      <c r="C2758" t="s">
        <v>1461</v>
      </c>
      <c r="D2758">
        <v>4805.9675999999999</v>
      </c>
      <c r="E2758">
        <v>2156.3246348326497</v>
      </c>
      <c r="F2758" s="6">
        <v>-0.55132351811263769</v>
      </c>
    </row>
    <row r="2759" spans="2:6">
      <c r="B2759" t="s">
        <v>2760</v>
      </c>
      <c r="C2759" t="s">
        <v>2761</v>
      </c>
      <c r="D2759">
        <v>2088.7505999999998</v>
      </c>
      <c r="E2759">
        <v>2154.0826000000002</v>
      </c>
      <c r="F2759" s="6">
        <v>3.1278028118818968E-2</v>
      </c>
    </row>
    <row r="2760" spans="2:6">
      <c r="B2760" t="s">
        <v>1768</v>
      </c>
      <c r="C2760" t="s">
        <v>1767</v>
      </c>
      <c r="D2760">
        <v>11777.697232317902</v>
      </c>
      <c r="E2760">
        <v>2138.02</v>
      </c>
      <c r="F2760" s="6">
        <v>-0.81850000000000001</v>
      </c>
    </row>
    <row r="2761" spans="2:6">
      <c r="B2761" t="s">
        <v>491</v>
      </c>
      <c r="C2761" t="s">
        <v>490</v>
      </c>
      <c r="D2761">
        <v>695.62583479913576</v>
      </c>
      <c r="E2761">
        <v>2130.3963568744243</v>
      </c>
      <c r="F2761" s="6">
        <v>2.0625607191394542</v>
      </c>
    </row>
    <row r="2762" spans="2:6">
      <c r="B2762" t="s">
        <v>1348</v>
      </c>
      <c r="C2762" t="s">
        <v>1347</v>
      </c>
      <c r="D2762">
        <v>4093.7408795458578</v>
      </c>
      <c r="E2762">
        <v>2128.9821251568223</v>
      </c>
      <c r="F2762" s="6">
        <v>-0.47994213903616623</v>
      </c>
    </row>
    <row r="2763" spans="2:6">
      <c r="B2763" t="s">
        <v>990</v>
      </c>
      <c r="C2763" t="s">
        <v>989</v>
      </c>
      <c r="D2763">
        <v>4326.3330344126571</v>
      </c>
      <c r="E2763">
        <v>2113.0230718990047</v>
      </c>
      <c r="F2763" s="6">
        <v>-0.51159028787392724</v>
      </c>
    </row>
    <row r="2764" spans="2:6">
      <c r="B2764" t="s">
        <v>3281</v>
      </c>
      <c r="C2764" t="s">
        <v>3282</v>
      </c>
      <c r="D2764">
        <v>8532.543968490545</v>
      </c>
      <c r="E2764">
        <v>2103.7537000000002</v>
      </c>
      <c r="F2764" s="6">
        <v>-0.75339999999999996</v>
      </c>
    </row>
    <row r="2765" spans="2:6">
      <c r="B2765" t="s">
        <v>2875</v>
      </c>
      <c r="C2765" t="s">
        <v>2876</v>
      </c>
      <c r="D2765">
        <v>1033.6610879514924</v>
      </c>
      <c r="E2765">
        <v>2103.5650999999998</v>
      </c>
      <c r="F2765" s="6">
        <v>1.0350999999999999</v>
      </c>
    </row>
    <row r="2766" spans="2:6">
      <c r="B2766" t="s">
        <v>503</v>
      </c>
      <c r="C2766" t="s">
        <v>502</v>
      </c>
      <c r="D2766">
        <v>1621.4541999999999</v>
      </c>
      <c r="E2766">
        <v>2098.9904000000001</v>
      </c>
      <c r="F2766" s="6">
        <v>0.29451106297051122</v>
      </c>
    </row>
    <row r="2767" spans="2:6">
      <c r="B2767" t="s">
        <v>385</v>
      </c>
      <c r="C2767" t="s">
        <v>384</v>
      </c>
      <c r="D2767">
        <v>537.0607</v>
      </c>
      <c r="E2767">
        <v>2081.1983</v>
      </c>
      <c r="F2767" s="6">
        <v>2.8751640177730375</v>
      </c>
    </row>
    <row r="2768" spans="2:6">
      <c r="B2768" t="s">
        <v>3289</v>
      </c>
      <c r="C2768" t="s">
        <v>3290</v>
      </c>
      <c r="D2768">
        <v>4029.3103000000001</v>
      </c>
      <c r="E2768">
        <v>2079.0018</v>
      </c>
      <c r="F2768" s="6">
        <v>-0.48403035626221191</v>
      </c>
    </row>
    <row r="2769" spans="2:6">
      <c r="B2769" t="s">
        <v>3171</v>
      </c>
      <c r="C2769" t="s">
        <v>3172</v>
      </c>
      <c r="D2769">
        <v>4812.8009000000002</v>
      </c>
      <c r="E2769">
        <v>2078.7294999999999</v>
      </c>
      <c r="F2769" s="6">
        <v>-0.56808321324906674</v>
      </c>
    </row>
    <row r="2770" spans="2:6">
      <c r="B2770" t="s">
        <v>658</v>
      </c>
      <c r="C2770" t="s">
        <v>3544</v>
      </c>
      <c r="D2770">
        <v>290.91370000000001</v>
      </c>
      <c r="E2770">
        <v>2077.6003000000001</v>
      </c>
      <c r="F2770" s="6">
        <v>6.141637880924824</v>
      </c>
    </row>
    <row r="2771" spans="2:6">
      <c r="B2771" t="s">
        <v>3347</v>
      </c>
      <c r="C2771" t="s">
        <v>2411</v>
      </c>
      <c r="D2771">
        <v>2246.3666290735168</v>
      </c>
      <c r="E2771">
        <v>2071.4460845294197</v>
      </c>
      <c r="F2771" s="6">
        <v>-7.7868208279180395E-2</v>
      </c>
    </row>
    <row r="2772" spans="2:6">
      <c r="B2772" t="s">
        <v>2455</v>
      </c>
      <c r="C2772" t="s">
        <v>2456</v>
      </c>
      <c r="D2772">
        <v>1893.7236424320211</v>
      </c>
      <c r="E2772">
        <v>2064.7123999999999</v>
      </c>
      <c r="F2772" s="6">
        <v>9.0300000000000005E-2</v>
      </c>
    </row>
    <row r="2773" spans="2:6">
      <c r="B2773" t="s">
        <v>3189</v>
      </c>
      <c r="C2773" t="s">
        <v>388</v>
      </c>
      <c r="D2773">
        <v>3181.2566999999999</v>
      </c>
      <c r="E2773">
        <v>2056.2647999999999</v>
      </c>
      <c r="F2773" s="6">
        <v>-0.3536312866547362</v>
      </c>
    </row>
    <row r="2774" spans="2:6">
      <c r="B2774" t="s">
        <v>3339</v>
      </c>
      <c r="C2774" t="s">
        <v>3290</v>
      </c>
      <c r="D2774">
        <v>3145.2539999999999</v>
      </c>
      <c r="E2774">
        <v>2044.521</v>
      </c>
      <c r="F2774" s="6">
        <v>-0.34996633022325063</v>
      </c>
    </row>
    <row r="2775" spans="2:6">
      <c r="B2775" t="s">
        <v>868</v>
      </c>
      <c r="C2775" t="s">
        <v>867</v>
      </c>
      <c r="D2775">
        <v>3785.6164171423252</v>
      </c>
      <c r="E2775">
        <v>2043.8733473723737</v>
      </c>
      <c r="F2775" s="6">
        <v>-0.46009496944351091</v>
      </c>
    </row>
    <row r="2776" spans="2:6">
      <c r="B2776" t="s">
        <v>3185</v>
      </c>
      <c r="C2776" t="s">
        <v>3186</v>
      </c>
      <c r="D2776">
        <v>5689.4480062848288</v>
      </c>
      <c r="E2776">
        <v>2042.8213000000001</v>
      </c>
      <c r="F2776" s="6">
        <v>-0.64090000000000003</v>
      </c>
    </row>
    <row r="2777" spans="2:6">
      <c r="B2777" t="s">
        <v>680</v>
      </c>
      <c r="C2777" t="s">
        <v>679</v>
      </c>
      <c r="D2777">
        <v>2206.8122850473947</v>
      </c>
      <c r="E2777">
        <v>2038.0352840332237</v>
      </c>
      <c r="F2777" s="6">
        <v>-7.6479998846184727E-2</v>
      </c>
    </row>
    <row r="2778" spans="2:6">
      <c r="B2778" t="s">
        <v>1002</v>
      </c>
      <c r="C2778" t="s">
        <v>1001</v>
      </c>
      <c r="D2778">
        <v>5024.5715955350988</v>
      </c>
      <c r="E2778">
        <v>2035.5114601851294</v>
      </c>
      <c r="F2778" s="6">
        <v>-0.59488855487820858</v>
      </c>
    </row>
    <row r="2779" spans="2:6">
      <c r="B2779" t="s">
        <v>1142</v>
      </c>
      <c r="C2779" t="s">
        <v>1141</v>
      </c>
      <c r="D2779">
        <v>4359.1713</v>
      </c>
      <c r="E2779">
        <v>2033.9484</v>
      </c>
      <c r="F2779" s="6">
        <v>-0.53340938907356084</v>
      </c>
    </row>
    <row r="2780" spans="2:6">
      <c r="B2780" t="s">
        <v>3593</v>
      </c>
      <c r="C2780" t="s">
        <v>3594</v>
      </c>
      <c r="D2780">
        <v>415.86470000000003</v>
      </c>
      <c r="E2780">
        <v>2019.4561000000001</v>
      </c>
      <c r="F2780" s="6">
        <v>3.8560411595405908</v>
      </c>
    </row>
    <row r="2781" spans="2:6">
      <c r="B2781" t="s">
        <v>746</v>
      </c>
      <c r="C2781" t="s">
        <v>745</v>
      </c>
      <c r="D2781">
        <v>1937.3696694055764</v>
      </c>
      <c r="E2781">
        <v>2015.3408999999999</v>
      </c>
      <c r="F2781" s="6">
        <v>4.02E-2</v>
      </c>
    </row>
    <row r="2782" spans="2:6">
      <c r="B2782" t="s">
        <v>976</v>
      </c>
      <c r="C2782" t="s">
        <v>975</v>
      </c>
      <c r="D2782">
        <v>3179.9825437846766</v>
      </c>
      <c r="E2782">
        <v>2004.807</v>
      </c>
      <c r="F2782" s="6">
        <v>-0.36959999999999998</v>
      </c>
    </row>
    <row r="2783" spans="2:6">
      <c r="B2783" t="s">
        <v>3359</v>
      </c>
      <c r="C2783" t="s">
        <v>2615</v>
      </c>
      <c r="D2783">
        <v>240.87479999999999</v>
      </c>
      <c r="E2783">
        <v>1994.7839933671714</v>
      </c>
      <c r="F2783" s="6">
        <v>7.2814142175402807</v>
      </c>
    </row>
    <row r="2784" spans="2:6">
      <c r="B2784" t="s">
        <v>724</v>
      </c>
      <c r="C2784" t="s">
        <v>723</v>
      </c>
      <c r="D2784">
        <v>2868.17</v>
      </c>
      <c r="E2784">
        <v>1988.4914000000001</v>
      </c>
      <c r="F2784" s="6">
        <v>-0.30670378673509591</v>
      </c>
    </row>
    <row r="2785" spans="2:6">
      <c r="B2785" t="s">
        <v>892</v>
      </c>
      <c r="C2785" t="s">
        <v>891</v>
      </c>
      <c r="D2785">
        <v>1590.4308000000001</v>
      </c>
      <c r="E2785">
        <v>1983.1052999999999</v>
      </c>
      <c r="F2785" s="6">
        <v>0.24689819890308962</v>
      </c>
    </row>
    <row r="2786" spans="2:6">
      <c r="B2786" t="s">
        <v>2057</v>
      </c>
      <c r="C2786" t="s">
        <v>2056</v>
      </c>
      <c r="D2786">
        <v>15875.725899999999</v>
      </c>
      <c r="E2786">
        <v>1983.0771999999999</v>
      </c>
      <c r="F2786" s="6">
        <v>-0.87508746292980533</v>
      </c>
    </row>
    <row r="2787" spans="2:6">
      <c r="B2787" t="s">
        <v>609</v>
      </c>
      <c r="C2787" t="s">
        <v>608</v>
      </c>
      <c r="D2787">
        <v>1686.4259</v>
      </c>
      <c r="E2787">
        <v>1963.6949</v>
      </c>
      <c r="F2787" s="6">
        <v>0.1644122045326748</v>
      </c>
    </row>
    <row r="2788" spans="2:6">
      <c r="B2788" t="s">
        <v>3353</v>
      </c>
      <c r="C2788" t="s">
        <v>3354</v>
      </c>
      <c r="D2788">
        <v>39.367699999999999</v>
      </c>
      <c r="E2788">
        <v>1952.1155000000001</v>
      </c>
      <c r="F2788" s="6">
        <v>48.586729730210301</v>
      </c>
    </row>
    <row r="2789" spans="2:6">
      <c r="B2789" t="s">
        <v>607</v>
      </c>
      <c r="C2789" t="s">
        <v>606</v>
      </c>
      <c r="D2789">
        <v>1629.9641999999999</v>
      </c>
      <c r="E2789">
        <v>1942.1079</v>
      </c>
      <c r="F2789" s="6">
        <v>0.1915034084797691</v>
      </c>
    </row>
    <row r="2790" spans="2:6">
      <c r="B2790" t="s">
        <v>532</v>
      </c>
      <c r="C2790" t="s">
        <v>531</v>
      </c>
      <c r="D2790">
        <v>1499.7366327406839</v>
      </c>
      <c r="E2790">
        <v>1939.2518</v>
      </c>
      <c r="F2790" s="6">
        <v>0.29310000000000003</v>
      </c>
    </row>
    <row r="2791" spans="2:6">
      <c r="B2791" t="s">
        <v>579</v>
      </c>
      <c r="C2791" t="s">
        <v>578</v>
      </c>
      <c r="D2791">
        <v>2744.2474000000002</v>
      </c>
      <c r="E2791">
        <v>1934.8501000000001</v>
      </c>
      <c r="F2791" s="6">
        <v>-0.29494326932768522</v>
      </c>
    </row>
    <row r="2792" spans="2:6">
      <c r="B2792" t="s">
        <v>3234</v>
      </c>
      <c r="C2792" t="s">
        <v>3235</v>
      </c>
      <c r="D2792">
        <v>3937.4103</v>
      </c>
      <c r="E2792">
        <v>1930.3441854823038</v>
      </c>
      <c r="F2792" s="6">
        <v>-0.50974268912683451</v>
      </c>
    </row>
    <row r="2793" spans="2:6">
      <c r="B2793" t="s">
        <v>3330</v>
      </c>
      <c r="C2793" t="s">
        <v>2481</v>
      </c>
      <c r="D2793">
        <v>1800.3095000000001</v>
      </c>
      <c r="E2793">
        <v>1921.6511</v>
      </c>
      <c r="F2793" s="6">
        <v>6.740041087379689E-2</v>
      </c>
    </row>
    <row r="2794" spans="2:6">
      <c r="B2794" t="s">
        <v>3421</v>
      </c>
      <c r="C2794" t="s">
        <v>3422</v>
      </c>
      <c r="D2794">
        <v>672.2518828530898</v>
      </c>
      <c r="E2794">
        <v>1916.7809999999999</v>
      </c>
      <c r="F2794" s="6">
        <v>1.8512999999999999</v>
      </c>
    </row>
    <row r="2795" spans="2:6">
      <c r="B2795" t="s">
        <v>522</v>
      </c>
      <c r="C2795" t="s">
        <v>521</v>
      </c>
      <c r="D2795">
        <v>1441.3568401184448</v>
      </c>
      <c r="E2795">
        <v>1902.9499000000001</v>
      </c>
      <c r="F2795" s="6">
        <v>0.32019999999999998</v>
      </c>
    </row>
    <row r="2796" spans="2:6">
      <c r="B2796" t="s">
        <v>3454</v>
      </c>
      <c r="C2796" t="s">
        <v>3455</v>
      </c>
      <c r="D2796">
        <v>134.64599999999999</v>
      </c>
      <c r="E2796">
        <v>1891.9037799986743</v>
      </c>
      <c r="F2796" s="6">
        <v>13.050946778951284</v>
      </c>
    </row>
    <row r="2797" spans="2:6">
      <c r="B2797" t="s">
        <v>3197</v>
      </c>
      <c r="C2797" t="s">
        <v>3198</v>
      </c>
      <c r="D2797">
        <v>4161.6281462285269</v>
      </c>
      <c r="E2797">
        <v>1885.4585903854922</v>
      </c>
      <c r="F2797" s="6">
        <v>-0.54694208032637714</v>
      </c>
    </row>
    <row r="2798" spans="2:6">
      <c r="B2798" t="s">
        <v>3430</v>
      </c>
      <c r="C2798" t="s">
        <v>3431</v>
      </c>
      <c r="D2798">
        <v>1357.9884298192401</v>
      </c>
      <c r="E2798">
        <v>1883.7405169857423</v>
      </c>
      <c r="F2798" s="6">
        <v>0.38715505642156645</v>
      </c>
    </row>
    <row r="2799" spans="2:6">
      <c r="B2799" t="s">
        <v>720</v>
      </c>
      <c r="C2799" t="s">
        <v>719</v>
      </c>
      <c r="D2799">
        <v>1190.6471438919489</v>
      </c>
      <c r="E2799">
        <v>1882.2235078400229</v>
      </c>
      <c r="F2799" s="6">
        <v>0.58084073648173518</v>
      </c>
    </row>
    <row r="2800" spans="2:6">
      <c r="B2800" t="s">
        <v>1378</v>
      </c>
      <c r="C2800" t="s">
        <v>1377</v>
      </c>
      <c r="D2800">
        <v>6534.2384309202307</v>
      </c>
      <c r="E2800">
        <v>1880.8185000000001</v>
      </c>
      <c r="F2800" s="6">
        <v>-0.71220000000000006</v>
      </c>
    </row>
    <row r="2801" spans="2:6">
      <c r="B2801" t="s">
        <v>3425</v>
      </c>
      <c r="C2801" t="s">
        <v>3314</v>
      </c>
      <c r="D2801">
        <v>2839.3238999999999</v>
      </c>
      <c r="E2801">
        <v>1873.8079</v>
      </c>
      <c r="F2801" s="6">
        <v>-0.34005137631532634</v>
      </c>
    </row>
    <row r="2802" spans="2:6">
      <c r="B2802" t="s">
        <v>914</v>
      </c>
      <c r="C2802" t="s">
        <v>913</v>
      </c>
      <c r="D2802">
        <v>2601.3339000000001</v>
      </c>
      <c r="E2802">
        <v>1857.0145314726826</v>
      </c>
      <c r="F2802" s="6">
        <v>-0.28612988456703592</v>
      </c>
    </row>
    <row r="2803" spans="2:6">
      <c r="B2803" t="s">
        <v>2899</v>
      </c>
      <c r="C2803" t="s">
        <v>2900</v>
      </c>
      <c r="D2803">
        <v>972.43179999999995</v>
      </c>
      <c r="E2803">
        <v>1852.6121000000001</v>
      </c>
      <c r="F2803" s="6">
        <v>0.90513319288817984</v>
      </c>
    </row>
    <row r="2804" spans="2:6">
      <c r="B2804" t="s">
        <v>3500</v>
      </c>
      <c r="C2804" t="s">
        <v>3501</v>
      </c>
      <c r="D2804">
        <v>242.44508686262327</v>
      </c>
      <c r="E2804">
        <v>1837.6162999999999</v>
      </c>
      <c r="F2804" s="6">
        <v>6.5795000000000003</v>
      </c>
    </row>
    <row r="2805" spans="2:6">
      <c r="B2805" t="s">
        <v>559</v>
      </c>
      <c r="C2805" t="s">
        <v>558</v>
      </c>
      <c r="D2805">
        <v>1769.9151999999999</v>
      </c>
      <c r="E2805">
        <v>1827.3570999999999</v>
      </c>
      <c r="F2805" s="6">
        <v>3.2454605734783204E-2</v>
      </c>
    </row>
    <row r="2806" spans="2:6">
      <c r="B2806" t="s">
        <v>828</v>
      </c>
      <c r="C2806" t="s">
        <v>827</v>
      </c>
      <c r="D2806">
        <v>2531.601068444721</v>
      </c>
      <c r="E2806">
        <v>1825.5617</v>
      </c>
      <c r="F2806" s="6">
        <v>-0.27889999999999998</v>
      </c>
    </row>
    <row r="2807" spans="2:6">
      <c r="B2807" t="s">
        <v>662</v>
      </c>
      <c r="C2807" t="s">
        <v>661</v>
      </c>
      <c r="D2807">
        <v>2333.2356</v>
      </c>
      <c r="E2807">
        <v>1819.225257957198</v>
      </c>
      <c r="F2807" s="6">
        <v>-0.22029937398640842</v>
      </c>
    </row>
    <row r="2808" spans="2:6">
      <c r="B2808" t="s">
        <v>2840</v>
      </c>
      <c r="C2808" t="s">
        <v>2841</v>
      </c>
      <c r="D2808">
        <v>6361.3509473513459</v>
      </c>
      <c r="E2808">
        <v>1817.4380000000001</v>
      </c>
      <c r="F2808" s="6">
        <v>-0.71430000000000005</v>
      </c>
    </row>
    <row r="2809" spans="2:6">
      <c r="B2809" t="s">
        <v>555</v>
      </c>
      <c r="C2809" t="s">
        <v>554</v>
      </c>
      <c r="D2809">
        <v>1042.4799</v>
      </c>
      <c r="E2809">
        <v>1813.2516272816274</v>
      </c>
      <c r="F2809" s="6">
        <v>0.73936363404380967</v>
      </c>
    </row>
    <row r="2810" spans="2:6">
      <c r="B2810" t="s">
        <v>3182</v>
      </c>
      <c r="C2810" t="s">
        <v>3183</v>
      </c>
      <c r="D2810">
        <v>7516.8753282264379</v>
      </c>
      <c r="E2810">
        <v>1812.3293000000001</v>
      </c>
      <c r="F2810" s="6">
        <v>-0.75890000000000002</v>
      </c>
    </row>
    <row r="2811" spans="2:6">
      <c r="B2811" t="s">
        <v>575</v>
      </c>
      <c r="C2811" t="s">
        <v>574</v>
      </c>
      <c r="D2811">
        <v>794.96370000000002</v>
      </c>
      <c r="E2811">
        <v>1804.9826776322748</v>
      </c>
      <c r="F2811" s="6">
        <v>1.2705221353280343</v>
      </c>
    </row>
    <row r="2812" spans="2:6">
      <c r="B2812" t="s">
        <v>573</v>
      </c>
      <c r="C2812" t="s">
        <v>572</v>
      </c>
      <c r="D2812">
        <v>1367.2204018408004</v>
      </c>
      <c r="E2812">
        <v>1799.9305999999999</v>
      </c>
      <c r="F2812" s="6">
        <v>0.3165</v>
      </c>
    </row>
    <row r="2813" spans="2:6">
      <c r="B2813" t="s">
        <v>1178</v>
      </c>
      <c r="C2813" t="s">
        <v>1177</v>
      </c>
      <c r="D2813">
        <v>7754.6202999999996</v>
      </c>
      <c r="E2813">
        <v>1799.8907999999999</v>
      </c>
      <c r="F2813" s="6">
        <v>-0.76789439967808615</v>
      </c>
    </row>
    <row r="2814" spans="2:6">
      <c r="B2814" t="s">
        <v>3474</v>
      </c>
      <c r="C2814" t="s">
        <v>3475</v>
      </c>
      <c r="D2814">
        <v>1146.6773000000001</v>
      </c>
      <c r="E2814">
        <v>1797.2568000000001</v>
      </c>
      <c r="F2814" s="6">
        <v>0.56736058174344262</v>
      </c>
    </row>
    <row r="2815" spans="2:6">
      <c r="B2815" t="s">
        <v>816</v>
      </c>
      <c r="C2815" t="s">
        <v>815</v>
      </c>
      <c r="D2815">
        <v>4257.2273933999422</v>
      </c>
      <c r="E2815">
        <v>1783.7086435662284</v>
      </c>
      <c r="F2815" s="6">
        <v>-0.5810163567180967</v>
      </c>
    </row>
    <row r="2816" spans="2:6">
      <c r="B2816" t="s">
        <v>908</v>
      </c>
      <c r="C2816" t="s">
        <v>907</v>
      </c>
      <c r="D2816">
        <v>3307.9041999999999</v>
      </c>
      <c r="E2816">
        <v>1773.4612999999999</v>
      </c>
      <c r="F2816" s="6">
        <v>-0.46387162602834753</v>
      </c>
    </row>
    <row r="2817" spans="2:6">
      <c r="B2817" t="s">
        <v>617</v>
      </c>
      <c r="C2817" t="s">
        <v>616</v>
      </c>
      <c r="D2817">
        <v>1290.9203</v>
      </c>
      <c r="E2817">
        <v>1749.4665</v>
      </c>
      <c r="F2817" s="6">
        <v>0.35520876075773233</v>
      </c>
    </row>
    <row r="2818" spans="2:6">
      <c r="B2818" t="s">
        <v>400</v>
      </c>
      <c r="C2818" t="s">
        <v>399</v>
      </c>
      <c r="D2818">
        <v>445.64920000000001</v>
      </c>
      <c r="E2818">
        <v>1738.2071538569014</v>
      </c>
      <c r="F2818" s="6">
        <v>2.9003933000595565</v>
      </c>
    </row>
    <row r="2819" spans="2:6">
      <c r="B2819" t="s">
        <v>904</v>
      </c>
      <c r="C2819" t="s">
        <v>903</v>
      </c>
      <c r="D2819">
        <v>4177.3530820564893</v>
      </c>
      <c r="E2819">
        <v>1732.5748983830888</v>
      </c>
      <c r="F2819" s="6">
        <v>-0.5852457610477706</v>
      </c>
    </row>
    <row r="2820" spans="2:6">
      <c r="B2820" t="s">
        <v>514</v>
      </c>
      <c r="C2820" t="s">
        <v>3545</v>
      </c>
      <c r="D2820">
        <v>1465.2014240864644</v>
      </c>
      <c r="E2820">
        <v>1730.0324099598413</v>
      </c>
      <c r="F2820" s="6">
        <v>0.18074715293052335</v>
      </c>
    </row>
    <row r="2821" spans="2:6">
      <c r="B2821" t="s">
        <v>700</v>
      </c>
      <c r="C2821" t="s">
        <v>699</v>
      </c>
      <c r="D2821">
        <v>4773.8175000000001</v>
      </c>
      <c r="E2821">
        <v>1714.796</v>
      </c>
      <c r="F2821" s="6">
        <v>-0.64079146301675749</v>
      </c>
    </row>
    <row r="2822" spans="2:6">
      <c r="B2822" t="s">
        <v>944</v>
      </c>
      <c r="C2822" t="s">
        <v>943</v>
      </c>
      <c r="D2822">
        <v>4940.3303247409322</v>
      </c>
      <c r="E2822">
        <v>1707.2858319884367</v>
      </c>
      <c r="F2822" s="6">
        <v>-0.65441868867787378</v>
      </c>
    </row>
    <row r="2823" spans="2:6">
      <c r="B2823" t="s">
        <v>1100</v>
      </c>
      <c r="C2823" t="s">
        <v>1099</v>
      </c>
      <c r="D2823">
        <v>5585.9297224839029</v>
      </c>
      <c r="E2823">
        <v>1681.2136</v>
      </c>
      <c r="F2823" s="6">
        <v>-0.69899999999999995</v>
      </c>
    </row>
    <row r="2824" spans="2:6">
      <c r="B2824" t="s">
        <v>603</v>
      </c>
      <c r="C2824" t="s">
        <v>602</v>
      </c>
      <c r="D2824">
        <v>1723.8883000000001</v>
      </c>
      <c r="E2824">
        <v>1676.3164999999999</v>
      </c>
      <c r="F2824" s="6">
        <v>-2.7595639462255184E-2</v>
      </c>
    </row>
    <row r="2825" spans="2:6">
      <c r="B2825" t="s">
        <v>2879</v>
      </c>
      <c r="C2825" t="s">
        <v>2880</v>
      </c>
      <c r="D2825">
        <v>9781.4930355668348</v>
      </c>
      <c r="E2825">
        <v>1675.278</v>
      </c>
      <c r="F2825" s="6">
        <v>-0.82869999999999999</v>
      </c>
    </row>
    <row r="2826" spans="2:6">
      <c r="B2826" t="s">
        <v>511</v>
      </c>
      <c r="C2826" t="s">
        <v>510</v>
      </c>
      <c r="D2826">
        <v>1234.0603039626419</v>
      </c>
      <c r="E2826">
        <v>1674.8291418934098</v>
      </c>
      <c r="F2826" s="6">
        <v>0.35716961036298844</v>
      </c>
    </row>
    <row r="2827" spans="2:6">
      <c r="B2827" t="s">
        <v>710</v>
      </c>
      <c r="C2827" t="s">
        <v>709</v>
      </c>
      <c r="D2827">
        <v>3011.5481</v>
      </c>
      <c r="E2827">
        <v>1667.7847033112967</v>
      </c>
      <c r="F2827" s="6">
        <v>-0.44620353122990242</v>
      </c>
    </row>
    <row r="2828" spans="2:6">
      <c r="B2828" t="s">
        <v>776</v>
      </c>
      <c r="C2828" t="s">
        <v>775</v>
      </c>
      <c r="D2828">
        <v>1981.2963999999999</v>
      </c>
      <c r="E2828">
        <v>1663.4991</v>
      </c>
      <c r="F2828" s="6">
        <v>-0.16039866624700883</v>
      </c>
    </row>
    <row r="2829" spans="2:6">
      <c r="B2829" t="s">
        <v>3450</v>
      </c>
      <c r="C2829" t="s">
        <v>3451</v>
      </c>
      <c r="D2829">
        <v>1401.5510885483025</v>
      </c>
      <c r="E2829">
        <v>1654.0623000000001</v>
      </c>
      <c r="F2829" s="6">
        <v>0.1802</v>
      </c>
    </row>
    <row r="2830" spans="2:6">
      <c r="B2830" t="s">
        <v>455</v>
      </c>
      <c r="C2830" t="s">
        <v>454</v>
      </c>
      <c r="D2830">
        <v>642.86890000000005</v>
      </c>
      <c r="E2830">
        <v>1643.6187</v>
      </c>
      <c r="F2830" s="6">
        <v>1.5566934409177362</v>
      </c>
    </row>
    <row r="2831" spans="2:6">
      <c r="B2831" t="s">
        <v>1304</v>
      </c>
      <c r="C2831" t="s">
        <v>1303</v>
      </c>
      <c r="D2831">
        <v>7427.1755999999996</v>
      </c>
      <c r="E2831">
        <v>1639.4499000000001</v>
      </c>
      <c r="F2831" s="6">
        <v>-0.77926334473632208</v>
      </c>
    </row>
    <row r="2832" spans="2:6">
      <c r="B2832" t="s">
        <v>3342</v>
      </c>
      <c r="C2832" t="s">
        <v>2640</v>
      </c>
      <c r="D2832">
        <v>1878.4365434105191</v>
      </c>
      <c r="E2832">
        <v>1630.6514999999999</v>
      </c>
      <c r="F2832" s="6">
        <v>-0.13189999999999999</v>
      </c>
    </row>
    <row r="2833" spans="2:6">
      <c r="B2833" t="s">
        <v>3238</v>
      </c>
      <c r="C2833" t="s">
        <v>3239</v>
      </c>
      <c r="D2833">
        <v>2909.7826</v>
      </c>
      <c r="E2833">
        <v>1612.7179341835622</v>
      </c>
      <c r="F2833" s="6">
        <v>-0.44575999107852171</v>
      </c>
    </row>
    <row r="2834" spans="2:6">
      <c r="B2834" t="s">
        <v>780</v>
      </c>
      <c r="C2834" t="s">
        <v>779</v>
      </c>
      <c r="D2834">
        <v>2876.2015000000001</v>
      </c>
      <c r="E2834">
        <v>1609.659670160358</v>
      </c>
      <c r="F2834" s="6">
        <v>-0.44035225968682723</v>
      </c>
    </row>
    <row r="2835" spans="2:6">
      <c r="B2835" t="s">
        <v>3452</v>
      </c>
      <c r="C2835" t="s">
        <v>3453</v>
      </c>
      <c r="D2835">
        <v>2462.5417112779164</v>
      </c>
      <c r="E2835">
        <v>1601.6059</v>
      </c>
      <c r="F2835" s="6">
        <v>-0.34960000000000002</v>
      </c>
    </row>
    <row r="2836" spans="2:6">
      <c r="B2836" t="s">
        <v>3008</v>
      </c>
      <c r="C2836" t="s">
        <v>3009</v>
      </c>
      <c r="D2836">
        <v>320.24847239439703</v>
      </c>
      <c r="E2836">
        <v>1593.0949000000001</v>
      </c>
      <c r="F2836" s="6">
        <v>3.9746000000000001</v>
      </c>
    </row>
    <row r="2837" spans="2:6">
      <c r="B2837" t="s">
        <v>792</v>
      </c>
      <c r="C2837" t="s">
        <v>791</v>
      </c>
      <c r="D2837">
        <v>1595.9092291028446</v>
      </c>
      <c r="E2837">
        <v>1573.7318</v>
      </c>
      <c r="F2837" s="6">
        <v>-1.3899999999999999E-2</v>
      </c>
    </row>
    <row r="2838" spans="2:6">
      <c r="B2838" t="s">
        <v>473</v>
      </c>
      <c r="C2838" t="s">
        <v>472</v>
      </c>
      <c r="D2838">
        <v>1729.0296077270859</v>
      </c>
      <c r="E2838">
        <v>1571.2392</v>
      </c>
      <c r="F2838" s="6">
        <v>-9.1300000000000006E-2</v>
      </c>
    </row>
    <row r="2839" spans="2:6">
      <c r="B2839" t="s">
        <v>1140</v>
      </c>
      <c r="C2839" t="s">
        <v>1139</v>
      </c>
      <c r="D2839">
        <v>1951.7025000000001</v>
      </c>
      <c r="E2839">
        <v>1567.6859999999999</v>
      </c>
      <c r="F2839" s="6">
        <v>-0.1967597520626222</v>
      </c>
    </row>
    <row r="2840" spans="2:6">
      <c r="B2840" t="s">
        <v>3412</v>
      </c>
      <c r="C2840" t="s">
        <v>3413</v>
      </c>
      <c r="D2840">
        <v>1013.8676</v>
      </c>
      <c r="E2840">
        <v>1559.9756</v>
      </c>
      <c r="F2840" s="6">
        <v>0.53863837842337592</v>
      </c>
    </row>
    <row r="2841" spans="2:6">
      <c r="B2841" t="s">
        <v>3128</v>
      </c>
      <c r="C2841" t="s">
        <v>2909</v>
      </c>
      <c r="D2841">
        <v>6283.6462997813123</v>
      </c>
      <c r="E2841">
        <v>1558.0623822427719</v>
      </c>
      <c r="F2841" s="6">
        <v>-0.75204486250332125</v>
      </c>
    </row>
    <row r="2842" spans="2:6">
      <c r="B2842" t="s">
        <v>402</v>
      </c>
      <c r="C2842" t="s">
        <v>401</v>
      </c>
      <c r="D2842">
        <v>1590.5998</v>
      </c>
      <c r="E2842">
        <v>1552.6469</v>
      </c>
      <c r="F2842" s="6">
        <v>-2.3860747373412261E-2</v>
      </c>
    </row>
    <row r="2843" spans="2:6">
      <c r="B2843" t="s">
        <v>571</v>
      </c>
      <c r="C2843" t="s">
        <v>570</v>
      </c>
      <c r="D2843">
        <v>1669.5762</v>
      </c>
      <c r="E2843">
        <v>1546.845</v>
      </c>
      <c r="F2843" s="6">
        <v>-7.3510391439456257E-2</v>
      </c>
    </row>
    <row r="2844" spans="2:6">
      <c r="B2844" t="s">
        <v>3389</v>
      </c>
      <c r="C2844" t="s">
        <v>3390</v>
      </c>
      <c r="D2844">
        <v>392.79790000000003</v>
      </c>
      <c r="E2844">
        <v>1532.4974999999999</v>
      </c>
      <c r="F2844" s="6">
        <v>2.901491072126404</v>
      </c>
    </row>
    <row r="2845" spans="2:6">
      <c r="B2845" t="s">
        <v>796</v>
      </c>
      <c r="C2845" t="s">
        <v>795</v>
      </c>
      <c r="D2845">
        <v>2366.3740958315861</v>
      </c>
      <c r="E2845">
        <v>1528.4394709822527</v>
      </c>
      <c r="F2845" s="6">
        <v>-0.35410065818645142</v>
      </c>
    </row>
    <row r="2846" spans="2:6">
      <c r="B2846" t="s">
        <v>485</v>
      </c>
      <c r="C2846" t="s">
        <v>484</v>
      </c>
      <c r="D2846">
        <v>974.72410000000002</v>
      </c>
      <c r="E2846">
        <v>1517.8885488397098</v>
      </c>
      <c r="F2846" s="6">
        <v>0.55724942969986047</v>
      </c>
    </row>
    <row r="2847" spans="2:6">
      <c r="B2847" t="s">
        <v>842</v>
      </c>
      <c r="C2847" t="s">
        <v>841</v>
      </c>
      <c r="D2847">
        <v>6660.2788269500361</v>
      </c>
      <c r="E2847">
        <v>1514.4685139414662</v>
      </c>
      <c r="F2847" s="6">
        <v>-0.77261184504568381</v>
      </c>
    </row>
    <row r="2848" spans="2:6">
      <c r="B2848" t="s">
        <v>542</v>
      </c>
      <c r="C2848" t="s">
        <v>541</v>
      </c>
      <c r="D2848">
        <v>1090.8828099070768</v>
      </c>
      <c r="E2848">
        <v>1506.6687999999999</v>
      </c>
      <c r="F2848" s="6">
        <v>0.38109999999999999</v>
      </c>
    </row>
    <row r="2849" spans="2:6">
      <c r="B2849" t="s">
        <v>3170</v>
      </c>
      <c r="C2849" t="s">
        <v>3037</v>
      </c>
      <c r="D2849">
        <v>4595.0492898925977</v>
      </c>
      <c r="E2849">
        <v>1502.3024255590419</v>
      </c>
      <c r="F2849" s="6">
        <v>-0.67306065054328157</v>
      </c>
    </row>
    <row r="2850" spans="2:6">
      <c r="B2850" t="s">
        <v>3508</v>
      </c>
      <c r="C2850" t="s">
        <v>3509</v>
      </c>
      <c r="D2850">
        <v>49.336100000000002</v>
      </c>
      <c r="E2850">
        <v>1502.0948000000001</v>
      </c>
      <c r="F2850" s="6">
        <v>29.446160113993606</v>
      </c>
    </row>
    <row r="2851" spans="2:6">
      <c r="B2851" t="s">
        <v>770</v>
      </c>
      <c r="C2851" t="s">
        <v>769</v>
      </c>
      <c r="D2851">
        <v>2758.9415427546269</v>
      </c>
      <c r="E2851">
        <v>1496.1937</v>
      </c>
      <c r="F2851" s="6">
        <v>-0.4577</v>
      </c>
    </row>
    <row r="2852" spans="2:6">
      <c r="B2852" t="s">
        <v>1576</v>
      </c>
      <c r="C2852" t="s">
        <v>1575</v>
      </c>
      <c r="D2852">
        <v>15650.8604</v>
      </c>
      <c r="E2852">
        <v>1485.0637999999999</v>
      </c>
      <c r="F2852" s="6">
        <v>-0.90511296107401229</v>
      </c>
    </row>
    <row r="2853" spans="2:6">
      <c r="B2853" t="s">
        <v>3504</v>
      </c>
      <c r="C2853" t="s">
        <v>3505</v>
      </c>
      <c r="D2853">
        <v>155.36268277161315</v>
      </c>
      <c r="E2853">
        <v>1478.9592</v>
      </c>
      <c r="F2853" s="6">
        <v>8.5193999999999992</v>
      </c>
    </row>
    <row r="2854" spans="2:6">
      <c r="B2854" t="s">
        <v>1180</v>
      </c>
      <c r="C2854" t="s">
        <v>1179</v>
      </c>
      <c r="D2854">
        <v>9357.7365000000009</v>
      </c>
      <c r="E2854">
        <v>1475.8462647117674</v>
      </c>
      <c r="F2854" s="6">
        <v>-0.8422859775211915</v>
      </c>
    </row>
    <row r="2855" spans="2:6">
      <c r="B2855" t="s">
        <v>3498</v>
      </c>
      <c r="C2855" t="s">
        <v>3499</v>
      </c>
      <c r="D2855">
        <v>49.336100000000002</v>
      </c>
      <c r="E2855">
        <v>1468.6439048194916</v>
      </c>
      <c r="F2855" s="6">
        <v>28.768139452033939</v>
      </c>
    </row>
    <row r="2856" spans="2:6">
      <c r="B2856" t="s">
        <v>3326</v>
      </c>
      <c r="C2856" t="s">
        <v>3327</v>
      </c>
      <c r="D2856">
        <v>2433.8250130465735</v>
      </c>
      <c r="E2856">
        <v>1464.7447276349164</v>
      </c>
      <c r="F2856" s="6">
        <v>-0.39817171744758995</v>
      </c>
    </row>
    <row r="2857" spans="2:6">
      <c r="B2857" t="s">
        <v>3252</v>
      </c>
      <c r="C2857" t="s">
        <v>3253</v>
      </c>
      <c r="D2857">
        <v>5424.3022000000001</v>
      </c>
      <c r="E2857">
        <v>1461.5731000000001</v>
      </c>
      <c r="F2857" s="6">
        <v>-0.73055094533634213</v>
      </c>
    </row>
    <row r="2858" spans="2:6">
      <c r="B2858" t="s">
        <v>3386</v>
      </c>
      <c r="C2858" t="s">
        <v>3311</v>
      </c>
      <c r="D2858">
        <v>1441.4271000000001</v>
      </c>
      <c r="E2858">
        <v>1439.260006637847</v>
      </c>
      <c r="F2858" s="6">
        <v>-1.5034359782419848E-3</v>
      </c>
    </row>
    <row r="2859" spans="2:6">
      <c r="B2859" t="s">
        <v>365</v>
      </c>
      <c r="C2859" t="s">
        <v>364</v>
      </c>
      <c r="D2859">
        <v>156.56559999999999</v>
      </c>
      <c r="E2859">
        <v>1435.4191000000001</v>
      </c>
      <c r="F2859" s="6">
        <v>8.1681640155947406</v>
      </c>
    </row>
    <row r="2860" spans="2:6">
      <c r="B2860" t="s">
        <v>714</v>
      </c>
      <c r="C2860" t="s">
        <v>713</v>
      </c>
      <c r="D2860">
        <v>3619.2435</v>
      </c>
      <c r="E2860">
        <v>1432.3357000000001</v>
      </c>
      <c r="F2860" s="6">
        <v>-0.60424445053227283</v>
      </c>
    </row>
    <row r="2861" spans="2:6">
      <c r="B2861" t="s">
        <v>544</v>
      </c>
      <c r="C2861" t="s">
        <v>543</v>
      </c>
      <c r="D2861">
        <v>713.64319999999998</v>
      </c>
      <c r="E2861">
        <v>1423.1102000000001</v>
      </c>
      <c r="F2861" s="6">
        <v>0.9941480560593865</v>
      </c>
    </row>
    <row r="2862" spans="2:6">
      <c r="B2862" t="s">
        <v>3595</v>
      </c>
      <c r="C2862" t="s">
        <v>3596</v>
      </c>
      <c r="D2862">
        <v>1266.8770999999999</v>
      </c>
      <c r="E2862">
        <v>1410.1242</v>
      </c>
      <c r="F2862" s="6">
        <v>0.11307103112054051</v>
      </c>
    </row>
    <row r="2863" spans="2:6">
      <c r="B2863" t="s">
        <v>760</v>
      </c>
      <c r="C2863" t="s">
        <v>759</v>
      </c>
      <c r="D2863">
        <v>1563.1723999999999</v>
      </c>
      <c r="E2863">
        <v>1407.1457804357801</v>
      </c>
      <c r="F2863" s="6">
        <v>-9.9814082927909831E-2</v>
      </c>
    </row>
    <row r="2864" spans="2:6">
      <c r="B2864" t="s">
        <v>439</v>
      </c>
      <c r="C2864" t="s">
        <v>438</v>
      </c>
      <c r="D2864">
        <v>818.62900000000002</v>
      </c>
      <c r="E2864">
        <v>1401.96</v>
      </c>
      <c r="F2864" s="6">
        <v>0.71257065166271905</v>
      </c>
    </row>
    <row r="2865" spans="2:6">
      <c r="B2865" t="s">
        <v>3438</v>
      </c>
      <c r="C2865" t="s">
        <v>3439</v>
      </c>
      <c r="D2865">
        <v>1193.9920999999999</v>
      </c>
      <c r="E2865">
        <v>1391.4639999999999</v>
      </c>
      <c r="F2865" s="6">
        <v>0.16538794519662225</v>
      </c>
    </row>
    <row r="2866" spans="2:6">
      <c r="B2866" t="s">
        <v>1497</v>
      </c>
      <c r="C2866" t="s">
        <v>1496</v>
      </c>
      <c r="D2866">
        <v>10475.736166192339</v>
      </c>
      <c r="E2866">
        <v>1378.0726999999999</v>
      </c>
      <c r="F2866" s="6">
        <v>-0.86850000000000005</v>
      </c>
    </row>
    <row r="2867" spans="2:6">
      <c r="B2867" t="s">
        <v>379</v>
      </c>
      <c r="C2867" t="s">
        <v>378</v>
      </c>
      <c r="D2867">
        <v>606.97365941893361</v>
      </c>
      <c r="E2867">
        <v>1377.0909888511089</v>
      </c>
      <c r="F2867" s="6">
        <v>1.2687821250256923</v>
      </c>
    </row>
    <row r="2868" spans="2:6">
      <c r="B2868" t="s">
        <v>1146</v>
      </c>
      <c r="C2868" t="s">
        <v>1145</v>
      </c>
      <c r="D2868">
        <v>7080.6179933332414</v>
      </c>
      <c r="E2868">
        <v>1374.0848000000001</v>
      </c>
      <c r="F2868" s="6">
        <v>-0.80589999999999995</v>
      </c>
    </row>
    <row r="2869" spans="2:6">
      <c r="B2869" t="s">
        <v>3391</v>
      </c>
      <c r="C2869" t="s">
        <v>2927</v>
      </c>
      <c r="D2869">
        <v>1084.9690000000001</v>
      </c>
      <c r="E2869">
        <v>1367.2985000000001</v>
      </c>
      <c r="F2869" s="6">
        <v>0.26021895556462904</v>
      </c>
    </row>
    <row r="2870" spans="2:6">
      <c r="B2870" t="s">
        <v>528</v>
      </c>
      <c r="C2870" t="s">
        <v>527</v>
      </c>
      <c r="D2870">
        <v>1176.1247000000001</v>
      </c>
      <c r="E2870">
        <v>1364.5996</v>
      </c>
      <c r="F2870" s="6">
        <v>0.16025077953043576</v>
      </c>
    </row>
    <row r="2871" spans="2:6">
      <c r="B2871" t="s">
        <v>2597</v>
      </c>
      <c r="C2871" t="s">
        <v>2598</v>
      </c>
      <c r="D2871">
        <v>18607.764380672335</v>
      </c>
      <c r="E2871">
        <v>1363.8505</v>
      </c>
      <c r="F2871" s="6">
        <v>-0.92669999999999997</v>
      </c>
    </row>
    <row r="2872" spans="2:6">
      <c r="B2872" t="s">
        <v>820</v>
      </c>
      <c r="C2872" t="s">
        <v>819</v>
      </c>
      <c r="D2872">
        <v>2615.6678000000002</v>
      </c>
      <c r="E2872">
        <v>1361.373800322533</v>
      </c>
      <c r="F2872" s="6">
        <v>-0.47953107794402139</v>
      </c>
    </row>
    <row r="2873" spans="2:6">
      <c r="B2873" t="s">
        <v>1066</v>
      </c>
      <c r="C2873" t="s">
        <v>1065</v>
      </c>
      <c r="D2873">
        <v>7465.8190326504919</v>
      </c>
      <c r="E2873">
        <v>1352.9227000000001</v>
      </c>
      <c r="F2873" s="6">
        <v>-0.81879999999999997</v>
      </c>
    </row>
    <row r="2874" spans="2:6">
      <c r="B2874" t="s">
        <v>738</v>
      </c>
      <c r="C2874" t="s">
        <v>737</v>
      </c>
      <c r="D2874">
        <v>2811.9627999999998</v>
      </c>
      <c r="E2874">
        <v>1340.5579</v>
      </c>
      <c r="F2874" s="6">
        <v>-0.52326613282366319</v>
      </c>
    </row>
    <row r="2875" spans="2:6">
      <c r="B2875" t="s">
        <v>3168</v>
      </c>
      <c r="C2875" t="s">
        <v>3169</v>
      </c>
      <c r="D2875">
        <v>9756.5556648970924</v>
      </c>
      <c r="E2875">
        <v>1338.7534000000001</v>
      </c>
      <c r="F2875" s="6">
        <v>-0.86280000000000001</v>
      </c>
    </row>
    <row r="2876" spans="2:6">
      <c r="B2876" t="s">
        <v>3050</v>
      </c>
      <c r="C2876" t="s">
        <v>3051</v>
      </c>
      <c r="D2876">
        <v>5363.8281003814545</v>
      </c>
      <c r="E2876">
        <v>1337.3304000000001</v>
      </c>
      <c r="F2876" s="6">
        <v>-0.75070000000000003</v>
      </c>
    </row>
    <row r="2877" spans="2:6">
      <c r="B2877" t="s">
        <v>3277</v>
      </c>
      <c r="C2877" t="s">
        <v>3278</v>
      </c>
      <c r="D2877">
        <v>4598.4573472287893</v>
      </c>
      <c r="E2877">
        <v>1336.2398117428991</v>
      </c>
      <c r="F2877" s="6">
        <v>-0.70941563423477882</v>
      </c>
    </row>
    <row r="2878" spans="2:6">
      <c r="B2878" t="s">
        <v>363</v>
      </c>
      <c r="C2878" t="s">
        <v>362</v>
      </c>
      <c r="D2878">
        <v>464.8886</v>
      </c>
      <c r="E2878">
        <v>1333.5142000000001</v>
      </c>
      <c r="F2878" s="6">
        <v>1.8684596696929114</v>
      </c>
    </row>
    <row r="2879" spans="2:6">
      <c r="B2879" t="s">
        <v>549</v>
      </c>
      <c r="C2879" t="s">
        <v>548</v>
      </c>
      <c r="D2879">
        <v>1393.8631922098812</v>
      </c>
      <c r="E2879">
        <v>1332.204</v>
      </c>
      <c r="F2879" s="6">
        <v>-4.4200000000000003E-2</v>
      </c>
    </row>
    <row r="2880" spans="2:6">
      <c r="B2880" t="s">
        <v>2314</v>
      </c>
      <c r="C2880" t="s">
        <v>2295</v>
      </c>
      <c r="D2880">
        <v>48778.961159572296</v>
      </c>
      <c r="E2880">
        <v>1319.4254000000001</v>
      </c>
      <c r="F2880" s="6">
        <v>-0.97299999999999998</v>
      </c>
    </row>
    <row r="2881" spans="2:6">
      <c r="B2881" t="s">
        <v>463</v>
      </c>
      <c r="C2881" t="s">
        <v>462</v>
      </c>
      <c r="D2881">
        <v>810.51419999999996</v>
      </c>
      <c r="E2881">
        <v>1319.0617999999999</v>
      </c>
      <c r="F2881" s="6">
        <v>0.62743823612220484</v>
      </c>
    </row>
    <row r="2882" spans="2:6">
      <c r="B2882" t="s">
        <v>692</v>
      </c>
      <c r="C2882" t="s">
        <v>691</v>
      </c>
      <c r="D2882">
        <v>3159.6845921427616</v>
      </c>
      <c r="E2882">
        <v>1317.0321106298563</v>
      </c>
      <c r="F2882" s="6">
        <v>-0.58317608222512418</v>
      </c>
    </row>
    <row r="2883" spans="2:6">
      <c r="B2883" t="s">
        <v>2974</v>
      </c>
      <c r="C2883" t="s">
        <v>2975</v>
      </c>
      <c r="D2883">
        <v>2474.8108839602714</v>
      </c>
      <c r="E2883">
        <v>1316.7863</v>
      </c>
      <c r="F2883" s="6">
        <v>-0.46789999999999998</v>
      </c>
    </row>
    <row r="2884" spans="2:6">
      <c r="B2884" t="s">
        <v>3472</v>
      </c>
      <c r="C2884" t="s">
        <v>3473</v>
      </c>
      <c r="D2884">
        <v>544.60404973521918</v>
      </c>
      <c r="E2884">
        <v>1311.6938</v>
      </c>
      <c r="F2884" s="6">
        <v>1.4085000000000001</v>
      </c>
    </row>
    <row r="2885" spans="2:6">
      <c r="B2885" t="s">
        <v>3477</v>
      </c>
      <c r="C2885" t="s">
        <v>3478</v>
      </c>
      <c r="D2885">
        <v>341.55130000000003</v>
      </c>
      <c r="E2885">
        <v>1303.0157464693784</v>
      </c>
      <c r="F2885" s="6">
        <v>2.8149927886949291</v>
      </c>
    </row>
    <row r="2886" spans="2:6">
      <c r="B2886" t="s">
        <v>3291</v>
      </c>
      <c r="C2886" t="s">
        <v>3292</v>
      </c>
      <c r="D2886">
        <v>256.61919999999998</v>
      </c>
      <c r="E2886">
        <v>1300.5572</v>
      </c>
      <c r="F2886" s="6">
        <v>4.06804323293035</v>
      </c>
    </row>
    <row r="2887" spans="2:6">
      <c r="B2887" t="s">
        <v>788</v>
      </c>
      <c r="C2887" t="s">
        <v>787</v>
      </c>
      <c r="D2887">
        <v>2771.2473</v>
      </c>
      <c r="E2887">
        <v>1295.9066</v>
      </c>
      <c r="F2887" s="6">
        <v>-0.53237424895280916</v>
      </c>
    </row>
    <row r="2888" spans="2:6">
      <c r="B2888" t="s">
        <v>1452</v>
      </c>
      <c r="C2888" t="s">
        <v>1451</v>
      </c>
      <c r="D2888">
        <v>7180.2183392233082</v>
      </c>
      <c r="E2888">
        <v>1293.8478</v>
      </c>
      <c r="F2888" s="6">
        <v>-0.81979999999999997</v>
      </c>
    </row>
    <row r="2889" spans="2:6">
      <c r="B2889" t="s">
        <v>958</v>
      </c>
      <c r="C2889" t="s">
        <v>957</v>
      </c>
      <c r="D2889">
        <v>2766.7366000000002</v>
      </c>
      <c r="E2889">
        <v>1284.7565</v>
      </c>
      <c r="F2889" s="6">
        <v>-0.53564191835247343</v>
      </c>
    </row>
    <row r="2890" spans="2:6">
      <c r="B2890" t="s">
        <v>457</v>
      </c>
      <c r="C2890" t="s">
        <v>456</v>
      </c>
      <c r="D2890">
        <v>790.39729999999997</v>
      </c>
      <c r="E2890">
        <v>1269.3635999999999</v>
      </c>
      <c r="F2890" s="6">
        <v>0.60598170059538403</v>
      </c>
    </row>
    <row r="2891" spans="2:6">
      <c r="B2891" t="s">
        <v>3460</v>
      </c>
      <c r="C2891" t="s">
        <v>3461</v>
      </c>
      <c r="D2891">
        <v>1393.9235000000001</v>
      </c>
      <c r="E2891">
        <v>1264.8785</v>
      </c>
      <c r="F2891" s="6">
        <v>-9.2576816446526711E-2</v>
      </c>
    </row>
    <row r="2892" spans="2:6">
      <c r="B2892" t="s">
        <v>1000</v>
      </c>
      <c r="C2892" t="s">
        <v>999</v>
      </c>
      <c r="D2892">
        <v>3027.6781000000001</v>
      </c>
      <c r="E2892">
        <v>1264.0542</v>
      </c>
      <c r="F2892" s="6">
        <v>-0.58250046462997496</v>
      </c>
    </row>
    <row r="2893" spans="2:6">
      <c r="B2893" t="s">
        <v>3490</v>
      </c>
      <c r="C2893" t="s">
        <v>3491</v>
      </c>
      <c r="D2893">
        <v>176.2954</v>
      </c>
      <c r="E2893">
        <v>1252.819</v>
      </c>
      <c r="F2893" s="6">
        <v>6.1063623894894592</v>
      </c>
    </row>
    <row r="2894" spans="2:6">
      <c r="B2894" t="s">
        <v>1054</v>
      </c>
      <c r="C2894" t="s">
        <v>1053</v>
      </c>
      <c r="D2894">
        <v>6606.0877776675552</v>
      </c>
      <c r="E2894">
        <v>1250.115</v>
      </c>
      <c r="F2894" s="6">
        <v>-0.81079999999999997</v>
      </c>
    </row>
    <row r="2895" spans="2:6">
      <c r="B2895" t="s">
        <v>526</v>
      </c>
      <c r="C2895" t="s">
        <v>525</v>
      </c>
      <c r="D2895">
        <v>1018.3638999999999</v>
      </c>
      <c r="E2895">
        <v>1250.1115</v>
      </c>
      <c r="F2895" s="6">
        <v>0.22756855383424335</v>
      </c>
    </row>
    <row r="2896" spans="2:6">
      <c r="B2896" t="s">
        <v>3463</v>
      </c>
      <c r="C2896" t="s">
        <v>3414</v>
      </c>
      <c r="D2896">
        <v>380.61840000000001</v>
      </c>
      <c r="E2896">
        <v>1247.0442</v>
      </c>
      <c r="F2896" s="6">
        <v>2.2763634128040051</v>
      </c>
    </row>
    <row r="2897" spans="2:6">
      <c r="B2897" t="s">
        <v>647</v>
      </c>
      <c r="C2897" t="s">
        <v>646</v>
      </c>
      <c r="D2897">
        <v>2576.0828679102924</v>
      </c>
      <c r="E2897">
        <v>1245.3144125440811</v>
      </c>
      <c r="F2897" s="6">
        <v>-0.51658604307466449</v>
      </c>
    </row>
    <row r="2898" spans="2:6">
      <c r="B2898" t="s">
        <v>429</v>
      </c>
      <c r="C2898" t="s">
        <v>428</v>
      </c>
      <c r="D2898">
        <v>673.33309999999994</v>
      </c>
      <c r="E2898">
        <v>1244.989532587753</v>
      </c>
      <c r="F2898" s="6">
        <v>0.84899499606918649</v>
      </c>
    </row>
    <row r="2899" spans="2:6">
      <c r="B2899" t="s">
        <v>597</v>
      </c>
      <c r="C2899" t="s">
        <v>596</v>
      </c>
      <c r="D2899">
        <v>1757.6942476461802</v>
      </c>
      <c r="E2899">
        <v>1243.6492275311919</v>
      </c>
      <c r="F2899" s="6">
        <v>-0.29245417444096022</v>
      </c>
    </row>
    <row r="2900" spans="2:6">
      <c r="B2900" t="s">
        <v>3293</v>
      </c>
      <c r="C2900" t="s">
        <v>3294</v>
      </c>
      <c r="D2900">
        <v>1540.1772000000001</v>
      </c>
      <c r="E2900">
        <v>1243.1635633158267</v>
      </c>
      <c r="F2900" s="6">
        <v>-0.19284380828658765</v>
      </c>
    </row>
    <row r="2901" spans="2:6">
      <c r="B2901" t="s">
        <v>856</v>
      </c>
      <c r="C2901" t="s">
        <v>855</v>
      </c>
      <c r="D2901">
        <v>2504.5881861181301</v>
      </c>
      <c r="E2901">
        <v>1225.0463</v>
      </c>
      <c r="F2901" s="6">
        <v>-0.51090000000000002</v>
      </c>
    </row>
    <row r="2902" spans="2:6">
      <c r="B2902" t="s">
        <v>3511</v>
      </c>
      <c r="C2902" t="s">
        <v>3512</v>
      </c>
      <c r="D2902">
        <v>537.75879999999995</v>
      </c>
      <c r="E2902">
        <v>1214.6400000000001</v>
      </c>
      <c r="F2902" s="6">
        <v>1.2587078072920423</v>
      </c>
    </row>
    <row r="2903" spans="2:6">
      <c r="B2903" t="s">
        <v>601</v>
      </c>
      <c r="C2903" t="s">
        <v>600</v>
      </c>
      <c r="D2903">
        <v>1439.3427999999999</v>
      </c>
      <c r="E2903">
        <v>1204.9226040872397</v>
      </c>
      <c r="F2903" s="6">
        <v>-0.16286613301067698</v>
      </c>
    </row>
    <row r="2904" spans="2:6">
      <c r="B2904" t="s">
        <v>3408</v>
      </c>
      <c r="C2904" t="s">
        <v>3409</v>
      </c>
      <c r="D2904">
        <v>1335.1573000000001</v>
      </c>
      <c r="E2904">
        <v>1195.6539</v>
      </c>
      <c r="F2904" s="6">
        <v>-0.10448461765516315</v>
      </c>
    </row>
    <row r="2905" spans="2:6">
      <c r="B2905" t="s">
        <v>540</v>
      </c>
      <c r="C2905" t="s">
        <v>539</v>
      </c>
      <c r="D2905">
        <v>1030.2137439937544</v>
      </c>
      <c r="E2905">
        <v>1181.3188</v>
      </c>
      <c r="F2905" s="6">
        <v>0.1467</v>
      </c>
    </row>
    <row r="2906" spans="2:6">
      <c r="B2906" t="s">
        <v>1138</v>
      </c>
      <c r="C2906" t="s">
        <v>1137</v>
      </c>
      <c r="D2906">
        <v>7730.3793999999998</v>
      </c>
      <c r="E2906">
        <v>1176.7192</v>
      </c>
      <c r="F2906" s="6">
        <v>-0.8477798903375946</v>
      </c>
    </row>
    <row r="2907" spans="2:6">
      <c r="B2907" t="s">
        <v>585</v>
      </c>
      <c r="C2907" t="s">
        <v>584</v>
      </c>
      <c r="D2907">
        <v>1639.4088999999999</v>
      </c>
      <c r="E2907">
        <v>1171.6141</v>
      </c>
      <c r="F2907" s="6">
        <v>-0.285343577188095</v>
      </c>
    </row>
    <row r="2908" spans="2:6">
      <c r="B2908" t="s">
        <v>3376</v>
      </c>
      <c r="C2908" t="s">
        <v>3377</v>
      </c>
      <c r="D2908">
        <v>2000.8600322251905</v>
      </c>
      <c r="E2908">
        <v>1163.5885000000001</v>
      </c>
      <c r="F2908" s="6">
        <v>-0.41849999999999998</v>
      </c>
    </row>
    <row r="2909" spans="2:6">
      <c r="B2909" t="s">
        <v>3036</v>
      </c>
      <c r="C2909" t="s">
        <v>3037</v>
      </c>
      <c r="D2909">
        <v>8398.9645563996455</v>
      </c>
      <c r="E2909">
        <v>1162.2134000000001</v>
      </c>
      <c r="F2909" s="6">
        <v>-0.86160000000000003</v>
      </c>
    </row>
    <row r="2910" spans="2:6">
      <c r="B2910" t="s">
        <v>547</v>
      </c>
      <c r="C2910" t="s">
        <v>546</v>
      </c>
      <c r="D2910">
        <v>967.59370000000001</v>
      </c>
      <c r="E2910">
        <v>1132.6668999999999</v>
      </c>
      <c r="F2910" s="6">
        <v>0.17060177221079464</v>
      </c>
    </row>
    <row r="2911" spans="2:6">
      <c r="B2911" t="s">
        <v>3458</v>
      </c>
      <c r="C2911" t="s">
        <v>3459</v>
      </c>
      <c r="D2911">
        <v>1361.6401000000001</v>
      </c>
      <c r="E2911">
        <v>1129.826</v>
      </c>
      <c r="F2911" s="6">
        <v>-0.17024623466949895</v>
      </c>
    </row>
    <row r="2912" spans="2:6">
      <c r="B2912" t="s">
        <v>768</v>
      </c>
      <c r="C2912" t="s">
        <v>767</v>
      </c>
      <c r="D2912">
        <v>3271.6206000000002</v>
      </c>
      <c r="E2912">
        <v>1123.6178</v>
      </c>
      <c r="F2912" s="6">
        <v>-0.65655620336905818</v>
      </c>
    </row>
    <row r="2913" spans="2:6">
      <c r="B2913" t="s">
        <v>499</v>
      </c>
      <c r="C2913" t="s">
        <v>498</v>
      </c>
      <c r="D2913">
        <v>1504.7484999999999</v>
      </c>
      <c r="E2913">
        <v>1120.6550864846895</v>
      </c>
      <c r="F2913" s="6">
        <v>-0.25525422588247171</v>
      </c>
    </row>
    <row r="2914" spans="2:6">
      <c r="B2914" t="s">
        <v>3400</v>
      </c>
      <c r="C2914" t="s">
        <v>3401</v>
      </c>
      <c r="D2914">
        <v>546.66610000000003</v>
      </c>
      <c r="E2914">
        <v>1116.3139121587699</v>
      </c>
      <c r="F2914" s="6">
        <v>1.0420397609414045</v>
      </c>
    </row>
    <row r="2915" spans="2:6">
      <c r="B2915" t="s">
        <v>481</v>
      </c>
      <c r="C2915" t="s">
        <v>480</v>
      </c>
      <c r="D2915">
        <v>1098.6357</v>
      </c>
      <c r="E2915">
        <v>1111.3662999999999</v>
      </c>
      <c r="F2915" s="6">
        <v>1.1587644566802169E-2</v>
      </c>
    </row>
    <row r="2916" spans="2:6">
      <c r="B2916" t="s">
        <v>479</v>
      </c>
      <c r="C2916" t="s">
        <v>478</v>
      </c>
      <c r="D2916">
        <v>1268.9706000000001</v>
      </c>
      <c r="E2916">
        <v>1060.9250703078633</v>
      </c>
      <c r="F2916" s="6">
        <v>-0.16394826617112868</v>
      </c>
    </row>
    <row r="2917" spans="2:6">
      <c r="B2917" t="s">
        <v>451</v>
      </c>
      <c r="C2917" t="s">
        <v>450</v>
      </c>
      <c r="D2917">
        <v>628.08960000000002</v>
      </c>
      <c r="E2917">
        <v>1047.3318999999999</v>
      </c>
      <c r="F2917" s="6">
        <v>0.6674880462914845</v>
      </c>
    </row>
    <row r="2918" spans="2:6">
      <c r="B2918" t="s">
        <v>888</v>
      </c>
      <c r="C2918" t="s">
        <v>887</v>
      </c>
      <c r="D2918">
        <v>2335.4213475955135</v>
      </c>
      <c r="E2918">
        <v>1041.5619960183319</v>
      </c>
      <c r="F2918" s="6">
        <v>-0.55401538266715944</v>
      </c>
    </row>
    <row r="2919" spans="2:6">
      <c r="B2919" t="s">
        <v>3597</v>
      </c>
      <c r="C2919" t="s">
        <v>3598</v>
      </c>
      <c r="D2919">
        <v>687.8720970050515</v>
      </c>
      <c r="E2919">
        <v>1040.9883</v>
      </c>
      <c r="F2919" s="6">
        <v>0.51329999999999998</v>
      </c>
    </row>
    <row r="2920" spans="2:6">
      <c r="B2920" t="s">
        <v>520</v>
      </c>
      <c r="C2920" t="s">
        <v>519</v>
      </c>
      <c r="D2920">
        <v>1361.1584</v>
      </c>
      <c r="E2920">
        <v>1039.9084</v>
      </c>
      <c r="F2920" s="6">
        <v>-0.23601220842482407</v>
      </c>
    </row>
    <row r="2921" spans="2:6">
      <c r="B2921" t="s">
        <v>390</v>
      </c>
      <c r="C2921" t="s">
        <v>389</v>
      </c>
      <c r="D2921">
        <v>1408.2693882367814</v>
      </c>
      <c r="E2921">
        <v>1037.3996</v>
      </c>
      <c r="F2921" s="6">
        <v>-0.26340000000000002</v>
      </c>
    </row>
    <row r="2922" spans="2:6">
      <c r="B2922" t="s">
        <v>3444</v>
      </c>
      <c r="C2922" t="s">
        <v>3445</v>
      </c>
      <c r="D2922">
        <v>1680.9305999999999</v>
      </c>
      <c r="E2922">
        <v>1013.8751</v>
      </c>
      <c r="F2922" s="6">
        <v>-0.39683702587126446</v>
      </c>
    </row>
    <row r="2923" spans="2:6">
      <c r="B2923" t="s">
        <v>3599</v>
      </c>
      <c r="C2923" t="s">
        <v>3600</v>
      </c>
      <c r="D2923">
        <v>244.71883331869503</v>
      </c>
      <c r="E2923">
        <v>1011.0941</v>
      </c>
      <c r="F2923" s="6">
        <v>3.1316999999999999</v>
      </c>
    </row>
    <row r="2924" spans="2:6">
      <c r="B2924" t="s">
        <v>3207</v>
      </c>
      <c r="C2924" t="s">
        <v>3208</v>
      </c>
      <c r="D2924">
        <v>1101.7512999999999</v>
      </c>
      <c r="E2924">
        <v>1005.9748</v>
      </c>
      <c r="F2924" s="6">
        <v>-8.6931143171784742E-2</v>
      </c>
    </row>
    <row r="2925" spans="2:6">
      <c r="B2925" t="s">
        <v>3601</v>
      </c>
      <c r="C2925" t="s">
        <v>3602</v>
      </c>
      <c r="D2925">
        <v>880.40750000000003</v>
      </c>
      <c r="E2925">
        <v>1005.5218</v>
      </c>
      <c r="F2925" s="6">
        <v>0.14210953450532848</v>
      </c>
    </row>
    <row r="2926" spans="2:6">
      <c r="B2926" t="s">
        <v>2290</v>
      </c>
      <c r="C2926" t="s">
        <v>2291</v>
      </c>
      <c r="D2926">
        <v>61203.01362527701</v>
      </c>
      <c r="E2926">
        <v>1003.1329922333676</v>
      </c>
      <c r="F2926" s="6">
        <v>-0.98360974512831711</v>
      </c>
    </row>
    <row r="2927" spans="2:6">
      <c r="B2927" t="s">
        <v>3203</v>
      </c>
      <c r="C2927" t="s">
        <v>3204</v>
      </c>
      <c r="D2927">
        <v>1717.6796536307231</v>
      </c>
      <c r="E2927">
        <v>986.4566586121914</v>
      </c>
      <c r="F2927" s="6">
        <v>-0.42570393930726169</v>
      </c>
    </row>
    <row r="2928" spans="2:6">
      <c r="B2928" t="s">
        <v>1420</v>
      </c>
      <c r="C2928" t="s">
        <v>1419</v>
      </c>
      <c r="D2928">
        <v>7308.8804256635967</v>
      </c>
      <c r="E2928">
        <v>985.87670000000003</v>
      </c>
      <c r="F2928" s="6">
        <v>-0.86509999999999998</v>
      </c>
    </row>
    <row r="2929" spans="2:6">
      <c r="B2929" t="s">
        <v>2336</v>
      </c>
      <c r="C2929" t="s">
        <v>2337</v>
      </c>
      <c r="D2929">
        <v>22473.330808309249</v>
      </c>
      <c r="E2929">
        <v>977.83150000000001</v>
      </c>
      <c r="F2929" s="6">
        <v>-0.95650000000000002</v>
      </c>
    </row>
    <row r="2930" spans="2:6">
      <c r="B2930" t="s">
        <v>3308</v>
      </c>
      <c r="C2930" t="s">
        <v>3309</v>
      </c>
      <c r="D2930">
        <v>1215.5657864696072</v>
      </c>
      <c r="E2930">
        <v>973.49990000000003</v>
      </c>
      <c r="F2930" s="6">
        <v>-0.1991</v>
      </c>
    </row>
    <row r="2931" spans="2:6">
      <c r="B2931" t="s">
        <v>394</v>
      </c>
      <c r="C2931" t="s">
        <v>393</v>
      </c>
      <c r="D2931">
        <v>665.31819399358903</v>
      </c>
      <c r="E2931">
        <v>969.31780000000003</v>
      </c>
      <c r="F2931" s="6">
        <v>0.45689999999999997</v>
      </c>
    </row>
    <row r="2932" spans="2:6">
      <c r="B2932" t="s">
        <v>3343</v>
      </c>
      <c r="C2932" t="s">
        <v>3344</v>
      </c>
      <c r="D2932">
        <v>2555.7995000000001</v>
      </c>
      <c r="E2932">
        <v>965.42319999999995</v>
      </c>
      <c r="F2932" s="6">
        <v>-0.62226176192616056</v>
      </c>
    </row>
    <row r="2933" spans="2:6">
      <c r="B2933" t="s">
        <v>3392</v>
      </c>
      <c r="C2933" t="s">
        <v>3393</v>
      </c>
      <c r="D2933">
        <v>1918.2149606907531</v>
      </c>
      <c r="E2933">
        <v>965.40260000000001</v>
      </c>
      <c r="F2933" s="6">
        <v>-0.49669999999999997</v>
      </c>
    </row>
    <row r="2934" spans="2:6">
      <c r="B2934" t="s">
        <v>557</v>
      </c>
      <c r="C2934" t="s">
        <v>556</v>
      </c>
      <c r="D2934">
        <v>1811.1831528121784</v>
      </c>
      <c r="E2934">
        <v>949.07399999999996</v>
      </c>
      <c r="F2934" s="6">
        <v>-0.47599999999999998</v>
      </c>
    </row>
    <row r="2935" spans="2:6">
      <c r="B2935" t="s">
        <v>3603</v>
      </c>
      <c r="C2935" t="s">
        <v>3604</v>
      </c>
      <c r="D2935">
        <v>856.31510000000003</v>
      </c>
      <c r="E2935">
        <v>946.86410000000001</v>
      </c>
      <c r="F2935" s="6">
        <v>0.10574261740800783</v>
      </c>
    </row>
    <row r="2936" spans="2:6">
      <c r="B2936" t="s">
        <v>912</v>
      </c>
      <c r="C2936" t="s">
        <v>911</v>
      </c>
      <c r="D2936">
        <v>4230.0703000000003</v>
      </c>
      <c r="E2936">
        <v>933.63206142374827</v>
      </c>
      <c r="F2936" s="6">
        <v>-0.77928686872562181</v>
      </c>
    </row>
    <row r="2937" spans="2:6">
      <c r="B2937" t="s">
        <v>346</v>
      </c>
      <c r="C2937" t="s">
        <v>345</v>
      </c>
      <c r="D2937">
        <v>129.5883</v>
      </c>
      <c r="E2937">
        <v>924.5877512172176</v>
      </c>
      <c r="F2937" s="6">
        <v>6.1348088617353387</v>
      </c>
    </row>
    <row r="2938" spans="2:6">
      <c r="B2938" t="s">
        <v>790</v>
      </c>
      <c r="C2938" t="s">
        <v>789</v>
      </c>
      <c r="D2938">
        <v>3240.5243110891938</v>
      </c>
      <c r="E2938">
        <v>911.27089999999998</v>
      </c>
      <c r="F2938" s="6">
        <v>-0.71879999999999999</v>
      </c>
    </row>
    <row r="2939" spans="2:6">
      <c r="B2939" t="s">
        <v>489</v>
      </c>
      <c r="C2939" t="s">
        <v>488</v>
      </c>
      <c r="D2939">
        <v>2088.2170999999998</v>
      </c>
      <c r="E2939">
        <v>901.69580205052569</v>
      </c>
      <c r="F2939" s="6">
        <v>-0.56819824813687925</v>
      </c>
    </row>
    <row r="2940" spans="2:6">
      <c r="B2940" t="s">
        <v>3448</v>
      </c>
      <c r="C2940" t="s">
        <v>3449</v>
      </c>
      <c r="D2940">
        <v>1134.3054999999999</v>
      </c>
      <c r="E2940">
        <v>890.58889999999997</v>
      </c>
      <c r="F2940" s="6">
        <v>-0.21485975339095154</v>
      </c>
    </row>
    <row r="2941" spans="2:6">
      <c r="B2941" t="s">
        <v>664</v>
      </c>
      <c r="C2941" t="s">
        <v>663</v>
      </c>
      <c r="D2941">
        <v>4224.6637071695459</v>
      </c>
      <c r="E2941">
        <v>883.8569</v>
      </c>
      <c r="F2941" s="6">
        <v>-0.79079999999999995</v>
      </c>
    </row>
    <row r="2942" spans="2:6">
      <c r="B2942" t="s">
        <v>405</v>
      </c>
      <c r="C2942" t="s">
        <v>404</v>
      </c>
      <c r="D2942">
        <v>722.83349999999996</v>
      </c>
      <c r="E2942">
        <v>873.36940000000004</v>
      </c>
      <c r="F2942" s="6">
        <v>0.20825805666173469</v>
      </c>
    </row>
    <row r="2943" spans="2:6">
      <c r="B2943" t="s">
        <v>3374</v>
      </c>
      <c r="C2943" t="s">
        <v>3375</v>
      </c>
      <c r="D2943">
        <v>806.58025650142531</v>
      </c>
      <c r="E2943">
        <v>867.44420000000002</v>
      </c>
      <c r="F2943" s="6">
        <v>7.5499999999999998E-2</v>
      </c>
    </row>
    <row r="2944" spans="2:6">
      <c r="B2944" t="s">
        <v>431</v>
      </c>
      <c r="C2944" t="s">
        <v>430</v>
      </c>
      <c r="D2944">
        <v>978.33320000000003</v>
      </c>
      <c r="E2944">
        <v>867.33720967896511</v>
      </c>
      <c r="F2944" s="6">
        <v>-0.11345417933382507</v>
      </c>
    </row>
    <row r="2945" spans="2:6">
      <c r="B2945" t="s">
        <v>3605</v>
      </c>
      <c r="C2945" t="s">
        <v>3606</v>
      </c>
      <c r="D2945">
        <v>626.54309999999998</v>
      </c>
      <c r="E2945">
        <v>846.1902</v>
      </c>
      <c r="F2945" s="6">
        <v>0.3505698171442635</v>
      </c>
    </row>
    <row r="2946" spans="2:6">
      <c r="B2946" t="s">
        <v>902</v>
      </c>
      <c r="C2946" t="s">
        <v>901</v>
      </c>
      <c r="D2946">
        <v>6162.6156928163618</v>
      </c>
      <c r="E2946">
        <v>835.60360000000003</v>
      </c>
      <c r="F2946" s="6">
        <v>-0.86439999999999995</v>
      </c>
    </row>
    <row r="2947" spans="2:6">
      <c r="B2947" t="s">
        <v>3607</v>
      </c>
      <c r="C2947" t="s">
        <v>3608</v>
      </c>
      <c r="D2947">
        <v>398.62209999999999</v>
      </c>
      <c r="E2947">
        <v>812.40219999999999</v>
      </c>
      <c r="F2947" s="6">
        <v>1.0380259900291531</v>
      </c>
    </row>
    <row r="2948" spans="2:6">
      <c r="B2948" t="s">
        <v>3502</v>
      </c>
      <c r="C2948" t="s">
        <v>3503</v>
      </c>
      <c r="D2948">
        <v>1479.5542</v>
      </c>
      <c r="E2948">
        <v>810.39419999999996</v>
      </c>
      <c r="F2948" s="6">
        <v>-0.45227136660488676</v>
      </c>
    </row>
    <row r="2949" spans="2:6">
      <c r="B2949" t="s">
        <v>561</v>
      </c>
      <c r="C2949" t="s">
        <v>560</v>
      </c>
      <c r="D2949">
        <v>1358.9777970145369</v>
      </c>
      <c r="E2949">
        <v>804.16789704872281</v>
      </c>
      <c r="F2949" s="6">
        <v>-0.40825530864790083</v>
      </c>
    </row>
    <row r="2950" spans="2:6">
      <c r="B2950" t="s">
        <v>518</v>
      </c>
      <c r="C2950" t="s">
        <v>517</v>
      </c>
      <c r="D2950">
        <v>1538.7439216304128</v>
      </c>
      <c r="E2950">
        <v>791.74382247454741</v>
      </c>
      <c r="F2950" s="6">
        <v>-0.48546095854881666</v>
      </c>
    </row>
    <row r="2951" spans="2:6">
      <c r="B2951" t="s">
        <v>3415</v>
      </c>
      <c r="C2951" t="s">
        <v>3416</v>
      </c>
      <c r="D2951">
        <v>1975.0145542195928</v>
      </c>
      <c r="E2951">
        <v>791.70311544660603</v>
      </c>
      <c r="F2951" s="6">
        <v>-0.59914061708803978</v>
      </c>
    </row>
    <row r="2952" spans="2:6">
      <c r="B2952" t="s">
        <v>3609</v>
      </c>
      <c r="C2952" t="s">
        <v>3610</v>
      </c>
      <c r="D2952">
        <v>349.61110000000002</v>
      </c>
      <c r="E2952">
        <v>788.48910000000001</v>
      </c>
      <c r="F2952" s="6">
        <v>1.2553319960378833</v>
      </c>
    </row>
    <row r="2953" spans="2:6">
      <c r="B2953" t="s">
        <v>682</v>
      </c>
      <c r="C2953" t="s">
        <v>681</v>
      </c>
      <c r="D2953">
        <v>2648.9805000000001</v>
      </c>
      <c r="E2953">
        <v>780.88350000000003</v>
      </c>
      <c r="F2953" s="6">
        <v>-0.70521357178733479</v>
      </c>
    </row>
    <row r="2954" spans="2:6">
      <c r="B2954" t="s">
        <v>407</v>
      </c>
      <c r="C2954" t="s">
        <v>406</v>
      </c>
      <c r="D2954">
        <v>565.03169284149021</v>
      </c>
      <c r="E2954">
        <v>770.50980000000004</v>
      </c>
      <c r="F2954" s="6">
        <v>0.36370000000000002</v>
      </c>
    </row>
    <row r="2955" spans="2:6">
      <c r="B2955" t="s">
        <v>3611</v>
      </c>
      <c r="C2955" t="s">
        <v>3612</v>
      </c>
      <c r="D2955">
        <v>233.85986617191944</v>
      </c>
      <c r="E2955">
        <v>769.33019999999999</v>
      </c>
      <c r="F2955" s="6">
        <v>2.2896999999999998</v>
      </c>
    </row>
    <row r="2956" spans="2:6">
      <c r="B2956" t="s">
        <v>3147</v>
      </c>
      <c r="C2956" t="s">
        <v>3148</v>
      </c>
      <c r="D2956">
        <v>4161.1488277215094</v>
      </c>
      <c r="E2956">
        <v>766.11839999999995</v>
      </c>
      <c r="F2956" s="6">
        <v>-0.81589999999999996</v>
      </c>
    </row>
    <row r="2957" spans="2:6">
      <c r="B2957" t="s">
        <v>536</v>
      </c>
      <c r="C2957" t="s">
        <v>535</v>
      </c>
      <c r="D2957">
        <v>184.50890000000001</v>
      </c>
      <c r="E2957">
        <v>751.73270000000002</v>
      </c>
      <c r="F2957" s="6">
        <v>3.074235443385116</v>
      </c>
    </row>
    <row r="2958" spans="2:6">
      <c r="B2958" t="s">
        <v>3095</v>
      </c>
      <c r="C2958" t="s">
        <v>3096</v>
      </c>
      <c r="D2958">
        <v>6214.8362045334916</v>
      </c>
      <c r="E2958">
        <v>750.38199999999995</v>
      </c>
      <c r="F2958" s="6">
        <v>-0.87929999999999997</v>
      </c>
    </row>
    <row r="2959" spans="2:6">
      <c r="B2959" t="s">
        <v>593</v>
      </c>
      <c r="C2959" t="s">
        <v>592</v>
      </c>
      <c r="D2959">
        <v>1505.2512999999999</v>
      </c>
      <c r="E2959">
        <v>748.10990000000004</v>
      </c>
      <c r="F2959" s="6">
        <v>-0.50299999740907042</v>
      </c>
    </row>
    <row r="2960" spans="2:6">
      <c r="B2960" t="s">
        <v>3434</v>
      </c>
      <c r="C2960" t="s">
        <v>3435</v>
      </c>
      <c r="D2960">
        <v>1227.1973</v>
      </c>
      <c r="E2960">
        <v>734.67409999999995</v>
      </c>
      <c r="F2960" s="6">
        <v>-0.40133986605087868</v>
      </c>
    </row>
    <row r="2961" spans="2:6">
      <c r="B2961" t="s">
        <v>513</v>
      </c>
      <c r="C2961" t="s">
        <v>512</v>
      </c>
      <c r="D2961">
        <v>1239.6974</v>
      </c>
      <c r="E2961">
        <v>733.35533375840441</v>
      </c>
      <c r="F2961" s="6">
        <v>-0.40844004854861804</v>
      </c>
    </row>
    <row r="2962" spans="2:6">
      <c r="B2962" t="s">
        <v>3384</v>
      </c>
      <c r="C2962" t="s">
        <v>3385</v>
      </c>
      <c r="D2962">
        <v>667.34040000000005</v>
      </c>
      <c r="E2962">
        <v>731.15340000000003</v>
      </c>
      <c r="F2962" s="6">
        <v>9.5622863534112534E-2</v>
      </c>
    </row>
    <row r="2963" spans="2:6">
      <c r="B2963" t="s">
        <v>3613</v>
      </c>
      <c r="C2963" t="s">
        <v>3614</v>
      </c>
      <c r="D2963">
        <v>452.59985486669166</v>
      </c>
      <c r="E2963">
        <v>730.97320000000002</v>
      </c>
      <c r="F2963" s="6">
        <v>0.61509999999999998</v>
      </c>
    </row>
    <row r="2964" spans="2:6">
      <c r="B2964" t="s">
        <v>3615</v>
      </c>
      <c r="C2964" t="s">
        <v>3616</v>
      </c>
      <c r="D2964">
        <v>585.62170000000003</v>
      </c>
      <c r="E2964">
        <v>730.58349999999996</v>
      </c>
      <c r="F2964" s="6">
        <v>0.24753488472165563</v>
      </c>
    </row>
    <row r="2965" spans="2:6">
      <c r="B2965" t="s">
        <v>1261</v>
      </c>
      <c r="C2965" t="s">
        <v>1260</v>
      </c>
      <c r="D2965">
        <v>8516.7708314553238</v>
      </c>
      <c r="E2965">
        <v>727.24720000000002</v>
      </c>
      <c r="F2965" s="6">
        <v>-0.91459999999999997</v>
      </c>
    </row>
    <row r="2966" spans="2:6">
      <c r="B2966" t="s">
        <v>3225</v>
      </c>
      <c r="C2966" t="s">
        <v>3226</v>
      </c>
      <c r="D2966">
        <v>8574.6152999999995</v>
      </c>
      <c r="E2966">
        <v>725.1893</v>
      </c>
      <c r="F2966" s="6">
        <v>-0.91542602500196135</v>
      </c>
    </row>
    <row r="2967" spans="2:6">
      <c r="B2967" t="s">
        <v>870</v>
      </c>
      <c r="C2967" t="s">
        <v>869</v>
      </c>
      <c r="D2967">
        <v>2972.4162999999999</v>
      </c>
      <c r="E2967">
        <v>723.25109999999995</v>
      </c>
      <c r="F2967" s="6">
        <v>-0.7566790694829657</v>
      </c>
    </row>
    <row r="2968" spans="2:6">
      <c r="B2968" t="s">
        <v>3317</v>
      </c>
      <c r="C2968" t="s">
        <v>3318</v>
      </c>
      <c r="D2968">
        <v>1232.0444</v>
      </c>
      <c r="E2968">
        <v>711.86659999999995</v>
      </c>
      <c r="F2968" s="6">
        <v>-0.42220702435723911</v>
      </c>
    </row>
    <row r="2969" spans="2:6">
      <c r="B2969" t="s">
        <v>409</v>
      </c>
      <c r="C2969" t="s">
        <v>408</v>
      </c>
      <c r="D2969">
        <v>478.71629999999999</v>
      </c>
      <c r="E2969">
        <v>702.98360000000002</v>
      </c>
      <c r="F2969" s="6">
        <v>0.46847642330123285</v>
      </c>
    </row>
    <row r="2970" spans="2:6">
      <c r="B2970" t="s">
        <v>483</v>
      </c>
      <c r="C2970" t="s">
        <v>482</v>
      </c>
      <c r="D2970">
        <v>846.33228304514955</v>
      </c>
      <c r="E2970">
        <v>671.32799999999997</v>
      </c>
      <c r="F2970" s="6">
        <v>-0.20680000000000001</v>
      </c>
    </row>
    <row r="2971" spans="2:6">
      <c r="B2971" t="s">
        <v>3617</v>
      </c>
      <c r="C2971" t="s">
        <v>3618</v>
      </c>
      <c r="D2971">
        <v>705.00030000000004</v>
      </c>
      <c r="E2971">
        <v>667.31110000000001</v>
      </c>
      <c r="F2971" s="6">
        <v>-5.3459835407162259E-2</v>
      </c>
    </row>
    <row r="2972" spans="2:6">
      <c r="B2972" t="s">
        <v>3440</v>
      </c>
      <c r="C2972" t="s">
        <v>3441</v>
      </c>
      <c r="D2972">
        <v>3166.5596999999998</v>
      </c>
      <c r="E2972">
        <v>661.90639999999996</v>
      </c>
      <c r="F2972" s="6">
        <v>-0.79096986549787773</v>
      </c>
    </row>
    <row r="2973" spans="2:6">
      <c r="B2973" t="s">
        <v>467</v>
      </c>
      <c r="C2973" t="s">
        <v>466</v>
      </c>
      <c r="D2973">
        <v>1081.2286999999999</v>
      </c>
      <c r="E2973">
        <v>661.60680000000002</v>
      </c>
      <c r="F2973" s="6">
        <v>-0.38809726378887277</v>
      </c>
    </row>
    <row r="2974" spans="2:6">
      <c r="B2974" t="s">
        <v>3619</v>
      </c>
      <c r="C2974" t="s">
        <v>3620</v>
      </c>
      <c r="D2974">
        <v>285.53300000000002</v>
      </c>
      <c r="E2974">
        <v>658.93610000000001</v>
      </c>
      <c r="F2974" s="6">
        <v>1.3077406114179446</v>
      </c>
    </row>
    <row r="2975" spans="2:6">
      <c r="B2975" t="s">
        <v>3484</v>
      </c>
      <c r="C2975" t="s">
        <v>3485</v>
      </c>
      <c r="D2975">
        <v>612.34389999999996</v>
      </c>
      <c r="E2975">
        <v>656.84139029719915</v>
      </c>
      <c r="F2975" s="6">
        <v>7.2667483577772529E-2</v>
      </c>
    </row>
    <row r="2976" spans="2:6">
      <c r="B2976" t="s">
        <v>3621</v>
      </c>
      <c r="C2976" t="s">
        <v>3622</v>
      </c>
      <c r="D2976">
        <v>698.81640000000004</v>
      </c>
      <c r="E2976">
        <v>645.25160000000005</v>
      </c>
      <c r="F2976" s="6">
        <v>-7.6650748322449225E-2</v>
      </c>
    </row>
    <row r="2977" spans="2:6">
      <c r="B2977" t="s">
        <v>3279</v>
      </c>
      <c r="C2977" t="s">
        <v>3280</v>
      </c>
      <c r="D2977">
        <v>1534.7999381416794</v>
      </c>
      <c r="E2977">
        <v>644.96699999999998</v>
      </c>
      <c r="F2977" s="6">
        <v>-0.57979999999999998</v>
      </c>
    </row>
    <row r="2978" spans="2:6">
      <c r="B2978" t="s">
        <v>3623</v>
      </c>
      <c r="C2978" t="s">
        <v>3624</v>
      </c>
      <c r="D2978">
        <v>444.88729999999998</v>
      </c>
      <c r="E2978">
        <v>641.33901366085615</v>
      </c>
      <c r="F2978" s="6">
        <v>0.44157635801439188</v>
      </c>
    </row>
    <row r="2979" spans="2:6">
      <c r="B2979" t="s">
        <v>3625</v>
      </c>
      <c r="C2979" t="s">
        <v>3626</v>
      </c>
      <c r="D2979">
        <v>585.11890000000005</v>
      </c>
      <c r="E2979">
        <v>635.75096814178085</v>
      </c>
      <c r="F2979" s="6">
        <v>8.6532956193656974E-2</v>
      </c>
    </row>
    <row r="2980" spans="2:6">
      <c r="B2980" t="s">
        <v>3516</v>
      </c>
      <c r="C2980" t="s">
        <v>3517</v>
      </c>
      <c r="D2980">
        <v>49.336100000000002</v>
      </c>
      <c r="E2980">
        <v>629.29380000000003</v>
      </c>
      <c r="F2980" s="6">
        <v>11.755240077752397</v>
      </c>
    </row>
    <row r="2981" spans="2:6">
      <c r="B2981" t="s">
        <v>3306</v>
      </c>
      <c r="C2981" t="s">
        <v>3307</v>
      </c>
      <c r="D2981">
        <v>1808.6536927407278</v>
      </c>
      <c r="E2981">
        <v>629.00649999999996</v>
      </c>
      <c r="F2981" s="6">
        <v>-0.6522</v>
      </c>
    </row>
    <row r="2982" spans="2:6">
      <c r="B2982" t="s">
        <v>563</v>
      </c>
      <c r="C2982" t="s">
        <v>562</v>
      </c>
      <c r="D2982">
        <v>1154.1463000000001</v>
      </c>
      <c r="E2982">
        <v>609.38</v>
      </c>
      <c r="F2982" s="6">
        <v>-0.47200801146267157</v>
      </c>
    </row>
    <row r="2983" spans="2:6">
      <c r="B2983" t="s">
        <v>3436</v>
      </c>
      <c r="C2983" t="s">
        <v>3437</v>
      </c>
      <c r="D2983">
        <v>3150.7927343740939</v>
      </c>
      <c r="E2983">
        <v>608.99570000000006</v>
      </c>
      <c r="F2983" s="6">
        <v>-0.80669999999999997</v>
      </c>
    </row>
    <row r="2984" spans="2:6">
      <c r="B2984" t="s">
        <v>984</v>
      </c>
      <c r="C2984" t="s">
        <v>983</v>
      </c>
      <c r="D2984">
        <v>4626.8500344174299</v>
      </c>
      <c r="E2984">
        <v>608.5104</v>
      </c>
      <c r="F2984" s="6">
        <v>-0.86850000000000005</v>
      </c>
    </row>
    <row r="2985" spans="2:6">
      <c r="B2985" t="s">
        <v>3149</v>
      </c>
      <c r="C2985" t="s">
        <v>3150</v>
      </c>
      <c r="D2985">
        <v>3987.3917303276876</v>
      </c>
      <c r="E2985">
        <v>604.61019276261754</v>
      </c>
      <c r="F2985" s="6">
        <v>-0.84836950225782548</v>
      </c>
    </row>
    <row r="2986" spans="2:6">
      <c r="B2986" t="s">
        <v>1759</v>
      </c>
      <c r="C2986" t="s">
        <v>1758</v>
      </c>
      <c r="D2986">
        <v>14219.155524555637</v>
      </c>
      <c r="E2986">
        <v>599.34619999999995</v>
      </c>
      <c r="F2986" s="6">
        <v>-0.95779999999999998</v>
      </c>
    </row>
    <row r="2987" spans="2:6">
      <c r="B2987" t="s">
        <v>3627</v>
      </c>
      <c r="C2987" t="s">
        <v>3628</v>
      </c>
      <c r="D2987">
        <v>6.1420000000000003</v>
      </c>
      <c r="E2987">
        <v>596.01670000000001</v>
      </c>
      <c r="F2987" s="6">
        <v>96.039514816020841</v>
      </c>
    </row>
    <row r="2988" spans="2:6">
      <c r="B2988" t="s">
        <v>471</v>
      </c>
      <c r="C2988" t="s">
        <v>470</v>
      </c>
      <c r="D2988">
        <v>1124.0166999999999</v>
      </c>
      <c r="E2988">
        <v>586.43050000000005</v>
      </c>
      <c r="F2988" s="6">
        <v>-0.4782724313615625</v>
      </c>
    </row>
    <row r="2989" spans="2:6">
      <c r="B2989" t="s">
        <v>421</v>
      </c>
      <c r="C2989" t="s">
        <v>420</v>
      </c>
      <c r="D2989">
        <v>1119.5458691581014</v>
      </c>
      <c r="E2989">
        <v>584.80709999999999</v>
      </c>
      <c r="F2989" s="6">
        <v>-0.47760000000000002</v>
      </c>
    </row>
    <row r="2990" spans="2:6">
      <c r="B2990" t="s">
        <v>3629</v>
      </c>
      <c r="C2990" t="s">
        <v>3630</v>
      </c>
      <c r="D2990">
        <v>431.73849999999999</v>
      </c>
      <c r="E2990">
        <v>579.8537</v>
      </c>
      <c r="F2990" s="6">
        <v>0.34306692592854238</v>
      </c>
    </row>
    <row r="2991" spans="2:6">
      <c r="B2991" t="s">
        <v>696</v>
      </c>
      <c r="C2991" t="s">
        <v>695</v>
      </c>
      <c r="D2991">
        <v>1653.1926249844753</v>
      </c>
      <c r="E2991">
        <v>579.26499999999999</v>
      </c>
      <c r="F2991" s="6">
        <v>-0.64959999999999996</v>
      </c>
    </row>
    <row r="2992" spans="2:6">
      <c r="B2992" t="s">
        <v>3631</v>
      </c>
      <c r="C2992" t="s">
        <v>3632</v>
      </c>
      <c r="D2992">
        <v>367.03609999999998</v>
      </c>
      <c r="E2992">
        <v>579.11789999999996</v>
      </c>
      <c r="F2992" s="6">
        <v>0.57782272642936205</v>
      </c>
    </row>
    <row r="2993" spans="2:6">
      <c r="B2993" t="s">
        <v>367</v>
      </c>
      <c r="C2993" t="s">
        <v>366</v>
      </c>
      <c r="D2993">
        <v>121.446</v>
      </c>
      <c r="E2993">
        <v>561.52750000000003</v>
      </c>
      <c r="F2993" s="6">
        <v>3.6236804835070728</v>
      </c>
    </row>
    <row r="2994" spans="2:6">
      <c r="B2994" t="s">
        <v>637</v>
      </c>
      <c r="C2994" t="s">
        <v>636</v>
      </c>
      <c r="D2994">
        <v>2408.8528000000001</v>
      </c>
      <c r="E2994">
        <v>557.5402883538311</v>
      </c>
      <c r="F2994" s="6">
        <v>-0.76854530573481661</v>
      </c>
    </row>
    <row r="2995" spans="2:6">
      <c r="B2995" t="s">
        <v>373</v>
      </c>
      <c r="C2995" t="s">
        <v>372</v>
      </c>
      <c r="D2995">
        <v>229.1224</v>
      </c>
      <c r="E2995">
        <v>556.66459999999995</v>
      </c>
      <c r="F2995" s="6">
        <v>1.4295511918520405</v>
      </c>
    </row>
    <row r="2996" spans="2:6">
      <c r="B2996" t="s">
        <v>599</v>
      </c>
      <c r="C2996" t="s">
        <v>598</v>
      </c>
      <c r="D2996">
        <v>3869.8344000000002</v>
      </c>
      <c r="E2996">
        <v>555.7971</v>
      </c>
      <c r="F2996" s="6">
        <v>-0.85637703256759512</v>
      </c>
    </row>
    <row r="2997" spans="2:6">
      <c r="B2997" t="s">
        <v>534</v>
      </c>
      <c r="C2997" t="s">
        <v>533</v>
      </c>
      <c r="D2997">
        <v>267.60590000000002</v>
      </c>
      <c r="E2997">
        <v>554.03009999999995</v>
      </c>
      <c r="F2997" s="6">
        <v>1.0703209458386382</v>
      </c>
    </row>
    <row r="2998" spans="2:6">
      <c r="B2998" t="s">
        <v>577</v>
      </c>
      <c r="C2998" t="s">
        <v>576</v>
      </c>
      <c r="D2998">
        <v>2274.7939999999999</v>
      </c>
      <c r="E2998">
        <v>552.39790000000005</v>
      </c>
      <c r="F2998" s="6">
        <v>-0.75716574775562095</v>
      </c>
    </row>
    <row r="2999" spans="2:6">
      <c r="B2999" t="s">
        <v>465</v>
      </c>
      <c r="C2999" t="s">
        <v>464</v>
      </c>
      <c r="D2999">
        <v>460.85359999999997</v>
      </c>
      <c r="E2999">
        <v>542.11189999999999</v>
      </c>
      <c r="F2999" s="6">
        <v>0.17632128728081975</v>
      </c>
    </row>
    <row r="3000" spans="2:6">
      <c r="B3000" t="s">
        <v>3633</v>
      </c>
      <c r="C3000" t="s">
        <v>3634</v>
      </c>
      <c r="D3000">
        <v>473.09578881752481</v>
      </c>
      <c r="E3000">
        <v>541.27700000000004</v>
      </c>
      <c r="F3000" s="6">
        <v>0.14410000000000001</v>
      </c>
    </row>
    <row r="3001" spans="2:6">
      <c r="B3001" t="s">
        <v>3635</v>
      </c>
      <c r="C3001" t="s">
        <v>3636</v>
      </c>
      <c r="D3001">
        <v>552.56830000000002</v>
      </c>
      <c r="E3001">
        <v>539.77480000000003</v>
      </c>
      <c r="F3001" s="6">
        <v>-2.3152793962302964E-2</v>
      </c>
    </row>
    <row r="3002" spans="2:6">
      <c r="B3002" t="s">
        <v>3442</v>
      </c>
      <c r="C3002" t="s">
        <v>3443</v>
      </c>
      <c r="D3002">
        <v>2263.4850000000001</v>
      </c>
      <c r="E3002">
        <v>538.38253633722502</v>
      </c>
      <c r="F3002" s="6">
        <v>-0.76214442051207543</v>
      </c>
    </row>
    <row r="3003" spans="2:6">
      <c r="B3003" t="s">
        <v>469</v>
      </c>
      <c r="C3003" t="s">
        <v>468</v>
      </c>
      <c r="D3003">
        <v>1179.2125000000001</v>
      </c>
      <c r="E3003">
        <v>537.08280000000002</v>
      </c>
      <c r="F3003" s="6">
        <v>-0.54454112384324282</v>
      </c>
    </row>
    <row r="3004" spans="2:6">
      <c r="B3004" t="s">
        <v>3637</v>
      </c>
      <c r="C3004" t="s">
        <v>3638</v>
      </c>
      <c r="D3004">
        <v>266.97179832978759</v>
      </c>
      <c r="E3004">
        <v>527.17960000000005</v>
      </c>
      <c r="F3004" s="6">
        <v>0.97470000000000001</v>
      </c>
    </row>
    <row r="3005" spans="2:6">
      <c r="B3005" t="s">
        <v>3639</v>
      </c>
      <c r="C3005" t="s">
        <v>3640</v>
      </c>
      <c r="D3005">
        <v>303.03179999999998</v>
      </c>
      <c r="E3005">
        <v>524.66489999999999</v>
      </c>
      <c r="F3005" s="6">
        <v>0.73138561695505233</v>
      </c>
    </row>
    <row r="3006" spans="2:6">
      <c r="B3006" t="s">
        <v>3641</v>
      </c>
      <c r="C3006" t="s">
        <v>3642</v>
      </c>
      <c r="D3006">
        <v>370.98939999999999</v>
      </c>
      <c r="E3006">
        <v>524.24540000000002</v>
      </c>
      <c r="F3006" s="6">
        <v>0.41310075166568105</v>
      </c>
    </row>
    <row r="3007" spans="2:6">
      <c r="B3007" t="s">
        <v>449</v>
      </c>
      <c r="C3007" t="s">
        <v>448</v>
      </c>
      <c r="D3007">
        <v>807.80399999999997</v>
      </c>
      <c r="E3007">
        <v>519.91840000000002</v>
      </c>
      <c r="F3007" s="6">
        <v>-0.35638050814306443</v>
      </c>
    </row>
    <row r="3008" spans="2:6">
      <c r="B3008" t="s">
        <v>3470</v>
      </c>
      <c r="C3008" t="s">
        <v>3471</v>
      </c>
      <c r="D3008">
        <v>1726.2969000000001</v>
      </c>
      <c r="E3008">
        <v>509.51740000000001</v>
      </c>
      <c r="F3008" s="6">
        <v>-0.7048494960513455</v>
      </c>
    </row>
    <row r="3009" spans="2:6">
      <c r="B3009" t="s">
        <v>2699</v>
      </c>
      <c r="C3009" t="s">
        <v>2700</v>
      </c>
      <c r="D3009">
        <v>11615.429</v>
      </c>
      <c r="E3009">
        <v>506.6893</v>
      </c>
      <c r="F3009" s="6">
        <v>-0.95637790907249309</v>
      </c>
    </row>
    <row r="3010" spans="2:6">
      <c r="B3010" t="s">
        <v>3643</v>
      </c>
      <c r="C3010" t="s">
        <v>3644</v>
      </c>
      <c r="D3010">
        <v>543.34299999999996</v>
      </c>
      <c r="E3010">
        <v>504.86450000000002</v>
      </c>
      <c r="F3010" s="6">
        <v>-7.0818065200066949E-2</v>
      </c>
    </row>
    <row r="3011" spans="2:6">
      <c r="B3011" t="s">
        <v>538</v>
      </c>
      <c r="C3011" t="s">
        <v>537</v>
      </c>
      <c r="D3011">
        <v>1520.8793754787987</v>
      </c>
      <c r="E3011">
        <v>502.75964551849637</v>
      </c>
      <c r="F3011" s="6">
        <v>-0.6694283230974718</v>
      </c>
    </row>
    <row r="3012" spans="2:6">
      <c r="B3012" t="s">
        <v>495</v>
      </c>
      <c r="C3012" t="s">
        <v>494</v>
      </c>
      <c r="D3012">
        <v>973.85599999999999</v>
      </c>
      <c r="E3012">
        <v>498.69690000000003</v>
      </c>
      <c r="F3012" s="6">
        <v>-0.48791515378043571</v>
      </c>
    </row>
    <row r="3013" spans="2:6">
      <c r="B3013" t="s">
        <v>423</v>
      </c>
      <c r="C3013" t="s">
        <v>422</v>
      </c>
      <c r="D3013">
        <v>1324.1753000000001</v>
      </c>
      <c r="E3013">
        <v>496.73090000000002</v>
      </c>
      <c r="F3013" s="6">
        <v>-0.62487527142365518</v>
      </c>
    </row>
    <row r="3014" spans="2:6">
      <c r="B3014" t="s">
        <v>1560</v>
      </c>
      <c r="C3014" t="s">
        <v>1559</v>
      </c>
      <c r="D3014">
        <v>5065.8873000000003</v>
      </c>
      <c r="E3014">
        <v>491.4932</v>
      </c>
      <c r="F3014" s="6">
        <v>-0.90297983928698922</v>
      </c>
    </row>
    <row r="3015" spans="2:6">
      <c r="B3015" t="s">
        <v>392</v>
      </c>
      <c r="C3015" t="s">
        <v>391</v>
      </c>
      <c r="D3015">
        <v>633.81769999999995</v>
      </c>
      <c r="E3015">
        <v>491.4812</v>
      </c>
      <c r="F3015" s="6">
        <v>-0.22457009326183219</v>
      </c>
    </row>
    <row r="3016" spans="2:6">
      <c r="B3016" t="s">
        <v>3419</v>
      </c>
      <c r="C3016" t="s">
        <v>3420</v>
      </c>
      <c r="D3016">
        <v>4739.0261</v>
      </c>
      <c r="E3016">
        <v>474.97430000000003</v>
      </c>
      <c r="F3016" s="6">
        <v>-0.89977385859934389</v>
      </c>
    </row>
    <row r="3017" spans="2:6">
      <c r="B3017" t="s">
        <v>3645</v>
      </c>
      <c r="C3017" t="s">
        <v>3646</v>
      </c>
      <c r="D3017">
        <v>177.422</v>
      </c>
      <c r="E3017">
        <v>474.27789999999999</v>
      </c>
      <c r="F3017" s="6">
        <v>1.6731628546628943</v>
      </c>
    </row>
    <row r="3018" spans="2:6">
      <c r="B3018" t="s">
        <v>2978</v>
      </c>
      <c r="C3018" t="s">
        <v>2979</v>
      </c>
      <c r="D3018">
        <v>3439.3919000000001</v>
      </c>
      <c r="E3018">
        <v>469.71069999999997</v>
      </c>
      <c r="F3018" s="6">
        <v>-0.86343205029935666</v>
      </c>
    </row>
    <row r="3019" spans="2:6">
      <c r="B3019" t="s">
        <v>3647</v>
      </c>
      <c r="C3019" t="s">
        <v>3648</v>
      </c>
      <c r="D3019">
        <v>208.0505</v>
      </c>
      <c r="E3019">
        <v>465.81630000000001</v>
      </c>
      <c r="F3019" s="6">
        <v>1.2389578491760416</v>
      </c>
    </row>
    <row r="3020" spans="2:6">
      <c r="B3020" t="s">
        <v>507</v>
      </c>
      <c r="C3020" t="s">
        <v>506</v>
      </c>
      <c r="D3020">
        <v>1291.2823000000001</v>
      </c>
      <c r="E3020">
        <v>462.94389999999999</v>
      </c>
      <c r="F3020" s="6">
        <v>-0.64148513458288714</v>
      </c>
    </row>
    <row r="3021" spans="2:6">
      <c r="B3021" t="s">
        <v>3649</v>
      </c>
      <c r="C3021" t="s">
        <v>3650</v>
      </c>
      <c r="D3021">
        <v>55.287999999999997</v>
      </c>
      <c r="E3021">
        <v>460.29829999999998</v>
      </c>
      <c r="F3021" s="6">
        <v>7.3254648386630006</v>
      </c>
    </row>
    <row r="3022" spans="2:6">
      <c r="B3022" t="s">
        <v>3651</v>
      </c>
      <c r="C3022" t="s">
        <v>3652</v>
      </c>
      <c r="D3022">
        <v>468.8426</v>
      </c>
      <c r="E3022">
        <v>452.1234</v>
      </c>
      <c r="F3022" s="6">
        <v>-3.5660582037553734E-2</v>
      </c>
    </row>
    <row r="3023" spans="2:6">
      <c r="B3023" t="s">
        <v>3653</v>
      </c>
      <c r="C3023" t="s">
        <v>3654</v>
      </c>
      <c r="D3023">
        <v>163.17750000000001</v>
      </c>
      <c r="E3023">
        <v>444.08530000000002</v>
      </c>
      <c r="F3023" s="6">
        <v>1.7214861117494751</v>
      </c>
    </row>
    <row r="3024" spans="2:6">
      <c r="B3024" t="s">
        <v>381</v>
      </c>
      <c r="C3024" t="s">
        <v>380</v>
      </c>
      <c r="D3024">
        <v>318.49540000000002</v>
      </c>
      <c r="E3024">
        <v>442.43729999999999</v>
      </c>
      <c r="F3024" s="6">
        <v>0.38914816352135695</v>
      </c>
    </row>
    <row r="3025" spans="2:6">
      <c r="B3025" t="s">
        <v>3367</v>
      </c>
      <c r="C3025" t="s">
        <v>3368</v>
      </c>
      <c r="D3025">
        <v>904.81280000000004</v>
      </c>
      <c r="E3025">
        <v>438.25830000000002</v>
      </c>
      <c r="F3025" s="6">
        <v>-0.51563649409026935</v>
      </c>
    </row>
    <row r="3026" spans="2:6">
      <c r="B3026" t="s">
        <v>3655</v>
      </c>
      <c r="C3026" t="s">
        <v>3656</v>
      </c>
      <c r="D3026">
        <v>829.68200000000002</v>
      </c>
      <c r="E3026">
        <v>431.79452389659036</v>
      </c>
      <c r="F3026" s="6">
        <v>-0.47956623875582405</v>
      </c>
    </row>
    <row r="3027" spans="2:6">
      <c r="B3027" t="s">
        <v>3657</v>
      </c>
      <c r="C3027" t="s">
        <v>3658</v>
      </c>
      <c r="D3027">
        <v>280.84539999999998</v>
      </c>
      <c r="E3027">
        <v>430.74459999999999</v>
      </c>
      <c r="F3027" s="6">
        <v>0.53374276381240349</v>
      </c>
    </row>
    <row r="3028" spans="2:6">
      <c r="B3028" t="s">
        <v>387</v>
      </c>
      <c r="C3028" t="s">
        <v>386</v>
      </c>
      <c r="D3028">
        <v>585.48419999999999</v>
      </c>
      <c r="E3028">
        <v>430.56881891542008</v>
      </c>
      <c r="F3028" s="6">
        <v>-0.2645936151386834</v>
      </c>
    </row>
    <row r="3029" spans="2:6">
      <c r="B3029" t="s">
        <v>3659</v>
      </c>
      <c r="C3029" t="s">
        <v>3660</v>
      </c>
      <c r="D3029">
        <v>218.41370000000001</v>
      </c>
      <c r="E3029">
        <v>426.94707578438812</v>
      </c>
      <c r="F3029" s="6">
        <v>0.95476325791096484</v>
      </c>
    </row>
    <row r="3030" spans="2:6">
      <c r="B3030" t="s">
        <v>3661</v>
      </c>
      <c r="C3030" t="s">
        <v>3662</v>
      </c>
      <c r="D3030">
        <v>269.21179999999998</v>
      </c>
      <c r="E3030">
        <v>426.72519999999997</v>
      </c>
      <c r="F3030" s="6">
        <v>0.58509099526840957</v>
      </c>
    </row>
    <row r="3031" spans="2:6">
      <c r="B3031" t="s">
        <v>3663</v>
      </c>
      <c r="C3031" t="s">
        <v>3664</v>
      </c>
      <c r="D3031">
        <v>559.77660000000003</v>
      </c>
      <c r="E3031">
        <v>424.19639999999998</v>
      </c>
      <c r="F3031" s="6">
        <v>-0.2422041221444412</v>
      </c>
    </row>
    <row r="3032" spans="2:6">
      <c r="B3032" t="s">
        <v>349</v>
      </c>
      <c r="C3032" t="s">
        <v>348</v>
      </c>
      <c r="D3032">
        <v>160.5438</v>
      </c>
      <c r="E3032">
        <v>417.39980000000003</v>
      </c>
      <c r="F3032" s="6">
        <v>1.5999122980769109</v>
      </c>
    </row>
    <row r="3033" spans="2:6">
      <c r="B3033" t="s">
        <v>447</v>
      </c>
      <c r="C3033" t="s">
        <v>446</v>
      </c>
      <c r="D3033">
        <v>900.14070000000004</v>
      </c>
      <c r="E3033">
        <v>417.25369999999998</v>
      </c>
      <c r="F3033" s="6">
        <v>-0.53645724496181546</v>
      </c>
    </row>
    <row r="3034" spans="2:6">
      <c r="B3034" t="s">
        <v>3665</v>
      </c>
      <c r="C3034" t="s">
        <v>3666</v>
      </c>
      <c r="D3034">
        <v>311.5283</v>
      </c>
      <c r="E3034">
        <v>414.35829999999999</v>
      </c>
      <c r="F3034" s="6">
        <v>0.33008237132870422</v>
      </c>
    </row>
    <row r="3035" spans="2:6">
      <c r="B3035" t="s">
        <v>3667</v>
      </c>
      <c r="C3035" t="s">
        <v>3668</v>
      </c>
      <c r="D3035">
        <v>365.72160000000002</v>
      </c>
      <c r="E3035">
        <v>413.47750000000002</v>
      </c>
      <c r="F3035" s="6">
        <v>0.13057992746395075</v>
      </c>
    </row>
    <row r="3036" spans="2:6">
      <c r="B3036" t="s">
        <v>3669</v>
      </c>
      <c r="C3036" t="s">
        <v>3670</v>
      </c>
      <c r="D3036">
        <v>379.93669999999997</v>
      </c>
      <c r="E3036">
        <v>412.24880000000002</v>
      </c>
      <c r="F3036" s="6">
        <v>8.5046008979916987E-2</v>
      </c>
    </row>
    <row r="3037" spans="2:6">
      <c r="B3037" t="s">
        <v>3671</v>
      </c>
      <c r="C3037" t="s">
        <v>3672</v>
      </c>
      <c r="D3037">
        <v>209.06200000000001</v>
      </c>
      <c r="E3037">
        <v>408.07299999999998</v>
      </c>
      <c r="F3037" s="6">
        <v>0.95192335288096364</v>
      </c>
    </row>
    <row r="3038" spans="2:6">
      <c r="B3038" t="s">
        <v>3673</v>
      </c>
      <c r="C3038" t="s">
        <v>3674</v>
      </c>
      <c r="D3038">
        <v>230.309</v>
      </c>
      <c r="E3038">
        <v>404.08390000000003</v>
      </c>
      <c r="F3038" s="6">
        <v>0.75452934969975116</v>
      </c>
    </row>
    <row r="3039" spans="2:6">
      <c r="B3039" t="s">
        <v>3675</v>
      </c>
      <c r="C3039" t="s">
        <v>3676</v>
      </c>
      <c r="D3039">
        <v>374.20060000000001</v>
      </c>
      <c r="E3039">
        <v>396.95269999999999</v>
      </c>
      <c r="F3039" s="6">
        <v>6.0801880061122304E-2</v>
      </c>
    </row>
    <row r="3040" spans="2:6">
      <c r="B3040" t="s">
        <v>3518</v>
      </c>
      <c r="C3040" t="s">
        <v>3519</v>
      </c>
      <c r="D3040">
        <v>475.59077779555986</v>
      </c>
      <c r="E3040">
        <v>396.92169999999999</v>
      </c>
      <c r="F3040" s="6">
        <v>-0.16539999999999999</v>
      </c>
    </row>
    <row r="3041" spans="2:6">
      <c r="B3041" t="s">
        <v>3677</v>
      </c>
      <c r="C3041" t="s">
        <v>3678</v>
      </c>
      <c r="D3041">
        <v>249.71588286099632</v>
      </c>
      <c r="E3041">
        <v>396.78359999999998</v>
      </c>
      <c r="F3041" s="6">
        <v>0.58889999999999998</v>
      </c>
    </row>
    <row r="3042" spans="2:6">
      <c r="B3042" t="s">
        <v>3679</v>
      </c>
      <c r="C3042" t="s">
        <v>3680</v>
      </c>
      <c r="D3042">
        <v>375.12909999999999</v>
      </c>
      <c r="E3042">
        <v>390.25009999999997</v>
      </c>
      <c r="F3042" s="6">
        <v>4.0308789694001312E-2</v>
      </c>
    </row>
    <row r="3043" spans="2:6">
      <c r="B3043" t="s">
        <v>2679</v>
      </c>
      <c r="C3043" t="s">
        <v>2680</v>
      </c>
      <c r="D3043">
        <v>9273.8388148216891</v>
      </c>
      <c r="E3043">
        <v>387.44119999999998</v>
      </c>
      <c r="F3043" s="6">
        <v>-0.95820000000000005</v>
      </c>
    </row>
    <row r="3044" spans="2:6">
      <c r="B3044" t="s">
        <v>343</v>
      </c>
      <c r="C3044" t="s">
        <v>342</v>
      </c>
      <c r="D3044">
        <v>30.508700000000001</v>
      </c>
      <c r="E3044">
        <v>384.85160000000002</v>
      </c>
      <c r="F3044" s="6">
        <v>11.614487015179277</v>
      </c>
    </row>
    <row r="3045" spans="2:6">
      <c r="B3045" t="s">
        <v>3681</v>
      </c>
      <c r="C3045" t="s">
        <v>3682</v>
      </c>
      <c r="D3045">
        <v>356.89519999999999</v>
      </c>
      <c r="E3045">
        <v>373.8021</v>
      </c>
      <c r="F3045" s="6">
        <v>4.7372169757396554E-2</v>
      </c>
    </row>
    <row r="3046" spans="2:6">
      <c r="B3046" t="s">
        <v>3683</v>
      </c>
      <c r="C3046" t="s">
        <v>3684</v>
      </c>
      <c r="D3046">
        <v>291.50069999999999</v>
      </c>
      <c r="E3046">
        <v>373.04199999999997</v>
      </c>
      <c r="F3046" s="6">
        <v>0.27972934541838157</v>
      </c>
    </row>
    <row r="3047" spans="2:6">
      <c r="B3047" t="s">
        <v>3685</v>
      </c>
      <c r="C3047" t="s">
        <v>3686</v>
      </c>
      <c r="D3047">
        <v>220.40469999999999</v>
      </c>
      <c r="E3047">
        <v>365.51760000000002</v>
      </c>
      <c r="F3047" s="6">
        <v>0.65839294715584562</v>
      </c>
    </row>
    <row r="3048" spans="2:6">
      <c r="B3048" t="s">
        <v>377</v>
      </c>
      <c r="C3048" t="s">
        <v>376</v>
      </c>
      <c r="D3048">
        <v>676.67669999999998</v>
      </c>
      <c r="E3048">
        <v>363.68939999999998</v>
      </c>
      <c r="F3048" s="6">
        <v>-0.46253594959010702</v>
      </c>
    </row>
    <row r="3049" spans="2:6">
      <c r="B3049" t="s">
        <v>3687</v>
      </c>
      <c r="C3049" t="s">
        <v>3688</v>
      </c>
      <c r="D3049">
        <v>417.0138</v>
      </c>
      <c r="E3049">
        <v>357.66140000000001</v>
      </c>
      <c r="F3049" s="6">
        <v>-0.14232718437615255</v>
      </c>
    </row>
    <row r="3050" spans="2:6">
      <c r="B3050" t="s">
        <v>361</v>
      </c>
      <c r="C3050" t="s">
        <v>360</v>
      </c>
      <c r="D3050">
        <v>282.2484</v>
      </c>
      <c r="E3050">
        <v>353.90495689813065</v>
      </c>
      <c r="F3050" s="6">
        <v>0.25387763720938938</v>
      </c>
    </row>
    <row r="3051" spans="2:6">
      <c r="B3051" t="s">
        <v>3689</v>
      </c>
      <c r="C3051" t="s">
        <v>3690</v>
      </c>
      <c r="D3051">
        <v>324.10860000000002</v>
      </c>
      <c r="E3051">
        <v>353.68150000000003</v>
      </c>
      <c r="F3051" s="6">
        <v>9.1243799146335514E-2</v>
      </c>
    </row>
    <row r="3052" spans="2:6">
      <c r="B3052" t="s">
        <v>3691</v>
      </c>
      <c r="C3052" t="s">
        <v>3692</v>
      </c>
      <c r="D3052">
        <v>277.4667</v>
      </c>
      <c r="E3052">
        <v>353.45460000000003</v>
      </c>
      <c r="F3052" s="6">
        <v>0.27386313384633176</v>
      </c>
    </row>
    <row r="3053" spans="2:6">
      <c r="B3053" t="s">
        <v>3693</v>
      </c>
      <c r="C3053" t="s">
        <v>3694</v>
      </c>
      <c r="D3053">
        <v>167.44049999999999</v>
      </c>
      <c r="E3053">
        <v>343.36810000000003</v>
      </c>
      <c r="F3053" s="6">
        <v>1.0506872590562022</v>
      </c>
    </row>
    <row r="3054" spans="2:6">
      <c r="B3054" t="s">
        <v>3695</v>
      </c>
      <c r="C3054" t="s">
        <v>3696</v>
      </c>
      <c r="D3054">
        <v>158.37389999999999</v>
      </c>
      <c r="E3054">
        <v>339.47840000000002</v>
      </c>
      <c r="F3054" s="6">
        <v>1.1435249116173813</v>
      </c>
    </row>
    <row r="3055" spans="2:6">
      <c r="B3055" t="s">
        <v>375</v>
      </c>
      <c r="C3055" t="s">
        <v>374</v>
      </c>
      <c r="D3055">
        <v>185.55690000000001</v>
      </c>
      <c r="E3055">
        <v>336.12270000000001</v>
      </c>
      <c r="F3055" s="6">
        <v>0.81142657589127642</v>
      </c>
    </row>
    <row r="3056" spans="2:6">
      <c r="B3056" t="s">
        <v>433</v>
      </c>
      <c r="C3056" t="s">
        <v>432</v>
      </c>
      <c r="D3056">
        <v>1423.4405999999999</v>
      </c>
      <c r="E3056">
        <v>331.35669999999999</v>
      </c>
      <c r="F3056" s="6">
        <v>-0.76721424132485749</v>
      </c>
    </row>
    <row r="3057" spans="2:6">
      <c r="B3057" t="s">
        <v>3697</v>
      </c>
      <c r="C3057" t="s">
        <v>3698</v>
      </c>
      <c r="D3057">
        <v>275.04450000000003</v>
      </c>
      <c r="E3057">
        <v>329.31</v>
      </c>
      <c r="F3057" s="6">
        <v>0.19729716464063096</v>
      </c>
    </row>
    <row r="3058" spans="2:6">
      <c r="B3058" t="s">
        <v>3699</v>
      </c>
      <c r="C3058" t="s">
        <v>3700</v>
      </c>
      <c r="D3058">
        <v>119.9705</v>
      </c>
      <c r="E3058">
        <v>328.56950000000001</v>
      </c>
      <c r="F3058" s="6">
        <v>1.73875244330898</v>
      </c>
    </row>
    <row r="3059" spans="2:6">
      <c r="B3059" t="s">
        <v>3701</v>
      </c>
      <c r="C3059" t="s">
        <v>3702</v>
      </c>
      <c r="D3059">
        <v>306.42469999999997</v>
      </c>
      <c r="E3059">
        <v>328.47930000000002</v>
      </c>
      <c r="F3059" s="6">
        <v>7.197396293445002E-2</v>
      </c>
    </row>
    <row r="3060" spans="2:6">
      <c r="B3060" t="s">
        <v>3703</v>
      </c>
      <c r="C3060" t="s">
        <v>3704</v>
      </c>
      <c r="D3060">
        <v>382.38459999999998</v>
      </c>
      <c r="E3060">
        <v>326.01369999999997</v>
      </c>
      <c r="F3060" s="6">
        <v>-0.14741937829086216</v>
      </c>
    </row>
    <row r="3061" spans="2:6">
      <c r="B3061" t="s">
        <v>3705</v>
      </c>
      <c r="C3061" t="s">
        <v>3706</v>
      </c>
      <c r="D3061">
        <v>137.21029999999999</v>
      </c>
      <c r="E3061">
        <v>324.63397378621289</v>
      </c>
      <c r="F3061" s="6">
        <v>1.3659592157892879</v>
      </c>
    </row>
    <row r="3062" spans="2:6">
      <c r="B3062" t="s">
        <v>2373</v>
      </c>
      <c r="C3062" t="s">
        <v>2374</v>
      </c>
      <c r="D3062">
        <v>18654.024206054568</v>
      </c>
      <c r="E3062">
        <v>323.59150351426717</v>
      </c>
      <c r="F3062" s="6">
        <v>-0.98265299219407909</v>
      </c>
    </row>
    <row r="3063" spans="2:6">
      <c r="B3063" t="s">
        <v>3707</v>
      </c>
      <c r="C3063" t="s">
        <v>3708</v>
      </c>
      <c r="D3063">
        <v>105.1628</v>
      </c>
      <c r="E3063">
        <v>322.7122</v>
      </c>
      <c r="F3063" s="6">
        <v>2.0686915905624423</v>
      </c>
    </row>
    <row r="3064" spans="2:6">
      <c r="B3064" t="s">
        <v>3709</v>
      </c>
      <c r="C3064" t="s">
        <v>3710</v>
      </c>
      <c r="D3064">
        <v>226.44300000000001</v>
      </c>
      <c r="E3064">
        <v>322.39749999999998</v>
      </c>
      <c r="F3064" s="6">
        <v>0.42374681487173382</v>
      </c>
    </row>
    <row r="3065" spans="2:6">
      <c r="B3065" t="s">
        <v>3530</v>
      </c>
      <c r="C3065" t="s">
        <v>3531</v>
      </c>
      <c r="D3065">
        <v>403.82830000000001</v>
      </c>
      <c r="E3065">
        <v>322.13319999999999</v>
      </c>
      <c r="F3065" s="6">
        <v>-0.2023015722276027</v>
      </c>
    </row>
    <row r="3066" spans="2:6">
      <c r="B3066" t="s">
        <v>3711</v>
      </c>
      <c r="C3066" t="s">
        <v>3712</v>
      </c>
      <c r="D3066">
        <v>128.22290000000001</v>
      </c>
      <c r="E3066">
        <v>321.97739999999999</v>
      </c>
      <c r="F3066" s="6">
        <v>1.5110756346955183</v>
      </c>
    </row>
    <row r="3067" spans="2:6">
      <c r="B3067" t="s">
        <v>3713</v>
      </c>
      <c r="C3067" t="s">
        <v>3714</v>
      </c>
      <c r="D3067">
        <v>350.34589999999997</v>
      </c>
      <c r="E3067">
        <v>318.39420000000001</v>
      </c>
      <c r="F3067" s="6">
        <v>-9.1200439337237871E-2</v>
      </c>
    </row>
    <row r="3068" spans="2:6">
      <c r="B3068" t="s">
        <v>398</v>
      </c>
      <c r="C3068" t="s">
        <v>397</v>
      </c>
      <c r="D3068">
        <v>788.62629755285116</v>
      </c>
      <c r="E3068">
        <v>315.90050000000002</v>
      </c>
      <c r="F3068" s="6">
        <v>-0.59940000000000004</v>
      </c>
    </row>
    <row r="3069" spans="2:6">
      <c r="B3069" t="s">
        <v>3715</v>
      </c>
      <c r="C3069" t="s">
        <v>3716</v>
      </c>
      <c r="D3069">
        <v>237.9084</v>
      </c>
      <c r="E3069">
        <v>315.74009999999998</v>
      </c>
      <c r="F3069" s="6">
        <v>0.32714986103895449</v>
      </c>
    </row>
    <row r="3070" spans="2:6">
      <c r="B3070" t="s">
        <v>3717</v>
      </c>
      <c r="C3070" t="s">
        <v>3718</v>
      </c>
      <c r="D3070">
        <v>547.25369999999998</v>
      </c>
      <c r="E3070">
        <v>315.5539</v>
      </c>
      <c r="F3070" s="6">
        <v>-0.42338644763845357</v>
      </c>
    </row>
    <row r="3071" spans="2:6">
      <c r="B3071" t="s">
        <v>3131</v>
      </c>
      <c r="C3071" t="s">
        <v>3132</v>
      </c>
      <c r="D3071">
        <v>5909.8712999999998</v>
      </c>
      <c r="E3071">
        <v>311.26990000000001</v>
      </c>
      <c r="F3071" s="6">
        <v>-0.94733051124142076</v>
      </c>
    </row>
    <row r="3072" spans="2:6">
      <c r="B3072" t="s">
        <v>3162</v>
      </c>
      <c r="C3072" t="s">
        <v>3163</v>
      </c>
      <c r="D3072">
        <v>362.03949999999998</v>
      </c>
      <c r="E3072">
        <v>307.33139999999997</v>
      </c>
      <c r="F3072" s="6">
        <v>-0.15111085945041913</v>
      </c>
    </row>
    <row r="3073" spans="2:6">
      <c r="B3073" t="s">
        <v>2320</v>
      </c>
      <c r="C3073" t="s">
        <v>2321</v>
      </c>
      <c r="D3073">
        <v>61683.730499999998</v>
      </c>
      <c r="E3073">
        <v>305.13490000000002</v>
      </c>
      <c r="F3073" s="6">
        <v>-0.99505323530975487</v>
      </c>
    </row>
    <row r="3074" spans="2:6">
      <c r="B3074" t="s">
        <v>3719</v>
      </c>
      <c r="C3074" t="s">
        <v>3720</v>
      </c>
      <c r="D3074">
        <v>117.7376</v>
      </c>
      <c r="E3074">
        <v>304.7251</v>
      </c>
      <c r="F3074" s="6">
        <v>1.5881714932188187</v>
      </c>
    </row>
    <row r="3075" spans="2:6">
      <c r="B3075" t="s">
        <v>3115</v>
      </c>
      <c r="C3075" t="s">
        <v>3116</v>
      </c>
      <c r="D3075">
        <v>391.50990000000002</v>
      </c>
      <c r="E3075">
        <v>298.18119999999999</v>
      </c>
      <c r="F3075" s="6">
        <v>-0.23838145599894156</v>
      </c>
    </row>
    <row r="3076" spans="2:6">
      <c r="B3076" t="s">
        <v>3199</v>
      </c>
      <c r="C3076" t="s">
        <v>3200</v>
      </c>
      <c r="D3076">
        <v>282.08297586626884</v>
      </c>
      <c r="E3076">
        <v>295.10520000000002</v>
      </c>
      <c r="F3076" s="6">
        <v>4.6199999999999998E-2</v>
      </c>
    </row>
    <row r="3077" spans="2:6">
      <c r="B3077" t="s">
        <v>3721</v>
      </c>
      <c r="C3077" t="s">
        <v>3722</v>
      </c>
      <c r="D3077">
        <v>148.6046</v>
      </c>
      <c r="E3077">
        <v>293.68029999999999</v>
      </c>
      <c r="F3077" s="6">
        <v>0.97625309041577446</v>
      </c>
    </row>
    <row r="3078" spans="2:6">
      <c r="B3078" t="s">
        <v>3723</v>
      </c>
      <c r="C3078" t="s">
        <v>3724</v>
      </c>
      <c r="D3078">
        <v>347.62</v>
      </c>
      <c r="E3078">
        <v>291.0847</v>
      </c>
      <c r="F3078" s="6">
        <v>-0.16263534894424947</v>
      </c>
    </row>
    <row r="3079" spans="2:6">
      <c r="B3079" t="s">
        <v>3725</v>
      </c>
      <c r="C3079" t="s">
        <v>3726</v>
      </c>
      <c r="D3079">
        <v>154.03200000000001</v>
      </c>
      <c r="E3079">
        <v>290.01830000000001</v>
      </c>
      <c r="F3079" s="6">
        <v>0.88284447387555831</v>
      </c>
    </row>
    <row r="3080" spans="2:6">
      <c r="B3080" t="s">
        <v>2560</v>
      </c>
      <c r="C3080" t="s">
        <v>2561</v>
      </c>
      <c r="D3080">
        <v>7891.7278196003717</v>
      </c>
      <c r="E3080">
        <v>285.08960000000002</v>
      </c>
      <c r="F3080" s="6">
        <v>-0.96389999999999998</v>
      </c>
    </row>
    <row r="3081" spans="2:6">
      <c r="B3081" t="s">
        <v>3727</v>
      </c>
      <c r="C3081" t="s">
        <v>3728</v>
      </c>
      <c r="D3081">
        <v>126.2115</v>
      </c>
      <c r="E3081">
        <v>284.9649</v>
      </c>
      <c r="F3081" s="6">
        <v>1.2578362510547771</v>
      </c>
    </row>
    <row r="3082" spans="2:6">
      <c r="B3082" t="s">
        <v>3729</v>
      </c>
      <c r="C3082" t="s">
        <v>3730</v>
      </c>
      <c r="D3082">
        <v>253.4617064706822</v>
      </c>
      <c r="E3082">
        <v>283.0591</v>
      </c>
      <c r="F3082" s="6">
        <v>0.1168</v>
      </c>
    </row>
    <row r="3083" spans="2:6">
      <c r="B3083" t="s">
        <v>3731</v>
      </c>
      <c r="C3083" t="s">
        <v>3732</v>
      </c>
      <c r="D3083">
        <v>55.114699999999999</v>
      </c>
      <c r="E3083">
        <v>281.96640000000002</v>
      </c>
      <c r="F3083" s="6">
        <v>4.1159926480594109</v>
      </c>
    </row>
    <row r="3084" spans="2:6">
      <c r="B3084" t="s">
        <v>3733</v>
      </c>
      <c r="C3084" t="s">
        <v>3734</v>
      </c>
      <c r="D3084">
        <v>244.24379999999999</v>
      </c>
      <c r="E3084">
        <v>280.6995</v>
      </c>
      <c r="F3084" s="6">
        <v>0.1492594694317726</v>
      </c>
    </row>
    <row r="3085" spans="2:6">
      <c r="B3085" t="s">
        <v>3735</v>
      </c>
      <c r="C3085" t="s">
        <v>3736</v>
      </c>
      <c r="D3085">
        <v>303.91059999999999</v>
      </c>
      <c r="E3085">
        <v>276.95310000000001</v>
      </c>
      <c r="F3085" s="6">
        <v>-8.8702072254143172E-2</v>
      </c>
    </row>
    <row r="3086" spans="2:6">
      <c r="B3086" t="s">
        <v>3737</v>
      </c>
      <c r="C3086" t="s">
        <v>3738</v>
      </c>
      <c r="D3086">
        <v>209.42490000000001</v>
      </c>
      <c r="E3086">
        <v>276.31040000000002</v>
      </c>
      <c r="F3086" s="6">
        <v>0.31937701772807348</v>
      </c>
    </row>
    <row r="3087" spans="2:6">
      <c r="B3087" t="s">
        <v>3739</v>
      </c>
      <c r="C3087" t="s">
        <v>3740</v>
      </c>
      <c r="D3087">
        <v>583.4085</v>
      </c>
      <c r="E3087">
        <v>274.82960000000003</v>
      </c>
      <c r="F3087" s="6">
        <v>-0.52892424433308738</v>
      </c>
    </row>
    <row r="3088" spans="2:6">
      <c r="B3088" t="s">
        <v>3741</v>
      </c>
      <c r="C3088" t="s">
        <v>3742</v>
      </c>
      <c r="D3088">
        <v>222.78059999999999</v>
      </c>
      <c r="E3088">
        <v>273.75779999999997</v>
      </c>
      <c r="F3088" s="6">
        <v>0.22882243786038825</v>
      </c>
    </row>
    <row r="3089" spans="2:6">
      <c r="B3089" t="s">
        <v>3743</v>
      </c>
      <c r="C3089" t="s">
        <v>3744</v>
      </c>
      <c r="D3089">
        <v>420.89429999999999</v>
      </c>
      <c r="E3089">
        <v>273.03190000000001</v>
      </c>
      <c r="F3089" s="6">
        <v>-0.351305303968241</v>
      </c>
    </row>
    <row r="3090" spans="2:6">
      <c r="B3090" t="s">
        <v>649</v>
      </c>
      <c r="C3090" t="s">
        <v>648</v>
      </c>
      <c r="D3090">
        <v>901.43549790990721</v>
      </c>
      <c r="E3090">
        <v>271.0455</v>
      </c>
      <c r="F3090" s="6">
        <v>-0.69930000000000003</v>
      </c>
    </row>
    <row r="3091" spans="2:6">
      <c r="B3091" t="s">
        <v>371</v>
      </c>
      <c r="C3091" t="s">
        <v>370</v>
      </c>
      <c r="D3091">
        <v>83.420400000000001</v>
      </c>
      <c r="E3091">
        <v>269.44670882175308</v>
      </c>
      <c r="F3091" s="6">
        <v>2.2299858166797697</v>
      </c>
    </row>
    <row r="3092" spans="2:6">
      <c r="B3092" t="s">
        <v>3745</v>
      </c>
      <c r="C3092" t="s">
        <v>3746</v>
      </c>
      <c r="D3092">
        <v>141.54669999999999</v>
      </c>
      <c r="E3092">
        <v>268.01339999999999</v>
      </c>
      <c r="F3092" s="6">
        <v>0.89346272290346573</v>
      </c>
    </row>
    <row r="3093" spans="2:6">
      <c r="B3093" t="s">
        <v>3747</v>
      </c>
      <c r="C3093" t="s">
        <v>3748</v>
      </c>
      <c r="D3093">
        <v>155.07589999999999</v>
      </c>
      <c r="E3093">
        <v>267.87380000000002</v>
      </c>
      <c r="F3093" s="6">
        <v>0.72737220935038915</v>
      </c>
    </row>
    <row r="3094" spans="2:6">
      <c r="B3094" t="s">
        <v>3749</v>
      </c>
      <c r="C3094" t="s">
        <v>3750</v>
      </c>
      <c r="D3094">
        <v>349.21210000000002</v>
      </c>
      <c r="E3094">
        <v>267.19970000000001</v>
      </c>
      <c r="F3094" s="6">
        <v>-0.23484982335949989</v>
      </c>
    </row>
    <row r="3095" spans="2:6">
      <c r="B3095" t="s">
        <v>3751</v>
      </c>
      <c r="C3095" t="s">
        <v>3752</v>
      </c>
      <c r="D3095">
        <v>166.52510000000001</v>
      </c>
      <c r="E3095">
        <v>267.07670000000002</v>
      </c>
      <c r="F3095" s="6">
        <v>0.60382248682030526</v>
      </c>
    </row>
    <row r="3096" spans="2:6">
      <c r="B3096" t="s">
        <v>3355</v>
      </c>
      <c r="C3096" t="s">
        <v>3356</v>
      </c>
      <c r="D3096">
        <v>4155.5581000000002</v>
      </c>
      <c r="E3096">
        <v>266.78519999999997</v>
      </c>
      <c r="F3096" s="6">
        <v>-0.935800392250562</v>
      </c>
    </row>
    <row r="3097" spans="2:6">
      <c r="B3097" t="s">
        <v>3481</v>
      </c>
      <c r="C3097" t="s">
        <v>3482</v>
      </c>
      <c r="D3097">
        <v>926.78129999999999</v>
      </c>
      <c r="E3097">
        <v>264.31220000000002</v>
      </c>
      <c r="F3097" s="6">
        <v>-0.71480628709275851</v>
      </c>
    </row>
    <row r="3098" spans="2:6">
      <c r="B3098" t="s">
        <v>589</v>
      </c>
      <c r="C3098" t="s">
        <v>588</v>
      </c>
      <c r="D3098">
        <v>2060.6963000000001</v>
      </c>
      <c r="E3098">
        <v>263.7840412987872</v>
      </c>
      <c r="F3098" s="6">
        <v>-0.87199276220431554</v>
      </c>
    </row>
    <row r="3099" spans="2:6">
      <c r="B3099" t="s">
        <v>3520</v>
      </c>
      <c r="C3099" t="s">
        <v>3521</v>
      </c>
      <c r="D3099">
        <v>230.3417</v>
      </c>
      <c r="E3099">
        <v>259.76740000000001</v>
      </c>
      <c r="F3099" s="6">
        <v>0.12774803693816628</v>
      </c>
    </row>
    <row r="3100" spans="2:6">
      <c r="B3100" t="s">
        <v>3753</v>
      </c>
      <c r="C3100" t="s">
        <v>3754</v>
      </c>
      <c r="D3100">
        <v>253.6277</v>
      </c>
      <c r="E3100">
        <v>256.96379999999999</v>
      </c>
      <c r="F3100" s="6">
        <v>1.3153531731747048E-2</v>
      </c>
    </row>
    <row r="3101" spans="2:6">
      <c r="B3101" t="s">
        <v>3755</v>
      </c>
      <c r="C3101" t="s">
        <v>3756</v>
      </c>
      <c r="D3101">
        <v>247.2578</v>
      </c>
      <c r="E3101">
        <v>255.55609999999999</v>
      </c>
      <c r="F3101" s="6">
        <v>3.3561327488961012E-2</v>
      </c>
    </row>
    <row r="3102" spans="2:6">
      <c r="B3102" t="s">
        <v>3757</v>
      </c>
      <c r="C3102" t="s">
        <v>3758</v>
      </c>
      <c r="D3102">
        <v>388.27600000000001</v>
      </c>
      <c r="E3102">
        <v>252.9898</v>
      </c>
      <c r="F3102" s="6">
        <v>-0.34842792240571141</v>
      </c>
    </row>
    <row r="3103" spans="2:6">
      <c r="B3103" t="s">
        <v>3759</v>
      </c>
      <c r="C3103" t="s">
        <v>3760</v>
      </c>
      <c r="D3103">
        <v>232.0866</v>
      </c>
      <c r="E3103">
        <v>251.35900000000001</v>
      </c>
      <c r="F3103" s="6">
        <v>8.303969294220348E-2</v>
      </c>
    </row>
    <row r="3104" spans="2:6">
      <c r="B3104" t="s">
        <v>3761</v>
      </c>
      <c r="C3104" t="s">
        <v>3762</v>
      </c>
      <c r="D3104">
        <v>202.3972</v>
      </c>
      <c r="E3104">
        <v>249.78399999999999</v>
      </c>
      <c r="F3104" s="6">
        <v>0.23412774485022525</v>
      </c>
    </row>
    <row r="3105" spans="2:6">
      <c r="B3105" t="s">
        <v>2428</v>
      </c>
      <c r="C3105" t="s">
        <v>2429</v>
      </c>
      <c r="D3105">
        <v>12000.062407854488</v>
      </c>
      <c r="E3105">
        <v>249.00640000000001</v>
      </c>
      <c r="F3105" s="6">
        <v>-0.97919999999999996</v>
      </c>
    </row>
    <row r="3106" spans="2:6">
      <c r="B3106" t="s">
        <v>3763</v>
      </c>
      <c r="C3106" t="s">
        <v>3764</v>
      </c>
      <c r="D3106">
        <v>261.50819999999999</v>
      </c>
      <c r="E3106">
        <v>246.3296</v>
      </c>
      <c r="F3106" s="6">
        <v>-5.8042539392646142E-2</v>
      </c>
    </row>
    <row r="3107" spans="2:6">
      <c r="B3107" t="s">
        <v>3765</v>
      </c>
      <c r="C3107" t="s">
        <v>3766</v>
      </c>
      <c r="D3107">
        <v>313.29239999999999</v>
      </c>
      <c r="E3107">
        <v>244.94720000000001</v>
      </c>
      <c r="F3107" s="6">
        <v>-0.21815147766112419</v>
      </c>
    </row>
    <row r="3108" spans="2:6">
      <c r="B3108" t="s">
        <v>3767</v>
      </c>
      <c r="C3108" t="s">
        <v>3768</v>
      </c>
      <c r="D3108">
        <v>207.8493</v>
      </c>
      <c r="E3108">
        <v>244.2841</v>
      </c>
      <c r="F3108" s="6">
        <v>0.17529431179224564</v>
      </c>
    </row>
    <row r="3109" spans="2:6">
      <c r="B3109" t="s">
        <v>2002</v>
      </c>
      <c r="C3109" t="s">
        <v>2001</v>
      </c>
      <c r="D3109">
        <v>14120.778261717784</v>
      </c>
      <c r="E3109">
        <v>244.22040000000001</v>
      </c>
      <c r="F3109" s="6">
        <v>-0.98270000000000002</v>
      </c>
    </row>
    <row r="3110" spans="2:6">
      <c r="B3110" t="s">
        <v>3769</v>
      </c>
      <c r="C3110" t="s">
        <v>3770</v>
      </c>
      <c r="D3110">
        <v>309.95710000000003</v>
      </c>
      <c r="E3110">
        <v>243.09450000000001</v>
      </c>
      <c r="F3110" s="6">
        <v>-0.21571565871535126</v>
      </c>
    </row>
    <row r="3111" spans="2:6">
      <c r="B3111" t="s">
        <v>3771</v>
      </c>
      <c r="C3111" t="s">
        <v>3772</v>
      </c>
      <c r="D3111">
        <v>148.0598</v>
      </c>
      <c r="E3111">
        <v>238.1113</v>
      </c>
      <c r="F3111" s="6">
        <v>0.60821033123102963</v>
      </c>
    </row>
    <row r="3112" spans="2:6">
      <c r="B3112" t="s">
        <v>3067</v>
      </c>
      <c r="C3112" t="s">
        <v>3068</v>
      </c>
      <c r="D3112">
        <v>5199.2150127673876</v>
      </c>
      <c r="E3112">
        <v>236.2268</v>
      </c>
      <c r="F3112" s="6">
        <v>-0.9546</v>
      </c>
    </row>
    <row r="3113" spans="2:6">
      <c r="B3113" t="s">
        <v>3240</v>
      </c>
      <c r="C3113" t="s">
        <v>3241</v>
      </c>
      <c r="D3113">
        <v>2181.4577880961838</v>
      </c>
      <c r="E3113">
        <v>235.5188</v>
      </c>
      <c r="F3113" s="6">
        <v>-0.89200000000000002</v>
      </c>
    </row>
    <row r="3114" spans="2:6">
      <c r="B3114" t="s">
        <v>3773</v>
      </c>
      <c r="C3114" t="s">
        <v>3774</v>
      </c>
      <c r="D3114">
        <v>413.11079999999998</v>
      </c>
      <c r="E3114">
        <v>234.7184</v>
      </c>
      <c r="F3114" s="6">
        <v>-0.43182700621721826</v>
      </c>
    </row>
    <row r="3115" spans="2:6">
      <c r="B3115" t="s">
        <v>3775</v>
      </c>
      <c r="C3115" t="s">
        <v>3776</v>
      </c>
      <c r="D3115">
        <v>255.73150000000001</v>
      </c>
      <c r="E3115">
        <v>233.6173</v>
      </c>
      <c r="F3115" s="6">
        <v>-8.6474290417879685E-2</v>
      </c>
    </row>
    <row r="3116" spans="2:6">
      <c r="B3116" t="s">
        <v>461</v>
      </c>
      <c r="C3116" t="s">
        <v>460</v>
      </c>
      <c r="D3116">
        <v>1471.3879999999999</v>
      </c>
      <c r="E3116">
        <v>232.70050000000001</v>
      </c>
      <c r="F3116" s="6">
        <v>-0.84184966847629583</v>
      </c>
    </row>
    <row r="3117" spans="2:6">
      <c r="B3117" t="s">
        <v>3777</v>
      </c>
      <c r="C3117" t="s">
        <v>3778</v>
      </c>
      <c r="D3117">
        <v>374.7</v>
      </c>
      <c r="E3117">
        <v>231.54220000000001</v>
      </c>
      <c r="F3117" s="6">
        <v>-0.38205978115825989</v>
      </c>
    </row>
    <row r="3118" spans="2:6">
      <c r="B3118" t="s">
        <v>3779</v>
      </c>
      <c r="C3118" t="s">
        <v>3780</v>
      </c>
      <c r="D3118">
        <v>301.98790000000002</v>
      </c>
      <c r="E3118">
        <v>231.35290000000001</v>
      </c>
      <c r="F3118" s="6">
        <v>-0.23390009997089289</v>
      </c>
    </row>
    <row r="3119" spans="2:6">
      <c r="B3119" t="s">
        <v>3781</v>
      </c>
      <c r="C3119" t="s">
        <v>3782</v>
      </c>
      <c r="D3119">
        <v>143.28749999999999</v>
      </c>
      <c r="E3119">
        <v>231.24369999999999</v>
      </c>
      <c r="F3119" s="6">
        <v>0.61384419436447701</v>
      </c>
    </row>
    <row r="3120" spans="2:6">
      <c r="B3120" t="s">
        <v>3783</v>
      </c>
      <c r="C3120" t="s">
        <v>3784</v>
      </c>
      <c r="D3120">
        <v>210.50309999999999</v>
      </c>
      <c r="E3120">
        <v>231.10310000000001</v>
      </c>
      <c r="F3120" s="6">
        <v>9.7860791598793462E-2</v>
      </c>
    </row>
    <row r="3121" spans="2:6">
      <c r="B3121" t="s">
        <v>3785</v>
      </c>
      <c r="C3121" t="s">
        <v>3786</v>
      </c>
      <c r="D3121">
        <v>318.83789999999999</v>
      </c>
      <c r="E3121">
        <v>228.15940000000001</v>
      </c>
      <c r="F3121" s="6">
        <v>-0.28440314027911984</v>
      </c>
    </row>
    <row r="3122" spans="2:6">
      <c r="B3122" t="s">
        <v>355</v>
      </c>
      <c r="C3122" t="s">
        <v>354</v>
      </c>
      <c r="D3122">
        <v>138.90430000000001</v>
      </c>
      <c r="E3122">
        <v>227.53729999999999</v>
      </c>
      <c r="F3122" s="6">
        <v>0.63808679788890621</v>
      </c>
    </row>
    <row r="3123" spans="2:6">
      <c r="B3123" t="s">
        <v>3787</v>
      </c>
      <c r="C3123" t="s">
        <v>3788</v>
      </c>
      <c r="D3123">
        <v>258.04719999999998</v>
      </c>
      <c r="E3123">
        <v>224.8434</v>
      </c>
      <c r="F3123" s="6">
        <v>-0.12867335898238774</v>
      </c>
    </row>
    <row r="3124" spans="2:6">
      <c r="B3124" t="s">
        <v>3789</v>
      </c>
      <c r="C3124" t="s">
        <v>3790</v>
      </c>
      <c r="D3124">
        <v>252.62870000000001</v>
      </c>
      <c r="E3124">
        <v>224.79140000000001</v>
      </c>
      <c r="F3124" s="6">
        <v>-0.11019056821335027</v>
      </c>
    </row>
    <row r="3125" spans="2:6">
      <c r="B3125" t="s">
        <v>3791</v>
      </c>
      <c r="C3125" t="s">
        <v>3792</v>
      </c>
      <c r="D3125">
        <v>64.188000000000002</v>
      </c>
      <c r="E3125">
        <v>221.6756</v>
      </c>
      <c r="F3125" s="6">
        <v>2.4535364865706986</v>
      </c>
    </row>
    <row r="3126" spans="2:6">
      <c r="B3126" t="s">
        <v>3793</v>
      </c>
      <c r="C3126" t="s">
        <v>3794</v>
      </c>
      <c r="D3126">
        <v>363.90620000000001</v>
      </c>
      <c r="E3126">
        <v>221.20060000000001</v>
      </c>
      <c r="F3126" s="6">
        <v>-0.39214940553362376</v>
      </c>
    </row>
    <row r="3127" spans="2:6">
      <c r="B3127" t="s">
        <v>3795</v>
      </c>
      <c r="C3127" t="s">
        <v>3796</v>
      </c>
      <c r="D3127">
        <v>186.02539999999999</v>
      </c>
      <c r="E3127">
        <v>221.172</v>
      </c>
      <c r="F3127" s="6">
        <v>0.18893441433266633</v>
      </c>
    </row>
    <row r="3128" spans="2:6">
      <c r="B3128" t="s">
        <v>3797</v>
      </c>
      <c r="C3128" t="s">
        <v>3798</v>
      </c>
      <c r="D3128">
        <v>250.71279999999999</v>
      </c>
      <c r="E3128">
        <v>217.68389999999999</v>
      </c>
      <c r="F3128" s="6">
        <v>-0.13173998296058276</v>
      </c>
    </row>
    <row r="3129" spans="2:6">
      <c r="B3129" t="s">
        <v>3799</v>
      </c>
      <c r="C3129" t="s">
        <v>3800</v>
      </c>
      <c r="D3129">
        <v>479.55470000000003</v>
      </c>
      <c r="E3129">
        <v>217.6387</v>
      </c>
      <c r="F3129" s="6">
        <v>-0.54616501516928095</v>
      </c>
    </row>
    <row r="3130" spans="2:6">
      <c r="B3130" t="s">
        <v>3801</v>
      </c>
      <c r="C3130" t="s">
        <v>3802</v>
      </c>
      <c r="D3130">
        <v>156.06639999999999</v>
      </c>
      <c r="E3130">
        <v>216.4597</v>
      </c>
      <c r="F3130" s="6">
        <v>0.38697182737603986</v>
      </c>
    </row>
    <row r="3131" spans="2:6">
      <c r="B3131" t="s">
        <v>3803</v>
      </c>
      <c r="C3131" t="s">
        <v>3804</v>
      </c>
      <c r="D3131">
        <v>101.17449999999999</v>
      </c>
      <c r="E3131">
        <v>214.85570000000001</v>
      </c>
      <c r="F3131" s="6">
        <v>1.1236151401786025</v>
      </c>
    </row>
    <row r="3132" spans="2:6">
      <c r="B3132" t="s">
        <v>3534</v>
      </c>
      <c r="C3132" t="s">
        <v>3805</v>
      </c>
      <c r="D3132">
        <v>339.98779999999999</v>
      </c>
      <c r="E3132">
        <v>212.0874</v>
      </c>
      <c r="F3132" s="6">
        <v>-0.37619114568228629</v>
      </c>
    </row>
    <row r="3133" spans="2:6">
      <c r="B3133" t="s">
        <v>3806</v>
      </c>
      <c r="C3133" t="s">
        <v>3807</v>
      </c>
      <c r="D3133">
        <v>312.88319999999999</v>
      </c>
      <c r="E3133">
        <v>211.8717</v>
      </c>
      <c r="F3133" s="6">
        <v>-0.32284091955081007</v>
      </c>
    </row>
    <row r="3134" spans="2:6">
      <c r="B3134" t="s">
        <v>3808</v>
      </c>
      <c r="C3134" t="s">
        <v>3809</v>
      </c>
      <c r="D3134">
        <v>279.5548</v>
      </c>
      <c r="E3134">
        <v>211.77979999999999</v>
      </c>
      <c r="F3134" s="6">
        <v>-0.24243904951730399</v>
      </c>
    </row>
    <row r="3135" spans="2:6">
      <c r="B3135" t="s">
        <v>3810</v>
      </c>
      <c r="C3135" t="s">
        <v>3811</v>
      </c>
      <c r="D3135">
        <v>25.191800000000001</v>
      </c>
      <c r="E3135">
        <v>211.76560000000001</v>
      </c>
      <c r="F3135" s="6">
        <v>7.4061321541136405</v>
      </c>
    </row>
    <row r="3136" spans="2:6">
      <c r="B3136" t="s">
        <v>3812</v>
      </c>
      <c r="C3136" t="s">
        <v>3813</v>
      </c>
      <c r="D3136">
        <v>185.39240000000001</v>
      </c>
      <c r="E3136">
        <v>211.00559999999999</v>
      </c>
      <c r="F3136" s="6">
        <v>0.13815668819218052</v>
      </c>
    </row>
    <row r="3137" spans="2:6">
      <c r="B3137" t="s">
        <v>3814</v>
      </c>
      <c r="C3137" t="s">
        <v>3815</v>
      </c>
      <c r="D3137">
        <v>88.633799999999994</v>
      </c>
      <c r="E3137">
        <v>207.23220000000001</v>
      </c>
      <c r="F3137" s="6">
        <v>1.3380719319266463</v>
      </c>
    </row>
    <row r="3138" spans="2:6">
      <c r="B3138" t="s">
        <v>3816</v>
      </c>
      <c r="C3138" t="s">
        <v>3817</v>
      </c>
      <c r="D3138">
        <v>130.7816</v>
      </c>
      <c r="E3138">
        <v>206.38380000000001</v>
      </c>
      <c r="F3138" s="6">
        <v>0.57807979104094165</v>
      </c>
    </row>
    <row r="3139" spans="2:6">
      <c r="B3139" t="s">
        <v>3818</v>
      </c>
      <c r="C3139" t="s">
        <v>3819</v>
      </c>
      <c r="D3139">
        <v>269.08287553398918</v>
      </c>
      <c r="E3139">
        <v>202.05590000000001</v>
      </c>
      <c r="F3139" s="6">
        <v>-0.24909999999999999</v>
      </c>
    </row>
    <row r="3140" spans="2:6">
      <c r="B3140" t="s">
        <v>3820</v>
      </c>
      <c r="C3140" t="s">
        <v>3821</v>
      </c>
      <c r="D3140">
        <v>348.43220000000002</v>
      </c>
      <c r="E3140">
        <v>199.8476</v>
      </c>
      <c r="F3140" s="6">
        <v>-0.42643762545482311</v>
      </c>
    </row>
    <row r="3141" spans="2:6">
      <c r="B3141" t="s">
        <v>3822</v>
      </c>
      <c r="C3141" t="s">
        <v>3823</v>
      </c>
      <c r="D3141">
        <v>475.84710000000001</v>
      </c>
      <c r="E3141">
        <v>199.57679999999999</v>
      </c>
      <c r="F3141" s="6">
        <v>-0.58058628496422493</v>
      </c>
    </row>
    <row r="3142" spans="2:6">
      <c r="B3142" t="s">
        <v>419</v>
      </c>
      <c r="C3142" t="s">
        <v>418</v>
      </c>
      <c r="D3142">
        <v>877.68140000000005</v>
      </c>
      <c r="E3142">
        <v>199.41560000000001</v>
      </c>
      <c r="F3142" s="6">
        <v>-0.77279272410239064</v>
      </c>
    </row>
    <row r="3143" spans="2:6">
      <c r="B3143" t="s">
        <v>3824</v>
      </c>
      <c r="C3143" t="s">
        <v>3825</v>
      </c>
      <c r="D3143">
        <v>196.48570000000001</v>
      </c>
      <c r="E3143">
        <v>198.03149999999999</v>
      </c>
      <c r="F3143" s="6">
        <v>7.8672391934884178E-3</v>
      </c>
    </row>
    <row r="3144" spans="2:6">
      <c r="B3144" t="s">
        <v>3826</v>
      </c>
      <c r="C3144" t="s">
        <v>3827</v>
      </c>
      <c r="D3144">
        <v>173.67320000000001</v>
      </c>
      <c r="E3144">
        <v>197.96889999999999</v>
      </c>
      <c r="F3144" s="6">
        <v>0.13989320171448449</v>
      </c>
    </row>
    <row r="3145" spans="2:6">
      <c r="B3145" t="s">
        <v>3828</v>
      </c>
      <c r="C3145" t="s">
        <v>3829</v>
      </c>
      <c r="D3145">
        <v>77.197100000000006</v>
      </c>
      <c r="E3145">
        <v>194.28899999999999</v>
      </c>
      <c r="F3145" s="6">
        <v>1.5167914338751065</v>
      </c>
    </row>
    <row r="3146" spans="2:6">
      <c r="B3146" t="s">
        <v>3830</v>
      </c>
      <c r="C3146" t="s">
        <v>3831</v>
      </c>
      <c r="D3146">
        <v>215.94640000000001</v>
      </c>
      <c r="E3146">
        <v>193.8059371335676</v>
      </c>
      <c r="F3146" s="6">
        <v>-0.10252758493048464</v>
      </c>
    </row>
    <row r="3147" spans="2:6">
      <c r="B3147" t="s">
        <v>3832</v>
      </c>
      <c r="C3147" t="s">
        <v>3833</v>
      </c>
      <c r="D3147">
        <v>177.8965</v>
      </c>
      <c r="E3147">
        <v>192.04920000000001</v>
      </c>
      <c r="F3147" s="6">
        <v>7.9555809136211186E-2</v>
      </c>
    </row>
    <row r="3148" spans="2:6">
      <c r="B3148" t="s">
        <v>3834</v>
      </c>
      <c r="C3148" t="s">
        <v>3835</v>
      </c>
      <c r="D3148">
        <v>310.72919999999999</v>
      </c>
      <c r="E3148">
        <v>191.78270000000001</v>
      </c>
      <c r="F3148" s="6">
        <v>-0.38279794753759866</v>
      </c>
    </row>
    <row r="3149" spans="2:6">
      <c r="B3149" t="s">
        <v>3315</v>
      </c>
      <c r="C3149" t="s">
        <v>3316</v>
      </c>
      <c r="D3149">
        <v>2089.7261180196506</v>
      </c>
      <c r="E3149">
        <v>190.17670000000001</v>
      </c>
      <c r="F3149" s="6">
        <v>-0.90900000000000003</v>
      </c>
    </row>
    <row r="3150" spans="2:6">
      <c r="B3150" t="s">
        <v>3836</v>
      </c>
      <c r="C3150" t="s">
        <v>3837</v>
      </c>
      <c r="D3150">
        <v>116.85620429173699</v>
      </c>
      <c r="E3150">
        <v>190.12719999999999</v>
      </c>
      <c r="F3150" s="6">
        <v>0.627</v>
      </c>
    </row>
    <row r="3151" spans="2:6">
      <c r="B3151" t="s">
        <v>3838</v>
      </c>
      <c r="C3151" t="s">
        <v>3839</v>
      </c>
      <c r="D3151">
        <v>223.84530000000001</v>
      </c>
      <c r="E3151">
        <v>187.3938</v>
      </c>
      <c r="F3151" s="6">
        <v>-0.16284237372864208</v>
      </c>
    </row>
    <row r="3152" spans="2:6">
      <c r="B3152" t="s">
        <v>3840</v>
      </c>
      <c r="C3152" t="s">
        <v>3841</v>
      </c>
      <c r="D3152">
        <v>222.93899999999999</v>
      </c>
      <c r="E3152">
        <v>185.881</v>
      </c>
      <c r="F3152" s="6">
        <v>-0.16622484177286168</v>
      </c>
    </row>
    <row r="3153" spans="2:6">
      <c r="B3153" t="s">
        <v>3842</v>
      </c>
      <c r="C3153" t="s">
        <v>3843</v>
      </c>
      <c r="D3153">
        <v>63.255699999999997</v>
      </c>
      <c r="E3153">
        <v>184.6378</v>
      </c>
      <c r="F3153" s="6">
        <v>1.9189116553923204</v>
      </c>
    </row>
    <row r="3154" spans="2:6">
      <c r="B3154" t="s">
        <v>3844</v>
      </c>
      <c r="C3154" t="s">
        <v>3845</v>
      </c>
      <c r="D3154">
        <v>228.91390000000001</v>
      </c>
      <c r="E3154">
        <v>182.5617</v>
      </c>
      <c r="F3154" s="6">
        <v>-0.20248748546942763</v>
      </c>
    </row>
    <row r="3155" spans="2:6">
      <c r="B3155" t="s">
        <v>3846</v>
      </c>
      <c r="C3155" t="s">
        <v>3847</v>
      </c>
      <c r="D3155">
        <v>84.075599999999994</v>
      </c>
      <c r="E3155">
        <v>182.4178</v>
      </c>
      <c r="F3155" s="6">
        <v>1.1696877572089881</v>
      </c>
    </row>
    <row r="3156" spans="2:6">
      <c r="B3156" t="s">
        <v>3848</v>
      </c>
      <c r="C3156" t="s">
        <v>3849</v>
      </c>
      <c r="D3156">
        <v>285.61829999999998</v>
      </c>
      <c r="E3156">
        <v>181.7124</v>
      </c>
      <c r="F3156" s="6">
        <v>-0.36379286621340434</v>
      </c>
    </row>
    <row r="3157" spans="2:6">
      <c r="B3157" t="s">
        <v>3850</v>
      </c>
      <c r="C3157" t="s">
        <v>3851</v>
      </c>
      <c r="D3157">
        <v>78.909700000000001</v>
      </c>
      <c r="E3157">
        <v>181.0692</v>
      </c>
      <c r="F3157" s="6">
        <v>1.2946380483007793</v>
      </c>
    </row>
    <row r="3158" spans="2:6">
      <c r="B3158" t="s">
        <v>3522</v>
      </c>
      <c r="C3158" t="s">
        <v>3523</v>
      </c>
      <c r="D3158">
        <v>263.2473</v>
      </c>
      <c r="E3158">
        <v>180.22229999999999</v>
      </c>
      <c r="F3158" s="6">
        <v>-0.31538785013179627</v>
      </c>
    </row>
    <row r="3159" spans="2:6">
      <c r="B3159" t="s">
        <v>3852</v>
      </c>
      <c r="C3159" t="s">
        <v>3853</v>
      </c>
      <c r="D3159">
        <v>189.37090000000001</v>
      </c>
      <c r="E3159">
        <v>179.0188</v>
      </c>
      <c r="F3159" s="6">
        <v>-5.4665737977693474E-2</v>
      </c>
    </row>
    <row r="3160" spans="2:6">
      <c r="B3160" t="s">
        <v>832</v>
      </c>
      <c r="C3160" t="s">
        <v>831</v>
      </c>
      <c r="D3160">
        <v>5429.2030702454067</v>
      </c>
      <c r="E3160">
        <v>178.52209999999999</v>
      </c>
      <c r="F3160" s="6">
        <v>-0.96709999999999996</v>
      </c>
    </row>
    <row r="3161" spans="2:6">
      <c r="B3161" t="s">
        <v>413</v>
      </c>
      <c r="C3161" t="s">
        <v>412</v>
      </c>
      <c r="D3161">
        <v>2045.6409000000001</v>
      </c>
      <c r="E3161">
        <v>177.92402083878079</v>
      </c>
      <c r="F3161" s="6">
        <v>-0.91302284734393957</v>
      </c>
    </row>
    <row r="3162" spans="2:6">
      <c r="B3162" t="s">
        <v>3854</v>
      </c>
      <c r="C3162" t="s">
        <v>3855</v>
      </c>
      <c r="D3162">
        <v>184.1129</v>
      </c>
      <c r="E3162">
        <v>176.45670000000001</v>
      </c>
      <c r="F3162" s="6">
        <v>-4.1584267044840417E-2</v>
      </c>
    </row>
    <row r="3163" spans="2:6">
      <c r="B3163" t="s">
        <v>3856</v>
      </c>
      <c r="C3163" t="s">
        <v>3857</v>
      </c>
      <c r="D3163">
        <v>172.46619999999999</v>
      </c>
      <c r="E3163">
        <v>176.39490000000001</v>
      </c>
      <c r="F3163" s="6">
        <v>2.277953593225801E-2</v>
      </c>
    </row>
    <row r="3164" spans="2:6">
      <c r="B3164" t="s">
        <v>3858</v>
      </c>
      <c r="C3164" t="s">
        <v>3859</v>
      </c>
      <c r="D3164">
        <v>240.642</v>
      </c>
      <c r="E3164">
        <v>176.25380000000001</v>
      </c>
      <c r="F3164" s="6">
        <v>-0.26756842114011681</v>
      </c>
    </row>
    <row r="3165" spans="2:6">
      <c r="B3165" t="s">
        <v>3860</v>
      </c>
      <c r="C3165" t="s">
        <v>3861</v>
      </c>
      <c r="D3165">
        <v>88.699700000000007</v>
      </c>
      <c r="E3165">
        <v>175.54089999999999</v>
      </c>
      <c r="F3165" s="6">
        <v>0.9790472797540466</v>
      </c>
    </row>
    <row r="3166" spans="2:6">
      <c r="B3166" t="s">
        <v>441</v>
      </c>
      <c r="C3166" t="s">
        <v>440</v>
      </c>
      <c r="D3166">
        <v>983.30960000000005</v>
      </c>
      <c r="E3166">
        <v>173.6454</v>
      </c>
      <c r="F3166" s="6">
        <v>-0.8234071954550225</v>
      </c>
    </row>
    <row r="3167" spans="2:6">
      <c r="B3167" t="s">
        <v>3862</v>
      </c>
      <c r="C3167" t="s">
        <v>3863</v>
      </c>
      <c r="D3167">
        <v>105.7859</v>
      </c>
      <c r="E3167">
        <v>173.01040998036311</v>
      </c>
      <c r="F3167" s="6">
        <v>0.63547703408831535</v>
      </c>
    </row>
    <row r="3168" spans="2:6">
      <c r="B3168" t="s">
        <v>3864</v>
      </c>
      <c r="C3168" t="s">
        <v>3865</v>
      </c>
      <c r="D3168">
        <v>66.433400000000006</v>
      </c>
      <c r="E3168">
        <v>172.9058</v>
      </c>
      <c r="F3168" s="6">
        <v>1.6026938256961105</v>
      </c>
    </row>
    <row r="3169" spans="2:6">
      <c r="B3169" t="s">
        <v>3866</v>
      </c>
      <c r="C3169" t="s">
        <v>3867</v>
      </c>
      <c r="D3169">
        <v>220.8477</v>
      </c>
      <c r="E3169">
        <v>172.6951</v>
      </c>
      <c r="F3169" s="6">
        <v>-0.21803532479622834</v>
      </c>
    </row>
    <row r="3170" spans="2:6">
      <c r="B3170" t="s">
        <v>3868</v>
      </c>
      <c r="C3170" t="s">
        <v>3869</v>
      </c>
      <c r="D3170">
        <v>181.65369999999999</v>
      </c>
      <c r="E3170">
        <v>172.5223</v>
      </c>
      <c r="F3170" s="6">
        <v>-5.0268175104608348E-2</v>
      </c>
    </row>
    <row r="3171" spans="2:6">
      <c r="B3171" t="s">
        <v>425</v>
      </c>
      <c r="C3171" t="s">
        <v>424</v>
      </c>
      <c r="D3171">
        <v>590.74324605391053</v>
      </c>
      <c r="E3171">
        <v>172.11250000000001</v>
      </c>
      <c r="F3171" s="6">
        <v>-0.7087</v>
      </c>
    </row>
    <row r="3172" spans="2:6">
      <c r="B3172" t="s">
        <v>3870</v>
      </c>
      <c r="C3172" t="s">
        <v>3871</v>
      </c>
      <c r="D3172">
        <v>66.751599999999996</v>
      </c>
      <c r="E3172">
        <v>171.17850000000001</v>
      </c>
      <c r="F3172" s="6">
        <v>1.5644104410980413</v>
      </c>
    </row>
    <row r="3173" spans="2:6">
      <c r="B3173" t="s">
        <v>3872</v>
      </c>
      <c r="C3173" t="s">
        <v>3873</v>
      </c>
      <c r="D3173">
        <v>162.38800000000001</v>
      </c>
      <c r="E3173">
        <v>165.5772</v>
      </c>
      <c r="F3173" s="6">
        <v>1.9639382220361101E-2</v>
      </c>
    </row>
    <row r="3174" spans="2:6">
      <c r="B3174" t="s">
        <v>3874</v>
      </c>
      <c r="C3174" t="s">
        <v>3875</v>
      </c>
      <c r="D3174">
        <v>403.87290000000002</v>
      </c>
      <c r="E3174">
        <v>164.49680000000001</v>
      </c>
      <c r="F3174" s="6">
        <v>-0.59270156526966777</v>
      </c>
    </row>
    <row r="3175" spans="2:6">
      <c r="B3175" t="s">
        <v>3876</v>
      </c>
      <c r="C3175" t="s">
        <v>3877</v>
      </c>
      <c r="D3175">
        <v>285.84699999999998</v>
      </c>
      <c r="E3175">
        <v>163.8819</v>
      </c>
      <c r="F3175" s="6">
        <v>-0.42667965729918456</v>
      </c>
    </row>
    <row r="3176" spans="2:6">
      <c r="B3176" t="s">
        <v>3878</v>
      </c>
      <c r="C3176" t="s">
        <v>3879</v>
      </c>
      <c r="D3176">
        <v>186.10480000000001</v>
      </c>
      <c r="E3176">
        <v>162.3972</v>
      </c>
      <c r="F3176" s="6">
        <v>-0.12738843920199805</v>
      </c>
    </row>
    <row r="3177" spans="2:6">
      <c r="B3177" t="s">
        <v>3880</v>
      </c>
      <c r="C3177" t="s">
        <v>3881</v>
      </c>
      <c r="D3177">
        <v>108.4956</v>
      </c>
      <c r="E3177">
        <v>162.02180000000001</v>
      </c>
      <c r="F3177" s="6">
        <v>0.49334903903937111</v>
      </c>
    </row>
    <row r="3178" spans="2:6">
      <c r="B3178" t="s">
        <v>3882</v>
      </c>
      <c r="C3178" t="s">
        <v>3883</v>
      </c>
      <c r="D3178">
        <v>332.36658121433993</v>
      </c>
      <c r="E3178">
        <v>161.8408</v>
      </c>
      <c r="F3178" s="6">
        <v>-0.5131</v>
      </c>
    </row>
    <row r="3179" spans="2:6">
      <c r="B3179" t="s">
        <v>3884</v>
      </c>
      <c r="C3179" t="s">
        <v>3885</v>
      </c>
      <c r="D3179">
        <v>144.16640000000001</v>
      </c>
      <c r="E3179">
        <v>161.82159999999999</v>
      </c>
      <c r="F3179" s="6">
        <v>0.12246404155198443</v>
      </c>
    </row>
    <row r="3180" spans="2:6">
      <c r="B3180" t="s">
        <v>3886</v>
      </c>
      <c r="C3180" t="s">
        <v>3887</v>
      </c>
      <c r="D3180">
        <v>200.06780000000001</v>
      </c>
      <c r="E3180">
        <v>161.61349999999999</v>
      </c>
      <c r="F3180" s="6">
        <v>-0.19220634205004505</v>
      </c>
    </row>
    <row r="3181" spans="2:6">
      <c r="B3181" t="s">
        <v>3888</v>
      </c>
      <c r="C3181" t="s">
        <v>3889</v>
      </c>
      <c r="D3181">
        <v>47.5822</v>
      </c>
      <c r="E3181">
        <v>161.43638428675195</v>
      </c>
      <c r="F3181" s="6">
        <v>2.3927894104676106</v>
      </c>
    </row>
    <row r="3182" spans="2:6">
      <c r="B3182" t="s">
        <v>3890</v>
      </c>
      <c r="C3182" t="s">
        <v>3891</v>
      </c>
      <c r="D3182">
        <v>236.89189999999999</v>
      </c>
      <c r="E3182">
        <v>160.90180000000001</v>
      </c>
      <c r="F3182" s="6">
        <v>-0.32077964675026882</v>
      </c>
    </row>
    <row r="3183" spans="2:6">
      <c r="B3183" t="s">
        <v>3892</v>
      </c>
      <c r="C3183" t="s">
        <v>3893</v>
      </c>
      <c r="D3183">
        <v>147.56200000000001</v>
      </c>
      <c r="E3183">
        <v>160.0324</v>
      </c>
      <c r="F3183" s="6">
        <v>8.4509562082379031E-2</v>
      </c>
    </row>
    <row r="3184" spans="2:6">
      <c r="B3184" t="s">
        <v>3894</v>
      </c>
      <c r="C3184" t="s">
        <v>3895</v>
      </c>
      <c r="D3184">
        <v>165.26259999999999</v>
      </c>
      <c r="E3184">
        <v>160.00200000000001</v>
      </c>
      <c r="F3184" s="6">
        <v>-3.1831763508501032E-2</v>
      </c>
    </row>
    <row r="3185" spans="2:6">
      <c r="B3185" t="s">
        <v>3896</v>
      </c>
      <c r="C3185" t="s">
        <v>3897</v>
      </c>
      <c r="D3185">
        <v>262.09550000000002</v>
      </c>
      <c r="E3185">
        <v>158.8177</v>
      </c>
      <c r="F3185" s="6">
        <v>-0.39404644490271679</v>
      </c>
    </row>
    <row r="3186" spans="2:6">
      <c r="B3186" t="s">
        <v>3898</v>
      </c>
      <c r="C3186" t="s">
        <v>3899</v>
      </c>
      <c r="D3186">
        <v>157.1567</v>
      </c>
      <c r="E3186">
        <v>155.3886</v>
      </c>
      <c r="F3186" s="6">
        <v>-1.1250554382982059E-2</v>
      </c>
    </row>
    <row r="3187" spans="2:6">
      <c r="B3187" t="s">
        <v>627</v>
      </c>
      <c r="C3187" t="s">
        <v>626</v>
      </c>
      <c r="D3187">
        <v>2401.5424677884039</v>
      </c>
      <c r="E3187">
        <v>153.3673</v>
      </c>
      <c r="F3187" s="6">
        <v>-0.93610000000000004</v>
      </c>
    </row>
    <row r="3188" spans="2:6">
      <c r="B3188" t="s">
        <v>3900</v>
      </c>
      <c r="C3188" t="s">
        <v>3901</v>
      </c>
      <c r="D3188">
        <v>119.6062</v>
      </c>
      <c r="E3188">
        <v>153.3623</v>
      </c>
      <c r="F3188" s="6">
        <v>0.28222700829890091</v>
      </c>
    </row>
    <row r="3189" spans="2:6">
      <c r="B3189" t="s">
        <v>3494</v>
      </c>
      <c r="C3189" t="s">
        <v>3495</v>
      </c>
      <c r="D3189">
        <v>1468.5459000000001</v>
      </c>
      <c r="E3189">
        <v>150.5085</v>
      </c>
      <c r="F3189" s="6">
        <v>-0.89751188573676854</v>
      </c>
    </row>
    <row r="3190" spans="2:6">
      <c r="B3190" t="s">
        <v>3902</v>
      </c>
      <c r="C3190" t="s">
        <v>3903</v>
      </c>
      <c r="D3190">
        <v>139.68450000000001</v>
      </c>
      <c r="E3190">
        <v>149.6842</v>
      </c>
      <c r="F3190" s="6">
        <v>7.1587756694550864E-2</v>
      </c>
    </row>
    <row r="3191" spans="2:6">
      <c r="B3191" t="s">
        <v>3904</v>
      </c>
      <c r="C3191" t="s">
        <v>3905</v>
      </c>
      <c r="D3191">
        <v>40.796399999999998</v>
      </c>
      <c r="E3191">
        <v>149.31970000000001</v>
      </c>
      <c r="F3191" s="6">
        <v>2.6601195203498347</v>
      </c>
    </row>
    <row r="3192" spans="2:6">
      <c r="B3192" t="s">
        <v>3906</v>
      </c>
      <c r="C3192" t="s">
        <v>3907</v>
      </c>
      <c r="D3192">
        <v>150.49719999999999</v>
      </c>
      <c r="E3192">
        <v>149.06180000000001</v>
      </c>
      <c r="F3192" s="6">
        <v>-9.537718974173659E-3</v>
      </c>
    </row>
    <row r="3193" spans="2:6">
      <c r="B3193" t="s">
        <v>3908</v>
      </c>
      <c r="C3193" t="s">
        <v>3909</v>
      </c>
      <c r="D3193">
        <v>132.07589999999999</v>
      </c>
      <c r="E3193">
        <v>145.45769999999999</v>
      </c>
      <c r="F3193" s="6">
        <v>0.10131901429405366</v>
      </c>
    </row>
    <row r="3194" spans="2:6">
      <c r="B3194" t="s">
        <v>3910</v>
      </c>
      <c r="C3194" t="s">
        <v>3911</v>
      </c>
      <c r="D3194">
        <v>37.274700000000003</v>
      </c>
      <c r="E3194">
        <v>143.64410000000001</v>
      </c>
      <c r="F3194" s="6">
        <v>2.8536621354430753</v>
      </c>
    </row>
    <row r="3195" spans="2:6">
      <c r="B3195" t="s">
        <v>3912</v>
      </c>
      <c r="C3195" t="s">
        <v>3913</v>
      </c>
      <c r="D3195">
        <v>53.3279</v>
      </c>
      <c r="E3195">
        <v>143.48849999999999</v>
      </c>
      <c r="F3195" s="6">
        <v>1.6906834883803787</v>
      </c>
    </row>
    <row r="3196" spans="2:6">
      <c r="B3196" t="s">
        <v>3914</v>
      </c>
      <c r="C3196" t="s">
        <v>3915</v>
      </c>
      <c r="D3196">
        <v>65.573899999999995</v>
      </c>
      <c r="E3196">
        <v>143.30099999999999</v>
      </c>
      <c r="F3196" s="6">
        <v>1.1853359339615306</v>
      </c>
    </row>
    <row r="3197" spans="2:6">
      <c r="B3197" t="s">
        <v>3916</v>
      </c>
      <c r="C3197" t="s">
        <v>3917</v>
      </c>
      <c r="D3197">
        <v>325.26749999999998</v>
      </c>
      <c r="E3197">
        <v>142.84889999999999</v>
      </c>
      <c r="F3197" s="6">
        <v>-0.56082639673499513</v>
      </c>
    </row>
    <row r="3198" spans="2:6">
      <c r="B3198" t="s">
        <v>3918</v>
      </c>
      <c r="C3198" t="s">
        <v>3919</v>
      </c>
      <c r="D3198">
        <v>281.07659999999998</v>
      </c>
      <c r="E3198">
        <v>142.21250000000001</v>
      </c>
      <c r="F3198" s="6">
        <v>-0.49404361657996432</v>
      </c>
    </row>
    <row r="3199" spans="2:6">
      <c r="B3199" t="s">
        <v>3920</v>
      </c>
      <c r="C3199" t="s">
        <v>3921</v>
      </c>
      <c r="D3199">
        <v>156.90090000000001</v>
      </c>
      <c r="E3199">
        <v>141.37309999999999</v>
      </c>
      <c r="F3199" s="6">
        <v>-9.896565284201686E-2</v>
      </c>
    </row>
    <row r="3200" spans="2:6">
      <c r="B3200" t="s">
        <v>3922</v>
      </c>
      <c r="C3200" t="s">
        <v>3923</v>
      </c>
      <c r="D3200">
        <v>287.8689</v>
      </c>
      <c r="E3200">
        <v>141.3099</v>
      </c>
      <c r="F3200" s="6">
        <v>-0.50911717104556975</v>
      </c>
    </row>
    <row r="3201" spans="2:6">
      <c r="B3201" t="s">
        <v>3924</v>
      </c>
      <c r="C3201" t="s">
        <v>3925</v>
      </c>
      <c r="D3201">
        <v>52.971499999999999</v>
      </c>
      <c r="E3201">
        <v>135.85759999999999</v>
      </c>
      <c r="F3201" s="6">
        <v>1.5647300907091548</v>
      </c>
    </row>
    <row r="3202" spans="2:6">
      <c r="B3202" t="s">
        <v>3926</v>
      </c>
      <c r="C3202" t="s">
        <v>3927</v>
      </c>
      <c r="D3202">
        <v>161.6437</v>
      </c>
      <c r="E3202">
        <v>135.72739999999999</v>
      </c>
      <c r="F3202" s="6">
        <v>-0.16032978705634682</v>
      </c>
    </row>
    <row r="3203" spans="2:6">
      <c r="B3203" t="s">
        <v>3928</v>
      </c>
      <c r="C3203" t="s">
        <v>3929</v>
      </c>
      <c r="D3203">
        <v>80.226699999999994</v>
      </c>
      <c r="E3203">
        <v>134.2259</v>
      </c>
      <c r="F3203" s="6">
        <v>0.67308265203479634</v>
      </c>
    </row>
    <row r="3204" spans="2:6">
      <c r="B3204" t="s">
        <v>357</v>
      </c>
      <c r="C3204" t="s">
        <v>356</v>
      </c>
      <c r="D3204">
        <v>229.0763</v>
      </c>
      <c r="E3204">
        <v>129.55969999999999</v>
      </c>
      <c r="F3204" s="6">
        <v>-0.43442556039188684</v>
      </c>
    </row>
    <row r="3205" spans="2:6">
      <c r="B3205" t="s">
        <v>3930</v>
      </c>
      <c r="C3205" t="s">
        <v>3931</v>
      </c>
      <c r="D3205">
        <v>376.92009999999999</v>
      </c>
      <c r="E3205">
        <v>129.39750000000001</v>
      </c>
      <c r="F3205" s="6">
        <v>-0.65669779881730905</v>
      </c>
    </row>
    <row r="3206" spans="2:6">
      <c r="B3206" t="s">
        <v>938</v>
      </c>
      <c r="C3206" t="s">
        <v>937</v>
      </c>
      <c r="D3206">
        <v>3212.2741104734246</v>
      </c>
      <c r="E3206">
        <v>128.40979999999999</v>
      </c>
      <c r="F3206" s="6">
        <v>-0.96</v>
      </c>
    </row>
    <row r="3207" spans="2:6">
      <c r="B3207" t="s">
        <v>3932</v>
      </c>
      <c r="C3207" t="s">
        <v>3933</v>
      </c>
      <c r="D3207">
        <v>465.55290000000002</v>
      </c>
      <c r="E3207">
        <v>127.0149</v>
      </c>
      <c r="F3207" s="6">
        <v>-0.72717407624353747</v>
      </c>
    </row>
    <row r="3208" spans="2:6">
      <c r="B3208" t="s">
        <v>3934</v>
      </c>
      <c r="C3208" t="s">
        <v>3935</v>
      </c>
      <c r="D3208">
        <v>151.6069</v>
      </c>
      <c r="E3208">
        <v>126.2491</v>
      </c>
      <c r="F3208" s="6">
        <v>-0.16726019726015107</v>
      </c>
    </row>
    <row r="3209" spans="2:6">
      <c r="B3209" t="s">
        <v>3936</v>
      </c>
      <c r="C3209" t="s">
        <v>3937</v>
      </c>
      <c r="D3209">
        <v>303.53519999999997</v>
      </c>
      <c r="E3209">
        <v>125.5819</v>
      </c>
      <c r="F3209" s="6">
        <v>-0.5862690719231245</v>
      </c>
    </row>
    <row r="3210" spans="2:6">
      <c r="B3210" t="s">
        <v>3938</v>
      </c>
      <c r="C3210" t="s">
        <v>3939</v>
      </c>
      <c r="D3210">
        <v>404.32330000000002</v>
      </c>
      <c r="E3210">
        <v>125.3436</v>
      </c>
      <c r="F3210" s="6">
        <v>-0.68999164777295796</v>
      </c>
    </row>
    <row r="3211" spans="2:6">
      <c r="B3211" t="s">
        <v>3940</v>
      </c>
      <c r="C3211" t="s">
        <v>3941</v>
      </c>
      <c r="D3211">
        <v>113.331</v>
      </c>
      <c r="E3211">
        <v>124.71550000000001</v>
      </c>
      <c r="F3211" s="6">
        <v>0.10045353874932728</v>
      </c>
    </row>
    <row r="3212" spans="2:6">
      <c r="B3212" t="s">
        <v>3396</v>
      </c>
      <c r="C3212" t="s">
        <v>3397</v>
      </c>
      <c r="D3212">
        <v>2943.5331999999999</v>
      </c>
      <c r="E3212">
        <v>124.27930000000001</v>
      </c>
      <c r="F3212" s="6">
        <v>-0.95777886928538802</v>
      </c>
    </row>
    <row r="3213" spans="2:6">
      <c r="B3213" t="s">
        <v>3942</v>
      </c>
      <c r="C3213" t="s">
        <v>3943</v>
      </c>
      <c r="D3213">
        <v>88.682699999999997</v>
      </c>
      <c r="E3213">
        <v>121.80549999999999</v>
      </c>
      <c r="F3213" s="6">
        <v>0.37349787500831622</v>
      </c>
    </row>
    <row r="3214" spans="2:6">
      <c r="B3214" t="s">
        <v>383</v>
      </c>
      <c r="C3214" t="s">
        <v>382</v>
      </c>
      <c r="D3214">
        <v>866.51099999999997</v>
      </c>
      <c r="E3214">
        <v>121.1743</v>
      </c>
      <c r="F3214" s="6">
        <v>-0.86015838229405051</v>
      </c>
    </row>
    <row r="3215" spans="2:6">
      <c r="B3215" t="s">
        <v>3944</v>
      </c>
      <c r="C3215" t="s">
        <v>3945</v>
      </c>
      <c r="D3215">
        <v>174.73650000000001</v>
      </c>
      <c r="E3215">
        <v>120.9577</v>
      </c>
      <c r="F3215" s="6">
        <v>-0.30777084352725392</v>
      </c>
    </row>
    <row r="3216" spans="2:6">
      <c r="B3216" t="s">
        <v>3946</v>
      </c>
      <c r="C3216" t="s">
        <v>3947</v>
      </c>
      <c r="D3216">
        <v>97.337599999999995</v>
      </c>
      <c r="E3216">
        <v>120.30119999999999</v>
      </c>
      <c r="F3216" s="6">
        <v>0.23591705569070953</v>
      </c>
    </row>
    <row r="3217" spans="2:6">
      <c r="B3217" t="s">
        <v>3948</v>
      </c>
      <c r="C3217" t="s">
        <v>3949</v>
      </c>
      <c r="D3217">
        <v>121.87990000000001</v>
      </c>
      <c r="E3217">
        <v>119.72750000000001</v>
      </c>
      <c r="F3217" s="6">
        <v>-1.7660007925835219E-2</v>
      </c>
    </row>
    <row r="3218" spans="2:6">
      <c r="B3218" t="s">
        <v>3950</v>
      </c>
      <c r="C3218" t="s">
        <v>3951</v>
      </c>
      <c r="D3218">
        <v>68.630700000000004</v>
      </c>
      <c r="E3218">
        <v>119.70059999999999</v>
      </c>
      <c r="F3218" s="6">
        <v>0.74412617094099298</v>
      </c>
    </row>
    <row r="3219" spans="2:6">
      <c r="B3219" t="s">
        <v>487</v>
      </c>
      <c r="C3219" t="s">
        <v>486</v>
      </c>
      <c r="D3219">
        <v>2314.4872803720896</v>
      </c>
      <c r="E3219">
        <v>119.27760000000001</v>
      </c>
      <c r="F3219" s="6">
        <v>-0.94850000000000001</v>
      </c>
    </row>
    <row r="3220" spans="2:6">
      <c r="B3220" t="s">
        <v>3952</v>
      </c>
      <c r="C3220" t="s">
        <v>3953</v>
      </c>
      <c r="D3220">
        <v>82.256299999999996</v>
      </c>
      <c r="E3220">
        <v>118.4546</v>
      </c>
      <c r="F3220" s="6">
        <v>0.44006720457885895</v>
      </c>
    </row>
    <row r="3221" spans="2:6">
      <c r="B3221" t="s">
        <v>411</v>
      </c>
      <c r="C3221" t="s">
        <v>410</v>
      </c>
      <c r="D3221">
        <v>1168.8040000000001</v>
      </c>
      <c r="E3221">
        <v>116.5318</v>
      </c>
      <c r="F3221" s="6">
        <v>-0.90029825359940585</v>
      </c>
    </row>
    <row r="3222" spans="2:6">
      <c r="B3222" t="s">
        <v>3954</v>
      </c>
      <c r="C3222" t="s">
        <v>3955</v>
      </c>
      <c r="D3222">
        <v>180.8287</v>
      </c>
      <c r="E3222">
        <v>115.5718</v>
      </c>
      <c r="F3222" s="6">
        <v>-0.36087689620065844</v>
      </c>
    </row>
    <row r="3223" spans="2:6">
      <c r="B3223" t="s">
        <v>3956</v>
      </c>
      <c r="C3223" t="s">
        <v>3957</v>
      </c>
      <c r="D3223">
        <v>102.6778</v>
      </c>
      <c r="E3223">
        <v>114.8518</v>
      </c>
      <c r="F3223" s="6">
        <v>0.11856506469752959</v>
      </c>
    </row>
    <row r="3224" spans="2:6">
      <c r="B3224" t="s">
        <v>3515</v>
      </c>
      <c r="C3224" t="s">
        <v>2311</v>
      </c>
      <c r="D3224">
        <v>394.14929999999998</v>
      </c>
      <c r="E3224">
        <v>113.5171</v>
      </c>
      <c r="F3224" s="6">
        <v>-0.71199466801031996</v>
      </c>
    </row>
    <row r="3225" spans="2:6">
      <c r="B3225" t="s">
        <v>3492</v>
      </c>
      <c r="C3225" t="s">
        <v>2311</v>
      </c>
      <c r="D3225">
        <v>639.39909999999998</v>
      </c>
      <c r="E3225">
        <v>113.5171</v>
      </c>
      <c r="F3225" s="6">
        <v>-0.82246284050133944</v>
      </c>
    </row>
    <row r="3226" spans="2:6">
      <c r="B3226" t="s">
        <v>3958</v>
      </c>
      <c r="C3226" t="s">
        <v>3959</v>
      </c>
      <c r="D3226">
        <v>136.12809999999999</v>
      </c>
      <c r="E3226">
        <v>112.9263</v>
      </c>
      <c r="F3226" s="6">
        <v>-0.17044093027082574</v>
      </c>
    </row>
    <row r="3227" spans="2:6">
      <c r="B3227" t="s">
        <v>3960</v>
      </c>
      <c r="C3227" t="s">
        <v>3961</v>
      </c>
      <c r="D3227">
        <v>72.842799999999997</v>
      </c>
      <c r="E3227">
        <v>112.2436</v>
      </c>
      <c r="F3227" s="6">
        <v>0.54090177752639934</v>
      </c>
    </row>
    <row r="3228" spans="2:6">
      <c r="B3228" t="s">
        <v>3962</v>
      </c>
      <c r="C3228" t="s">
        <v>3963</v>
      </c>
      <c r="D3228">
        <v>65.907799999999995</v>
      </c>
      <c r="E3228">
        <v>111.9986</v>
      </c>
      <c r="F3228" s="6">
        <v>0.69932238672812619</v>
      </c>
    </row>
    <row r="3229" spans="2:6">
      <c r="B3229" t="s">
        <v>3964</v>
      </c>
      <c r="C3229" t="s">
        <v>3965</v>
      </c>
      <c r="D3229">
        <v>86.110799999999998</v>
      </c>
      <c r="E3229">
        <v>110.6771</v>
      </c>
      <c r="F3229" s="6">
        <v>0.28528709523079576</v>
      </c>
    </row>
    <row r="3230" spans="2:6">
      <c r="B3230" t="s">
        <v>3966</v>
      </c>
      <c r="C3230" t="s">
        <v>3967</v>
      </c>
      <c r="D3230">
        <v>107.6707</v>
      </c>
      <c r="E3230">
        <v>110.3379</v>
      </c>
      <c r="F3230" s="6">
        <v>2.4771827433089921E-2</v>
      </c>
    </row>
    <row r="3231" spans="2:6">
      <c r="B3231" t="s">
        <v>3968</v>
      </c>
      <c r="C3231" t="s">
        <v>3969</v>
      </c>
      <c r="D3231">
        <v>160.28489999999999</v>
      </c>
      <c r="E3231">
        <v>110.25839999999999</v>
      </c>
      <c r="F3231" s="6">
        <v>-0.31210987435497672</v>
      </c>
    </row>
    <row r="3232" spans="2:6">
      <c r="B3232" t="s">
        <v>3970</v>
      </c>
      <c r="C3232" t="s">
        <v>3971</v>
      </c>
      <c r="D3232">
        <v>197.09739999999999</v>
      </c>
      <c r="E3232">
        <v>109.2492</v>
      </c>
      <c r="F3232" s="6">
        <v>-0.44570958318070153</v>
      </c>
    </row>
    <row r="3233" spans="2:6">
      <c r="B3233" t="s">
        <v>3972</v>
      </c>
      <c r="C3233" t="s">
        <v>3973</v>
      </c>
      <c r="D3233">
        <v>127.0788</v>
      </c>
      <c r="E3233">
        <v>109.1241</v>
      </c>
      <c r="F3233" s="6">
        <v>-0.14128792528730205</v>
      </c>
    </row>
    <row r="3234" spans="2:6">
      <c r="B3234" t="s">
        <v>3974</v>
      </c>
      <c r="C3234" t="s">
        <v>3975</v>
      </c>
      <c r="D3234">
        <v>99.5312001100705</v>
      </c>
      <c r="E3234">
        <v>108.91957053142754</v>
      </c>
      <c r="F3234" s="6">
        <v>9.4325903947451106E-2</v>
      </c>
    </row>
    <row r="3235" spans="2:6">
      <c r="B3235" t="s">
        <v>3976</v>
      </c>
      <c r="C3235" t="s">
        <v>3977</v>
      </c>
      <c r="D3235">
        <v>138.9299</v>
      </c>
      <c r="E3235">
        <v>108.6409</v>
      </c>
      <c r="F3235" s="6">
        <v>-0.21801642411028876</v>
      </c>
    </row>
    <row r="3236" spans="2:6">
      <c r="B3236" t="s">
        <v>3978</v>
      </c>
      <c r="C3236" t="s">
        <v>3979</v>
      </c>
      <c r="D3236">
        <v>48.948099999999997</v>
      </c>
      <c r="E3236">
        <v>108.30880000000001</v>
      </c>
      <c r="F3236" s="6">
        <v>1.2127273581609908</v>
      </c>
    </row>
    <row r="3237" spans="2:6">
      <c r="B3237" t="s">
        <v>3980</v>
      </c>
      <c r="C3237" t="s">
        <v>3981</v>
      </c>
      <c r="D3237">
        <v>12.9148</v>
      </c>
      <c r="E3237">
        <v>108.089</v>
      </c>
      <c r="F3237" s="6">
        <v>7.3693901570291445</v>
      </c>
    </row>
    <row r="3238" spans="2:6">
      <c r="B3238" t="s">
        <v>3982</v>
      </c>
      <c r="C3238" t="s">
        <v>3983</v>
      </c>
      <c r="D3238">
        <v>120.87179999999999</v>
      </c>
      <c r="E3238">
        <v>107.3763</v>
      </c>
      <c r="F3238" s="6">
        <v>-0.11165135292102868</v>
      </c>
    </row>
    <row r="3239" spans="2:6">
      <c r="B3239" t="s">
        <v>3984</v>
      </c>
      <c r="C3239" t="s">
        <v>3985</v>
      </c>
      <c r="D3239">
        <v>213.39279999999999</v>
      </c>
      <c r="E3239">
        <v>107.30710000000001</v>
      </c>
      <c r="F3239" s="6">
        <v>-0.49713814149305879</v>
      </c>
    </row>
    <row r="3240" spans="2:6">
      <c r="B3240" t="s">
        <v>3986</v>
      </c>
      <c r="C3240" t="s">
        <v>3987</v>
      </c>
      <c r="D3240">
        <v>33.167299999999997</v>
      </c>
      <c r="E3240">
        <v>106.46380000000001</v>
      </c>
      <c r="F3240" s="6">
        <v>2.209902524474407</v>
      </c>
    </row>
    <row r="3241" spans="2:6">
      <c r="B3241" t="s">
        <v>3528</v>
      </c>
      <c r="C3241" t="s">
        <v>3529</v>
      </c>
      <c r="D3241">
        <v>102.0317</v>
      </c>
      <c r="E3241">
        <v>106.02379999999999</v>
      </c>
      <c r="F3241" s="6">
        <v>3.9126075523587378E-2</v>
      </c>
    </row>
    <row r="3242" spans="2:6">
      <c r="B3242" t="s">
        <v>3988</v>
      </c>
      <c r="C3242" t="s">
        <v>3989</v>
      </c>
      <c r="D3242">
        <v>199.1105</v>
      </c>
      <c r="E3242">
        <v>104.73950000000001</v>
      </c>
      <c r="F3242" s="6">
        <v>-0.47396295022110835</v>
      </c>
    </row>
    <row r="3243" spans="2:6">
      <c r="B3243" t="s">
        <v>3990</v>
      </c>
      <c r="C3243" t="s">
        <v>3991</v>
      </c>
      <c r="D3243">
        <v>109.7475</v>
      </c>
      <c r="E3243">
        <v>104.6065</v>
      </c>
      <c r="F3243" s="6">
        <v>-4.6843891660402259E-2</v>
      </c>
    </row>
    <row r="3244" spans="2:6">
      <c r="B3244" t="s">
        <v>3992</v>
      </c>
      <c r="C3244" t="s">
        <v>3993</v>
      </c>
      <c r="D3244">
        <v>49.781799999999997</v>
      </c>
      <c r="E3244">
        <v>104.444</v>
      </c>
      <c r="F3244" s="6">
        <v>1.098035828354941</v>
      </c>
    </row>
    <row r="3245" spans="2:6">
      <c r="B3245" t="s">
        <v>3994</v>
      </c>
      <c r="C3245" t="s">
        <v>3995</v>
      </c>
      <c r="D3245">
        <v>61.365499999999997</v>
      </c>
      <c r="E3245">
        <v>104.2854</v>
      </c>
      <c r="F3245" s="6">
        <v>0.6994141659401456</v>
      </c>
    </row>
    <row r="3246" spans="2:6">
      <c r="B3246" t="s">
        <v>353</v>
      </c>
      <c r="C3246" t="s">
        <v>352</v>
      </c>
      <c r="D3246">
        <v>137.78102803201222</v>
      </c>
      <c r="E3246">
        <v>100.7021</v>
      </c>
      <c r="F3246" s="6">
        <v>-0.26910000000000001</v>
      </c>
    </row>
    <row r="3247" spans="2:6">
      <c r="B3247" t="s">
        <v>3996</v>
      </c>
      <c r="C3247" t="s">
        <v>3997</v>
      </c>
      <c r="D3247">
        <v>229.36080000000001</v>
      </c>
      <c r="E3247">
        <v>100.4102</v>
      </c>
      <c r="F3247" s="6">
        <v>-0.56221725770053121</v>
      </c>
    </row>
    <row r="3248" spans="2:6">
      <c r="B3248" t="s">
        <v>3998</v>
      </c>
      <c r="C3248" t="s">
        <v>3999</v>
      </c>
      <c r="D3248">
        <v>136.672</v>
      </c>
      <c r="E3248">
        <v>99.237499999999997</v>
      </c>
      <c r="F3248" s="6">
        <v>-0.27390028681807543</v>
      </c>
    </row>
    <row r="3249" spans="2:6">
      <c r="B3249" t="s">
        <v>4000</v>
      </c>
      <c r="C3249" t="s">
        <v>4001</v>
      </c>
      <c r="D3249">
        <v>62.241700000000002</v>
      </c>
      <c r="E3249">
        <v>98.891000000000005</v>
      </c>
      <c r="F3249" s="6">
        <v>0.58882228473836662</v>
      </c>
    </row>
    <row r="3250" spans="2:6">
      <c r="B3250" t="s">
        <v>4002</v>
      </c>
      <c r="C3250" t="s">
        <v>4003</v>
      </c>
      <c r="D3250">
        <v>41.185499999999998</v>
      </c>
      <c r="E3250">
        <v>98.525000000000006</v>
      </c>
      <c r="F3250" s="6">
        <v>1.3922254191402312</v>
      </c>
    </row>
    <row r="3251" spans="2:6">
      <c r="B3251" t="s">
        <v>4004</v>
      </c>
      <c r="C3251" t="s">
        <v>4005</v>
      </c>
      <c r="D3251">
        <v>106.21</v>
      </c>
      <c r="E3251">
        <v>96.751000000000005</v>
      </c>
      <c r="F3251" s="6">
        <v>-8.9059410601638245E-2</v>
      </c>
    </row>
    <row r="3252" spans="2:6">
      <c r="B3252" t="s">
        <v>4006</v>
      </c>
      <c r="C3252" t="s">
        <v>4007</v>
      </c>
      <c r="D3252">
        <v>72.705600000000004</v>
      </c>
      <c r="E3252">
        <v>96.2744</v>
      </c>
      <c r="F3252" s="6">
        <v>0.32416760194537964</v>
      </c>
    </row>
    <row r="3253" spans="2:6">
      <c r="B3253" t="s">
        <v>4008</v>
      </c>
      <c r="C3253" t="s">
        <v>4009</v>
      </c>
      <c r="D3253">
        <v>56.026800000000001</v>
      </c>
      <c r="E3253">
        <v>95.567400000000006</v>
      </c>
      <c r="F3253" s="6">
        <v>0.70574439375441744</v>
      </c>
    </row>
    <row r="3254" spans="2:6">
      <c r="B3254" t="s">
        <v>4010</v>
      </c>
      <c r="C3254" t="s">
        <v>4011</v>
      </c>
      <c r="D3254">
        <v>101.2638</v>
      </c>
      <c r="E3254">
        <v>95.452799999999996</v>
      </c>
      <c r="F3254" s="6">
        <v>-5.7384771260805989E-2</v>
      </c>
    </row>
    <row r="3255" spans="2:6">
      <c r="B3255" t="s">
        <v>4012</v>
      </c>
      <c r="C3255" t="s">
        <v>4013</v>
      </c>
      <c r="D3255">
        <v>211.89680000000001</v>
      </c>
      <c r="E3255">
        <v>95.366500000000002</v>
      </c>
      <c r="F3255" s="6">
        <v>-0.54993893253697079</v>
      </c>
    </row>
    <row r="3256" spans="2:6">
      <c r="B3256" t="s">
        <v>4014</v>
      </c>
      <c r="C3256" t="s">
        <v>4015</v>
      </c>
      <c r="D3256">
        <v>123.74550000000001</v>
      </c>
      <c r="E3256">
        <v>94.310900000000004</v>
      </c>
      <c r="F3256" s="6">
        <v>-0.23786400313546752</v>
      </c>
    </row>
    <row r="3257" spans="2:6">
      <c r="B3257" t="s">
        <v>4016</v>
      </c>
      <c r="C3257" t="s">
        <v>4017</v>
      </c>
      <c r="D3257">
        <v>328.48820000000001</v>
      </c>
      <c r="E3257">
        <v>93.425600000000003</v>
      </c>
      <c r="F3257" s="6">
        <v>-0.71558917489273588</v>
      </c>
    </row>
    <row r="3258" spans="2:6">
      <c r="B3258" t="s">
        <v>4018</v>
      </c>
      <c r="C3258" t="s">
        <v>4019</v>
      </c>
      <c r="D3258">
        <v>91.135900000000007</v>
      </c>
      <c r="E3258">
        <v>93.2226</v>
      </c>
      <c r="F3258" s="6">
        <v>2.2896575334198754E-2</v>
      </c>
    </row>
    <row r="3259" spans="2:6">
      <c r="B3259" t="s">
        <v>3526</v>
      </c>
      <c r="C3259" t="s">
        <v>3527</v>
      </c>
      <c r="D3259">
        <v>302.21339999999998</v>
      </c>
      <c r="E3259">
        <v>92.178700000000006</v>
      </c>
      <c r="F3259" s="6">
        <v>-0.69498804487160393</v>
      </c>
    </row>
    <row r="3260" spans="2:6">
      <c r="B3260" t="s">
        <v>4020</v>
      </c>
      <c r="C3260" t="s">
        <v>4021</v>
      </c>
      <c r="D3260">
        <v>216.84639999999999</v>
      </c>
      <c r="E3260">
        <v>90.922899999999998</v>
      </c>
      <c r="F3260" s="6">
        <v>-0.58070366858753475</v>
      </c>
    </row>
    <row r="3261" spans="2:6">
      <c r="B3261" t="s">
        <v>4022</v>
      </c>
      <c r="C3261" t="s">
        <v>4023</v>
      </c>
      <c r="D3261">
        <v>164.87989999999999</v>
      </c>
      <c r="E3261">
        <v>90.331599999999995</v>
      </c>
      <c r="F3261" s="6">
        <v>-0.45213697970462141</v>
      </c>
    </row>
    <row r="3262" spans="2:6">
      <c r="B3262" t="s">
        <v>4024</v>
      </c>
      <c r="C3262" t="s">
        <v>4025</v>
      </c>
      <c r="D3262">
        <v>38.6798</v>
      </c>
      <c r="E3262">
        <v>90.311099999999996</v>
      </c>
      <c r="F3262" s="6">
        <v>1.3348388564573757</v>
      </c>
    </row>
    <row r="3263" spans="2:6">
      <c r="B3263" t="s">
        <v>3378</v>
      </c>
      <c r="C3263" t="s">
        <v>3379</v>
      </c>
      <c r="D3263">
        <v>1840.9799</v>
      </c>
      <c r="E3263">
        <v>90.226799999999997</v>
      </c>
      <c r="F3263" s="6">
        <v>-0.95098979624926916</v>
      </c>
    </row>
    <row r="3264" spans="2:6">
      <c r="B3264" t="s">
        <v>4026</v>
      </c>
      <c r="C3264" t="s">
        <v>4027</v>
      </c>
      <c r="D3264">
        <v>374.94540000000001</v>
      </c>
      <c r="E3264">
        <v>89.916300000000007</v>
      </c>
      <c r="F3264" s="6">
        <v>-0.76018828341406508</v>
      </c>
    </row>
    <row r="3265" spans="2:6">
      <c r="B3265" t="s">
        <v>4028</v>
      </c>
      <c r="C3265" t="s">
        <v>4029</v>
      </c>
      <c r="D3265">
        <v>142.64320000000001</v>
      </c>
      <c r="E3265">
        <v>88.889985580286108</v>
      </c>
      <c r="F3265" s="6">
        <v>-0.37683685180726378</v>
      </c>
    </row>
    <row r="3266" spans="2:6">
      <c r="B3266" t="s">
        <v>4030</v>
      </c>
      <c r="C3266" t="s">
        <v>4031</v>
      </c>
      <c r="D3266">
        <v>22.381900000000002</v>
      </c>
      <c r="E3266">
        <v>86.563100000000006</v>
      </c>
      <c r="F3266" s="6">
        <v>2.8675492250434504</v>
      </c>
    </row>
    <row r="3267" spans="2:6">
      <c r="B3267" t="s">
        <v>4032</v>
      </c>
      <c r="C3267" t="s">
        <v>4033</v>
      </c>
      <c r="D3267">
        <v>54.517099999999999</v>
      </c>
      <c r="E3267">
        <v>86.016599999999997</v>
      </c>
      <c r="F3267" s="6">
        <v>0.57779118845279731</v>
      </c>
    </row>
    <row r="3268" spans="2:6">
      <c r="B3268" t="s">
        <v>4034</v>
      </c>
      <c r="C3268" t="s">
        <v>4035</v>
      </c>
      <c r="D3268">
        <v>18.7257</v>
      </c>
      <c r="E3268">
        <v>85.953100000000006</v>
      </c>
      <c r="F3268" s="6">
        <v>3.5901141212344534</v>
      </c>
    </row>
    <row r="3269" spans="2:6">
      <c r="B3269" t="s">
        <v>4036</v>
      </c>
      <c r="C3269" t="s">
        <v>4037</v>
      </c>
      <c r="D3269">
        <v>33.351300000000002</v>
      </c>
      <c r="E3269">
        <v>85.423900000000003</v>
      </c>
      <c r="F3269" s="6">
        <v>1.5613364396590237</v>
      </c>
    </row>
    <row r="3270" spans="2:6">
      <c r="B3270" t="s">
        <v>4038</v>
      </c>
      <c r="C3270" t="s">
        <v>4039</v>
      </c>
      <c r="D3270">
        <v>116.30370000000001</v>
      </c>
      <c r="E3270">
        <v>83.409400000000005</v>
      </c>
      <c r="F3270" s="6">
        <v>-0.2828310707225995</v>
      </c>
    </row>
    <row r="3271" spans="2:6">
      <c r="B3271" t="s">
        <v>3506</v>
      </c>
      <c r="C3271" t="s">
        <v>3507</v>
      </c>
      <c r="D3271">
        <v>1148.5386705062283</v>
      </c>
      <c r="E3271">
        <v>82.821100000000001</v>
      </c>
      <c r="F3271" s="6">
        <v>-0.92789999999999995</v>
      </c>
    </row>
    <row r="3272" spans="2:6">
      <c r="B3272" t="s">
        <v>4040</v>
      </c>
      <c r="C3272" t="s">
        <v>4041</v>
      </c>
      <c r="D3272">
        <v>178.34719999999999</v>
      </c>
      <c r="E3272">
        <v>82.696600000000004</v>
      </c>
      <c r="F3272" s="6">
        <v>-0.53631680228228984</v>
      </c>
    </row>
    <row r="3273" spans="2:6">
      <c r="B3273" t="s">
        <v>4042</v>
      </c>
      <c r="C3273" t="s">
        <v>4043</v>
      </c>
      <c r="D3273">
        <v>48.450800000000001</v>
      </c>
      <c r="E3273">
        <v>81.006600000000006</v>
      </c>
      <c r="F3273" s="6">
        <v>0.67193524152335971</v>
      </c>
    </row>
    <row r="3274" spans="2:6">
      <c r="B3274" t="s">
        <v>4044</v>
      </c>
      <c r="C3274" t="s">
        <v>4045</v>
      </c>
      <c r="D3274">
        <v>108.80159999999999</v>
      </c>
      <c r="E3274">
        <v>80.904700000000005</v>
      </c>
      <c r="F3274" s="6">
        <v>-0.25640156027117245</v>
      </c>
    </row>
    <row r="3275" spans="2:6">
      <c r="B3275" t="s">
        <v>4046</v>
      </c>
      <c r="C3275" t="s">
        <v>4047</v>
      </c>
      <c r="D3275">
        <v>216.2158</v>
      </c>
      <c r="E3275">
        <v>80.543899999999994</v>
      </c>
      <c r="F3275" s="6">
        <v>-0.62748374540620988</v>
      </c>
    </row>
    <row r="3276" spans="2:6">
      <c r="B3276" t="s">
        <v>4048</v>
      </c>
      <c r="C3276" t="s">
        <v>4049</v>
      </c>
      <c r="D3276">
        <v>92.852500000000006</v>
      </c>
      <c r="E3276">
        <v>79.574200000000005</v>
      </c>
      <c r="F3276" s="6">
        <v>-0.14300422713443361</v>
      </c>
    </row>
    <row r="3277" spans="2:6">
      <c r="B3277" t="s">
        <v>4050</v>
      </c>
      <c r="C3277" t="s">
        <v>4051</v>
      </c>
      <c r="D3277">
        <v>58.799399999999999</v>
      </c>
      <c r="E3277">
        <v>78.339200000000005</v>
      </c>
      <c r="F3277" s="6">
        <v>0.33231291475763358</v>
      </c>
    </row>
    <row r="3278" spans="2:6">
      <c r="B3278" t="s">
        <v>4052</v>
      </c>
      <c r="C3278" t="s">
        <v>4053</v>
      </c>
      <c r="D3278">
        <v>105.2555</v>
      </c>
      <c r="E3278">
        <v>76.339100000000002</v>
      </c>
      <c r="F3278" s="6">
        <v>-0.27472578630095335</v>
      </c>
    </row>
    <row r="3279" spans="2:6">
      <c r="B3279" t="s">
        <v>4054</v>
      </c>
      <c r="C3279" t="s">
        <v>4055</v>
      </c>
      <c r="D3279">
        <v>108.3792</v>
      </c>
      <c r="E3279">
        <v>75.161100000000005</v>
      </c>
      <c r="F3279" s="6">
        <v>-0.30649884848753262</v>
      </c>
    </row>
    <row r="3280" spans="2:6">
      <c r="B3280" t="s">
        <v>4056</v>
      </c>
      <c r="C3280" t="s">
        <v>4057</v>
      </c>
      <c r="D3280">
        <v>152.52109999999999</v>
      </c>
      <c r="E3280">
        <v>74.3232</v>
      </c>
      <c r="F3280" s="6">
        <v>-0.51270217694469822</v>
      </c>
    </row>
    <row r="3281" spans="2:6">
      <c r="B3281" t="s">
        <v>4058</v>
      </c>
      <c r="C3281" t="s">
        <v>4059</v>
      </c>
      <c r="D3281">
        <v>39.2928</v>
      </c>
      <c r="E3281">
        <v>72.956000000000003</v>
      </c>
      <c r="F3281" s="6">
        <v>0.85672693216059947</v>
      </c>
    </row>
    <row r="3282" spans="2:6">
      <c r="B3282" t="s">
        <v>2039</v>
      </c>
      <c r="C3282" t="s">
        <v>2038</v>
      </c>
      <c r="D3282">
        <v>4305.8428999999996</v>
      </c>
      <c r="E3282">
        <v>72.745912052237216</v>
      </c>
      <c r="F3282" s="6">
        <v>-0.98310530278467956</v>
      </c>
    </row>
    <row r="3283" spans="2:6">
      <c r="B3283" t="s">
        <v>4060</v>
      </c>
      <c r="C3283" t="s">
        <v>4061</v>
      </c>
      <c r="D3283">
        <v>72.296599999999998</v>
      </c>
      <c r="E3283">
        <v>72.583600000000004</v>
      </c>
      <c r="F3283" s="6">
        <v>3.9697579139268413E-3</v>
      </c>
    </row>
    <row r="3284" spans="2:6">
      <c r="B3284" t="s">
        <v>4062</v>
      </c>
      <c r="C3284" t="s">
        <v>4063</v>
      </c>
      <c r="D3284">
        <v>47.473799999999997</v>
      </c>
      <c r="E3284">
        <v>72.3566</v>
      </c>
      <c r="F3284" s="6">
        <v>0.52413752427654825</v>
      </c>
    </row>
    <row r="3285" spans="2:6">
      <c r="B3285" t="s">
        <v>4064</v>
      </c>
      <c r="C3285" t="s">
        <v>4065</v>
      </c>
      <c r="D3285">
        <v>47.850299999999997</v>
      </c>
      <c r="E3285">
        <v>71.963099999999997</v>
      </c>
      <c r="F3285" s="6">
        <v>0.50392160550717557</v>
      </c>
    </row>
    <row r="3286" spans="2:6">
      <c r="B3286" t="s">
        <v>4066</v>
      </c>
      <c r="C3286" t="s">
        <v>4067</v>
      </c>
      <c r="D3286">
        <v>182.38560000000001</v>
      </c>
      <c r="E3286">
        <v>71.878100000000003</v>
      </c>
      <c r="F3286" s="6">
        <v>-0.60590035616846949</v>
      </c>
    </row>
    <row r="3287" spans="2:6">
      <c r="B3287" t="s">
        <v>4068</v>
      </c>
      <c r="C3287" t="s">
        <v>4069</v>
      </c>
      <c r="D3287">
        <v>103.02970000000001</v>
      </c>
      <c r="E3287">
        <v>71.870900000000006</v>
      </c>
      <c r="F3287" s="6">
        <v>-0.30242541713700033</v>
      </c>
    </row>
    <row r="3288" spans="2:6">
      <c r="B3288" t="s">
        <v>415</v>
      </c>
      <c r="C3288" t="s">
        <v>414</v>
      </c>
      <c r="D3288">
        <v>1503.8753999999999</v>
      </c>
      <c r="E3288">
        <v>70.284400000000005</v>
      </c>
      <c r="F3288" s="6">
        <v>-0.95326447922480817</v>
      </c>
    </row>
    <row r="3289" spans="2:6">
      <c r="B3289" t="s">
        <v>4070</v>
      </c>
      <c r="C3289" t="s">
        <v>4071</v>
      </c>
      <c r="D3289">
        <v>40.8217</v>
      </c>
      <c r="E3289">
        <v>70.258600000000001</v>
      </c>
      <c r="F3289" s="6">
        <v>0.72110911598488059</v>
      </c>
    </row>
    <row r="3290" spans="2:6">
      <c r="B3290" t="s">
        <v>4072</v>
      </c>
      <c r="C3290" t="s">
        <v>4073</v>
      </c>
      <c r="D3290">
        <v>105.001</v>
      </c>
      <c r="E3290">
        <v>70.115399999999994</v>
      </c>
      <c r="F3290" s="6">
        <v>-0.33224064532718733</v>
      </c>
    </row>
    <row r="3291" spans="2:6">
      <c r="B3291" t="s">
        <v>4074</v>
      </c>
      <c r="C3291" t="s">
        <v>4075</v>
      </c>
      <c r="D3291">
        <v>66.877499999999998</v>
      </c>
      <c r="E3291">
        <v>70.006500000000003</v>
      </c>
      <c r="F3291" s="6">
        <v>4.6787035998654192E-2</v>
      </c>
    </row>
    <row r="3292" spans="2:6">
      <c r="B3292" t="s">
        <v>4076</v>
      </c>
      <c r="C3292" t="s">
        <v>4077</v>
      </c>
      <c r="D3292">
        <v>34.945</v>
      </c>
      <c r="E3292">
        <v>69.470200000000006</v>
      </c>
      <c r="F3292" s="6">
        <v>0.98798683645729013</v>
      </c>
    </row>
    <row r="3293" spans="2:6">
      <c r="B3293" t="s">
        <v>516</v>
      </c>
      <c r="C3293" t="s">
        <v>515</v>
      </c>
      <c r="D3293">
        <v>2536.0798</v>
      </c>
      <c r="E3293">
        <v>68.355000000000004</v>
      </c>
      <c r="F3293" s="6">
        <v>-0.97304698377393328</v>
      </c>
    </row>
    <row r="3294" spans="2:6">
      <c r="B3294" t="s">
        <v>4078</v>
      </c>
      <c r="C3294" t="s">
        <v>4079</v>
      </c>
      <c r="D3294">
        <v>20.638200000000001</v>
      </c>
      <c r="E3294">
        <v>68.256399999999999</v>
      </c>
      <c r="F3294" s="6">
        <v>2.3072845500092063</v>
      </c>
    </row>
    <row r="3295" spans="2:6">
      <c r="B3295" t="s">
        <v>4080</v>
      </c>
      <c r="C3295" t="s">
        <v>4081</v>
      </c>
      <c r="D3295">
        <v>10.565899999999999</v>
      </c>
      <c r="E3295">
        <v>68.139700000000005</v>
      </c>
      <c r="F3295" s="6">
        <v>5.4490199604387701</v>
      </c>
    </row>
    <row r="3296" spans="2:6">
      <c r="B3296" t="s">
        <v>4082</v>
      </c>
      <c r="C3296" t="s">
        <v>4083</v>
      </c>
      <c r="D3296">
        <v>27.663399999999999</v>
      </c>
      <c r="E3296">
        <v>67.041499999999999</v>
      </c>
      <c r="F3296" s="6">
        <v>1.4234728919800168</v>
      </c>
    </row>
    <row r="3297" spans="2:6">
      <c r="B3297" t="s">
        <v>3466</v>
      </c>
      <c r="C3297" t="s">
        <v>2917</v>
      </c>
      <c r="D3297">
        <v>2499.83</v>
      </c>
      <c r="E3297">
        <v>64.848100000000002</v>
      </c>
      <c r="F3297" s="6">
        <v>-0.97405899601172885</v>
      </c>
    </row>
    <row r="3298" spans="2:6">
      <c r="B3298" t="s">
        <v>4084</v>
      </c>
      <c r="C3298" t="s">
        <v>4085</v>
      </c>
      <c r="D3298">
        <v>53.144399999999997</v>
      </c>
      <c r="E3298">
        <v>63.515900000000002</v>
      </c>
      <c r="F3298" s="6">
        <v>0.19515696856112785</v>
      </c>
    </row>
    <row r="3299" spans="2:6">
      <c r="B3299" t="s">
        <v>4086</v>
      </c>
      <c r="C3299" t="s">
        <v>4087</v>
      </c>
      <c r="D3299">
        <v>138.3724</v>
      </c>
      <c r="E3299">
        <v>61.44</v>
      </c>
      <c r="F3299" s="6">
        <v>-0.55598081698373369</v>
      </c>
    </row>
    <row r="3300" spans="2:6">
      <c r="B3300" t="s">
        <v>435</v>
      </c>
      <c r="C3300" t="s">
        <v>434</v>
      </c>
      <c r="D3300">
        <v>1266.779548124953</v>
      </c>
      <c r="E3300">
        <v>60.906799999999997</v>
      </c>
      <c r="F3300" s="6">
        <v>-0.95189999999999997</v>
      </c>
    </row>
    <row r="3301" spans="2:6">
      <c r="B3301" t="s">
        <v>4088</v>
      </c>
      <c r="C3301" t="s">
        <v>4089</v>
      </c>
      <c r="D3301">
        <v>22.821200000000001</v>
      </c>
      <c r="E3301">
        <v>60.697899999999997</v>
      </c>
      <c r="F3301" s="6">
        <v>1.6597155276672568</v>
      </c>
    </row>
    <row r="3302" spans="2:6">
      <c r="B3302" t="s">
        <v>4090</v>
      </c>
      <c r="C3302" t="s">
        <v>4091</v>
      </c>
      <c r="D3302">
        <v>107.11020000000001</v>
      </c>
      <c r="E3302">
        <v>60.133499999999998</v>
      </c>
      <c r="F3302" s="6">
        <v>-0.43858288006184287</v>
      </c>
    </row>
    <row r="3303" spans="2:6">
      <c r="B3303" t="s">
        <v>4092</v>
      </c>
      <c r="C3303" t="s">
        <v>4093</v>
      </c>
      <c r="D3303">
        <v>15.237299999999999</v>
      </c>
      <c r="E3303">
        <v>59.953400000000002</v>
      </c>
      <c r="F3303" s="6">
        <v>2.9346472144015014</v>
      </c>
    </row>
    <row r="3304" spans="2:6">
      <c r="B3304" t="s">
        <v>4094</v>
      </c>
      <c r="C3304" t="s">
        <v>4095</v>
      </c>
      <c r="D3304">
        <v>61.927199999999999</v>
      </c>
      <c r="E3304">
        <v>59.788600000000002</v>
      </c>
      <c r="F3304" s="6">
        <v>-3.4534098102287802E-2</v>
      </c>
    </row>
    <row r="3305" spans="2:6">
      <c r="B3305" t="s">
        <v>4096</v>
      </c>
      <c r="C3305" t="s">
        <v>4097</v>
      </c>
      <c r="D3305">
        <v>32.8063</v>
      </c>
      <c r="E3305">
        <v>59.5488</v>
      </c>
      <c r="F3305" s="6">
        <v>0.81516355090333259</v>
      </c>
    </row>
    <row r="3306" spans="2:6">
      <c r="B3306" t="s">
        <v>4098</v>
      </c>
      <c r="C3306" t="s">
        <v>4099</v>
      </c>
      <c r="D3306">
        <v>69.034800000000004</v>
      </c>
      <c r="E3306">
        <v>59.043700000000001</v>
      </c>
      <c r="F3306" s="6">
        <v>-0.14472555870372628</v>
      </c>
    </row>
    <row r="3307" spans="2:6">
      <c r="B3307" t="s">
        <v>4100</v>
      </c>
      <c r="C3307" t="s">
        <v>4101</v>
      </c>
      <c r="D3307">
        <v>65.091399999999993</v>
      </c>
      <c r="E3307">
        <v>58.163899999999998</v>
      </c>
      <c r="F3307" s="6">
        <v>-0.10642726996193042</v>
      </c>
    </row>
    <row r="3308" spans="2:6">
      <c r="B3308" t="s">
        <v>445</v>
      </c>
      <c r="C3308" t="s">
        <v>444</v>
      </c>
      <c r="D3308">
        <v>292.82639999999998</v>
      </c>
      <c r="E3308">
        <v>58.079799999999999</v>
      </c>
      <c r="F3308" s="6">
        <v>-0.8016579106255447</v>
      </c>
    </row>
    <row r="3309" spans="2:6">
      <c r="B3309" t="s">
        <v>4102</v>
      </c>
      <c r="C3309" t="s">
        <v>4103</v>
      </c>
      <c r="D3309">
        <v>46.824300000000001</v>
      </c>
      <c r="E3309">
        <v>57.402000000000001</v>
      </c>
      <c r="F3309" s="6">
        <v>0.22590193553347304</v>
      </c>
    </row>
    <row r="3310" spans="2:6">
      <c r="B3310" t="s">
        <v>4104</v>
      </c>
      <c r="C3310" t="s">
        <v>4105</v>
      </c>
      <c r="D3310">
        <v>32.104900000000001</v>
      </c>
      <c r="E3310">
        <v>57.3934</v>
      </c>
      <c r="F3310" s="6">
        <v>0.78768350002647569</v>
      </c>
    </row>
    <row r="3311" spans="2:6">
      <c r="B3311" t="s">
        <v>4106</v>
      </c>
      <c r="C3311" t="s">
        <v>4107</v>
      </c>
      <c r="D3311">
        <v>71.494100000000003</v>
      </c>
      <c r="E3311">
        <v>56.765599999999999</v>
      </c>
      <c r="F3311" s="6">
        <v>-0.20601000642011014</v>
      </c>
    </row>
    <row r="3312" spans="2:6">
      <c r="B3312" t="s">
        <v>2129</v>
      </c>
      <c r="C3312" t="s">
        <v>2128</v>
      </c>
      <c r="D3312">
        <v>47772.707300512091</v>
      </c>
      <c r="E3312">
        <v>56.523299999999999</v>
      </c>
      <c r="F3312" s="6">
        <v>-0.99880000000000002</v>
      </c>
    </row>
    <row r="3313" spans="2:6">
      <c r="B3313" t="s">
        <v>4108</v>
      </c>
      <c r="C3313" t="s">
        <v>4109</v>
      </c>
      <c r="D3313">
        <v>113.3759</v>
      </c>
      <c r="E3313">
        <v>56.266100000000002</v>
      </c>
      <c r="F3313" s="6">
        <v>-0.50372080839049571</v>
      </c>
    </row>
    <row r="3314" spans="2:6">
      <c r="B3314" t="s">
        <v>4110</v>
      </c>
      <c r="C3314" t="s">
        <v>4111</v>
      </c>
      <c r="D3314">
        <v>84.704700000000003</v>
      </c>
      <c r="E3314">
        <v>55.720500000000001</v>
      </c>
      <c r="F3314" s="6">
        <v>-0.34217935958689427</v>
      </c>
    </row>
    <row r="3315" spans="2:6">
      <c r="B3315" t="s">
        <v>1211</v>
      </c>
      <c r="C3315" t="s">
        <v>1210</v>
      </c>
      <c r="D3315">
        <v>7160.7580948695168</v>
      </c>
      <c r="E3315">
        <v>55.206200000000003</v>
      </c>
      <c r="F3315" s="6">
        <v>-0.99229999999999996</v>
      </c>
    </row>
    <row r="3316" spans="2:6">
      <c r="B3316" t="s">
        <v>4112</v>
      </c>
      <c r="C3316" t="s">
        <v>4113</v>
      </c>
      <c r="D3316">
        <v>70.386200000000002</v>
      </c>
      <c r="E3316">
        <v>53.928199999999997</v>
      </c>
      <c r="F3316" s="6">
        <v>-0.23382424395691204</v>
      </c>
    </row>
    <row r="3317" spans="2:6">
      <c r="B3317" t="s">
        <v>396</v>
      </c>
      <c r="C3317" t="s">
        <v>395</v>
      </c>
      <c r="D3317">
        <v>1572.3069</v>
      </c>
      <c r="E3317">
        <v>53.636000000000003</v>
      </c>
      <c r="F3317" s="6">
        <v>-0.96588706695874704</v>
      </c>
    </row>
    <row r="3318" spans="2:6">
      <c r="B3318" t="s">
        <v>4114</v>
      </c>
      <c r="C3318" t="s">
        <v>4115</v>
      </c>
      <c r="D3318">
        <v>65.220200000000006</v>
      </c>
      <c r="E3318">
        <v>53.252099999999999</v>
      </c>
      <c r="F3318" s="6">
        <v>-0.18350296380569209</v>
      </c>
    </row>
    <row r="3319" spans="2:6">
      <c r="B3319" t="s">
        <v>4116</v>
      </c>
      <c r="C3319" t="s">
        <v>4117</v>
      </c>
      <c r="D3319">
        <v>59.786200000000001</v>
      </c>
      <c r="E3319">
        <v>52.889000000000003</v>
      </c>
      <c r="F3319" s="6">
        <v>-0.11536441519949425</v>
      </c>
    </row>
    <row r="3320" spans="2:6">
      <c r="B3320" t="s">
        <v>4118</v>
      </c>
      <c r="C3320" t="s">
        <v>4119</v>
      </c>
      <c r="D3320">
        <v>89.197800000000001</v>
      </c>
      <c r="E3320">
        <v>52.614600000000003</v>
      </c>
      <c r="F3320" s="6">
        <v>-0.41013567599200873</v>
      </c>
    </row>
    <row r="3321" spans="2:6">
      <c r="B3321" t="s">
        <v>4120</v>
      </c>
      <c r="C3321" t="s">
        <v>4121</v>
      </c>
      <c r="D3321">
        <v>164.036</v>
      </c>
      <c r="E3321">
        <v>52.316800000000001</v>
      </c>
      <c r="F3321" s="6">
        <v>-0.6810651320441854</v>
      </c>
    </row>
    <row r="3322" spans="2:6">
      <c r="B3322" t="s">
        <v>4122</v>
      </c>
      <c r="C3322" t="s">
        <v>4123</v>
      </c>
      <c r="D3322">
        <v>52.268300000000004</v>
      </c>
      <c r="E3322">
        <v>51.938899999999997</v>
      </c>
      <c r="F3322" s="6">
        <v>-6.3020989777743397E-3</v>
      </c>
    </row>
    <row r="3323" spans="2:6">
      <c r="B3323" t="s">
        <v>4124</v>
      </c>
      <c r="C3323" t="s">
        <v>4125</v>
      </c>
      <c r="D3323">
        <v>77.798299999999998</v>
      </c>
      <c r="E3323">
        <v>51.727400000000003</v>
      </c>
      <c r="F3323" s="6">
        <v>-0.33510886484666114</v>
      </c>
    </row>
    <row r="3324" spans="2:6">
      <c r="B3324" t="s">
        <v>4126</v>
      </c>
      <c r="C3324" t="s">
        <v>4127</v>
      </c>
      <c r="D3324">
        <v>55.082900000000002</v>
      </c>
      <c r="E3324">
        <v>50.945399999999999</v>
      </c>
      <c r="F3324" s="6">
        <v>-7.5114055360193444E-2</v>
      </c>
    </row>
    <row r="3325" spans="2:6">
      <c r="B3325" t="s">
        <v>4128</v>
      </c>
      <c r="C3325" t="s">
        <v>4129</v>
      </c>
      <c r="D3325">
        <v>2.3578000000000001</v>
      </c>
      <c r="E3325">
        <v>49.271299999999997</v>
      </c>
      <c r="F3325" s="6">
        <v>19.897149885486471</v>
      </c>
    </row>
    <row r="3326" spans="2:6">
      <c r="B3326" t="s">
        <v>4130</v>
      </c>
      <c r="C3326" t="s">
        <v>4131</v>
      </c>
      <c r="D3326">
        <v>157.01410000000001</v>
      </c>
      <c r="E3326">
        <v>49.2104</v>
      </c>
      <c r="F3326" s="6">
        <v>-0.6865861091456118</v>
      </c>
    </row>
    <row r="3327" spans="2:6">
      <c r="B3327" t="s">
        <v>4132</v>
      </c>
      <c r="C3327" t="s">
        <v>4133</v>
      </c>
      <c r="D3327">
        <v>178.27269999999999</v>
      </c>
      <c r="E3327">
        <v>49.2059</v>
      </c>
      <c r="F3327" s="6">
        <v>-0.72398522039549529</v>
      </c>
    </row>
    <row r="3328" spans="2:6">
      <c r="B3328" t="s">
        <v>4134</v>
      </c>
      <c r="C3328" t="s">
        <v>4135</v>
      </c>
      <c r="D3328">
        <v>57.700699999999998</v>
      </c>
      <c r="E3328">
        <v>48.793399999999998</v>
      </c>
      <c r="F3328" s="6">
        <v>-0.15437074420241004</v>
      </c>
    </row>
    <row r="3329" spans="2:6">
      <c r="B3329" t="s">
        <v>4136</v>
      </c>
      <c r="C3329" t="s">
        <v>4137</v>
      </c>
      <c r="D3329">
        <v>56.170900000000003</v>
      </c>
      <c r="E3329">
        <v>47.964199999999998</v>
      </c>
      <c r="F3329" s="6">
        <v>-0.14610234124787036</v>
      </c>
    </row>
    <row r="3330" spans="2:6">
      <c r="B3330" t="s">
        <v>4138</v>
      </c>
      <c r="C3330" t="s">
        <v>4139</v>
      </c>
      <c r="D3330">
        <v>98.368399999999994</v>
      </c>
      <c r="E3330">
        <v>46.158200000000001</v>
      </c>
      <c r="F3330" s="6">
        <v>-0.53076191134551332</v>
      </c>
    </row>
    <row r="3331" spans="2:6">
      <c r="B3331" t="s">
        <v>4140</v>
      </c>
      <c r="C3331" t="s">
        <v>4141</v>
      </c>
      <c r="D3331">
        <v>40.164900000000003</v>
      </c>
      <c r="E3331">
        <v>44.445599999999999</v>
      </c>
      <c r="F3331" s="6">
        <v>0.1065781316522636</v>
      </c>
    </row>
    <row r="3332" spans="2:6">
      <c r="B3332" t="s">
        <v>2558</v>
      </c>
      <c r="C3332" t="s">
        <v>2559</v>
      </c>
      <c r="D3332">
        <v>14791.986150825898</v>
      </c>
      <c r="E3332">
        <v>44.184899999999999</v>
      </c>
      <c r="F3332" s="6">
        <v>-0.997</v>
      </c>
    </row>
    <row r="3333" spans="2:6">
      <c r="B3333" t="s">
        <v>4142</v>
      </c>
      <c r="C3333" t="s">
        <v>4143</v>
      </c>
      <c r="D3333">
        <v>43.094000000000001</v>
      </c>
      <c r="E3333">
        <v>43.929600000000001</v>
      </c>
      <c r="F3333" s="6">
        <v>1.939017032533541E-2</v>
      </c>
    </row>
    <row r="3334" spans="2:6">
      <c r="B3334" t="s">
        <v>4144</v>
      </c>
      <c r="C3334" t="s">
        <v>4145</v>
      </c>
      <c r="D3334">
        <v>93.061199999999999</v>
      </c>
      <c r="E3334">
        <v>42.813000000000002</v>
      </c>
      <c r="F3334" s="6">
        <v>-0.53994790524944869</v>
      </c>
    </row>
    <row r="3335" spans="2:6">
      <c r="B3335" t="s">
        <v>4146</v>
      </c>
      <c r="C3335" t="s">
        <v>4147</v>
      </c>
      <c r="D3335">
        <v>67.838999999999999</v>
      </c>
      <c r="E3335">
        <v>42.09343584848223</v>
      </c>
      <c r="F3335" s="6">
        <v>-0.37950978274322689</v>
      </c>
    </row>
    <row r="3336" spans="2:6">
      <c r="B3336" t="s">
        <v>4148</v>
      </c>
      <c r="C3336" t="s">
        <v>4149</v>
      </c>
      <c r="D3336">
        <v>3.2429000000000001</v>
      </c>
      <c r="E3336">
        <v>40.369300000000003</v>
      </c>
      <c r="F3336" s="6">
        <v>11.448518301520243</v>
      </c>
    </row>
    <row r="3337" spans="2:6">
      <c r="B3337" t="s">
        <v>4150</v>
      </c>
      <c r="C3337" t="s">
        <v>4151</v>
      </c>
      <c r="D3337">
        <v>21.8292</v>
      </c>
      <c r="E3337">
        <v>40.346736396104575</v>
      </c>
      <c r="F3337" s="6">
        <v>0.84829203067930004</v>
      </c>
    </row>
    <row r="3338" spans="2:6">
      <c r="B3338" t="s">
        <v>4152</v>
      </c>
      <c r="C3338" t="s">
        <v>4153</v>
      </c>
      <c r="D3338">
        <v>77.903199999999998</v>
      </c>
      <c r="E3338">
        <v>39.742199999999997</v>
      </c>
      <c r="F3338" s="6">
        <v>-0.48985150802534427</v>
      </c>
    </row>
    <row r="3339" spans="2:6">
      <c r="B3339" t="s">
        <v>4154</v>
      </c>
      <c r="C3339" t="s">
        <v>4155</v>
      </c>
      <c r="D3339">
        <v>85.130399999999995</v>
      </c>
      <c r="E3339">
        <v>39.290500000000002</v>
      </c>
      <c r="F3339" s="6">
        <v>-0.53846686964938495</v>
      </c>
    </row>
    <row r="3340" spans="2:6">
      <c r="B3340" t="s">
        <v>4156</v>
      </c>
      <c r="C3340" t="s">
        <v>4157</v>
      </c>
      <c r="D3340">
        <v>58.340299999999999</v>
      </c>
      <c r="E3340">
        <v>39.142699999999998</v>
      </c>
      <c r="F3340" s="6">
        <v>-0.32906241483160015</v>
      </c>
    </row>
    <row r="3341" spans="2:6">
      <c r="B3341" t="s">
        <v>4158</v>
      </c>
      <c r="C3341" t="s">
        <v>4159</v>
      </c>
      <c r="D3341">
        <v>79.224199999999996</v>
      </c>
      <c r="E3341">
        <v>37.826500000000003</v>
      </c>
      <c r="F3341" s="6">
        <v>-0.52253856776086094</v>
      </c>
    </row>
    <row r="3342" spans="2:6">
      <c r="B3342" t="s">
        <v>4160</v>
      </c>
      <c r="C3342" t="s">
        <v>4161</v>
      </c>
      <c r="D3342">
        <v>23.267897255275226</v>
      </c>
      <c r="E3342">
        <v>34.106999999999999</v>
      </c>
      <c r="F3342" s="6">
        <v>0.46579999999999999</v>
      </c>
    </row>
    <row r="3343" spans="2:6">
      <c r="B3343" t="s">
        <v>4162</v>
      </c>
      <c r="C3343" t="s">
        <v>4163</v>
      </c>
      <c r="D3343">
        <v>17.1357</v>
      </c>
      <c r="E3343">
        <v>32.774900000000002</v>
      </c>
      <c r="F3343" s="6">
        <v>0.91266770543368514</v>
      </c>
    </row>
    <row r="3344" spans="2:6">
      <c r="B3344" t="s">
        <v>4164</v>
      </c>
      <c r="C3344" t="s">
        <v>4165</v>
      </c>
      <c r="D3344">
        <v>205.63319999999999</v>
      </c>
      <c r="E3344">
        <v>31.772200000000002</v>
      </c>
      <c r="F3344" s="6">
        <v>-0.84549090321990805</v>
      </c>
    </row>
    <row r="3345" spans="2:6">
      <c r="B3345" t="s">
        <v>4166</v>
      </c>
      <c r="C3345" t="s">
        <v>4167</v>
      </c>
      <c r="D3345">
        <v>58.0122</v>
      </c>
      <c r="E3345">
        <v>30.4435</v>
      </c>
      <c r="F3345" s="6">
        <v>-0.47522245320811829</v>
      </c>
    </row>
    <row r="3346" spans="2:6">
      <c r="B3346" t="s">
        <v>4168</v>
      </c>
      <c r="C3346" t="s">
        <v>4169</v>
      </c>
      <c r="D3346">
        <v>132.21190813901941</v>
      </c>
      <c r="E3346">
        <v>28.863399999999999</v>
      </c>
      <c r="F3346" s="6">
        <v>-0.78169999999999995</v>
      </c>
    </row>
    <row r="3347" spans="2:6">
      <c r="B3347" t="s">
        <v>4170</v>
      </c>
      <c r="C3347" t="s">
        <v>4171</v>
      </c>
      <c r="D3347">
        <v>28.5671</v>
      </c>
      <c r="E3347">
        <v>27.685600000000001</v>
      </c>
      <c r="F3347" s="6">
        <v>-3.0857174861991576E-2</v>
      </c>
    </row>
    <row r="3348" spans="2:6">
      <c r="B3348" t="s">
        <v>4172</v>
      </c>
      <c r="C3348" t="s">
        <v>4173</v>
      </c>
      <c r="D3348">
        <v>25.959</v>
      </c>
      <c r="E3348">
        <v>27.261299999999999</v>
      </c>
      <c r="F3348" s="6">
        <v>5.0167571940367583E-2</v>
      </c>
    </row>
    <row r="3349" spans="2:6">
      <c r="B3349" t="s">
        <v>4174</v>
      </c>
      <c r="C3349" t="s">
        <v>4175</v>
      </c>
      <c r="D3349">
        <v>6.8059000000000003</v>
      </c>
      <c r="E3349">
        <v>26.568300000000001</v>
      </c>
      <c r="F3349" s="6">
        <v>2.9037158935629379</v>
      </c>
    </row>
    <row r="3350" spans="2:6">
      <c r="B3350" t="s">
        <v>4176</v>
      </c>
      <c r="C3350" t="s">
        <v>4177</v>
      </c>
      <c r="D3350">
        <v>87.707599999999999</v>
      </c>
      <c r="E3350">
        <v>26.221</v>
      </c>
      <c r="F3350" s="6">
        <v>-0.70104073079185847</v>
      </c>
    </row>
    <row r="3351" spans="2:6">
      <c r="B3351" t="s">
        <v>4178</v>
      </c>
      <c r="C3351" t="s">
        <v>4179</v>
      </c>
      <c r="D3351">
        <v>42.531399999999998</v>
      </c>
      <c r="E3351">
        <v>26.1114</v>
      </c>
      <c r="F3351" s="6">
        <v>-0.38606770527186973</v>
      </c>
    </row>
    <row r="3352" spans="2:6">
      <c r="B3352" t="s">
        <v>4180</v>
      </c>
      <c r="C3352" t="s">
        <v>4181</v>
      </c>
      <c r="D3352">
        <v>27.199300000000001</v>
      </c>
      <c r="E3352">
        <v>24.157</v>
      </c>
      <c r="F3352" s="6">
        <v>-0.11185214325368664</v>
      </c>
    </row>
    <row r="3353" spans="2:6">
      <c r="B3353" t="s">
        <v>3496</v>
      </c>
      <c r="C3353" t="s">
        <v>3497</v>
      </c>
      <c r="D3353">
        <v>877.84490000000005</v>
      </c>
      <c r="E3353">
        <v>22.044899999999998</v>
      </c>
      <c r="F3353" s="6">
        <v>-0.97488747727531366</v>
      </c>
    </row>
    <row r="3354" spans="2:6">
      <c r="B3354" t="s">
        <v>4182</v>
      </c>
      <c r="C3354" t="s">
        <v>4183</v>
      </c>
      <c r="D3354">
        <v>688.44640000000004</v>
      </c>
      <c r="E3354">
        <v>21.6738</v>
      </c>
      <c r="F3354" s="6">
        <v>-0.96851781053688424</v>
      </c>
    </row>
    <row r="3355" spans="2:6">
      <c r="B3355" t="s">
        <v>4184</v>
      </c>
      <c r="C3355" t="s">
        <v>4185</v>
      </c>
      <c r="D3355">
        <v>39.7303</v>
      </c>
      <c r="E3355">
        <v>19.3035</v>
      </c>
      <c r="F3355" s="6">
        <v>-0.51413656579487199</v>
      </c>
    </row>
    <row r="3356" spans="2:6">
      <c r="B3356" t="s">
        <v>4186</v>
      </c>
      <c r="C3356" t="s">
        <v>4187</v>
      </c>
      <c r="D3356">
        <v>43.528799999999997</v>
      </c>
      <c r="E3356">
        <v>18.122199999999999</v>
      </c>
      <c r="F3356" s="6">
        <v>-0.58367333811177891</v>
      </c>
    </row>
    <row r="3357" spans="2:6">
      <c r="B3357" t="s">
        <v>2324</v>
      </c>
      <c r="C3357" t="s">
        <v>2325</v>
      </c>
      <c r="D3357">
        <v>34301.495862201351</v>
      </c>
      <c r="E3357">
        <v>18.061005885758703</v>
      </c>
      <c r="F3357" s="6">
        <v>-0.999473463024519</v>
      </c>
    </row>
    <row r="3358" spans="2:6">
      <c r="B3358" t="s">
        <v>4188</v>
      </c>
      <c r="C3358" t="s">
        <v>4189</v>
      </c>
      <c r="D3358">
        <v>118.0471</v>
      </c>
      <c r="E3358">
        <v>17.930499999999999</v>
      </c>
      <c r="F3358" s="6">
        <v>-0.84810723855139181</v>
      </c>
    </row>
    <row r="3359" spans="2:6">
      <c r="B3359" t="s">
        <v>4190</v>
      </c>
      <c r="C3359" t="s">
        <v>4191</v>
      </c>
      <c r="D3359">
        <v>51.557899999999997</v>
      </c>
      <c r="E3359">
        <v>17.041799999999999</v>
      </c>
      <c r="F3359" s="6">
        <v>-0.66946287571836716</v>
      </c>
    </row>
    <row r="3360" spans="2:6">
      <c r="B3360" t="s">
        <v>4192</v>
      </c>
      <c r="C3360" t="s">
        <v>4193</v>
      </c>
      <c r="D3360">
        <v>27.215199999999999</v>
      </c>
      <c r="E3360">
        <v>13.787699999999999</v>
      </c>
      <c r="F3360" s="6">
        <v>-0.49338237455539546</v>
      </c>
    </row>
    <row r="3361" spans="2:6">
      <c r="B3361" t="s">
        <v>4194</v>
      </c>
      <c r="C3361" t="s">
        <v>4195</v>
      </c>
      <c r="D3361">
        <v>34.157499999999999</v>
      </c>
      <c r="E3361">
        <v>12.8795</v>
      </c>
      <c r="F3361" s="6">
        <v>-0.62293786137744278</v>
      </c>
    </row>
    <row r="3362" spans="2:6">
      <c r="B3362" t="s">
        <v>359</v>
      </c>
      <c r="C3362" t="s">
        <v>358</v>
      </c>
      <c r="D3362">
        <v>334.43509999999998</v>
      </c>
      <c r="E3362">
        <v>10.68</v>
      </c>
      <c r="F3362" s="6">
        <v>-0.96806555292790741</v>
      </c>
    </row>
    <row r="3363" spans="2:6">
      <c r="B3363" t="s">
        <v>4196</v>
      </c>
      <c r="C3363" t="s">
        <v>4197</v>
      </c>
      <c r="D3363">
        <v>18.2087</v>
      </c>
      <c r="E3363">
        <v>9.8023000000000007</v>
      </c>
      <c r="F3363" s="6">
        <v>-0.46166942175992798</v>
      </c>
    </row>
    <row r="3364" spans="2:6">
      <c r="B3364" t="s">
        <v>3476</v>
      </c>
      <c r="C3364" t="s">
        <v>2927</v>
      </c>
      <c r="D3364">
        <v>1291.6546364014107</v>
      </c>
      <c r="E3364">
        <v>9.7614999999999998</v>
      </c>
      <c r="F3364" s="6">
        <v>-0.99239999999999995</v>
      </c>
    </row>
    <row r="3365" spans="2:6">
      <c r="B3365" t="s">
        <v>3524</v>
      </c>
      <c r="C3365" t="s">
        <v>3525</v>
      </c>
      <c r="D3365">
        <v>776.06200000000001</v>
      </c>
      <c r="E3365">
        <v>9.6897000000000002</v>
      </c>
      <c r="F3365" s="6">
        <v>-0.98751427076702636</v>
      </c>
    </row>
    <row r="3366" spans="2:6">
      <c r="B3366" t="s">
        <v>4198</v>
      </c>
      <c r="C3366" t="s">
        <v>4199</v>
      </c>
      <c r="D3366">
        <v>54.862699999999997</v>
      </c>
      <c r="E3366">
        <v>4.6994999999999996</v>
      </c>
      <c r="F3366" s="6">
        <v>-0.91434070871466411</v>
      </c>
    </row>
    <row r="3367" spans="2:6">
      <c r="B3367" t="s">
        <v>4200</v>
      </c>
      <c r="C3367" t="s">
        <v>4201</v>
      </c>
      <c r="D3367">
        <v>48.251300000000001</v>
      </c>
      <c r="E3367">
        <v>3.6686000000000001</v>
      </c>
      <c r="F3367" s="6">
        <v>-0.92396888788488596</v>
      </c>
    </row>
    <row r="3368" spans="2:6">
      <c r="B3368" t="s">
        <v>4202</v>
      </c>
      <c r="C3368" t="s">
        <v>4203</v>
      </c>
      <c r="D3368">
        <v>76.113500000000002</v>
      </c>
      <c r="E3368">
        <v>2.9049999999999998</v>
      </c>
      <c r="F3368" s="6">
        <v>-0.96183331472077882</v>
      </c>
    </row>
  </sheetData>
  <sortState xmlns:xlrd2="http://schemas.microsoft.com/office/spreadsheetml/2017/richdata2" ref="J2:M21">
    <sortCondition descending="1" ref="L2:L21"/>
  </sortState>
  <pageMargins left="0.7" right="0.7" top="0.75" bottom="0.75" header="0.3" footer="0.3"/>
  <ignoredErrors>
    <ignoredError sqref="B2:B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F3E9-F96B-4681-BCE5-8294021B76E0}">
  <dimension ref="A2:K1747"/>
  <sheetViews>
    <sheetView showGridLines="0" workbookViewId="0">
      <selection activeCell="D36" sqref="D36"/>
    </sheetView>
  </sheetViews>
  <sheetFormatPr baseColWidth="10" defaultRowHeight="14.5"/>
  <cols>
    <col min="1" max="1" width="39.26953125" style="65" customWidth="1"/>
    <col min="2" max="3" width="12.90625" style="65" bestFit="1" customWidth="1"/>
    <col min="4" max="4" width="11.36328125" style="65" bestFit="1" customWidth="1"/>
    <col min="5" max="6" width="12.90625" style="65" bestFit="1" customWidth="1"/>
    <col min="7" max="7" width="11.36328125" style="65" bestFit="1" customWidth="1"/>
    <col min="8" max="8" width="14" style="65" bestFit="1" customWidth="1"/>
    <col min="9" max="9" width="12.90625" style="65" bestFit="1" customWidth="1"/>
    <col min="10" max="16384" width="10.90625" style="65"/>
  </cols>
  <sheetData>
    <row r="2" spans="1:11" ht="26.5" customHeight="1">
      <c r="A2" s="25" t="s">
        <v>2266</v>
      </c>
      <c r="B2" s="23" t="s">
        <v>2267</v>
      </c>
      <c r="C2" s="23" t="s">
        <v>2268</v>
      </c>
      <c r="D2" s="23" t="s">
        <v>2269</v>
      </c>
      <c r="E2" s="23" t="s">
        <v>2270</v>
      </c>
      <c r="F2" s="23" t="s">
        <v>2271</v>
      </c>
      <c r="G2" s="23" t="s">
        <v>2272</v>
      </c>
      <c r="H2" s="23" t="s">
        <v>2273</v>
      </c>
      <c r="I2" s="23" t="s">
        <v>12</v>
      </c>
      <c r="J2" s="23" t="s">
        <v>2278</v>
      </c>
    </row>
    <row r="3" spans="1:11">
      <c r="A3" s="71" t="s">
        <v>2246</v>
      </c>
      <c r="B3" s="66">
        <v>203569.18</v>
      </c>
      <c r="C3" s="66">
        <v>601562.16</v>
      </c>
      <c r="D3" s="66">
        <v>335662.85</v>
      </c>
      <c r="E3" s="66">
        <v>457181.53</v>
      </c>
      <c r="F3" s="66">
        <v>-33495.54</v>
      </c>
      <c r="G3" s="66">
        <v>-5189.25</v>
      </c>
      <c r="H3" s="66">
        <v>-32464.9</v>
      </c>
      <c r="I3" s="66">
        <v>1526826.03</v>
      </c>
      <c r="J3" s="76">
        <f>I3/$I$14</f>
        <v>0.2958332423805648</v>
      </c>
      <c r="K3" s="65">
        <v>1</v>
      </c>
    </row>
    <row r="4" spans="1:11">
      <c r="A4" s="71" t="s">
        <v>2251</v>
      </c>
      <c r="B4" s="66"/>
      <c r="C4" s="66">
        <v>34921.99</v>
      </c>
      <c r="D4" s="66"/>
      <c r="E4" s="66"/>
      <c r="F4" s="66">
        <v>11483.58</v>
      </c>
      <c r="G4" s="66">
        <v>26956.78</v>
      </c>
      <c r="H4" s="66">
        <v>207916.06</v>
      </c>
      <c r="I4" s="66">
        <v>281278.40999999997</v>
      </c>
      <c r="J4" s="76">
        <f t="shared" ref="J4:J12" si="0">I4/$I$14</f>
        <v>5.4499662965498345E-2</v>
      </c>
      <c r="K4" s="65">
        <v>2</v>
      </c>
    </row>
    <row r="5" spans="1:11">
      <c r="A5" s="71" t="s">
        <v>2274</v>
      </c>
      <c r="B5" s="66">
        <v>21344.3</v>
      </c>
      <c r="C5" s="66">
        <v>21910.03</v>
      </c>
      <c r="D5" s="66">
        <v>6596.24</v>
      </c>
      <c r="E5" s="66">
        <v>69240.31</v>
      </c>
      <c r="F5" s="67">
        <v>5159.6099999999997</v>
      </c>
      <c r="G5" s="67">
        <v>-1153.23</v>
      </c>
      <c r="H5" s="66">
        <v>-7443.22</v>
      </c>
      <c r="I5" s="66">
        <v>115654.04</v>
      </c>
      <c r="J5" s="76">
        <f t="shared" si="0"/>
        <v>2.2408780683161086E-2</v>
      </c>
      <c r="K5" s="65">
        <v>3</v>
      </c>
    </row>
    <row r="6" spans="1:11">
      <c r="A6" s="71" t="s">
        <v>2257</v>
      </c>
      <c r="B6" s="67">
        <v>-6222.13</v>
      </c>
      <c r="C6" s="66">
        <v>46137.35</v>
      </c>
      <c r="D6" s="66">
        <v>20938.439999999999</v>
      </c>
      <c r="E6" s="66">
        <v>48816.5</v>
      </c>
      <c r="F6" s="66">
        <v>-30.48</v>
      </c>
      <c r="G6" s="66">
        <v>-168.73</v>
      </c>
      <c r="H6" s="66"/>
      <c r="I6" s="66">
        <v>109470.95</v>
      </c>
      <c r="J6" s="76">
        <f t="shared" si="0"/>
        <v>2.1210763668327481E-2</v>
      </c>
      <c r="K6" s="65">
        <v>4</v>
      </c>
    </row>
    <row r="7" spans="1:11">
      <c r="A7" s="71" t="s">
        <v>2250</v>
      </c>
      <c r="B7" s="66">
        <v>34588.879999999997</v>
      </c>
      <c r="C7" s="66">
        <v>69235.64</v>
      </c>
      <c r="D7" s="66">
        <v>3843.97</v>
      </c>
      <c r="E7" s="67">
        <v>-204.25</v>
      </c>
      <c r="F7" s="101">
        <v>2390.08</v>
      </c>
      <c r="G7" s="101">
        <v>-516.23</v>
      </c>
      <c r="H7" s="101"/>
      <c r="I7" s="66">
        <v>109338.09</v>
      </c>
      <c r="J7" s="76">
        <f t="shared" si="0"/>
        <v>2.1185021112325418E-2</v>
      </c>
      <c r="K7" s="65">
        <v>5</v>
      </c>
    </row>
    <row r="8" spans="1:11">
      <c r="A8" s="71" t="s">
        <v>2247</v>
      </c>
      <c r="B8" s="66">
        <v>105564.74</v>
      </c>
      <c r="C8" s="66">
        <v>929.04</v>
      </c>
      <c r="D8" s="66">
        <v>249.34</v>
      </c>
      <c r="E8" s="66">
        <v>562.9</v>
      </c>
      <c r="F8" s="67">
        <v>9.3800000000000008</v>
      </c>
      <c r="G8" s="66">
        <v>54.31</v>
      </c>
      <c r="H8" s="67"/>
      <c r="I8" s="66">
        <v>107369.71</v>
      </c>
      <c r="J8" s="76">
        <f t="shared" si="0"/>
        <v>2.0803633694115729E-2</v>
      </c>
      <c r="K8" s="65">
        <v>6</v>
      </c>
    </row>
    <row r="9" spans="1:11">
      <c r="A9" s="71" t="s">
        <v>2275</v>
      </c>
      <c r="B9" s="66">
        <v>15694.35</v>
      </c>
      <c r="C9" s="66">
        <v>52876.76</v>
      </c>
      <c r="D9" s="66">
        <v>4933.43</v>
      </c>
      <c r="E9" s="66">
        <v>6130.64</v>
      </c>
      <c r="F9" s="66">
        <v>-206.24</v>
      </c>
      <c r="G9" s="66"/>
      <c r="H9" s="66"/>
      <c r="I9" s="66">
        <v>79428.94</v>
      </c>
      <c r="J9" s="76">
        <f t="shared" si="0"/>
        <v>1.5389913714695667E-2</v>
      </c>
      <c r="K9" s="65">
        <v>7</v>
      </c>
    </row>
    <row r="10" spans="1:11">
      <c r="A10" s="71" t="s">
        <v>2252</v>
      </c>
      <c r="B10" s="66">
        <v>5077.66</v>
      </c>
      <c r="C10" s="66">
        <v>71102.75</v>
      </c>
      <c r="D10" s="66"/>
      <c r="E10" s="66"/>
      <c r="F10" s="66"/>
      <c r="G10" s="66"/>
      <c r="H10" s="66"/>
      <c r="I10" s="66">
        <v>76180.41</v>
      </c>
      <c r="J10" s="76">
        <f t="shared" si="0"/>
        <v>1.4760488263473476E-2</v>
      </c>
      <c r="K10" s="65">
        <v>8</v>
      </c>
    </row>
    <row r="11" spans="1:11">
      <c r="A11" s="71" t="s">
        <v>2263</v>
      </c>
      <c r="B11" s="66">
        <v>29240.45</v>
      </c>
      <c r="C11" s="66">
        <v>43835.78</v>
      </c>
      <c r="D11" s="66">
        <v>32.229999999999997</v>
      </c>
      <c r="E11" s="66">
        <v>325.2</v>
      </c>
      <c r="F11" s="66">
        <v>102.67</v>
      </c>
      <c r="G11" s="66">
        <v>-95.73</v>
      </c>
      <c r="H11" s="66"/>
      <c r="I11" s="66">
        <v>73440.600000000006</v>
      </c>
      <c r="J11" s="76">
        <f t="shared" si="0"/>
        <v>1.4229630877051596E-2</v>
      </c>
      <c r="K11" s="65">
        <v>9</v>
      </c>
    </row>
    <row r="12" spans="1:11">
      <c r="A12" s="71" t="s">
        <v>2264</v>
      </c>
      <c r="B12" s="66">
        <v>20502.560000000001</v>
      </c>
      <c r="C12" s="66"/>
      <c r="D12" s="66">
        <v>23117.31</v>
      </c>
      <c r="E12" s="66">
        <v>26050.42</v>
      </c>
      <c r="F12" s="66"/>
      <c r="G12" s="66"/>
      <c r="H12" s="66"/>
      <c r="I12" s="66">
        <v>69670.289999999994</v>
      </c>
      <c r="J12" s="76">
        <f t="shared" si="0"/>
        <v>1.3499106894512556E-2</v>
      </c>
      <c r="K12" s="65">
        <v>10</v>
      </c>
    </row>
    <row r="13" spans="1:11">
      <c r="A13" s="69" t="s">
        <v>2276</v>
      </c>
      <c r="B13" s="70">
        <f>SUM(B3:B12)</f>
        <v>429359.98999999993</v>
      </c>
      <c r="C13" s="70">
        <f t="shared" ref="C13:H13" si="1">SUM(C3:C12)</f>
        <v>942511.50000000012</v>
      </c>
      <c r="D13" s="70">
        <f t="shared" si="1"/>
        <v>395373.80999999994</v>
      </c>
      <c r="E13" s="70">
        <f t="shared" si="1"/>
        <v>608103.25000000012</v>
      </c>
      <c r="F13" s="70">
        <f t="shared" si="1"/>
        <v>-14586.939999999999</v>
      </c>
      <c r="G13" s="70">
        <f t="shared" si="1"/>
        <v>19887.920000000002</v>
      </c>
      <c r="H13" s="70">
        <f t="shared" si="1"/>
        <v>168007.94</v>
      </c>
      <c r="I13" s="70">
        <f>SUM(I3:I12)</f>
        <v>2548657.4700000002</v>
      </c>
      <c r="J13" s="77">
        <f>SUM(J3:J12)</f>
        <v>0.49382024425372617</v>
      </c>
    </row>
    <row r="14" spans="1:11">
      <c r="A14" s="72" t="s">
        <v>239</v>
      </c>
      <c r="B14" s="73">
        <v>1542149.79</v>
      </c>
      <c r="C14" s="73">
        <v>1393977.61</v>
      </c>
      <c r="D14" s="73">
        <v>568817.19999999995</v>
      </c>
      <c r="E14" s="73">
        <v>904353.25</v>
      </c>
      <c r="F14" s="73">
        <v>181376.68</v>
      </c>
      <c r="G14" s="73">
        <v>102078.39999999999</v>
      </c>
      <c r="H14" s="73">
        <v>468135.97</v>
      </c>
      <c r="I14" s="73">
        <v>5161103.66</v>
      </c>
      <c r="J14" s="78">
        <v>1</v>
      </c>
    </row>
    <row r="15" spans="1:11">
      <c r="A15" s="74" t="s">
        <v>2277</v>
      </c>
      <c r="B15" s="75">
        <f>B13/B14</f>
        <v>0.27841652787826787</v>
      </c>
      <c r="C15" s="75">
        <f t="shared" ref="C15:I15" si="2">C13/C14</f>
        <v>0.67613101762803784</v>
      </c>
      <c r="D15" s="75">
        <f t="shared" si="2"/>
        <v>0.69508061640892715</v>
      </c>
      <c r="E15" s="75">
        <f t="shared" si="2"/>
        <v>0.67241783009017786</v>
      </c>
      <c r="F15" s="75">
        <f t="shared" si="2"/>
        <v>-8.04234590687182E-2</v>
      </c>
      <c r="G15" s="75">
        <f t="shared" si="2"/>
        <v>0.19482985626733965</v>
      </c>
      <c r="H15" s="75">
        <f t="shared" si="2"/>
        <v>0.35888705582696412</v>
      </c>
      <c r="I15" s="75">
        <f t="shared" si="2"/>
        <v>0.49382024425372617</v>
      </c>
    </row>
    <row r="16" spans="1:11">
      <c r="A16" s="63"/>
      <c r="B16" s="66"/>
      <c r="C16" s="66"/>
      <c r="D16" s="66"/>
      <c r="E16" s="66"/>
      <c r="F16" s="66"/>
      <c r="G16" s="66"/>
      <c r="H16" s="66"/>
      <c r="I16" s="66"/>
    </row>
    <row r="17" spans="1:9">
      <c r="A17" s="63"/>
      <c r="B17" s="66"/>
      <c r="C17" s="66"/>
      <c r="D17" s="66"/>
      <c r="E17" s="66"/>
      <c r="F17" s="66"/>
      <c r="G17" s="66"/>
      <c r="H17" s="66"/>
      <c r="I17" s="66"/>
    </row>
    <row r="18" spans="1:9">
      <c r="A18" s="63"/>
      <c r="B18" s="66"/>
      <c r="C18" s="66"/>
      <c r="D18" s="66"/>
      <c r="E18" s="66"/>
      <c r="F18" s="66"/>
      <c r="G18" s="66"/>
      <c r="H18" s="66"/>
      <c r="I18" s="66"/>
    </row>
    <row r="19" spans="1:9">
      <c r="A19" s="63"/>
      <c r="B19" s="66"/>
      <c r="C19" s="66"/>
      <c r="D19" s="66"/>
      <c r="E19" s="67"/>
      <c r="F19" s="67"/>
      <c r="G19" s="67"/>
      <c r="H19" s="67"/>
      <c r="I19" s="66"/>
    </row>
    <row r="20" spans="1:9">
      <c r="A20" s="63"/>
      <c r="B20" s="66"/>
      <c r="C20" s="66"/>
      <c r="D20" s="66"/>
      <c r="E20" s="66"/>
      <c r="F20" s="66"/>
      <c r="G20" s="66"/>
      <c r="H20" s="66"/>
      <c r="I20" s="66"/>
    </row>
    <row r="21" spans="1:9">
      <c r="A21" s="63"/>
      <c r="B21" s="66"/>
      <c r="C21" s="66"/>
      <c r="D21" s="66"/>
      <c r="E21" s="67"/>
      <c r="F21" s="67"/>
      <c r="G21" s="67"/>
      <c r="H21" s="67"/>
      <c r="I21" s="66"/>
    </row>
    <row r="22" spans="1:9">
      <c r="A22" s="63"/>
      <c r="B22" s="66"/>
      <c r="C22" s="66"/>
      <c r="D22" s="66"/>
      <c r="E22" s="66"/>
      <c r="F22" s="66"/>
      <c r="G22" s="67"/>
      <c r="H22" s="67"/>
      <c r="I22" s="66"/>
    </row>
    <row r="23" spans="1:9">
      <c r="A23" s="63"/>
      <c r="B23" s="66"/>
      <c r="C23" s="66"/>
      <c r="D23" s="66"/>
      <c r="E23" s="67"/>
      <c r="F23" s="67"/>
      <c r="G23" s="67"/>
      <c r="H23" s="67"/>
      <c r="I23" s="66"/>
    </row>
    <row r="24" spans="1:9">
      <c r="A24" s="63"/>
      <c r="B24" s="66"/>
      <c r="C24" s="67"/>
      <c r="D24" s="67"/>
      <c r="E24" s="67"/>
      <c r="F24" s="67"/>
      <c r="G24" s="67"/>
      <c r="H24" s="67"/>
      <c r="I24" s="66"/>
    </row>
    <row r="25" spans="1:9">
      <c r="A25" s="63"/>
      <c r="B25" s="67"/>
      <c r="C25" s="67"/>
      <c r="D25" s="67"/>
      <c r="E25" s="67"/>
      <c r="F25" s="66"/>
      <c r="G25" s="66"/>
      <c r="H25" s="67"/>
      <c r="I25" s="66"/>
    </row>
    <row r="26" spans="1:9">
      <c r="A26" s="63"/>
      <c r="B26" s="66"/>
      <c r="C26" s="66"/>
      <c r="D26" s="66"/>
      <c r="E26" s="67"/>
      <c r="F26" s="67"/>
      <c r="G26" s="67"/>
      <c r="H26" s="67"/>
      <c r="I26" s="66"/>
    </row>
    <row r="27" spans="1:9">
      <c r="A27" s="63"/>
      <c r="B27" s="66"/>
      <c r="C27" s="66"/>
      <c r="D27" s="66"/>
      <c r="E27" s="66"/>
      <c r="F27" s="67"/>
      <c r="G27" s="67"/>
      <c r="H27" s="67"/>
      <c r="I27" s="66"/>
    </row>
    <row r="28" spans="1:9">
      <c r="A28" s="63"/>
      <c r="B28" s="67"/>
      <c r="C28" s="67"/>
      <c r="D28" s="67"/>
      <c r="E28" s="67"/>
      <c r="F28" s="67"/>
      <c r="G28" s="67"/>
      <c r="H28" s="66"/>
      <c r="I28" s="66"/>
    </row>
    <row r="29" spans="1:9">
      <c r="A29" s="63"/>
      <c r="B29" s="66"/>
      <c r="C29" s="66"/>
      <c r="D29" s="66"/>
      <c r="E29" s="66"/>
      <c r="F29" s="67"/>
      <c r="G29" s="66"/>
      <c r="H29" s="66"/>
      <c r="I29" s="66"/>
    </row>
    <row r="30" spans="1:9">
      <c r="A30" s="63"/>
      <c r="B30" s="67"/>
      <c r="C30" s="66"/>
      <c r="D30" s="66"/>
      <c r="E30" s="66"/>
      <c r="F30" s="66"/>
      <c r="G30" s="67"/>
      <c r="H30" s="67"/>
      <c r="I30" s="66"/>
    </row>
    <row r="31" spans="1:9">
      <c r="A31" s="63"/>
      <c r="B31" s="67"/>
      <c r="C31" s="67"/>
      <c r="D31" s="67"/>
      <c r="E31" s="67"/>
      <c r="F31" s="67"/>
      <c r="G31" s="66"/>
      <c r="H31" s="67"/>
      <c r="I31" s="66"/>
    </row>
    <row r="32" spans="1:9">
      <c r="A32" s="63"/>
      <c r="B32" s="66"/>
      <c r="C32" s="66"/>
      <c r="D32" s="66"/>
      <c r="E32" s="66"/>
      <c r="F32" s="66"/>
      <c r="G32" s="67"/>
      <c r="H32" s="67"/>
      <c r="I32" s="66"/>
    </row>
    <row r="33" spans="1:9">
      <c r="A33" s="63"/>
      <c r="B33" s="66"/>
      <c r="C33" s="66"/>
      <c r="D33" s="67"/>
      <c r="E33" s="67"/>
      <c r="F33" s="67"/>
      <c r="G33" s="67"/>
      <c r="H33" s="67"/>
      <c r="I33" s="66"/>
    </row>
    <row r="34" spans="1:9">
      <c r="A34" s="63"/>
      <c r="B34" s="66"/>
      <c r="C34" s="66"/>
      <c r="D34" s="67"/>
      <c r="E34" s="66"/>
      <c r="F34" s="67"/>
      <c r="G34" s="67"/>
      <c r="H34" s="67"/>
      <c r="I34" s="66"/>
    </row>
    <row r="35" spans="1:9">
      <c r="A35" s="63"/>
      <c r="B35" s="66"/>
      <c r="C35" s="66"/>
      <c r="D35" s="67"/>
      <c r="E35" s="67"/>
      <c r="F35" s="67"/>
      <c r="G35" s="67"/>
      <c r="H35" s="67"/>
      <c r="I35" s="66"/>
    </row>
    <row r="36" spans="1:9">
      <c r="A36" s="63"/>
      <c r="B36" s="66"/>
      <c r="C36" s="66"/>
      <c r="D36" s="66"/>
      <c r="E36" s="67"/>
      <c r="F36" s="67"/>
      <c r="G36" s="67"/>
      <c r="H36" s="67"/>
      <c r="I36" s="66"/>
    </row>
    <row r="37" spans="1:9">
      <c r="A37" s="63"/>
      <c r="B37" s="66"/>
      <c r="C37" s="66"/>
      <c r="D37" s="66"/>
      <c r="E37" s="66"/>
      <c r="F37" s="66"/>
      <c r="G37" s="67"/>
      <c r="H37" s="67"/>
      <c r="I37" s="66"/>
    </row>
    <row r="38" spans="1:9">
      <c r="A38" s="63"/>
      <c r="B38" s="66"/>
      <c r="C38" s="66"/>
      <c r="D38" s="66"/>
      <c r="E38" s="67"/>
      <c r="F38" s="67"/>
      <c r="G38" s="67"/>
      <c r="H38" s="67"/>
      <c r="I38" s="66"/>
    </row>
    <row r="39" spans="1:9">
      <c r="A39" s="63"/>
      <c r="B39" s="66"/>
      <c r="C39" s="67"/>
      <c r="D39" s="67"/>
      <c r="E39" s="67"/>
      <c r="F39" s="67"/>
      <c r="G39" s="67"/>
      <c r="H39" s="67"/>
      <c r="I39" s="66"/>
    </row>
    <row r="40" spans="1:9">
      <c r="A40" s="63"/>
      <c r="B40" s="66"/>
      <c r="C40" s="67"/>
      <c r="D40" s="67"/>
      <c r="E40" s="66"/>
      <c r="F40" s="66"/>
      <c r="G40" s="67"/>
      <c r="H40" s="67"/>
      <c r="I40" s="66"/>
    </row>
    <row r="41" spans="1:9">
      <c r="A41" s="63"/>
      <c r="B41" s="66"/>
      <c r="C41" s="66"/>
      <c r="D41" s="66"/>
      <c r="E41" s="66"/>
      <c r="F41" s="67"/>
      <c r="G41" s="67"/>
      <c r="H41" s="67"/>
      <c r="I41" s="66"/>
    </row>
    <row r="42" spans="1:9">
      <c r="A42" s="63"/>
      <c r="B42" s="66"/>
      <c r="C42" s="66"/>
      <c r="D42" s="66"/>
      <c r="E42" s="66"/>
      <c r="F42" s="66"/>
      <c r="G42" s="67"/>
      <c r="H42" s="67"/>
      <c r="I42" s="66"/>
    </row>
    <row r="43" spans="1:9">
      <c r="A43" s="63"/>
      <c r="B43" s="67"/>
      <c r="C43" s="67"/>
      <c r="D43" s="67"/>
      <c r="E43" s="67"/>
      <c r="F43" s="67"/>
      <c r="G43" s="67"/>
      <c r="H43" s="66"/>
      <c r="I43" s="66"/>
    </row>
    <row r="44" spans="1:9">
      <c r="A44" s="63"/>
      <c r="B44" s="66"/>
      <c r="C44" s="66"/>
      <c r="D44" s="66"/>
      <c r="E44" s="66"/>
      <c r="F44" s="67"/>
      <c r="G44" s="67"/>
      <c r="H44" s="67"/>
      <c r="I44" s="66"/>
    </row>
    <row r="45" spans="1:9">
      <c r="A45" s="63"/>
      <c r="B45" s="66"/>
      <c r="C45" s="66"/>
      <c r="D45" s="66"/>
      <c r="E45" s="66"/>
      <c r="F45" s="67"/>
      <c r="G45" s="67"/>
      <c r="H45" s="67"/>
      <c r="I45" s="66"/>
    </row>
    <row r="46" spans="1:9">
      <c r="A46" s="63"/>
      <c r="B46" s="66"/>
      <c r="C46" s="66"/>
      <c r="D46" s="66"/>
      <c r="E46" s="66"/>
      <c r="F46" s="66"/>
      <c r="G46" s="67"/>
      <c r="H46" s="67"/>
      <c r="I46" s="66"/>
    </row>
    <row r="47" spans="1:9">
      <c r="A47" s="63"/>
      <c r="B47" s="67"/>
      <c r="C47" s="67"/>
      <c r="D47" s="67"/>
      <c r="E47" s="66"/>
      <c r="F47" s="66"/>
      <c r="G47" s="66"/>
      <c r="H47" s="67"/>
      <c r="I47" s="66"/>
    </row>
    <row r="48" spans="1:9">
      <c r="A48" s="63"/>
      <c r="B48" s="67"/>
      <c r="C48" s="67"/>
      <c r="D48" s="67"/>
      <c r="E48" s="66"/>
      <c r="F48" s="66"/>
      <c r="G48" s="66"/>
      <c r="H48" s="67"/>
      <c r="I48" s="66"/>
    </row>
    <row r="49" spans="1:9">
      <c r="A49" s="63"/>
      <c r="B49" s="66"/>
      <c r="C49" s="66"/>
      <c r="D49" s="67"/>
      <c r="E49" s="67"/>
      <c r="F49" s="67"/>
      <c r="G49" s="67"/>
      <c r="H49" s="67"/>
      <c r="I49" s="66"/>
    </row>
    <row r="50" spans="1:9">
      <c r="A50" s="63"/>
      <c r="B50" s="66"/>
      <c r="C50" s="66"/>
      <c r="D50" s="67"/>
      <c r="E50" s="67"/>
      <c r="F50" s="67"/>
      <c r="G50" s="67"/>
      <c r="H50" s="66"/>
      <c r="I50" s="66"/>
    </row>
    <row r="51" spans="1:9">
      <c r="A51" s="63"/>
      <c r="B51" s="66"/>
      <c r="C51" s="66"/>
      <c r="D51" s="67"/>
      <c r="E51" s="67"/>
      <c r="F51" s="67"/>
      <c r="G51" s="67"/>
      <c r="H51" s="67"/>
      <c r="I51" s="66"/>
    </row>
    <row r="52" spans="1:9">
      <c r="A52" s="63"/>
      <c r="B52" s="66"/>
      <c r="C52" s="66"/>
      <c r="D52" s="66"/>
      <c r="E52" s="66"/>
      <c r="F52" s="67"/>
      <c r="G52" s="67"/>
      <c r="H52" s="67"/>
      <c r="I52" s="66"/>
    </row>
    <row r="53" spans="1:9">
      <c r="A53" s="63"/>
      <c r="B53" s="66"/>
      <c r="C53" s="66"/>
      <c r="D53" s="67"/>
      <c r="E53" s="67"/>
      <c r="F53" s="67"/>
      <c r="G53" s="67"/>
      <c r="H53" s="67"/>
      <c r="I53" s="66"/>
    </row>
    <row r="54" spans="1:9">
      <c r="A54" s="63"/>
      <c r="B54" s="66"/>
      <c r="C54" s="66"/>
      <c r="D54" s="66"/>
      <c r="E54" s="67"/>
      <c r="F54" s="67"/>
      <c r="G54" s="67"/>
      <c r="H54" s="67"/>
      <c r="I54" s="66"/>
    </row>
    <row r="55" spans="1:9">
      <c r="A55" s="63"/>
      <c r="B55" s="66"/>
      <c r="C55" s="66"/>
      <c r="D55" s="66"/>
      <c r="E55" s="66"/>
      <c r="F55" s="67"/>
      <c r="G55" s="66"/>
      <c r="H55" s="67"/>
      <c r="I55" s="66"/>
    </row>
    <row r="56" spans="1:9">
      <c r="A56" s="63"/>
      <c r="B56" s="67"/>
      <c r="C56" s="67"/>
      <c r="D56" s="67"/>
      <c r="E56" s="67"/>
      <c r="F56" s="67"/>
      <c r="G56" s="66"/>
      <c r="H56" s="66"/>
      <c r="I56" s="66"/>
    </row>
    <row r="57" spans="1:9">
      <c r="A57" s="63"/>
      <c r="B57" s="66"/>
      <c r="C57" s="66"/>
      <c r="D57" s="67"/>
      <c r="E57" s="67"/>
      <c r="F57" s="67"/>
      <c r="G57" s="67"/>
      <c r="H57" s="67"/>
      <c r="I57" s="66"/>
    </row>
    <row r="58" spans="1:9">
      <c r="A58" s="63"/>
      <c r="B58" s="66"/>
      <c r="C58" s="66"/>
      <c r="D58" s="66"/>
      <c r="E58" s="66"/>
      <c r="F58" s="67"/>
      <c r="G58" s="67"/>
      <c r="H58" s="67"/>
      <c r="I58" s="66"/>
    </row>
    <row r="59" spans="1:9">
      <c r="A59" s="63"/>
      <c r="B59" s="66"/>
      <c r="C59" s="66"/>
      <c r="D59" s="66"/>
      <c r="E59" s="66"/>
      <c r="F59" s="67"/>
      <c r="G59" s="67"/>
      <c r="H59" s="67"/>
      <c r="I59" s="66"/>
    </row>
    <row r="60" spans="1:9">
      <c r="A60" s="63"/>
      <c r="B60" s="67"/>
      <c r="C60" s="67"/>
      <c r="D60" s="66"/>
      <c r="E60" s="66"/>
      <c r="F60" s="66"/>
      <c r="G60" s="67"/>
      <c r="H60" s="67"/>
      <c r="I60" s="66"/>
    </row>
    <row r="61" spans="1:9">
      <c r="A61" s="63"/>
      <c r="B61" s="66"/>
      <c r="C61" s="66"/>
      <c r="D61" s="66"/>
      <c r="E61" s="67"/>
      <c r="F61" s="67"/>
      <c r="G61" s="67"/>
      <c r="H61" s="67"/>
      <c r="I61" s="66"/>
    </row>
    <row r="62" spans="1:9">
      <c r="A62" s="63"/>
      <c r="B62" s="66"/>
      <c r="C62" s="67"/>
      <c r="D62" s="67"/>
      <c r="E62" s="67"/>
      <c r="F62" s="67"/>
      <c r="G62" s="67"/>
      <c r="H62" s="67"/>
      <c r="I62" s="66"/>
    </row>
    <row r="63" spans="1:9">
      <c r="A63" s="63"/>
      <c r="B63" s="67"/>
      <c r="C63" s="66"/>
      <c r="D63" s="66"/>
      <c r="E63" s="66"/>
      <c r="F63" s="67"/>
      <c r="G63" s="67"/>
      <c r="H63" s="67"/>
      <c r="I63" s="66"/>
    </row>
    <row r="64" spans="1:9">
      <c r="A64" s="63"/>
      <c r="B64" s="67"/>
      <c r="C64" s="67"/>
      <c r="D64" s="67"/>
      <c r="E64" s="67"/>
      <c r="F64" s="67"/>
      <c r="G64" s="67"/>
      <c r="H64" s="66"/>
      <c r="I64" s="66"/>
    </row>
    <row r="65" spans="1:9">
      <c r="A65" s="63"/>
      <c r="B65" s="66"/>
      <c r="C65" s="66"/>
      <c r="D65" s="67"/>
      <c r="E65" s="67"/>
      <c r="F65" s="66"/>
      <c r="G65" s="67"/>
      <c r="H65" s="67"/>
      <c r="I65" s="66"/>
    </row>
    <row r="66" spans="1:9">
      <c r="A66" s="63"/>
      <c r="B66" s="66"/>
      <c r="C66" s="66"/>
      <c r="D66" s="67"/>
      <c r="E66" s="67"/>
      <c r="F66" s="67"/>
      <c r="G66" s="67"/>
      <c r="H66" s="67"/>
      <c r="I66" s="66"/>
    </row>
    <row r="67" spans="1:9">
      <c r="A67" s="63"/>
      <c r="B67" s="66"/>
      <c r="C67" s="66"/>
      <c r="D67" s="67"/>
      <c r="E67" s="67"/>
      <c r="F67" s="67"/>
      <c r="G67" s="67"/>
      <c r="H67" s="66"/>
      <c r="I67" s="66"/>
    </row>
    <row r="68" spans="1:9">
      <c r="A68" s="63"/>
      <c r="B68" s="66"/>
      <c r="C68" s="66"/>
      <c r="D68" s="67"/>
      <c r="E68" s="67"/>
      <c r="F68" s="67"/>
      <c r="G68" s="67"/>
      <c r="H68" s="67"/>
      <c r="I68" s="66"/>
    </row>
    <row r="69" spans="1:9">
      <c r="A69" s="63"/>
      <c r="B69" s="66"/>
      <c r="C69" s="66"/>
      <c r="D69" s="67"/>
      <c r="E69" s="67"/>
      <c r="F69" s="67"/>
      <c r="G69" s="67"/>
      <c r="H69" s="67"/>
      <c r="I69" s="66"/>
    </row>
    <row r="70" spans="1:9">
      <c r="A70" s="63"/>
      <c r="B70" s="66"/>
      <c r="C70" s="67"/>
      <c r="D70" s="67"/>
      <c r="E70" s="67"/>
      <c r="F70" s="67"/>
      <c r="G70" s="67"/>
      <c r="H70" s="67"/>
      <c r="I70" s="66"/>
    </row>
    <row r="71" spans="1:9">
      <c r="A71" s="63"/>
      <c r="B71" s="66"/>
      <c r="C71" s="66"/>
      <c r="D71" s="67"/>
      <c r="E71" s="67"/>
      <c r="F71" s="67"/>
      <c r="G71" s="67"/>
      <c r="H71" s="67"/>
      <c r="I71" s="66"/>
    </row>
    <row r="72" spans="1:9">
      <c r="A72" s="63"/>
      <c r="B72" s="66"/>
      <c r="C72" s="66"/>
      <c r="D72" s="67"/>
      <c r="E72" s="67"/>
      <c r="F72" s="67"/>
      <c r="G72" s="67"/>
      <c r="H72" s="67"/>
      <c r="I72" s="66"/>
    </row>
    <row r="73" spans="1:9">
      <c r="A73" s="63"/>
      <c r="B73" s="66"/>
      <c r="C73" s="66"/>
      <c r="D73" s="67"/>
      <c r="E73" s="67"/>
      <c r="F73" s="66"/>
      <c r="G73" s="66"/>
      <c r="H73" s="67"/>
      <c r="I73" s="66"/>
    </row>
    <row r="74" spans="1:9">
      <c r="A74" s="63"/>
      <c r="B74" s="67"/>
      <c r="C74" s="67"/>
      <c r="D74" s="67"/>
      <c r="E74" s="67"/>
      <c r="F74" s="67"/>
      <c r="G74" s="67"/>
      <c r="H74" s="66"/>
      <c r="I74" s="66"/>
    </row>
    <row r="75" spans="1:9">
      <c r="A75" s="63"/>
      <c r="B75" s="66"/>
      <c r="C75" s="66"/>
      <c r="D75" s="66"/>
      <c r="E75" s="67"/>
      <c r="F75" s="67"/>
      <c r="G75" s="67"/>
      <c r="H75" s="67"/>
      <c r="I75" s="66"/>
    </row>
    <row r="76" spans="1:9">
      <c r="A76" s="63"/>
      <c r="B76" s="66"/>
      <c r="C76" s="66"/>
      <c r="D76" s="67"/>
      <c r="E76" s="67"/>
      <c r="F76" s="67"/>
      <c r="G76" s="67"/>
      <c r="H76" s="67"/>
      <c r="I76" s="66"/>
    </row>
    <row r="77" spans="1:9">
      <c r="A77" s="63"/>
      <c r="B77" s="66"/>
      <c r="C77" s="67"/>
      <c r="D77" s="67"/>
      <c r="E77" s="67"/>
      <c r="F77" s="67"/>
      <c r="G77" s="67"/>
      <c r="H77" s="67"/>
      <c r="I77" s="66"/>
    </row>
    <row r="78" spans="1:9">
      <c r="A78" s="63"/>
      <c r="B78" s="66"/>
      <c r="C78" s="66"/>
      <c r="D78" s="66"/>
      <c r="E78" s="66"/>
      <c r="F78" s="67"/>
      <c r="G78" s="67"/>
      <c r="H78" s="67"/>
      <c r="I78" s="66"/>
    </row>
    <row r="79" spans="1:9">
      <c r="A79" s="63"/>
      <c r="B79" s="66"/>
      <c r="C79" s="66"/>
      <c r="D79" s="66"/>
      <c r="E79" s="66"/>
      <c r="F79" s="67"/>
      <c r="G79" s="67"/>
      <c r="H79" s="66"/>
      <c r="I79" s="66"/>
    </row>
    <row r="80" spans="1:9">
      <c r="A80" s="63"/>
      <c r="B80" s="66"/>
      <c r="C80" s="66"/>
      <c r="D80" s="66"/>
      <c r="E80" s="66"/>
      <c r="F80" s="66"/>
      <c r="G80" s="67"/>
      <c r="H80" s="67"/>
      <c r="I80" s="66"/>
    </row>
    <row r="81" spans="1:9">
      <c r="A81" s="63"/>
      <c r="B81" s="66"/>
      <c r="C81" s="66"/>
      <c r="D81" s="66"/>
      <c r="E81" s="66"/>
      <c r="F81" s="67"/>
      <c r="G81" s="67"/>
      <c r="H81" s="67"/>
      <c r="I81" s="66"/>
    </row>
    <row r="82" spans="1:9">
      <c r="A82" s="63"/>
      <c r="B82" s="66"/>
      <c r="C82" s="66"/>
      <c r="D82" s="67"/>
      <c r="E82" s="66"/>
      <c r="F82" s="67"/>
      <c r="G82" s="67"/>
      <c r="H82" s="67"/>
      <c r="I82" s="66"/>
    </row>
    <row r="83" spans="1:9">
      <c r="A83" s="63"/>
      <c r="B83" s="66"/>
      <c r="C83" s="66"/>
      <c r="D83" s="66"/>
      <c r="E83" s="66"/>
      <c r="F83" s="67"/>
      <c r="G83" s="67"/>
      <c r="H83" s="67"/>
      <c r="I83" s="66"/>
    </row>
    <row r="84" spans="1:9">
      <c r="A84" s="63"/>
      <c r="B84" s="66"/>
      <c r="C84" s="66"/>
      <c r="D84" s="66"/>
      <c r="E84" s="67"/>
      <c r="F84" s="67"/>
      <c r="G84" s="67"/>
      <c r="H84" s="67"/>
      <c r="I84" s="66"/>
    </row>
    <row r="85" spans="1:9">
      <c r="A85" s="63"/>
      <c r="B85" s="67"/>
      <c r="C85" s="66"/>
      <c r="D85" s="66"/>
      <c r="E85" s="67"/>
      <c r="F85" s="67"/>
      <c r="G85" s="67"/>
      <c r="H85" s="67"/>
      <c r="I85" s="66"/>
    </row>
    <row r="86" spans="1:9">
      <c r="A86" s="63"/>
      <c r="B86" s="66"/>
      <c r="C86" s="67"/>
      <c r="D86" s="67"/>
      <c r="E86" s="67"/>
      <c r="F86" s="67"/>
      <c r="G86" s="67"/>
      <c r="H86" s="67"/>
      <c r="I86" s="66"/>
    </row>
    <row r="87" spans="1:9">
      <c r="A87" s="63"/>
      <c r="B87" s="66"/>
      <c r="C87" s="66"/>
      <c r="D87" s="67"/>
      <c r="E87" s="67"/>
      <c r="F87" s="67"/>
      <c r="G87" s="67"/>
      <c r="H87" s="67"/>
      <c r="I87" s="66"/>
    </row>
    <row r="88" spans="1:9">
      <c r="A88" s="63"/>
      <c r="B88" s="66"/>
      <c r="C88" s="66"/>
      <c r="D88" s="66"/>
      <c r="E88" s="66"/>
      <c r="F88" s="67"/>
      <c r="G88" s="67"/>
      <c r="H88" s="67"/>
      <c r="I88" s="66"/>
    </row>
    <row r="89" spans="1:9">
      <c r="A89" s="63"/>
      <c r="B89" s="66"/>
      <c r="C89" s="66"/>
      <c r="D89" s="66"/>
      <c r="E89" s="66"/>
      <c r="F89" s="66"/>
      <c r="G89" s="66"/>
      <c r="H89" s="67"/>
      <c r="I89" s="66"/>
    </row>
    <row r="90" spans="1:9">
      <c r="A90" s="63"/>
      <c r="B90" s="67"/>
      <c r="C90" s="67"/>
      <c r="D90" s="66"/>
      <c r="E90" s="66"/>
      <c r="F90" s="66"/>
      <c r="G90" s="67"/>
      <c r="H90" s="67"/>
      <c r="I90" s="66"/>
    </row>
    <row r="91" spans="1:9">
      <c r="A91" s="63"/>
      <c r="B91" s="66"/>
      <c r="C91" s="66"/>
      <c r="D91" s="67"/>
      <c r="E91" s="67"/>
      <c r="F91" s="67"/>
      <c r="G91" s="67"/>
      <c r="H91" s="67"/>
      <c r="I91" s="66"/>
    </row>
    <row r="92" spans="1:9">
      <c r="A92" s="63"/>
      <c r="B92" s="66"/>
      <c r="C92" s="66"/>
      <c r="D92" s="66"/>
      <c r="E92" s="66"/>
      <c r="F92" s="67"/>
      <c r="G92" s="67"/>
      <c r="H92" s="67"/>
      <c r="I92" s="66"/>
    </row>
    <row r="93" spans="1:9">
      <c r="A93" s="63"/>
      <c r="B93" s="66"/>
      <c r="C93" s="66"/>
      <c r="D93" s="67"/>
      <c r="E93" s="67"/>
      <c r="F93" s="67"/>
      <c r="G93" s="67"/>
      <c r="H93" s="67"/>
      <c r="I93" s="66"/>
    </row>
    <row r="94" spans="1:9">
      <c r="A94" s="63"/>
      <c r="B94" s="66"/>
      <c r="C94" s="66"/>
      <c r="D94" s="66"/>
      <c r="E94" s="66"/>
      <c r="F94" s="66"/>
      <c r="G94" s="67"/>
      <c r="H94" s="67"/>
      <c r="I94" s="66"/>
    </row>
    <row r="95" spans="1:9">
      <c r="A95" s="63"/>
      <c r="B95" s="67"/>
      <c r="C95" s="67"/>
      <c r="D95" s="67"/>
      <c r="E95" s="66"/>
      <c r="F95" s="66"/>
      <c r="G95" s="66"/>
      <c r="H95" s="66"/>
      <c r="I95" s="66"/>
    </row>
    <row r="96" spans="1:9">
      <c r="A96" s="63"/>
      <c r="B96" s="66"/>
      <c r="C96" s="67"/>
      <c r="D96" s="67"/>
      <c r="E96" s="67"/>
      <c r="F96" s="67"/>
      <c r="G96" s="67"/>
      <c r="H96" s="67"/>
      <c r="I96" s="66"/>
    </row>
    <row r="97" spans="1:9">
      <c r="A97" s="63"/>
      <c r="B97" s="66"/>
      <c r="C97" s="66"/>
      <c r="D97" s="66"/>
      <c r="E97" s="66"/>
      <c r="F97" s="67"/>
      <c r="G97" s="67"/>
      <c r="H97" s="67"/>
      <c r="I97" s="66"/>
    </row>
    <row r="98" spans="1:9">
      <c r="A98" s="63"/>
      <c r="B98" s="66"/>
      <c r="C98" s="66"/>
      <c r="D98" s="67"/>
      <c r="E98" s="67"/>
      <c r="F98" s="67"/>
      <c r="G98" s="67"/>
      <c r="H98" s="66"/>
      <c r="I98" s="66"/>
    </row>
    <row r="99" spans="1:9">
      <c r="A99" s="63"/>
      <c r="B99" s="66"/>
      <c r="C99" s="66"/>
      <c r="D99" s="67"/>
      <c r="E99" s="67"/>
      <c r="F99" s="67"/>
      <c r="G99" s="67"/>
      <c r="H99" s="67"/>
      <c r="I99" s="66"/>
    </row>
    <row r="100" spans="1:9">
      <c r="A100" s="63"/>
      <c r="B100" s="67"/>
      <c r="C100" s="66"/>
      <c r="D100" s="67"/>
      <c r="E100" s="66"/>
      <c r="F100" s="66"/>
      <c r="G100" s="66"/>
      <c r="H100" s="67"/>
      <c r="I100" s="66"/>
    </row>
    <row r="101" spans="1:9">
      <c r="A101" s="63"/>
      <c r="B101" s="66"/>
      <c r="C101" s="66"/>
      <c r="D101" s="67"/>
      <c r="E101" s="67"/>
      <c r="F101" s="67"/>
      <c r="G101" s="67"/>
      <c r="H101" s="67"/>
      <c r="I101" s="66"/>
    </row>
    <row r="102" spans="1:9">
      <c r="A102" s="63"/>
      <c r="B102" s="67"/>
      <c r="C102" s="67"/>
      <c r="D102" s="67"/>
      <c r="E102" s="67"/>
      <c r="F102" s="67"/>
      <c r="G102" s="67"/>
      <c r="H102" s="66"/>
      <c r="I102" s="66"/>
    </row>
    <row r="103" spans="1:9">
      <c r="A103" s="63"/>
      <c r="B103" s="66"/>
      <c r="C103" s="66"/>
      <c r="D103" s="66"/>
      <c r="E103" s="67"/>
      <c r="F103" s="67"/>
      <c r="G103" s="67"/>
      <c r="H103" s="67"/>
      <c r="I103" s="66"/>
    </row>
    <row r="104" spans="1:9">
      <c r="A104" s="63"/>
      <c r="B104" s="66"/>
      <c r="C104" s="66"/>
      <c r="D104" s="66"/>
      <c r="E104" s="67"/>
      <c r="F104" s="67"/>
      <c r="G104" s="67"/>
      <c r="H104" s="67"/>
      <c r="I104" s="66"/>
    </row>
    <row r="105" spans="1:9">
      <c r="A105" s="63"/>
      <c r="B105" s="66"/>
      <c r="C105" s="66"/>
      <c r="D105" s="67"/>
      <c r="E105" s="67"/>
      <c r="F105" s="67"/>
      <c r="G105" s="67"/>
      <c r="H105" s="67"/>
      <c r="I105" s="66"/>
    </row>
    <row r="106" spans="1:9">
      <c r="A106" s="63"/>
      <c r="B106" s="66"/>
      <c r="C106" s="66"/>
      <c r="D106" s="66"/>
      <c r="E106" s="67"/>
      <c r="F106" s="67"/>
      <c r="G106" s="67"/>
      <c r="H106" s="67"/>
      <c r="I106" s="66"/>
    </row>
    <row r="107" spans="1:9">
      <c r="A107" s="63"/>
      <c r="B107" s="67"/>
      <c r="C107" s="66"/>
      <c r="D107" s="67"/>
      <c r="E107" s="66"/>
      <c r="F107" s="66"/>
      <c r="G107" s="66"/>
      <c r="H107" s="66"/>
      <c r="I107" s="66"/>
    </row>
    <row r="108" spans="1:9">
      <c r="A108" s="63"/>
      <c r="B108" s="66"/>
      <c r="C108" s="66"/>
      <c r="D108" s="67"/>
      <c r="E108" s="67"/>
      <c r="F108" s="67"/>
      <c r="G108" s="67"/>
      <c r="H108" s="67"/>
      <c r="I108" s="66"/>
    </row>
    <row r="109" spans="1:9">
      <c r="A109" s="63"/>
      <c r="B109" s="66"/>
      <c r="C109" s="67"/>
      <c r="D109" s="67"/>
      <c r="E109" s="67"/>
      <c r="F109" s="67"/>
      <c r="G109" s="67"/>
      <c r="H109" s="67"/>
      <c r="I109" s="66"/>
    </row>
    <row r="110" spans="1:9">
      <c r="A110" s="63"/>
      <c r="B110" s="66"/>
      <c r="C110" s="66"/>
      <c r="D110" s="66"/>
      <c r="E110" s="66"/>
      <c r="F110" s="67"/>
      <c r="G110" s="67"/>
      <c r="H110" s="67"/>
      <c r="I110" s="66"/>
    </row>
    <row r="111" spans="1:9">
      <c r="A111" s="63"/>
      <c r="B111" s="67"/>
      <c r="C111" s="67"/>
      <c r="D111" s="67"/>
      <c r="E111" s="67"/>
      <c r="F111" s="66"/>
      <c r="G111" s="66"/>
      <c r="H111" s="67"/>
      <c r="I111" s="66"/>
    </row>
    <row r="112" spans="1:9">
      <c r="A112" s="63"/>
      <c r="B112" s="66"/>
      <c r="C112" s="67"/>
      <c r="D112" s="67"/>
      <c r="E112" s="66"/>
      <c r="F112" s="67"/>
      <c r="G112" s="67"/>
      <c r="H112" s="67"/>
      <c r="I112" s="66"/>
    </row>
    <row r="113" spans="1:9">
      <c r="A113" s="63"/>
      <c r="B113" s="66"/>
      <c r="C113" s="66"/>
      <c r="D113" s="66"/>
      <c r="E113" s="67"/>
      <c r="F113" s="67"/>
      <c r="G113" s="67"/>
      <c r="H113" s="67"/>
      <c r="I113" s="66"/>
    </row>
    <row r="114" spans="1:9">
      <c r="A114" s="63"/>
      <c r="B114" s="66"/>
      <c r="C114" s="66"/>
      <c r="D114" s="66"/>
      <c r="E114" s="67"/>
      <c r="F114" s="67"/>
      <c r="G114" s="67"/>
      <c r="H114" s="67"/>
      <c r="I114" s="66"/>
    </row>
    <row r="115" spans="1:9">
      <c r="A115" s="63"/>
      <c r="B115" s="67"/>
      <c r="C115" s="67"/>
      <c r="D115" s="67"/>
      <c r="E115" s="67"/>
      <c r="F115" s="66"/>
      <c r="G115" s="67"/>
      <c r="H115" s="67"/>
      <c r="I115" s="66"/>
    </row>
    <row r="116" spans="1:9">
      <c r="A116" s="63"/>
      <c r="B116" s="66"/>
      <c r="C116" s="66"/>
      <c r="D116" s="67"/>
      <c r="E116" s="67"/>
      <c r="F116" s="67"/>
      <c r="G116" s="67"/>
      <c r="H116" s="67"/>
      <c r="I116" s="66"/>
    </row>
    <row r="117" spans="1:9">
      <c r="A117" s="63"/>
      <c r="B117" s="66"/>
      <c r="C117" s="66"/>
      <c r="D117" s="67"/>
      <c r="E117" s="66"/>
      <c r="F117" s="67"/>
      <c r="G117" s="67"/>
      <c r="H117" s="67"/>
      <c r="I117" s="66"/>
    </row>
    <row r="118" spans="1:9">
      <c r="A118" s="63"/>
      <c r="B118" s="66"/>
      <c r="C118" s="66"/>
      <c r="D118" s="66"/>
      <c r="E118" s="66"/>
      <c r="F118" s="67"/>
      <c r="G118" s="67"/>
      <c r="H118" s="67"/>
      <c r="I118" s="66"/>
    </row>
    <row r="119" spans="1:9">
      <c r="A119" s="63"/>
      <c r="B119" s="66"/>
      <c r="C119" s="66"/>
      <c r="D119" s="67"/>
      <c r="E119" s="67"/>
      <c r="F119" s="67"/>
      <c r="G119" s="67"/>
      <c r="H119" s="67"/>
      <c r="I119" s="66"/>
    </row>
    <row r="120" spans="1:9">
      <c r="A120" s="63"/>
      <c r="B120" s="66"/>
      <c r="C120" s="67"/>
      <c r="D120" s="67"/>
      <c r="E120" s="67"/>
      <c r="F120" s="67"/>
      <c r="G120" s="67"/>
      <c r="H120" s="67"/>
      <c r="I120" s="66"/>
    </row>
    <row r="121" spans="1:9">
      <c r="A121" s="63"/>
      <c r="B121" s="66"/>
      <c r="C121" s="66"/>
      <c r="D121" s="67"/>
      <c r="E121" s="66"/>
      <c r="F121" s="67"/>
      <c r="G121" s="67"/>
      <c r="H121" s="67"/>
      <c r="I121" s="66"/>
    </row>
    <row r="122" spans="1:9">
      <c r="A122" s="63"/>
      <c r="B122" s="66"/>
      <c r="C122" s="66"/>
      <c r="D122" s="66"/>
      <c r="E122" s="66"/>
      <c r="F122" s="66"/>
      <c r="G122" s="67"/>
      <c r="H122" s="67"/>
      <c r="I122" s="66"/>
    </row>
    <row r="123" spans="1:9">
      <c r="A123" s="63"/>
      <c r="B123" s="66"/>
      <c r="C123" s="66"/>
      <c r="D123" s="66"/>
      <c r="E123" s="66"/>
      <c r="F123" s="66"/>
      <c r="G123" s="67"/>
      <c r="H123" s="67"/>
      <c r="I123" s="66"/>
    </row>
    <row r="124" spans="1:9">
      <c r="A124" s="63"/>
      <c r="B124" s="67"/>
      <c r="C124" s="67"/>
      <c r="D124" s="67"/>
      <c r="E124" s="67"/>
      <c r="F124" s="67"/>
      <c r="G124" s="67"/>
      <c r="H124" s="66"/>
      <c r="I124" s="66"/>
    </row>
    <row r="125" spans="1:9">
      <c r="A125" s="63"/>
      <c r="B125" s="67"/>
      <c r="C125" s="67"/>
      <c r="D125" s="67"/>
      <c r="E125" s="66"/>
      <c r="F125" s="66"/>
      <c r="G125" s="67"/>
      <c r="H125" s="67"/>
      <c r="I125" s="66"/>
    </row>
    <row r="126" spans="1:9">
      <c r="A126" s="63"/>
      <c r="B126" s="66"/>
      <c r="C126" s="66"/>
      <c r="D126" s="67"/>
      <c r="E126" s="66"/>
      <c r="F126" s="67"/>
      <c r="G126" s="67"/>
      <c r="H126" s="67"/>
      <c r="I126" s="66"/>
    </row>
    <row r="127" spans="1:9">
      <c r="A127" s="63"/>
      <c r="B127" s="66"/>
      <c r="C127" s="67"/>
      <c r="D127" s="67"/>
      <c r="E127" s="67"/>
      <c r="F127" s="67"/>
      <c r="G127" s="67"/>
      <c r="H127" s="67"/>
      <c r="I127" s="66"/>
    </row>
    <row r="128" spans="1:9">
      <c r="A128" s="63"/>
      <c r="B128" s="67"/>
      <c r="C128" s="67"/>
      <c r="D128" s="67"/>
      <c r="E128" s="67"/>
      <c r="F128" s="67"/>
      <c r="G128" s="67"/>
      <c r="H128" s="66"/>
      <c r="I128" s="66"/>
    </row>
    <row r="129" spans="1:9">
      <c r="A129" s="63"/>
      <c r="B129" s="66"/>
      <c r="C129" s="66"/>
      <c r="D129" s="67"/>
      <c r="E129" s="67"/>
      <c r="F129" s="67"/>
      <c r="G129" s="67"/>
      <c r="H129" s="67"/>
      <c r="I129" s="66"/>
    </row>
    <row r="130" spans="1:9">
      <c r="A130" s="63"/>
      <c r="B130" s="66"/>
      <c r="C130" s="66"/>
      <c r="D130" s="67"/>
      <c r="E130" s="67"/>
      <c r="F130" s="67"/>
      <c r="G130" s="67"/>
      <c r="H130" s="67"/>
      <c r="I130" s="66"/>
    </row>
    <row r="131" spans="1:9">
      <c r="A131" s="63"/>
      <c r="B131" s="66"/>
      <c r="C131" s="66"/>
      <c r="D131" s="67"/>
      <c r="E131" s="67"/>
      <c r="F131" s="67"/>
      <c r="G131" s="67"/>
      <c r="H131" s="67"/>
      <c r="I131" s="66"/>
    </row>
    <row r="132" spans="1:9">
      <c r="A132" s="63"/>
      <c r="B132" s="66"/>
      <c r="C132" s="66"/>
      <c r="D132" s="66"/>
      <c r="E132" s="66"/>
      <c r="F132" s="66"/>
      <c r="G132" s="67"/>
      <c r="H132" s="67"/>
      <c r="I132" s="66"/>
    </row>
    <row r="133" spans="1:9">
      <c r="A133" s="63"/>
      <c r="B133" s="66"/>
      <c r="C133" s="66"/>
      <c r="D133" s="67"/>
      <c r="E133" s="67"/>
      <c r="F133" s="67"/>
      <c r="G133" s="67"/>
      <c r="H133" s="67"/>
      <c r="I133" s="66"/>
    </row>
    <row r="134" spans="1:9">
      <c r="A134" s="63"/>
      <c r="B134" s="66"/>
      <c r="C134" s="66"/>
      <c r="D134" s="67"/>
      <c r="E134" s="67"/>
      <c r="F134" s="67"/>
      <c r="G134" s="67"/>
      <c r="H134" s="67"/>
      <c r="I134" s="66"/>
    </row>
    <row r="135" spans="1:9">
      <c r="A135" s="63"/>
      <c r="B135" s="66"/>
      <c r="C135" s="66"/>
      <c r="D135" s="66"/>
      <c r="E135" s="66"/>
      <c r="F135" s="67"/>
      <c r="G135" s="67"/>
      <c r="H135" s="67"/>
      <c r="I135" s="66"/>
    </row>
    <row r="136" spans="1:9">
      <c r="A136" s="63"/>
      <c r="B136" s="66"/>
      <c r="C136" s="67"/>
      <c r="D136" s="67"/>
      <c r="E136" s="67"/>
      <c r="F136" s="67"/>
      <c r="G136" s="67"/>
      <c r="H136" s="67"/>
      <c r="I136" s="66"/>
    </row>
    <row r="137" spans="1:9">
      <c r="A137" s="63"/>
      <c r="B137" s="66"/>
      <c r="C137" s="66"/>
      <c r="D137" s="67"/>
      <c r="E137" s="67"/>
      <c r="F137" s="67"/>
      <c r="G137" s="67"/>
      <c r="H137" s="67"/>
      <c r="I137" s="66"/>
    </row>
    <row r="138" spans="1:9">
      <c r="A138" s="63"/>
      <c r="B138" s="67"/>
      <c r="C138" s="67"/>
      <c r="D138" s="66"/>
      <c r="E138" s="66"/>
      <c r="F138" s="66"/>
      <c r="G138" s="67"/>
      <c r="H138" s="67"/>
      <c r="I138" s="66"/>
    </row>
    <row r="139" spans="1:9">
      <c r="A139" s="63"/>
      <c r="B139" s="67"/>
      <c r="C139" s="67"/>
      <c r="D139" s="67"/>
      <c r="E139" s="67"/>
      <c r="F139" s="67"/>
      <c r="G139" s="66"/>
      <c r="H139" s="66"/>
      <c r="I139" s="66"/>
    </row>
    <row r="140" spans="1:9">
      <c r="A140" s="63"/>
      <c r="B140" s="66"/>
      <c r="C140" s="66"/>
      <c r="D140" s="67"/>
      <c r="E140" s="67"/>
      <c r="F140" s="67"/>
      <c r="G140" s="67"/>
      <c r="H140" s="67"/>
      <c r="I140" s="66"/>
    </row>
    <row r="141" spans="1:9">
      <c r="A141" s="63"/>
      <c r="B141" s="66"/>
      <c r="C141" s="66"/>
      <c r="D141" s="67"/>
      <c r="E141" s="67"/>
      <c r="F141" s="67"/>
      <c r="G141" s="67"/>
      <c r="H141" s="67"/>
      <c r="I141" s="66"/>
    </row>
    <row r="142" spans="1:9">
      <c r="A142" s="63"/>
      <c r="B142" s="66"/>
      <c r="C142" s="66"/>
      <c r="D142" s="66"/>
      <c r="E142" s="67"/>
      <c r="F142" s="67"/>
      <c r="G142" s="67"/>
      <c r="H142" s="67"/>
      <c r="I142" s="66"/>
    </row>
    <row r="143" spans="1:9">
      <c r="A143" s="63"/>
      <c r="B143" s="66"/>
      <c r="C143" s="66"/>
      <c r="D143" s="67"/>
      <c r="E143" s="67"/>
      <c r="F143" s="67"/>
      <c r="G143" s="67"/>
      <c r="H143" s="67"/>
      <c r="I143" s="66"/>
    </row>
    <row r="144" spans="1:9">
      <c r="A144" s="63"/>
      <c r="B144" s="66"/>
      <c r="C144" s="66"/>
      <c r="D144" s="66"/>
      <c r="E144" s="66"/>
      <c r="F144" s="67"/>
      <c r="G144" s="67"/>
      <c r="H144" s="67"/>
      <c r="I144" s="66"/>
    </row>
    <row r="145" spans="1:9">
      <c r="A145" s="63"/>
      <c r="B145" s="66"/>
      <c r="C145" s="66"/>
      <c r="D145" s="67"/>
      <c r="E145" s="67"/>
      <c r="F145" s="67"/>
      <c r="G145" s="67"/>
      <c r="H145" s="67"/>
      <c r="I145" s="66"/>
    </row>
    <row r="146" spans="1:9">
      <c r="A146" s="63"/>
      <c r="B146" s="66"/>
      <c r="C146" s="66"/>
      <c r="D146" s="67"/>
      <c r="E146" s="67"/>
      <c r="F146" s="67"/>
      <c r="G146" s="67"/>
      <c r="H146" s="67"/>
      <c r="I146" s="66"/>
    </row>
    <row r="147" spans="1:9">
      <c r="A147" s="63"/>
      <c r="B147" s="66"/>
      <c r="C147" s="66"/>
      <c r="D147" s="67"/>
      <c r="E147" s="66"/>
      <c r="F147" s="66"/>
      <c r="G147" s="66"/>
      <c r="H147" s="67"/>
      <c r="I147" s="66"/>
    </row>
    <row r="148" spans="1:9">
      <c r="A148" s="63"/>
      <c r="B148" s="66"/>
      <c r="C148" s="66"/>
      <c r="D148" s="67"/>
      <c r="E148" s="67"/>
      <c r="F148" s="67"/>
      <c r="G148" s="67"/>
      <c r="H148" s="67"/>
      <c r="I148" s="66"/>
    </row>
    <row r="149" spans="1:9">
      <c r="A149" s="63"/>
      <c r="B149" s="66"/>
      <c r="C149" s="66"/>
      <c r="D149" s="66"/>
      <c r="E149" s="67"/>
      <c r="F149" s="67"/>
      <c r="G149" s="67"/>
      <c r="H149" s="67"/>
      <c r="I149" s="66"/>
    </row>
    <row r="150" spans="1:9">
      <c r="A150" s="63"/>
      <c r="B150" s="66"/>
      <c r="C150" s="66"/>
      <c r="D150" s="67"/>
      <c r="E150" s="66"/>
      <c r="F150" s="67"/>
      <c r="G150" s="67"/>
      <c r="H150" s="67"/>
      <c r="I150" s="66"/>
    </row>
    <row r="151" spans="1:9">
      <c r="A151" s="63"/>
      <c r="B151" s="66"/>
      <c r="C151" s="66"/>
      <c r="D151" s="67"/>
      <c r="E151" s="67"/>
      <c r="F151" s="67"/>
      <c r="G151" s="67"/>
      <c r="H151" s="67"/>
      <c r="I151" s="66"/>
    </row>
    <row r="152" spans="1:9">
      <c r="A152" s="63"/>
      <c r="B152" s="66"/>
      <c r="C152" s="67"/>
      <c r="D152" s="67"/>
      <c r="E152" s="67"/>
      <c r="F152" s="67"/>
      <c r="G152" s="67"/>
      <c r="H152" s="67"/>
      <c r="I152" s="66"/>
    </row>
    <row r="153" spans="1:9">
      <c r="A153" s="63"/>
      <c r="B153" s="66"/>
      <c r="C153" s="66"/>
      <c r="D153" s="66"/>
      <c r="E153" s="66"/>
      <c r="F153" s="67"/>
      <c r="G153" s="67"/>
      <c r="H153" s="67"/>
      <c r="I153" s="66"/>
    </row>
    <row r="154" spans="1:9">
      <c r="A154" s="63"/>
      <c r="B154" s="66"/>
      <c r="C154" s="67"/>
      <c r="D154" s="67"/>
      <c r="E154" s="67"/>
      <c r="F154" s="67"/>
      <c r="G154" s="67"/>
      <c r="H154" s="67"/>
      <c r="I154" s="66"/>
    </row>
    <row r="155" spans="1:9">
      <c r="A155" s="63"/>
      <c r="B155" s="66"/>
      <c r="C155" s="66"/>
      <c r="D155" s="67"/>
      <c r="E155" s="67"/>
      <c r="F155" s="67"/>
      <c r="G155" s="67"/>
      <c r="H155" s="67"/>
      <c r="I155" s="66"/>
    </row>
    <row r="156" spans="1:9">
      <c r="A156" s="63"/>
      <c r="B156" s="66"/>
      <c r="C156" s="66"/>
      <c r="D156" s="66"/>
      <c r="E156" s="67"/>
      <c r="F156" s="67"/>
      <c r="G156" s="67"/>
      <c r="H156" s="67"/>
      <c r="I156" s="66"/>
    </row>
    <row r="157" spans="1:9">
      <c r="A157" s="63"/>
      <c r="B157" s="67"/>
      <c r="C157" s="66"/>
      <c r="D157" s="67"/>
      <c r="E157" s="66"/>
      <c r="F157" s="66"/>
      <c r="G157" s="67"/>
      <c r="H157" s="67"/>
      <c r="I157" s="66"/>
    </row>
    <row r="158" spans="1:9">
      <c r="A158" s="63"/>
      <c r="B158" s="66"/>
      <c r="C158" s="66"/>
      <c r="D158" s="67"/>
      <c r="E158" s="67"/>
      <c r="F158" s="66"/>
      <c r="G158" s="67"/>
      <c r="H158" s="67"/>
      <c r="I158" s="66"/>
    </row>
    <row r="159" spans="1:9">
      <c r="A159" s="63"/>
      <c r="B159" s="67"/>
      <c r="C159" s="66"/>
      <c r="D159" s="66"/>
      <c r="E159" s="66"/>
      <c r="F159" s="66"/>
      <c r="G159" s="67"/>
      <c r="H159" s="67"/>
      <c r="I159" s="66"/>
    </row>
    <row r="160" spans="1:9">
      <c r="A160" s="63"/>
      <c r="B160" s="66"/>
      <c r="C160" s="66"/>
      <c r="D160" s="67"/>
      <c r="E160" s="67"/>
      <c r="F160" s="67"/>
      <c r="G160" s="67"/>
      <c r="H160" s="67"/>
      <c r="I160" s="66"/>
    </row>
    <row r="161" spans="1:9">
      <c r="A161" s="63"/>
      <c r="B161" s="66"/>
      <c r="C161" s="66"/>
      <c r="D161" s="66"/>
      <c r="E161" s="66"/>
      <c r="F161" s="67"/>
      <c r="G161" s="67"/>
      <c r="H161" s="67"/>
      <c r="I161" s="66"/>
    </row>
    <row r="162" spans="1:9">
      <c r="A162" s="63"/>
      <c r="B162" s="66"/>
      <c r="C162" s="67"/>
      <c r="D162" s="67"/>
      <c r="E162" s="67"/>
      <c r="F162" s="67"/>
      <c r="G162" s="67"/>
      <c r="H162" s="67"/>
      <c r="I162" s="66"/>
    </row>
    <row r="163" spans="1:9">
      <c r="A163" s="63"/>
      <c r="B163" s="66"/>
      <c r="C163" s="67"/>
      <c r="D163" s="67"/>
      <c r="E163" s="67"/>
      <c r="F163" s="67"/>
      <c r="G163" s="67"/>
      <c r="H163" s="67"/>
      <c r="I163" s="66"/>
    </row>
    <row r="164" spans="1:9">
      <c r="A164" s="63"/>
      <c r="B164" s="66"/>
      <c r="C164" s="67"/>
      <c r="D164" s="67"/>
      <c r="E164" s="67"/>
      <c r="F164" s="67"/>
      <c r="G164" s="67"/>
      <c r="H164" s="67"/>
      <c r="I164" s="66"/>
    </row>
    <row r="165" spans="1:9">
      <c r="A165" s="63"/>
      <c r="B165" s="66"/>
      <c r="C165" s="66"/>
      <c r="D165" s="66"/>
      <c r="E165" s="67"/>
      <c r="F165" s="67"/>
      <c r="G165" s="67"/>
      <c r="H165" s="67"/>
      <c r="I165" s="66"/>
    </row>
    <row r="166" spans="1:9">
      <c r="A166" s="63"/>
      <c r="B166" s="66"/>
      <c r="C166" s="66"/>
      <c r="D166" s="66"/>
      <c r="E166" s="66"/>
      <c r="F166" s="66"/>
      <c r="G166" s="66"/>
      <c r="H166" s="66"/>
      <c r="I166" s="66"/>
    </row>
    <row r="167" spans="1:9">
      <c r="A167" s="63"/>
      <c r="B167" s="67"/>
      <c r="C167" s="66"/>
      <c r="D167" s="66"/>
      <c r="E167" s="66"/>
      <c r="F167" s="66"/>
      <c r="G167" s="67"/>
      <c r="H167" s="67"/>
      <c r="I167" s="66"/>
    </row>
    <row r="168" spans="1:9">
      <c r="A168" s="63"/>
      <c r="B168" s="66"/>
      <c r="C168" s="66"/>
      <c r="D168" s="67"/>
      <c r="E168" s="67"/>
      <c r="F168" s="67"/>
      <c r="G168" s="67"/>
      <c r="H168" s="67"/>
      <c r="I168" s="66"/>
    </row>
    <row r="169" spans="1:9">
      <c r="A169" s="63"/>
      <c r="B169" s="66"/>
      <c r="C169" s="67"/>
      <c r="D169" s="66"/>
      <c r="E169" s="67"/>
      <c r="F169" s="67"/>
      <c r="G169" s="67"/>
      <c r="H169" s="67"/>
      <c r="I169" s="66"/>
    </row>
    <row r="170" spans="1:9">
      <c r="A170" s="63"/>
      <c r="B170" s="67"/>
      <c r="C170" s="67"/>
      <c r="D170" s="67"/>
      <c r="E170" s="67"/>
      <c r="F170" s="67"/>
      <c r="G170" s="67"/>
      <c r="H170" s="66"/>
      <c r="I170" s="66"/>
    </row>
    <row r="171" spans="1:9">
      <c r="A171" s="63"/>
      <c r="B171" s="66"/>
      <c r="C171" s="67"/>
      <c r="D171" s="67"/>
      <c r="E171" s="67"/>
      <c r="F171" s="67"/>
      <c r="G171" s="67"/>
      <c r="H171" s="67"/>
      <c r="I171" s="66"/>
    </row>
    <row r="172" spans="1:9">
      <c r="A172" s="63"/>
      <c r="B172" s="66"/>
      <c r="C172" s="67"/>
      <c r="D172" s="67"/>
      <c r="E172" s="67"/>
      <c r="F172" s="67"/>
      <c r="G172" s="67"/>
      <c r="H172" s="67"/>
      <c r="I172" s="66"/>
    </row>
    <row r="173" spans="1:9">
      <c r="A173" s="63"/>
      <c r="B173" s="67"/>
      <c r="C173" s="67"/>
      <c r="D173" s="67"/>
      <c r="E173" s="66"/>
      <c r="F173" s="66"/>
      <c r="G173" s="66"/>
      <c r="H173" s="67"/>
      <c r="I173" s="66"/>
    </row>
    <row r="174" spans="1:9">
      <c r="A174" s="63"/>
      <c r="B174" s="66"/>
      <c r="C174" s="66"/>
      <c r="D174" s="67"/>
      <c r="E174" s="67"/>
      <c r="F174" s="67"/>
      <c r="G174" s="67"/>
      <c r="H174" s="67"/>
      <c r="I174" s="66"/>
    </row>
    <row r="175" spans="1:9">
      <c r="A175" s="63"/>
      <c r="B175" s="66"/>
      <c r="C175" s="66"/>
      <c r="D175" s="67"/>
      <c r="E175" s="67"/>
      <c r="F175" s="67"/>
      <c r="G175" s="67"/>
      <c r="H175" s="67"/>
      <c r="I175" s="66"/>
    </row>
    <row r="176" spans="1:9">
      <c r="A176" s="63"/>
      <c r="B176" s="66"/>
      <c r="C176" s="66"/>
      <c r="D176" s="67"/>
      <c r="E176" s="67"/>
      <c r="F176" s="67"/>
      <c r="G176" s="67"/>
      <c r="H176" s="67"/>
      <c r="I176" s="66"/>
    </row>
    <row r="177" spans="1:9">
      <c r="A177" s="63"/>
      <c r="B177" s="66"/>
      <c r="C177" s="67"/>
      <c r="D177" s="67"/>
      <c r="E177" s="67"/>
      <c r="F177" s="67"/>
      <c r="G177" s="67"/>
      <c r="H177" s="67"/>
      <c r="I177" s="66"/>
    </row>
    <row r="178" spans="1:9">
      <c r="A178" s="63"/>
      <c r="B178" s="66"/>
      <c r="C178" s="66"/>
      <c r="D178" s="67"/>
      <c r="E178" s="67"/>
      <c r="F178" s="67"/>
      <c r="G178" s="67"/>
      <c r="H178" s="67"/>
      <c r="I178" s="66"/>
    </row>
    <row r="179" spans="1:9">
      <c r="A179" s="63"/>
      <c r="B179" s="67"/>
      <c r="C179" s="67"/>
      <c r="D179" s="67"/>
      <c r="E179" s="66"/>
      <c r="F179" s="66"/>
      <c r="G179" s="66"/>
      <c r="H179" s="67"/>
      <c r="I179" s="66"/>
    </row>
    <row r="180" spans="1:9">
      <c r="A180" s="63"/>
      <c r="B180" s="67"/>
      <c r="C180" s="67"/>
      <c r="D180" s="67"/>
      <c r="E180" s="67"/>
      <c r="F180" s="67"/>
      <c r="G180" s="67"/>
      <c r="H180" s="66"/>
      <c r="I180" s="66"/>
    </row>
    <row r="181" spans="1:9">
      <c r="A181" s="63"/>
      <c r="B181" s="66"/>
      <c r="C181" s="66"/>
      <c r="D181" s="67"/>
      <c r="E181" s="67"/>
      <c r="F181" s="67"/>
      <c r="G181" s="67"/>
      <c r="H181" s="67"/>
      <c r="I181" s="66"/>
    </row>
    <row r="182" spans="1:9">
      <c r="A182" s="63"/>
      <c r="B182" s="66"/>
      <c r="C182" s="66"/>
      <c r="D182" s="66"/>
      <c r="E182" s="66"/>
      <c r="F182" s="67"/>
      <c r="G182" s="67"/>
      <c r="H182" s="67"/>
      <c r="I182" s="66"/>
    </row>
    <row r="183" spans="1:9">
      <c r="A183" s="63"/>
      <c r="B183" s="66"/>
      <c r="C183" s="66"/>
      <c r="D183" s="67"/>
      <c r="E183" s="67"/>
      <c r="F183" s="67"/>
      <c r="G183" s="67"/>
      <c r="H183" s="67"/>
      <c r="I183" s="66"/>
    </row>
    <row r="184" spans="1:9">
      <c r="A184" s="63"/>
      <c r="B184" s="66"/>
      <c r="C184" s="66"/>
      <c r="D184" s="66"/>
      <c r="E184" s="67"/>
      <c r="F184" s="67"/>
      <c r="G184" s="67"/>
      <c r="H184" s="67"/>
      <c r="I184" s="66"/>
    </row>
    <row r="185" spans="1:9">
      <c r="A185" s="63"/>
      <c r="B185" s="66"/>
      <c r="C185" s="66"/>
      <c r="D185" s="67"/>
      <c r="E185" s="67"/>
      <c r="F185" s="67"/>
      <c r="G185" s="67"/>
      <c r="H185" s="67"/>
      <c r="I185" s="66"/>
    </row>
    <row r="186" spans="1:9">
      <c r="A186" s="63"/>
      <c r="B186" s="66"/>
      <c r="C186" s="66"/>
      <c r="D186" s="67"/>
      <c r="E186" s="67"/>
      <c r="F186" s="67"/>
      <c r="G186" s="67"/>
      <c r="H186" s="67"/>
      <c r="I186" s="66"/>
    </row>
    <row r="187" spans="1:9">
      <c r="A187" s="63"/>
      <c r="B187" s="66"/>
      <c r="C187" s="67"/>
      <c r="D187" s="67"/>
      <c r="E187" s="67"/>
      <c r="F187" s="67"/>
      <c r="G187" s="67"/>
      <c r="H187" s="67"/>
      <c r="I187" s="66"/>
    </row>
    <row r="188" spans="1:9">
      <c r="A188" s="63"/>
      <c r="B188" s="67"/>
      <c r="C188" s="67"/>
      <c r="D188" s="67"/>
      <c r="E188" s="67"/>
      <c r="F188" s="67"/>
      <c r="G188" s="67"/>
      <c r="H188" s="66"/>
      <c r="I188" s="66"/>
    </row>
    <row r="189" spans="1:9">
      <c r="A189" s="63"/>
      <c r="B189" s="66"/>
      <c r="C189" s="66"/>
      <c r="D189" s="66"/>
      <c r="E189" s="66"/>
      <c r="F189" s="67"/>
      <c r="G189" s="67"/>
      <c r="H189" s="67"/>
      <c r="I189" s="66"/>
    </row>
    <row r="190" spans="1:9">
      <c r="A190" s="63"/>
      <c r="B190" s="66"/>
      <c r="C190" s="67"/>
      <c r="D190" s="67"/>
      <c r="E190" s="67"/>
      <c r="F190" s="67"/>
      <c r="G190" s="67"/>
      <c r="H190" s="67"/>
      <c r="I190" s="66"/>
    </row>
    <row r="191" spans="1:9">
      <c r="A191" s="63"/>
      <c r="B191" s="66"/>
      <c r="C191" s="67"/>
      <c r="D191" s="67"/>
      <c r="E191" s="67"/>
      <c r="F191" s="67"/>
      <c r="G191" s="67"/>
      <c r="H191" s="67"/>
      <c r="I191" s="66"/>
    </row>
    <row r="192" spans="1:9">
      <c r="A192" s="63"/>
      <c r="B192" s="67"/>
      <c r="C192" s="67"/>
      <c r="D192" s="67"/>
      <c r="E192" s="67"/>
      <c r="F192" s="67"/>
      <c r="G192" s="67"/>
      <c r="H192" s="66"/>
      <c r="I192" s="66"/>
    </row>
    <row r="193" spans="1:9">
      <c r="A193" s="63"/>
      <c r="B193" s="66"/>
      <c r="C193" s="66"/>
      <c r="D193" s="67"/>
      <c r="E193" s="67"/>
      <c r="F193" s="67"/>
      <c r="G193" s="67"/>
      <c r="H193" s="67"/>
      <c r="I193" s="66"/>
    </row>
    <row r="194" spans="1:9">
      <c r="A194" s="63"/>
      <c r="B194" s="66"/>
      <c r="C194" s="66"/>
      <c r="D194" s="66"/>
      <c r="E194" s="67"/>
      <c r="F194" s="67"/>
      <c r="G194" s="67"/>
      <c r="H194" s="67"/>
      <c r="I194" s="66"/>
    </row>
    <row r="195" spans="1:9">
      <c r="A195" s="63"/>
      <c r="B195" s="66"/>
      <c r="C195" s="66"/>
      <c r="D195" s="67"/>
      <c r="E195" s="67"/>
      <c r="F195" s="67"/>
      <c r="G195" s="67"/>
      <c r="H195" s="67"/>
      <c r="I195" s="66"/>
    </row>
    <row r="196" spans="1:9">
      <c r="A196" s="63"/>
      <c r="B196" s="66"/>
      <c r="C196" s="67"/>
      <c r="D196" s="67"/>
      <c r="E196" s="67"/>
      <c r="F196" s="67"/>
      <c r="G196" s="67"/>
      <c r="H196" s="66"/>
      <c r="I196" s="66"/>
    </row>
    <row r="197" spans="1:9">
      <c r="A197" s="63"/>
      <c r="B197" s="66"/>
      <c r="C197" s="67"/>
      <c r="D197" s="67"/>
      <c r="E197" s="67"/>
      <c r="F197" s="67"/>
      <c r="G197" s="67"/>
      <c r="H197" s="67"/>
      <c r="I197" s="66"/>
    </row>
    <row r="198" spans="1:9">
      <c r="A198" s="63"/>
      <c r="B198" s="66"/>
      <c r="C198" s="66"/>
      <c r="D198" s="67"/>
      <c r="E198" s="67"/>
      <c r="F198" s="67"/>
      <c r="G198" s="67"/>
      <c r="H198" s="67"/>
      <c r="I198" s="66"/>
    </row>
    <row r="199" spans="1:9">
      <c r="A199" s="63"/>
      <c r="B199" s="66"/>
      <c r="C199" s="66"/>
      <c r="D199" s="66"/>
      <c r="E199" s="66"/>
      <c r="F199" s="67"/>
      <c r="G199" s="67"/>
      <c r="H199" s="67"/>
      <c r="I199" s="66"/>
    </row>
    <row r="200" spans="1:9">
      <c r="A200" s="63"/>
      <c r="B200" s="66"/>
      <c r="C200" s="66"/>
      <c r="D200" s="66"/>
      <c r="E200" s="66"/>
      <c r="F200" s="67"/>
      <c r="G200" s="67"/>
      <c r="H200" s="67"/>
      <c r="I200" s="66"/>
    </row>
    <row r="201" spans="1:9">
      <c r="A201" s="63"/>
      <c r="B201" s="66"/>
      <c r="C201" s="66"/>
      <c r="D201" s="66"/>
      <c r="E201" s="67"/>
      <c r="F201" s="67"/>
      <c r="G201" s="67"/>
      <c r="H201" s="67"/>
      <c r="I201" s="66"/>
    </row>
    <row r="202" spans="1:9">
      <c r="A202" s="63"/>
      <c r="B202" s="66"/>
      <c r="C202" s="66"/>
      <c r="D202" s="66"/>
      <c r="E202" s="66"/>
      <c r="F202" s="67"/>
      <c r="G202" s="67"/>
      <c r="H202" s="67"/>
      <c r="I202" s="66"/>
    </row>
    <row r="203" spans="1:9">
      <c r="A203" s="63"/>
      <c r="B203" s="66"/>
      <c r="C203" s="66"/>
      <c r="D203" s="67"/>
      <c r="E203" s="67"/>
      <c r="F203" s="67"/>
      <c r="G203" s="67"/>
      <c r="H203" s="67"/>
      <c r="I203" s="66"/>
    </row>
    <row r="204" spans="1:9">
      <c r="A204" s="63"/>
      <c r="B204" s="66"/>
      <c r="C204" s="66"/>
      <c r="D204" s="66"/>
      <c r="E204" s="66"/>
      <c r="F204" s="67"/>
      <c r="G204" s="67"/>
      <c r="H204" s="67"/>
      <c r="I204" s="66"/>
    </row>
    <row r="205" spans="1:9">
      <c r="A205" s="63"/>
      <c r="B205" s="66"/>
      <c r="C205" s="66"/>
      <c r="D205" s="67"/>
      <c r="E205" s="67"/>
      <c r="F205" s="67"/>
      <c r="G205" s="67"/>
      <c r="H205" s="67"/>
      <c r="I205" s="66"/>
    </row>
    <row r="206" spans="1:9">
      <c r="A206" s="63"/>
      <c r="B206" s="66"/>
      <c r="C206" s="66"/>
      <c r="D206" s="67"/>
      <c r="E206" s="67"/>
      <c r="F206" s="67"/>
      <c r="G206" s="67"/>
      <c r="H206" s="67"/>
      <c r="I206" s="66"/>
    </row>
    <row r="207" spans="1:9">
      <c r="A207" s="63"/>
      <c r="B207" s="66"/>
      <c r="C207" s="67"/>
      <c r="D207" s="67"/>
      <c r="E207" s="67"/>
      <c r="F207" s="67"/>
      <c r="G207" s="67"/>
      <c r="H207" s="67"/>
      <c r="I207" s="66"/>
    </row>
    <row r="208" spans="1:9">
      <c r="A208" s="63"/>
      <c r="B208" s="66"/>
      <c r="C208" s="66"/>
      <c r="D208" s="67"/>
      <c r="E208" s="67"/>
      <c r="F208" s="67"/>
      <c r="G208" s="67"/>
      <c r="H208" s="67"/>
      <c r="I208" s="66"/>
    </row>
    <row r="209" spans="1:9">
      <c r="A209" s="63"/>
      <c r="B209" s="66"/>
      <c r="C209" s="66"/>
      <c r="D209" s="67"/>
      <c r="E209" s="67"/>
      <c r="F209" s="67"/>
      <c r="G209" s="67"/>
      <c r="H209" s="67"/>
      <c r="I209" s="66"/>
    </row>
    <row r="210" spans="1:9">
      <c r="A210" s="63"/>
      <c r="B210" s="67"/>
      <c r="C210" s="67"/>
      <c r="D210" s="67"/>
      <c r="E210" s="67"/>
      <c r="F210" s="67"/>
      <c r="G210" s="67"/>
      <c r="H210" s="66"/>
      <c r="I210" s="66"/>
    </row>
    <row r="211" spans="1:9">
      <c r="A211" s="63"/>
      <c r="B211" s="67"/>
      <c r="C211" s="67"/>
      <c r="D211" s="67"/>
      <c r="E211" s="66"/>
      <c r="F211" s="66"/>
      <c r="G211" s="66"/>
      <c r="H211" s="67"/>
      <c r="I211" s="66"/>
    </row>
    <row r="212" spans="1:9">
      <c r="A212" s="63"/>
      <c r="B212" s="66"/>
      <c r="C212" s="67"/>
      <c r="D212" s="67"/>
      <c r="E212" s="67"/>
      <c r="F212" s="67"/>
      <c r="G212" s="67"/>
      <c r="H212" s="67"/>
      <c r="I212" s="66"/>
    </row>
    <row r="213" spans="1:9">
      <c r="A213" s="63"/>
      <c r="B213" s="67"/>
      <c r="C213" s="66"/>
      <c r="D213" s="66"/>
      <c r="E213" s="66"/>
      <c r="F213" s="66"/>
      <c r="G213" s="67"/>
      <c r="H213" s="67"/>
      <c r="I213" s="66"/>
    </row>
    <row r="214" spans="1:9">
      <c r="A214" s="63"/>
      <c r="B214" s="66"/>
      <c r="C214" s="66"/>
      <c r="D214" s="67"/>
      <c r="E214" s="67"/>
      <c r="F214" s="67"/>
      <c r="G214" s="67"/>
      <c r="H214" s="67"/>
      <c r="I214" s="66"/>
    </row>
    <row r="215" spans="1:9">
      <c r="A215" s="63"/>
      <c r="B215" s="66"/>
      <c r="C215" s="67"/>
      <c r="D215" s="67"/>
      <c r="E215" s="67"/>
      <c r="F215" s="67"/>
      <c r="G215" s="67"/>
      <c r="H215" s="67"/>
      <c r="I215" s="66"/>
    </row>
    <row r="216" spans="1:9">
      <c r="A216" s="63"/>
      <c r="B216" s="66"/>
      <c r="C216" s="66"/>
      <c r="D216" s="67"/>
      <c r="E216" s="67"/>
      <c r="F216" s="67"/>
      <c r="G216" s="67"/>
      <c r="H216" s="67"/>
      <c r="I216" s="66"/>
    </row>
    <row r="217" spans="1:9">
      <c r="A217" s="63"/>
      <c r="B217" s="66"/>
      <c r="C217" s="67"/>
      <c r="D217" s="67"/>
      <c r="E217" s="67"/>
      <c r="F217" s="67"/>
      <c r="G217" s="67"/>
      <c r="H217" s="67"/>
      <c r="I217" s="66"/>
    </row>
    <row r="218" spans="1:9">
      <c r="A218" s="63"/>
      <c r="B218" s="66"/>
      <c r="C218" s="66"/>
      <c r="D218" s="67"/>
      <c r="E218" s="67"/>
      <c r="F218" s="67"/>
      <c r="G218" s="67"/>
      <c r="H218" s="67"/>
      <c r="I218" s="66"/>
    </row>
    <row r="219" spans="1:9">
      <c r="A219" s="63"/>
      <c r="B219" s="67"/>
      <c r="C219" s="67"/>
      <c r="D219" s="67"/>
      <c r="E219" s="67"/>
      <c r="F219" s="67"/>
      <c r="G219" s="66"/>
      <c r="H219" s="66"/>
      <c r="I219" s="66"/>
    </row>
    <row r="220" spans="1:9">
      <c r="A220" s="63"/>
      <c r="B220" s="67"/>
      <c r="C220" s="67"/>
      <c r="D220" s="66"/>
      <c r="E220" s="66"/>
      <c r="F220" s="66"/>
      <c r="G220" s="66"/>
      <c r="H220" s="67"/>
      <c r="I220" s="66"/>
    </row>
    <row r="221" spans="1:9">
      <c r="A221" s="63"/>
      <c r="B221" s="66"/>
      <c r="C221" s="67"/>
      <c r="D221" s="67"/>
      <c r="E221" s="67"/>
      <c r="F221" s="67"/>
      <c r="G221" s="67"/>
      <c r="H221" s="67"/>
      <c r="I221" s="66"/>
    </row>
    <row r="222" spans="1:9">
      <c r="A222" s="63"/>
      <c r="B222" s="67"/>
      <c r="C222" s="67"/>
      <c r="D222" s="66"/>
      <c r="E222" s="66"/>
      <c r="F222" s="66"/>
      <c r="G222" s="67"/>
      <c r="H222" s="67"/>
      <c r="I222" s="66"/>
    </row>
    <row r="223" spans="1:9">
      <c r="A223" s="63"/>
      <c r="B223" s="66"/>
      <c r="C223" s="66"/>
      <c r="D223" s="67"/>
      <c r="E223" s="67"/>
      <c r="F223" s="67"/>
      <c r="G223" s="67"/>
      <c r="H223" s="67"/>
      <c r="I223" s="66"/>
    </row>
    <row r="224" spans="1:9">
      <c r="A224" s="63"/>
      <c r="B224" s="66"/>
      <c r="C224" s="66"/>
      <c r="D224" s="67"/>
      <c r="E224" s="67"/>
      <c r="F224" s="67"/>
      <c r="G224" s="67"/>
      <c r="H224" s="67"/>
      <c r="I224" s="66"/>
    </row>
    <row r="225" spans="1:9">
      <c r="A225" s="63"/>
      <c r="B225" s="66"/>
      <c r="C225" s="66"/>
      <c r="D225" s="67"/>
      <c r="E225" s="67"/>
      <c r="F225" s="67"/>
      <c r="G225" s="67"/>
      <c r="H225" s="67"/>
      <c r="I225" s="66"/>
    </row>
    <row r="226" spans="1:9">
      <c r="A226" s="63"/>
      <c r="B226" s="66"/>
      <c r="C226" s="67"/>
      <c r="D226" s="67"/>
      <c r="E226" s="67"/>
      <c r="F226" s="67"/>
      <c r="G226" s="67"/>
      <c r="H226" s="67"/>
      <c r="I226" s="66"/>
    </row>
    <row r="227" spans="1:9">
      <c r="A227" s="63"/>
      <c r="B227" s="66"/>
      <c r="C227" s="66"/>
      <c r="D227" s="67"/>
      <c r="E227" s="67"/>
      <c r="F227" s="67"/>
      <c r="G227" s="67"/>
      <c r="H227" s="67"/>
      <c r="I227" s="66"/>
    </row>
    <row r="228" spans="1:9">
      <c r="A228" s="63"/>
      <c r="B228" s="66"/>
      <c r="C228" s="66"/>
      <c r="D228" s="67"/>
      <c r="E228" s="67"/>
      <c r="F228" s="67"/>
      <c r="G228" s="67"/>
      <c r="H228" s="67"/>
      <c r="I228" s="66"/>
    </row>
    <row r="229" spans="1:9">
      <c r="A229" s="63"/>
      <c r="B229" s="66"/>
      <c r="C229" s="67"/>
      <c r="D229" s="67"/>
      <c r="E229" s="67"/>
      <c r="F229" s="67"/>
      <c r="G229" s="67"/>
      <c r="H229" s="67"/>
      <c r="I229" s="66"/>
    </row>
    <row r="230" spans="1:9">
      <c r="A230" s="63"/>
      <c r="B230" s="66"/>
      <c r="C230" s="66"/>
      <c r="D230" s="67"/>
      <c r="E230" s="67"/>
      <c r="F230" s="67"/>
      <c r="G230" s="67"/>
      <c r="H230" s="67"/>
      <c r="I230" s="66"/>
    </row>
    <row r="231" spans="1:9">
      <c r="A231" s="63"/>
      <c r="B231" s="66"/>
      <c r="C231" s="67"/>
      <c r="D231" s="67"/>
      <c r="E231" s="67"/>
      <c r="F231" s="67"/>
      <c r="G231" s="67"/>
      <c r="H231" s="67"/>
      <c r="I231" s="66"/>
    </row>
    <row r="232" spans="1:9">
      <c r="A232" s="63"/>
      <c r="B232" s="66"/>
      <c r="C232" s="66"/>
      <c r="D232" s="67"/>
      <c r="E232" s="66"/>
      <c r="F232" s="67"/>
      <c r="G232" s="67"/>
      <c r="H232" s="67"/>
      <c r="I232" s="66"/>
    </row>
    <row r="233" spans="1:9">
      <c r="A233" s="63"/>
      <c r="B233" s="66"/>
      <c r="C233" s="66"/>
      <c r="D233" s="67"/>
      <c r="E233" s="67"/>
      <c r="F233" s="67"/>
      <c r="G233" s="67"/>
      <c r="H233" s="67"/>
      <c r="I233" s="66"/>
    </row>
    <row r="234" spans="1:9">
      <c r="A234" s="63"/>
      <c r="B234" s="66"/>
      <c r="C234" s="66"/>
      <c r="D234" s="67"/>
      <c r="E234" s="67"/>
      <c r="F234" s="67"/>
      <c r="G234" s="67"/>
      <c r="H234" s="67"/>
      <c r="I234" s="66"/>
    </row>
    <row r="235" spans="1:9">
      <c r="A235" s="63"/>
      <c r="B235" s="66"/>
      <c r="C235" s="66"/>
      <c r="D235" s="67"/>
      <c r="E235" s="67"/>
      <c r="F235" s="67"/>
      <c r="G235" s="67"/>
      <c r="H235" s="67"/>
      <c r="I235" s="66"/>
    </row>
    <row r="236" spans="1:9">
      <c r="A236" s="63"/>
      <c r="B236" s="66"/>
      <c r="C236" s="67"/>
      <c r="D236" s="67"/>
      <c r="E236" s="67"/>
      <c r="F236" s="67"/>
      <c r="G236" s="67"/>
      <c r="H236" s="66"/>
      <c r="I236" s="66"/>
    </row>
    <row r="237" spans="1:9">
      <c r="A237" s="63"/>
      <c r="B237" s="66"/>
      <c r="C237" s="66"/>
      <c r="D237" s="67"/>
      <c r="E237" s="66"/>
      <c r="F237" s="67"/>
      <c r="G237" s="67"/>
      <c r="H237" s="67"/>
      <c r="I237" s="66"/>
    </row>
    <row r="238" spans="1:9">
      <c r="A238" s="63"/>
      <c r="B238" s="66"/>
      <c r="C238" s="67"/>
      <c r="D238" s="67"/>
      <c r="E238" s="67"/>
      <c r="F238" s="67"/>
      <c r="G238" s="67"/>
      <c r="H238" s="67"/>
      <c r="I238" s="66"/>
    </row>
    <row r="239" spans="1:9">
      <c r="A239" s="63"/>
      <c r="B239" s="66"/>
      <c r="C239" s="66"/>
      <c r="D239" s="67"/>
      <c r="E239" s="67"/>
      <c r="F239" s="67"/>
      <c r="G239" s="67"/>
      <c r="H239" s="67"/>
      <c r="I239" s="66"/>
    </row>
    <row r="240" spans="1:9">
      <c r="A240" s="63"/>
      <c r="B240" s="67"/>
      <c r="C240" s="67"/>
      <c r="D240" s="67"/>
      <c r="E240" s="67"/>
      <c r="F240" s="67"/>
      <c r="G240" s="66"/>
      <c r="H240" s="67"/>
      <c r="I240" s="66"/>
    </row>
    <row r="241" spans="1:9">
      <c r="A241" s="63"/>
      <c r="B241" s="66"/>
      <c r="C241" s="66"/>
      <c r="D241" s="66"/>
      <c r="E241" s="67"/>
      <c r="F241" s="67"/>
      <c r="G241" s="67"/>
      <c r="H241" s="67"/>
      <c r="I241" s="66"/>
    </row>
    <row r="242" spans="1:9">
      <c r="A242" s="63"/>
      <c r="B242" s="66"/>
      <c r="C242" s="66"/>
      <c r="D242" s="67"/>
      <c r="E242" s="67"/>
      <c r="F242" s="67"/>
      <c r="G242" s="67"/>
      <c r="H242" s="67"/>
      <c r="I242" s="66"/>
    </row>
    <row r="243" spans="1:9">
      <c r="A243" s="63"/>
      <c r="B243" s="66"/>
      <c r="C243" s="66"/>
      <c r="D243" s="66"/>
      <c r="E243" s="67"/>
      <c r="F243" s="67"/>
      <c r="G243" s="67"/>
      <c r="H243" s="67"/>
      <c r="I243" s="66"/>
    </row>
    <row r="244" spans="1:9">
      <c r="A244" s="63"/>
      <c r="B244" s="66"/>
      <c r="C244" s="67"/>
      <c r="D244" s="67"/>
      <c r="E244" s="67"/>
      <c r="F244" s="67"/>
      <c r="G244" s="67"/>
      <c r="H244" s="67"/>
      <c r="I244" s="66"/>
    </row>
    <row r="245" spans="1:9">
      <c r="A245" s="63"/>
      <c r="B245" s="66"/>
      <c r="C245" s="66"/>
      <c r="D245" s="67"/>
      <c r="E245" s="67"/>
      <c r="F245" s="67"/>
      <c r="G245" s="67"/>
      <c r="H245" s="67"/>
      <c r="I245" s="66"/>
    </row>
    <row r="246" spans="1:9">
      <c r="A246" s="63"/>
      <c r="B246" s="66"/>
      <c r="C246" s="67"/>
      <c r="D246" s="67"/>
      <c r="E246" s="67"/>
      <c r="F246" s="67"/>
      <c r="G246" s="67"/>
      <c r="H246" s="67"/>
      <c r="I246" s="66"/>
    </row>
    <row r="247" spans="1:9">
      <c r="A247" s="63"/>
      <c r="B247" s="66"/>
      <c r="C247" s="66"/>
      <c r="D247" s="67"/>
      <c r="E247" s="67"/>
      <c r="F247" s="67"/>
      <c r="G247" s="67"/>
      <c r="H247" s="67"/>
      <c r="I247" s="66"/>
    </row>
    <row r="248" spans="1:9">
      <c r="A248" s="63"/>
      <c r="B248" s="66"/>
      <c r="C248" s="66"/>
      <c r="D248" s="66"/>
      <c r="E248" s="66"/>
      <c r="F248" s="67"/>
      <c r="G248" s="67"/>
      <c r="H248" s="67"/>
      <c r="I248" s="66"/>
    </row>
    <row r="249" spans="1:9">
      <c r="A249" s="63"/>
      <c r="B249" s="66"/>
      <c r="C249" s="66"/>
      <c r="D249" s="67"/>
      <c r="E249" s="67"/>
      <c r="F249" s="67"/>
      <c r="G249" s="67"/>
      <c r="H249" s="67"/>
      <c r="I249" s="66"/>
    </row>
    <row r="250" spans="1:9">
      <c r="A250" s="63"/>
      <c r="B250" s="66"/>
      <c r="C250" s="66"/>
      <c r="D250" s="66"/>
      <c r="E250" s="67"/>
      <c r="F250" s="66"/>
      <c r="G250" s="67"/>
      <c r="H250" s="67"/>
      <c r="I250" s="66"/>
    </row>
    <row r="251" spans="1:9">
      <c r="A251" s="63"/>
      <c r="B251" s="66"/>
      <c r="C251" s="66"/>
      <c r="D251" s="66"/>
      <c r="E251" s="67"/>
      <c r="F251" s="67"/>
      <c r="G251" s="67"/>
      <c r="H251" s="67"/>
      <c r="I251" s="66"/>
    </row>
    <row r="252" spans="1:9">
      <c r="A252" s="63"/>
      <c r="B252" s="66"/>
      <c r="C252" s="67"/>
      <c r="D252" s="67"/>
      <c r="E252" s="66"/>
      <c r="F252" s="67"/>
      <c r="G252" s="67"/>
      <c r="H252" s="67"/>
      <c r="I252" s="66"/>
    </row>
    <row r="253" spans="1:9">
      <c r="A253" s="63"/>
      <c r="B253" s="66"/>
      <c r="C253" s="66"/>
      <c r="D253" s="66"/>
      <c r="E253" s="66"/>
      <c r="F253" s="67"/>
      <c r="G253" s="67"/>
      <c r="H253" s="67"/>
      <c r="I253" s="66"/>
    </row>
    <row r="254" spans="1:9">
      <c r="A254" s="63"/>
      <c r="B254" s="66"/>
      <c r="C254" s="66"/>
      <c r="D254" s="67"/>
      <c r="E254" s="67"/>
      <c r="F254" s="67"/>
      <c r="G254" s="67"/>
      <c r="H254" s="67"/>
      <c r="I254" s="66"/>
    </row>
    <row r="255" spans="1:9">
      <c r="A255" s="63"/>
      <c r="B255" s="66"/>
      <c r="C255" s="66"/>
      <c r="D255" s="66"/>
      <c r="E255" s="66"/>
      <c r="F255" s="67"/>
      <c r="G255" s="67"/>
      <c r="H255" s="67"/>
      <c r="I255" s="66"/>
    </row>
    <row r="256" spans="1:9">
      <c r="A256" s="63"/>
      <c r="B256" s="66"/>
      <c r="C256" s="66"/>
      <c r="D256" s="66"/>
      <c r="E256" s="66"/>
      <c r="F256" s="66"/>
      <c r="G256" s="67"/>
      <c r="H256" s="67"/>
      <c r="I256" s="66"/>
    </row>
    <row r="257" spans="1:9">
      <c r="A257" s="63"/>
      <c r="B257" s="66"/>
      <c r="C257" s="66"/>
      <c r="D257" s="66"/>
      <c r="E257" s="67"/>
      <c r="F257" s="67"/>
      <c r="G257" s="67"/>
      <c r="H257" s="67"/>
      <c r="I257" s="66"/>
    </row>
    <row r="258" spans="1:9">
      <c r="A258" s="63"/>
      <c r="B258" s="66"/>
      <c r="C258" s="66"/>
      <c r="D258" s="67"/>
      <c r="E258" s="67"/>
      <c r="F258" s="67"/>
      <c r="G258" s="67"/>
      <c r="H258" s="67"/>
      <c r="I258" s="66"/>
    </row>
    <row r="259" spans="1:9">
      <c r="A259" s="63"/>
      <c r="B259" s="67"/>
      <c r="C259" s="67"/>
      <c r="D259" s="67"/>
      <c r="E259" s="66"/>
      <c r="F259" s="66"/>
      <c r="G259" s="67"/>
      <c r="H259" s="67"/>
      <c r="I259" s="66"/>
    </row>
    <row r="260" spans="1:9">
      <c r="A260" s="63"/>
      <c r="B260" s="66"/>
      <c r="C260" s="66"/>
      <c r="D260" s="66"/>
      <c r="E260" s="67"/>
      <c r="F260" s="67"/>
      <c r="G260" s="67"/>
      <c r="H260" s="67"/>
      <c r="I260" s="66"/>
    </row>
    <row r="261" spans="1:9">
      <c r="A261" s="63"/>
      <c r="B261" s="66"/>
      <c r="C261" s="66"/>
      <c r="D261" s="67"/>
      <c r="E261" s="67"/>
      <c r="F261" s="67"/>
      <c r="G261" s="67"/>
      <c r="H261" s="67"/>
      <c r="I261" s="66"/>
    </row>
    <row r="262" spans="1:9">
      <c r="A262" s="63"/>
      <c r="B262" s="66"/>
      <c r="C262" s="66"/>
      <c r="D262" s="66"/>
      <c r="E262" s="66"/>
      <c r="F262" s="66"/>
      <c r="G262" s="66"/>
      <c r="H262" s="66"/>
      <c r="I262" s="66"/>
    </row>
    <row r="263" spans="1:9">
      <c r="A263" s="63"/>
      <c r="B263" s="66"/>
      <c r="C263" s="66"/>
      <c r="D263" s="67"/>
      <c r="E263" s="67"/>
      <c r="F263" s="67"/>
      <c r="G263" s="67"/>
      <c r="H263" s="67"/>
      <c r="I263" s="66"/>
    </row>
    <row r="264" spans="1:9">
      <c r="A264" s="63"/>
      <c r="B264" s="66"/>
      <c r="C264" s="66"/>
      <c r="D264" s="67"/>
      <c r="E264" s="67"/>
      <c r="F264" s="67"/>
      <c r="G264" s="67"/>
      <c r="H264" s="67"/>
      <c r="I264" s="66"/>
    </row>
    <row r="265" spans="1:9">
      <c r="A265" s="63"/>
      <c r="B265" s="66"/>
      <c r="C265" s="67"/>
      <c r="D265" s="67"/>
      <c r="E265" s="67"/>
      <c r="F265" s="67"/>
      <c r="G265" s="67"/>
      <c r="H265" s="67"/>
      <c r="I265" s="66"/>
    </row>
    <row r="266" spans="1:9">
      <c r="A266" s="63"/>
      <c r="B266" s="67"/>
      <c r="C266" s="67"/>
      <c r="D266" s="67"/>
      <c r="E266" s="67"/>
      <c r="F266" s="67"/>
      <c r="G266" s="66"/>
      <c r="H266" s="67"/>
      <c r="I266" s="66"/>
    </row>
    <row r="267" spans="1:9">
      <c r="A267" s="63"/>
      <c r="B267" s="67"/>
      <c r="C267" s="67"/>
      <c r="D267" s="67"/>
      <c r="E267" s="67"/>
      <c r="F267" s="67"/>
      <c r="G267" s="66"/>
      <c r="H267" s="67"/>
      <c r="I267" s="66"/>
    </row>
    <row r="268" spans="1:9">
      <c r="A268" s="63"/>
      <c r="B268" s="66"/>
      <c r="C268" s="67"/>
      <c r="D268" s="67"/>
      <c r="E268" s="66"/>
      <c r="F268" s="67"/>
      <c r="G268" s="67"/>
      <c r="H268" s="67"/>
      <c r="I268" s="66"/>
    </row>
    <row r="269" spans="1:9">
      <c r="A269" s="63"/>
      <c r="B269" s="67"/>
      <c r="C269" s="67"/>
      <c r="D269" s="67"/>
      <c r="E269" s="67"/>
      <c r="F269" s="66"/>
      <c r="G269" s="66"/>
      <c r="H269" s="67"/>
      <c r="I269" s="66"/>
    </row>
    <row r="270" spans="1:9">
      <c r="A270" s="63"/>
      <c r="B270" s="66"/>
      <c r="C270" s="66"/>
      <c r="D270" s="67"/>
      <c r="E270" s="67"/>
      <c r="F270" s="67"/>
      <c r="G270" s="67"/>
      <c r="H270" s="67"/>
      <c r="I270" s="66"/>
    </row>
    <row r="271" spans="1:9">
      <c r="A271" s="63"/>
      <c r="B271" s="66"/>
      <c r="C271" s="67"/>
      <c r="D271" s="67"/>
      <c r="E271" s="67"/>
      <c r="F271" s="67"/>
      <c r="G271" s="67"/>
      <c r="H271" s="67"/>
      <c r="I271" s="66"/>
    </row>
    <row r="272" spans="1:9">
      <c r="A272" s="63"/>
      <c r="B272" s="66"/>
      <c r="C272" s="66"/>
      <c r="D272" s="66"/>
      <c r="E272" s="66"/>
      <c r="F272" s="66"/>
      <c r="G272" s="67"/>
      <c r="H272" s="67"/>
      <c r="I272" s="66"/>
    </row>
    <row r="273" spans="1:9">
      <c r="A273" s="63"/>
      <c r="B273" s="66"/>
      <c r="C273" s="66"/>
      <c r="D273" s="67"/>
      <c r="E273" s="67"/>
      <c r="F273" s="67"/>
      <c r="G273" s="67"/>
      <c r="H273" s="67"/>
      <c r="I273" s="66"/>
    </row>
    <row r="274" spans="1:9">
      <c r="A274" s="63"/>
      <c r="B274" s="66"/>
      <c r="C274" s="66"/>
      <c r="D274" s="67"/>
      <c r="E274" s="67"/>
      <c r="F274" s="67"/>
      <c r="G274" s="67"/>
      <c r="H274" s="67"/>
      <c r="I274" s="66"/>
    </row>
    <row r="275" spans="1:9">
      <c r="A275" s="63"/>
      <c r="B275" s="66"/>
      <c r="C275" s="66"/>
      <c r="D275" s="67"/>
      <c r="E275" s="67"/>
      <c r="F275" s="67"/>
      <c r="G275" s="67"/>
      <c r="H275" s="67"/>
      <c r="I275" s="66"/>
    </row>
    <row r="276" spans="1:9">
      <c r="A276" s="63"/>
      <c r="B276" s="66"/>
      <c r="C276" s="66"/>
      <c r="D276" s="67"/>
      <c r="E276" s="67"/>
      <c r="F276" s="67"/>
      <c r="G276" s="67"/>
      <c r="H276" s="67"/>
      <c r="I276" s="66"/>
    </row>
    <row r="277" spans="1:9">
      <c r="A277" s="63"/>
      <c r="B277" s="67"/>
      <c r="C277" s="66"/>
      <c r="D277" s="66"/>
      <c r="E277" s="66"/>
      <c r="F277" s="67"/>
      <c r="G277" s="67"/>
      <c r="H277" s="67"/>
      <c r="I277" s="66"/>
    </row>
    <row r="278" spans="1:9">
      <c r="A278" s="63"/>
      <c r="B278" s="66"/>
      <c r="C278" s="67"/>
      <c r="D278" s="67"/>
      <c r="E278" s="67"/>
      <c r="F278" s="67"/>
      <c r="G278" s="67"/>
      <c r="H278" s="67"/>
      <c r="I278" s="66"/>
    </row>
    <row r="279" spans="1:9">
      <c r="A279" s="63"/>
      <c r="B279" s="66"/>
      <c r="C279" s="66"/>
      <c r="D279" s="67"/>
      <c r="E279" s="67"/>
      <c r="F279" s="67"/>
      <c r="G279" s="67"/>
      <c r="H279" s="67"/>
      <c r="I279" s="66"/>
    </row>
    <row r="280" spans="1:9">
      <c r="A280" s="63"/>
      <c r="B280" s="66"/>
      <c r="C280" s="67"/>
      <c r="D280" s="67"/>
      <c r="E280" s="67"/>
      <c r="F280" s="67"/>
      <c r="G280" s="67"/>
      <c r="H280" s="67"/>
      <c r="I280" s="66"/>
    </row>
    <row r="281" spans="1:9">
      <c r="A281" s="63"/>
      <c r="B281" s="66"/>
      <c r="C281" s="67"/>
      <c r="D281" s="67"/>
      <c r="E281" s="67"/>
      <c r="F281" s="67"/>
      <c r="G281" s="67"/>
      <c r="H281" s="67"/>
      <c r="I281" s="66"/>
    </row>
    <row r="282" spans="1:9">
      <c r="A282" s="63"/>
      <c r="B282" s="66"/>
      <c r="C282" s="66"/>
      <c r="D282" s="67"/>
      <c r="E282" s="67"/>
      <c r="F282" s="67"/>
      <c r="G282" s="67"/>
      <c r="H282" s="67"/>
      <c r="I282" s="66"/>
    </row>
    <row r="283" spans="1:9">
      <c r="A283" s="63"/>
      <c r="B283" s="67"/>
      <c r="C283" s="67"/>
      <c r="D283" s="67"/>
      <c r="E283" s="67"/>
      <c r="F283" s="67"/>
      <c r="G283" s="67"/>
      <c r="H283" s="66"/>
      <c r="I283" s="66"/>
    </row>
    <row r="284" spans="1:9">
      <c r="A284" s="63"/>
      <c r="B284" s="66"/>
      <c r="C284" s="66"/>
      <c r="D284" s="67"/>
      <c r="E284" s="67"/>
      <c r="F284" s="67"/>
      <c r="G284" s="67"/>
      <c r="H284" s="67"/>
      <c r="I284" s="66"/>
    </row>
    <row r="285" spans="1:9">
      <c r="A285" s="63"/>
      <c r="B285" s="66"/>
      <c r="C285" s="66"/>
      <c r="D285" s="66"/>
      <c r="E285" s="67"/>
      <c r="F285" s="67"/>
      <c r="G285" s="67"/>
      <c r="H285" s="67"/>
      <c r="I285" s="66"/>
    </row>
    <row r="286" spans="1:9">
      <c r="A286" s="63"/>
      <c r="B286" s="66"/>
      <c r="C286" s="66"/>
      <c r="D286" s="66"/>
      <c r="E286" s="66"/>
      <c r="F286" s="66"/>
      <c r="G286" s="67"/>
      <c r="H286" s="67"/>
      <c r="I286" s="66"/>
    </row>
    <row r="287" spans="1:9">
      <c r="A287" s="63"/>
      <c r="B287" s="66"/>
      <c r="C287" s="66"/>
      <c r="D287" s="67"/>
      <c r="E287" s="67"/>
      <c r="F287" s="67"/>
      <c r="G287" s="67"/>
      <c r="H287" s="67"/>
      <c r="I287" s="66"/>
    </row>
    <row r="288" spans="1:9">
      <c r="A288" s="63"/>
      <c r="B288" s="66"/>
      <c r="C288" s="66"/>
      <c r="D288" s="67"/>
      <c r="E288" s="67"/>
      <c r="F288" s="67"/>
      <c r="G288" s="67"/>
      <c r="H288" s="67"/>
      <c r="I288" s="66"/>
    </row>
    <row r="289" spans="1:9">
      <c r="A289" s="63"/>
      <c r="B289" s="66"/>
      <c r="C289" s="67"/>
      <c r="D289" s="67"/>
      <c r="E289" s="67"/>
      <c r="F289" s="67"/>
      <c r="G289" s="67"/>
      <c r="H289" s="67"/>
      <c r="I289" s="66"/>
    </row>
    <row r="290" spans="1:9">
      <c r="A290" s="63"/>
      <c r="B290" s="66"/>
      <c r="C290" s="66"/>
      <c r="D290" s="67"/>
      <c r="E290" s="67"/>
      <c r="F290" s="67"/>
      <c r="G290" s="67"/>
      <c r="H290" s="67"/>
      <c r="I290" s="66"/>
    </row>
    <row r="291" spans="1:9">
      <c r="A291" s="63"/>
      <c r="B291" s="67"/>
      <c r="C291" s="66"/>
      <c r="D291" s="66"/>
      <c r="E291" s="66"/>
      <c r="F291" s="67"/>
      <c r="G291" s="67"/>
      <c r="H291" s="67"/>
      <c r="I291" s="66"/>
    </row>
    <row r="292" spans="1:9">
      <c r="A292" s="63"/>
      <c r="B292" s="67"/>
      <c r="C292" s="67"/>
      <c r="D292" s="66"/>
      <c r="E292" s="66"/>
      <c r="F292" s="66"/>
      <c r="G292" s="67"/>
      <c r="H292" s="67"/>
      <c r="I292" s="66"/>
    </row>
    <row r="293" spans="1:9">
      <c r="A293" s="63"/>
      <c r="B293" s="66"/>
      <c r="C293" s="66"/>
      <c r="D293" s="66"/>
      <c r="E293" s="67"/>
      <c r="F293" s="67"/>
      <c r="G293" s="67"/>
      <c r="H293" s="67"/>
      <c r="I293" s="66"/>
    </row>
    <row r="294" spans="1:9">
      <c r="A294" s="63"/>
      <c r="B294" s="66"/>
      <c r="C294" s="66"/>
      <c r="D294" s="67"/>
      <c r="E294" s="67"/>
      <c r="F294" s="67"/>
      <c r="G294" s="67"/>
      <c r="H294" s="67"/>
      <c r="I294" s="66"/>
    </row>
    <row r="295" spans="1:9">
      <c r="A295" s="63"/>
      <c r="B295" s="66"/>
      <c r="C295" s="67"/>
      <c r="D295" s="67"/>
      <c r="E295" s="67"/>
      <c r="F295" s="67"/>
      <c r="G295" s="67"/>
      <c r="H295" s="67"/>
      <c r="I295" s="66"/>
    </row>
    <row r="296" spans="1:9">
      <c r="A296" s="63"/>
      <c r="B296" s="66"/>
      <c r="C296" s="66"/>
      <c r="D296" s="67"/>
      <c r="E296" s="67"/>
      <c r="F296" s="67"/>
      <c r="G296" s="67"/>
      <c r="H296" s="67"/>
      <c r="I296" s="66"/>
    </row>
    <row r="297" spans="1:9">
      <c r="A297" s="63"/>
      <c r="B297" s="66"/>
      <c r="C297" s="66"/>
      <c r="D297" s="67"/>
      <c r="E297" s="67"/>
      <c r="F297" s="67"/>
      <c r="G297" s="67"/>
      <c r="H297" s="67"/>
      <c r="I297" s="66"/>
    </row>
    <row r="298" spans="1:9">
      <c r="A298" s="63"/>
      <c r="B298" s="66"/>
      <c r="C298" s="67"/>
      <c r="D298" s="67"/>
      <c r="E298" s="67"/>
      <c r="F298" s="67"/>
      <c r="G298" s="67"/>
      <c r="H298" s="67"/>
      <c r="I298" s="66"/>
    </row>
    <row r="299" spans="1:9">
      <c r="A299" s="63"/>
      <c r="B299" s="66"/>
      <c r="C299" s="66"/>
      <c r="D299" s="67"/>
      <c r="E299" s="67"/>
      <c r="F299" s="67"/>
      <c r="G299" s="67"/>
      <c r="H299" s="67"/>
      <c r="I299" s="66"/>
    </row>
    <row r="300" spans="1:9">
      <c r="A300" s="63"/>
      <c r="B300" s="66"/>
      <c r="C300" s="67"/>
      <c r="D300" s="67"/>
      <c r="E300" s="67"/>
      <c r="F300" s="67"/>
      <c r="G300" s="67"/>
      <c r="H300" s="67"/>
      <c r="I300" s="66"/>
    </row>
    <row r="301" spans="1:9">
      <c r="A301" s="63"/>
      <c r="B301" s="66"/>
      <c r="C301" s="66"/>
      <c r="D301" s="67"/>
      <c r="E301" s="67"/>
      <c r="F301" s="67"/>
      <c r="G301" s="67"/>
      <c r="H301" s="67"/>
      <c r="I301" s="66"/>
    </row>
    <row r="302" spans="1:9">
      <c r="A302" s="63"/>
      <c r="B302" s="66"/>
      <c r="C302" s="67"/>
      <c r="D302" s="67"/>
      <c r="E302" s="67"/>
      <c r="F302" s="67"/>
      <c r="G302" s="67"/>
      <c r="H302" s="67"/>
      <c r="I302" s="66"/>
    </row>
    <row r="303" spans="1:9">
      <c r="A303" s="63"/>
      <c r="B303" s="66"/>
      <c r="C303" s="66"/>
      <c r="D303" s="66"/>
      <c r="E303" s="67"/>
      <c r="F303" s="67"/>
      <c r="G303" s="67"/>
      <c r="H303" s="67"/>
      <c r="I303" s="66"/>
    </row>
    <row r="304" spans="1:9">
      <c r="A304" s="63"/>
      <c r="B304" s="66"/>
      <c r="C304" s="66"/>
      <c r="D304" s="66"/>
      <c r="E304" s="66"/>
      <c r="F304" s="66"/>
      <c r="G304" s="67"/>
      <c r="H304" s="67"/>
      <c r="I304" s="66"/>
    </row>
    <row r="305" spans="1:9">
      <c r="A305" s="63"/>
      <c r="B305" s="66"/>
      <c r="C305" s="67"/>
      <c r="D305" s="67"/>
      <c r="E305" s="67"/>
      <c r="F305" s="67"/>
      <c r="G305" s="67"/>
      <c r="H305" s="67"/>
      <c r="I305" s="66"/>
    </row>
    <row r="306" spans="1:9">
      <c r="A306" s="63"/>
      <c r="B306" s="66"/>
      <c r="C306" s="67"/>
      <c r="D306" s="67"/>
      <c r="E306" s="67"/>
      <c r="F306" s="67"/>
      <c r="G306" s="67"/>
      <c r="H306" s="67"/>
      <c r="I306" s="66"/>
    </row>
    <row r="307" spans="1:9">
      <c r="A307" s="63"/>
      <c r="B307" s="66"/>
      <c r="C307" s="67"/>
      <c r="D307" s="67"/>
      <c r="E307" s="67"/>
      <c r="F307" s="67"/>
      <c r="G307" s="67"/>
      <c r="H307" s="67"/>
      <c r="I307" s="66"/>
    </row>
    <row r="308" spans="1:9">
      <c r="A308" s="63"/>
      <c r="B308" s="67"/>
      <c r="C308" s="67"/>
      <c r="D308" s="67"/>
      <c r="E308" s="67"/>
      <c r="F308" s="67"/>
      <c r="G308" s="67"/>
      <c r="H308" s="66"/>
      <c r="I308" s="66"/>
    </row>
    <row r="309" spans="1:9">
      <c r="A309" s="63"/>
      <c r="B309" s="66"/>
      <c r="C309" s="66"/>
      <c r="D309" s="66"/>
      <c r="E309" s="66"/>
      <c r="F309" s="67"/>
      <c r="G309" s="67"/>
      <c r="H309" s="67"/>
      <c r="I309" s="66"/>
    </row>
    <row r="310" spans="1:9">
      <c r="A310" s="63"/>
      <c r="B310" s="66"/>
      <c r="C310" s="67"/>
      <c r="D310" s="67"/>
      <c r="E310" s="67"/>
      <c r="F310" s="67"/>
      <c r="G310" s="67"/>
      <c r="H310" s="66"/>
      <c r="I310" s="66"/>
    </row>
    <row r="311" spans="1:9">
      <c r="A311" s="63"/>
      <c r="B311" s="66"/>
      <c r="C311" s="66"/>
      <c r="D311" s="67"/>
      <c r="E311" s="67"/>
      <c r="F311" s="67"/>
      <c r="G311" s="67"/>
      <c r="H311" s="67"/>
      <c r="I311" s="66"/>
    </row>
    <row r="312" spans="1:9">
      <c r="A312" s="63"/>
      <c r="B312" s="66"/>
      <c r="C312" s="67"/>
      <c r="D312" s="67"/>
      <c r="E312" s="67"/>
      <c r="F312" s="67"/>
      <c r="G312" s="67"/>
      <c r="H312" s="67"/>
      <c r="I312" s="66"/>
    </row>
    <row r="313" spans="1:9">
      <c r="A313" s="63"/>
      <c r="B313" s="66"/>
      <c r="C313" s="67"/>
      <c r="D313" s="66"/>
      <c r="E313" s="66"/>
      <c r="F313" s="66"/>
      <c r="G313" s="67"/>
      <c r="H313" s="67"/>
      <c r="I313" s="66"/>
    </row>
    <row r="314" spans="1:9">
      <c r="A314" s="63"/>
      <c r="B314" s="66"/>
      <c r="C314" s="66"/>
      <c r="D314" s="67"/>
      <c r="E314" s="67"/>
      <c r="F314" s="67"/>
      <c r="G314" s="67"/>
      <c r="H314" s="67"/>
      <c r="I314" s="66"/>
    </row>
    <row r="315" spans="1:9">
      <c r="A315" s="63"/>
      <c r="B315" s="66"/>
      <c r="C315" s="66"/>
      <c r="D315" s="67"/>
      <c r="E315" s="67"/>
      <c r="F315" s="67"/>
      <c r="G315" s="67"/>
      <c r="H315" s="67"/>
      <c r="I315" s="66"/>
    </row>
    <row r="316" spans="1:9">
      <c r="A316" s="63"/>
      <c r="B316" s="66"/>
      <c r="C316" s="67"/>
      <c r="D316" s="67"/>
      <c r="E316" s="67"/>
      <c r="F316" s="67"/>
      <c r="G316" s="67"/>
      <c r="H316" s="67"/>
      <c r="I316" s="66"/>
    </row>
    <row r="317" spans="1:9">
      <c r="A317" s="63"/>
      <c r="B317" s="66"/>
      <c r="C317" s="66"/>
      <c r="D317" s="66"/>
      <c r="E317" s="67"/>
      <c r="F317" s="67"/>
      <c r="G317" s="67"/>
      <c r="H317" s="67"/>
      <c r="I317" s="66"/>
    </row>
    <row r="318" spans="1:9">
      <c r="A318" s="63"/>
      <c r="B318" s="66"/>
      <c r="C318" s="67"/>
      <c r="D318" s="67"/>
      <c r="E318" s="67"/>
      <c r="F318" s="67"/>
      <c r="G318" s="67"/>
      <c r="H318" s="67"/>
      <c r="I318" s="66"/>
    </row>
    <row r="319" spans="1:9">
      <c r="A319" s="63"/>
      <c r="B319" s="66"/>
      <c r="C319" s="67"/>
      <c r="D319" s="67"/>
      <c r="E319" s="67"/>
      <c r="F319" s="67"/>
      <c r="G319" s="67"/>
      <c r="H319" s="67"/>
      <c r="I319" s="66"/>
    </row>
    <row r="320" spans="1:9">
      <c r="A320" s="63"/>
      <c r="B320" s="66"/>
      <c r="C320" s="66"/>
      <c r="D320" s="67"/>
      <c r="E320" s="67"/>
      <c r="F320" s="67"/>
      <c r="G320" s="67"/>
      <c r="H320" s="67"/>
      <c r="I320" s="66"/>
    </row>
    <row r="321" spans="1:9">
      <c r="A321" s="63"/>
      <c r="B321" s="66"/>
      <c r="C321" s="66"/>
      <c r="D321" s="67"/>
      <c r="E321" s="67"/>
      <c r="F321" s="67"/>
      <c r="G321" s="67"/>
      <c r="H321" s="67"/>
      <c r="I321" s="66"/>
    </row>
    <row r="322" spans="1:9">
      <c r="A322" s="63"/>
      <c r="B322" s="66"/>
      <c r="C322" s="66"/>
      <c r="D322" s="67"/>
      <c r="E322" s="67"/>
      <c r="F322" s="67"/>
      <c r="G322" s="67"/>
      <c r="H322" s="67"/>
      <c r="I322" s="66"/>
    </row>
    <row r="323" spans="1:9">
      <c r="A323" s="63"/>
      <c r="B323" s="66"/>
      <c r="C323" s="67"/>
      <c r="D323" s="67"/>
      <c r="E323" s="67"/>
      <c r="F323" s="67"/>
      <c r="G323" s="67"/>
      <c r="H323" s="67"/>
      <c r="I323" s="66"/>
    </row>
    <row r="324" spans="1:9">
      <c r="A324" s="63"/>
      <c r="B324" s="66"/>
      <c r="C324" s="66"/>
      <c r="D324" s="66"/>
      <c r="E324" s="66"/>
      <c r="F324" s="67"/>
      <c r="G324" s="67"/>
      <c r="H324" s="67"/>
      <c r="I324" s="66"/>
    </row>
    <row r="325" spans="1:9">
      <c r="A325" s="63"/>
      <c r="B325" s="66"/>
      <c r="C325" s="66"/>
      <c r="D325" s="67"/>
      <c r="E325" s="67"/>
      <c r="F325" s="67"/>
      <c r="G325" s="67"/>
      <c r="H325" s="67"/>
      <c r="I325" s="66"/>
    </row>
    <row r="326" spans="1:9">
      <c r="A326" s="63"/>
      <c r="B326" s="66"/>
      <c r="C326" s="66"/>
      <c r="D326" s="67"/>
      <c r="E326" s="67"/>
      <c r="F326" s="67"/>
      <c r="G326" s="67"/>
      <c r="H326" s="67"/>
      <c r="I326" s="66"/>
    </row>
    <row r="327" spans="1:9">
      <c r="A327" s="63"/>
      <c r="B327" s="66"/>
      <c r="C327" s="67"/>
      <c r="D327" s="66"/>
      <c r="E327" s="67"/>
      <c r="F327" s="67"/>
      <c r="G327" s="67"/>
      <c r="H327" s="67"/>
      <c r="I327" s="66"/>
    </row>
    <row r="328" spans="1:9">
      <c r="A328" s="63"/>
      <c r="B328" s="67"/>
      <c r="C328" s="67"/>
      <c r="D328" s="67"/>
      <c r="E328" s="66"/>
      <c r="F328" s="66"/>
      <c r="G328" s="66"/>
      <c r="H328" s="67"/>
      <c r="I328" s="66"/>
    </row>
    <row r="329" spans="1:9">
      <c r="A329" s="63"/>
      <c r="B329" s="66"/>
      <c r="C329" s="66"/>
      <c r="D329" s="66"/>
      <c r="E329" s="66"/>
      <c r="F329" s="67"/>
      <c r="G329" s="67"/>
      <c r="H329" s="67"/>
      <c r="I329" s="66"/>
    </row>
    <row r="330" spans="1:9">
      <c r="A330" s="63"/>
      <c r="B330" s="66"/>
      <c r="C330" s="66"/>
      <c r="D330" s="66"/>
      <c r="E330" s="66"/>
      <c r="F330" s="66"/>
      <c r="G330" s="66"/>
      <c r="H330" s="66"/>
      <c r="I330" s="66"/>
    </row>
    <row r="331" spans="1:9">
      <c r="A331" s="63"/>
      <c r="B331" s="66"/>
      <c r="C331" s="66"/>
      <c r="D331" s="67"/>
      <c r="E331" s="67"/>
      <c r="F331" s="67"/>
      <c r="G331" s="67"/>
      <c r="H331" s="67"/>
      <c r="I331" s="66"/>
    </row>
    <row r="332" spans="1:9">
      <c r="A332" s="63"/>
      <c r="B332" s="67"/>
      <c r="C332" s="67"/>
      <c r="D332" s="67"/>
      <c r="E332" s="66"/>
      <c r="F332" s="66"/>
      <c r="G332" s="67"/>
      <c r="H332" s="67"/>
      <c r="I332" s="66"/>
    </row>
    <row r="333" spans="1:9">
      <c r="A333" s="63"/>
      <c r="B333" s="66"/>
      <c r="C333" s="66"/>
      <c r="D333" s="67"/>
      <c r="E333" s="67"/>
      <c r="F333" s="67"/>
      <c r="G333" s="67"/>
      <c r="H333" s="67"/>
      <c r="I333" s="66"/>
    </row>
    <row r="334" spans="1:9">
      <c r="A334" s="63"/>
      <c r="B334" s="66"/>
      <c r="C334" s="66"/>
      <c r="D334" s="67"/>
      <c r="E334" s="67"/>
      <c r="F334" s="67"/>
      <c r="G334" s="67"/>
      <c r="H334" s="67"/>
      <c r="I334" s="66"/>
    </row>
    <row r="335" spans="1:9">
      <c r="A335" s="63"/>
      <c r="B335" s="66"/>
      <c r="C335" s="67"/>
      <c r="D335" s="67"/>
      <c r="E335" s="67"/>
      <c r="F335" s="67"/>
      <c r="G335" s="67"/>
      <c r="H335" s="67"/>
      <c r="I335" s="66"/>
    </row>
    <row r="336" spans="1:9">
      <c r="A336" s="63"/>
      <c r="B336" s="67"/>
      <c r="C336" s="67"/>
      <c r="D336" s="67"/>
      <c r="E336" s="66"/>
      <c r="F336" s="66"/>
      <c r="G336" s="67"/>
      <c r="H336" s="67"/>
      <c r="I336" s="66"/>
    </row>
    <row r="337" spans="1:9">
      <c r="A337" s="63"/>
      <c r="B337" s="66"/>
      <c r="C337" s="66"/>
      <c r="D337" s="67"/>
      <c r="E337" s="67"/>
      <c r="F337" s="67"/>
      <c r="G337" s="67"/>
      <c r="H337" s="67"/>
      <c r="I337" s="66"/>
    </row>
    <row r="338" spans="1:9">
      <c r="A338" s="63"/>
      <c r="B338" s="66"/>
      <c r="C338" s="66"/>
      <c r="D338" s="66"/>
      <c r="E338" s="66"/>
      <c r="F338" s="67"/>
      <c r="G338" s="67"/>
      <c r="H338" s="67"/>
      <c r="I338" s="66"/>
    </row>
    <row r="339" spans="1:9">
      <c r="A339" s="63"/>
      <c r="B339" s="66"/>
      <c r="C339" s="67"/>
      <c r="D339" s="67"/>
      <c r="E339" s="67"/>
      <c r="F339" s="67"/>
      <c r="G339" s="67"/>
      <c r="H339" s="67"/>
      <c r="I339" s="66"/>
    </row>
    <row r="340" spans="1:9">
      <c r="A340" s="63"/>
      <c r="B340" s="66"/>
      <c r="C340" s="67"/>
      <c r="D340" s="67"/>
      <c r="E340" s="67"/>
      <c r="F340" s="67"/>
      <c r="G340" s="67"/>
      <c r="H340" s="67"/>
      <c r="I340" s="66"/>
    </row>
    <row r="341" spans="1:9">
      <c r="A341" s="63"/>
      <c r="B341" s="66"/>
      <c r="C341" s="66"/>
      <c r="D341" s="67"/>
      <c r="E341" s="67"/>
      <c r="F341" s="67"/>
      <c r="G341" s="67"/>
      <c r="H341" s="67"/>
      <c r="I341" s="66"/>
    </row>
    <row r="342" spans="1:9">
      <c r="A342" s="63"/>
      <c r="B342" s="66"/>
      <c r="C342" s="67"/>
      <c r="D342" s="67"/>
      <c r="E342" s="67"/>
      <c r="F342" s="67"/>
      <c r="G342" s="67"/>
      <c r="H342" s="67"/>
      <c r="I342" s="66"/>
    </row>
    <row r="343" spans="1:9">
      <c r="A343" s="63"/>
      <c r="B343" s="66"/>
      <c r="C343" s="66"/>
      <c r="D343" s="67"/>
      <c r="E343" s="67"/>
      <c r="F343" s="67"/>
      <c r="G343" s="67"/>
      <c r="H343" s="67"/>
      <c r="I343" s="66"/>
    </row>
    <row r="344" spans="1:9">
      <c r="A344" s="63"/>
      <c r="B344" s="66"/>
      <c r="C344" s="66"/>
      <c r="D344" s="67"/>
      <c r="E344" s="67"/>
      <c r="F344" s="67"/>
      <c r="G344" s="67"/>
      <c r="H344" s="67"/>
      <c r="I344" s="66"/>
    </row>
    <row r="345" spans="1:9">
      <c r="A345" s="63"/>
      <c r="B345" s="67"/>
      <c r="C345" s="67"/>
      <c r="D345" s="67"/>
      <c r="E345" s="67"/>
      <c r="F345" s="66"/>
      <c r="G345" s="66"/>
      <c r="H345" s="67"/>
      <c r="I345" s="66"/>
    </row>
    <row r="346" spans="1:9">
      <c r="A346" s="63"/>
      <c r="B346" s="66"/>
      <c r="C346" s="66"/>
      <c r="D346" s="67"/>
      <c r="E346" s="67"/>
      <c r="F346" s="67"/>
      <c r="G346" s="67"/>
      <c r="H346" s="67"/>
      <c r="I346" s="66"/>
    </row>
    <row r="347" spans="1:9">
      <c r="A347" s="63"/>
      <c r="B347" s="66"/>
      <c r="C347" s="66"/>
      <c r="D347" s="67"/>
      <c r="E347" s="67"/>
      <c r="F347" s="67"/>
      <c r="G347" s="67"/>
      <c r="H347" s="67"/>
      <c r="I347" s="66"/>
    </row>
    <row r="348" spans="1:9">
      <c r="A348" s="63"/>
      <c r="B348" s="66"/>
      <c r="C348" s="67"/>
      <c r="D348" s="67"/>
      <c r="E348" s="67"/>
      <c r="F348" s="67"/>
      <c r="G348" s="67"/>
      <c r="H348" s="67"/>
      <c r="I348" s="66"/>
    </row>
    <row r="349" spans="1:9">
      <c r="A349" s="63"/>
      <c r="B349" s="66"/>
      <c r="C349" s="66"/>
      <c r="D349" s="67"/>
      <c r="E349" s="67"/>
      <c r="F349" s="67"/>
      <c r="G349" s="67"/>
      <c r="H349" s="67"/>
      <c r="I349" s="66"/>
    </row>
    <row r="350" spans="1:9">
      <c r="A350" s="63"/>
      <c r="B350" s="66"/>
      <c r="C350" s="67"/>
      <c r="D350" s="67"/>
      <c r="E350" s="67"/>
      <c r="F350" s="67"/>
      <c r="G350" s="67"/>
      <c r="H350" s="67"/>
      <c r="I350" s="66"/>
    </row>
    <row r="351" spans="1:9">
      <c r="A351" s="63"/>
      <c r="B351" s="66"/>
      <c r="C351" s="66"/>
      <c r="D351" s="67"/>
      <c r="E351" s="67"/>
      <c r="F351" s="67"/>
      <c r="G351" s="67"/>
      <c r="H351" s="67"/>
      <c r="I351" s="66"/>
    </row>
    <row r="352" spans="1:9">
      <c r="A352" s="63"/>
      <c r="B352" s="66"/>
      <c r="C352" s="67"/>
      <c r="D352" s="67"/>
      <c r="E352" s="67"/>
      <c r="F352" s="67"/>
      <c r="G352" s="67"/>
      <c r="H352" s="67"/>
      <c r="I352" s="66"/>
    </row>
    <row r="353" spans="1:9">
      <c r="A353" s="63"/>
      <c r="B353" s="66"/>
      <c r="C353" s="66"/>
      <c r="D353" s="66"/>
      <c r="E353" s="66"/>
      <c r="F353" s="66"/>
      <c r="G353" s="67"/>
      <c r="H353" s="67"/>
      <c r="I353" s="66"/>
    </row>
    <row r="354" spans="1:9">
      <c r="A354" s="63"/>
      <c r="B354" s="66"/>
      <c r="C354" s="66"/>
      <c r="D354" s="67"/>
      <c r="E354" s="67"/>
      <c r="F354" s="67"/>
      <c r="G354" s="67"/>
      <c r="H354" s="67"/>
      <c r="I354" s="66"/>
    </row>
    <row r="355" spans="1:9">
      <c r="A355" s="63"/>
      <c r="B355" s="66"/>
      <c r="C355" s="66"/>
      <c r="D355" s="66"/>
      <c r="E355" s="66"/>
      <c r="F355" s="66"/>
      <c r="G355" s="67"/>
      <c r="H355" s="67"/>
      <c r="I355" s="66"/>
    </row>
    <row r="356" spans="1:9">
      <c r="A356" s="63"/>
      <c r="B356" s="66"/>
      <c r="C356" s="66"/>
      <c r="D356" s="67"/>
      <c r="E356" s="67"/>
      <c r="F356" s="67"/>
      <c r="G356" s="67"/>
      <c r="H356" s="67"/>
      <c r="I356" s="66"/>
    </row>
    <row r="357" spans="1:9">
      <c r="A357" s="63"/>
      <c r="B357" s="66"/>
      <c r="C357" s="66"/>
      <c r="D357" s="67"/>
      <c r="E357" s="67"/>
      <c r="F357" s="67"/>
      <c r="G357" s="67"/>
      <c r="H357" s="67"/>
      <c r="I357" s="66"/>
    </row>
    <row r="358" spans="1:9">
      <c r="A358" s="63"/>
      <c r="B358" s="66"/>
      <c r="C358" s="67"/>
      <c r="D358" s="67"/>
      <c r="E358" s="67"/>
      <c r="F358" s="67"/>
      <c r="G358" s="67"/>
      <c r="H358" s="66"/>
      <c r="I358" s="66"/>
    </row>
    <row r="359" spans="1:9">
      <c r="A359" s="63"/>
      <c r="B359" s="66"/>
      <c r="C359" s="67"/>
      <c r="D359" s="67"/>
      <c r="E359" s="67"/>
      <c r="F359" s="67"/>
      <c r="G359" s="67"/>
      <c r="H359" s="67"/>
      <c r="I359" s="66"/>
    </row>
    <row r="360" spans="1:9">
      <c r="A360" s="63"/>
      <c r="B360" s="66"/>
      <c r="C360" s="66"/>
      <c r="D360" s="67"/>
      <c r="E360" s="67"/>
      <c r="F360" s="67"/>
      <c r="G360" s="67"/>
      <c r="H360" s="67"/>
      <c r="I360" s="66"/>
    </row>
    <row r="361" spans="1:9">
      <c r="A361" s="63"/>
      <c r="B361" s="66"/>
      <c r="C361" s="67"/>
      <c r="D361" s="67"/>
      <c r="E361" s="67"/>
      <c r="F361" s="67"/>
      <c r="G361" s="67"/>
      <c r="H361" s="67"/>
      <c r="I361" s="66"/>
    </row>
    <row r="362" spans="1:9">
      <c r="A362" s="63"/>
      <c r="B362" s="66"/>
      <c r="C362" s="66"/>
      <c r="D362" s="67"/>
      <c r="E362" s="67"/>
      <c r="F362" s="67"/>
      <c r="G362" s="67"/>
      <c r="H362" s="67"/>
      <c r="I362" s="66"/>
    </row>
    <row r="363" spans="1:9">
      <c r="A363" s="63"/>
      <c r="B363" s="66"/>
      <c r="C363" s="66"/>
      <c r="D363" s="67"/>
      <c r="E363" s="66"/>
      <c r="F363" s="67"/>
      <c r="G363" s="67"/>
      <c r="H363" s="67"/>
      <c r="I363" s="66"/>
    </row>
    <row r="364" spans="1:9">
      <c r="A364" s="63"/>
      <c r="B364" s="66"/>
      <c r="C364" s="66"/>
      <c r="D364" s="67"/>
      <c r="E364" s="67"/>
      <c r="F364" s="67"/>
      <c r="G364" s="67"/>
      <c r="H364" s="67"/>
      <c r="I364" s="66"/>
    </row>
    <row r="365" spans="1:9">
      <c r="A365" s="63"/>
      <c r="B365" s="66"/>
      <c r="C365" s="66"/>
      <c r="D365" s="66"/>
      <c r="E365" s="67"/>
      <c r="F365" s="67"/>
      <c r="G365" s="67"/>
      <c r="H365" s="67"/>
      <c r="I365" s="66"/>
    </row>
    <row r="366" spans="1:9">
      <c r="A366" s="63"/>
      <c r="B366" s="66"/>
      <c r="C366" s="66"/>
      <c r="D366" s="67"/>
      <c r="E366" s="67"/>
      <c r="F366" s="67"/>
      <c r="G366" s="67"/>
      <c r="H366" s="67"/>
      <c r="I366" s="66"/>
    </row>
    <row r="367" spans="1:9">
      <c r="A367" s="63"/>
      <c r="B367" s="66"/>
      <c r="C367" s="66"/>
      <c r="D367" s="67"/>
      <c r="E367" s="67"/>
      <c r="F367" s="67"/>
      <c r="G367" s="67"/>
      <c r="H367" s="67"/>
      <c r="I367" s="66"/>
    </row>
    <row r="368" spans="1:9">
      <c r="A368" s="63"/>
      <c r="B368" s="66"/>
      <c r="C368" s="66"/>
      <c r="D368" s="67"/>
      <c r="E368" s="67"/>
      <c r="F368" s="67"/>
      <c r="G368" s="67"/>
      <c r="H368" s="67"/>
      <c r="I368" s="66"/>
    </row>
    <row r="369" spans="1:9">
      <c r="A369" s="63"/>
      <c r="B369" s="66"/>
      <c r="C369" s="67"/>
      <c r="D369" s="67"/>
      <c r="E369" s="67"/>
      <c r="F369" s="67"/>
      <c r="G369" s="67"/>
      <c r="H369" s="67"/>
      <c r="I369" s="66"/>
    </row>
    <row r="370" spans="1:9">
      <c r="A370" s="63"/>
      <c r="B370" s="66"/>
      <c r="C370" s="66"/>
      <c r="D370" s="66"/>
      <c r="E370" s="66"/>
      <c r="F370" s="67"/>
      <c r="G370" s="66"/>
      <c r="H370" s="66"/>
      <c r="I370" s="66"/>
    </row>
    <row r="371" spans="1:9">
      <c r="A371" s="63"/>
      <c r="B371" s="66"/>
      <c r="C371" s="66"/>
      <c r="D371" s="67"/>
      <c r="E371" s="67"/>
      <c r="F371" s="67"/>
      <c r="G371" s="67"/>
      <c r="H371" s="67"/>
      <c r="I371" s="66"/>
    </row>
    <row r="372" spans="1:9">
      <c r="A372" s="63"/>
      <c r="B372" s="67"/>
      <c r="C372" s="67"/>
      <c r="D372" s="67"/>
      <c r="E372" s="67"/>
      <c r="F372" s="67"/>
      <c r="G372" s="67"/>
      <c r="H372" s="66"/>
      <c r="I372" s="66"/>
    </row>
    <row r="373" spans="1:9">
      <c r="A373" s="63"/>
      <c r="B373" s="66"/>
      <c r="C373" s="66"/>
      <c r="D373" s="67"/>
      <c r="E373" s="67"/>
      <c r="F373" s="67"/>
      <c r="G373" s="67"/>
      <c r="H373" s="67"/>
      <c r="I373" s="66"/>
    </row>
    <row r="374" spans="1:9">
      <c r="A374" s="63"/>
      <c r="B374" s="66"/>
      <c r="C374" s="66"/>
      <c r="D374" s="67"/>
      <c r="E374" s="67"/>
      <c r="F374" s="67"/>
      <c r="G374" s="67"/>
      <c r="H374" s="67"/>
      <c r="I374" s="66"/>
    </row>
    <row r="375" spans="1:9">
      <c r="A375" s="63"/>
      <c r="B375" s="67"/>
      <c r="C375" s="67"/>
      <c r="D375" s="67"/>
      <c r="E375" s="67"/>
      <c r="F375" s="66"/>
      <c r="G375" s="66"/>
      <c r="H375" s="67"/>
      <c r="I375" s="66"/>
    </row>
    <row r="376" spans="1:9">
      <c r="A376" s="63"/>
      <c r="B376" s="66"/>
      <c r="C376" s="66"/>
      <c r="D376" s="66"/>
      <c r="E376" s="66"/>
      <c r="F376" s="67"/>
      <c r="G376" s="67"/>
      <c r="H376" s="67"/>
      <c r="I376" s="66"/>
    </row>
    <row r="377" spans="1:9">
      <c r="A377" s="63"/>
      <c r="B377" s="66"/>
      <c r="C377" s="66"/>
      <c r="D377" s="66"/>
      <c r="E377" s="66"/>
      <c r="F377" s="67"/>
      <c r="G377" s="67"/>
      <c r="H377" s="67"/>
      <c r="I377" s="66"/>
    </row>
    <row r="378" spans="1:9">
      <c r="A378" s="63"/>
      <c r="B378" s="66"/>
      <c r="C378" s="66"/>
      <c r="D378" s="67"/>
      <c r="E378" s="67"/>
      <c r="F378" s="67"/>
      <c r="G378" s="67"/>
      <c r="H378" s="67"/>
      <c r="I378" s="66"/>
    </row>
    <row r="379" spans="1:9">
      <c r="A379" s="63"/>
      <c r="B379" s="66"/>
      <c r="C379" s="67"/>
      <c r="D379" s="67"/>
      <c r="E379" s="67"/>
      <c r="F379" s="67"/>
      <c r="G379" s="67"/>
      <c r="H379" s="67"/>
      <c r="I379" s="66"/>
    </row>
    <row r="380" spans="1:9">
      <c r="A380" s="63"/>
      <c r="B380" s="66"/>
      <c r="C380" s="66"/>
      <c r="D380" s="66"/>
      <c r="E380" s="67"/>
      <c r="F380" s="67"/>
      <c r="G380" s="67"/>
      <c r="H380" s="67"/>
      <c r="I380" s="66"/>
    </row>
    <row r="381" spans="1:9">
      <c r="A381" s="63"/>
      <c r="B381" s="66"/>
      <c r="C381" s="67"/>
      <c r="D381" s="67"/>
      <c r="E381" s="67"/>
      <c r="F381" s="67"/>
      <c r="G381" s="67"/>
      <c r="H381" s="67"/>
      <c r="I381" s="66"/>
    </row>
    <row r="382" spans="1:9">
      <c r="A382" s="63"/>
      <c r="B382" s="66"/>
      <c r="C382" s="66"/>
      <c r="D382" s="67"/>
      <c r="E382" s="67"/>
      <c r="F382" s="67"/>
      <c r="G382" s="67"/>
      <c r="H382" s="67"/>
      <c r="I382" s="66"/>
    </row>
    <row r="383" spans="1:9">
      <c r="A383" s="63"/>
      <c r="B383" s="67"/>
      <c r="C383" s="66"/>
      <c r="D383" s="66"/>
      <c r="E383" s="66"/>
      <c r="F383" s="67"/>
      <c r="G383" s="67"/>
      <c r="H383" s="67"/>
      <c r="I383" s="66"/>
    </row>
    <row r="384" spans="1:9">
      <c r="A384" s="63"/>
      <c r="B384" s="66"/>
      <c r="C384" s="67"/>
      <c r="D384" s="67"/>
      <c r="E384" s="67"/>
      <c r="F384" s="67"/>
      <c r="G384" s="67"/>
      <c r="H384" s="67"/>
      <c r="I384" s="66"/>
    </row>
    <row r="385" spans="1:9">
      <c r="A385" s="63"/>
      <c r="B385" s="66"/>
      <c r="C385" s="67"/>
      <c r="D385" s="67"/>
      <c r="E385" s="67"/>
      <c r="F385" s="67"/>
      <c r="G385" s="67"/>
      <c r="H385" s="67"/>
      <c r="I385" s="66"/>
    </row>
    <row r="386" spans="1:9">
      <c r="A386" s="63"/>
      <c r="B386" s="66"/>
      <c r="C386" s="66"/>
      <c r="D386" s="67"/>
      <c r="E386" s="67"/>
      <c r="F386" s="67"/>
      <c r="G386" s="67"/>
      <c r="H386" s="67"/>
      <c r="I386" s="66"/>
    </row>
    <row r="387" spans="1:9">
      <c r="A387" s="63"/>
      <c r="B387" s="66"/>
      <c r="C387" s="66"/>
      <c r="D387" s="66"/>
      <c r="E387" s="67"/>
      <c r="F387" s="67"/>
      <c r="G387" s="67"/>
      <c r="H387" s="67"/>
      <c r="I387" s="66"/>
    </row>
    <row r="388" spans="1:9">
      <c r="A388" s="63"/>
      <c r="B388" s="66"/>
      <c r="C388" s="66"/>
      <c r="D388" s="66"/>
      <c r="E388" s="67"/>
      <c r="F388" s="67"/>
      <c r="G388" s="67"/>
      <c r="H388" s="67"/>
      <c r="I388" s="66"/>
    </row>
    <row r="389" spans="1:9">
      <c r="A389" s="63"/>
      <c r="B389" s="66"/>
      <c r="C389" s="66"/>
      <c r="D389" s="66"/>
      <c r="E389" s="67"/>
      <c r="F389" s="67"/>
      <c r="G389" s="67"/>
      <c r="H389" s="67"/>
      <c r="I389" s="66"/>
    </row>
    <row r="390" spans="1:9">
      <c r="A390" s="63"/>
      <c r="B390" s="67"/>
      <c r="C390" s="67"/>
      <c r="D390" s="67"/>
      <c r="E390" s="67"/>
      <c r="F390" s="66"/>
      <c r="G390" s="66"/>
      <c r="H390" s="67"/>
      <c r="I390" s="66"/>
    </row>
    <row r="391" spans="1:9">
      <c r="A391" s="63"/>
      <c r="B391" s="66"/>
      <c r="C391" s="66"/>
      <c r="D391" s="66"/>
      <c r="E391" s="67"/>
      <c r="F391" s="67"/>
      <c r="G391" s="67"/>
      <c r="H391" s="67"/>
      <c r="I391" s="66"/>
    </row>
    <row r="392" spans="1:9">
      <c r="A392" s="63"/>
      <c r="B392" s="66"/>
      <c r="C392" s="67"/>
      <c r="D392" s="67"/>
      <c r="E392" s="67"/>
      <c r="F392" s="67"/>
      <c r="G392" s="67"/>
      <c r="H392" s="67"/>
      <c r="I392" s="66"/>
    </row>
    <row r="393" spans="1:9">
      <c r="A393" s="63"/>
      <c r="B393" s="66"/>
      <c r="C393" s="66"/>
      <c r="D393" s="67"/>
      <c r="E393" s="67"/>
      <c r="F393" s="67"/>
      <c r="G393" s="67"/>
      <c r="H393" s="67"/>
      <c r="I393" s="66"/>
    </row>
    <row r="394" spans="1:9">
      <c r="A394" s="63"/>
      <c r="B394" s="66"/>
      <c r="C394" s="66"/>
      <c r="D394" s="67"/>
      <c r="E394" s="67"/>
      <c r="F394" s="67"/>
      <c r="G394" s="67"/>
      <c r="H394" s="67"/>
      <c r="I394" s="66"/>
    </row>
    <row r="395" spans="1:9">
      <c r="A395" s="63"/>
      <c r="B395" s="66"/>
      <c r="C395" s="66"/>
      <c r="D395" s="67"/>
      <c r="E395" s="67"/>
      <c r="F395" s="67"/>
      <c r="G395" s="67"/>
      <c r="H395" s="67"/>
      <c r="I395" s="66"/>
    </row>
    <row r="396" spans="1:9">
      <c r="A396" s="63"/>
      <c r="B396" s="66"/>
      <c r="C396" s="67"/>
      <c r="D396" s="67"/>
      <c r="E396" s="67"/>
      <c r="F396" s="67"/>
      <c r="G396" s="67"/>
      <c r="H396" s="67"/>
      <c r="I396" s="66"/>
    </row>
    <row r="397" spans="1:9">
      <c r="A397" s="63"/>
      <c r="B397" s="66"/>
      <c r="C397" s="66"/>
      <c r="D397" s="66"/>
      <c r="E397" s="66"/>
      <c r="F397" s="67"/>
      <c r="G397" s="67"/>
      <c r="H397" s="67"/>
      <c r="I397" s="66"/>
    </row>
    <row r="398" spans="1:9">
      <c r="A398" s="63"/>
      <c r="B398" s="66"/>
      <c r="C398" s="66"/>
      <c r="D398" s="66"/>
      <c r="E398" s="67"/>
      <c r="F398" s="67"/>
      <c r="G398" s="67"/>
      <c r="H398" s="67"/>
      <c r="I398" s="66"/>
    </row>
    <row r="399" spans="1:9">
      <c r="A399" s="63"/>
      <c r="B399" s="66"/>
      <c r="C399" s="66"/>
      <c r="D399" s="66"/>
      <c r="E399" s="66"/>
      <c r="F399" s="66"/>
      <c r="G399" s="67"/>
      <c r="H399" s="67"/>
      <c r="I399" s="66"/>
    </row>
    <row r="400" spans="1:9">
      <c r="A400" s="63"/>
      <c r="B400" s="66"/>
      <c r="C400" s="66"/>
      <c r="D400" s="67"/>
      <c r="E400" s="66"/>
      <c r="F400" s="67"/>
      <c r="G400" s="67"/>
      <c r="H400" s="67"/>
      <c r="I400" s="66"/>
    </row>
    <row r="401" spans="1:9">
      <c r="A401" s="63"/>
      <c r="B401" s="67"/>
      <c r="C401" s="67"/>
      <c r="D401" s="66"/>
      <c r="E401" s="66"/>
      <c r="F401" s="67"/>
      <c r="G401" s="67"/>
      <c r="H401" s="67"/>
      <c r="I401" s="66"/>
    </row>
    <row r="402" spans="1:9">
      <c r="A402" s="63"/>
      <c r="B402" s="67"/>
      <c r="C402" s="67"/>
      <c r="D402" s="67"/>
      <c r="E402" s="67"/>
      <c r="F402" s="66"/>
      <c r="G402" s="66"/>
      <c r="H402" s="67"/>
      <c r="I402" s="66"/>
    </row>
    <row r="403" spans="1:9">
      <c r="A403" s="63"/>
      <c r="B403" s="67"/>
      <c r="C403" s="66"/>
      <c r="D403" s="67"/>
      <c r="E403" s="66"/>
      <c r="F403" s="67"/>
      <c r="G403" s="67"/>
      <c r="H403" s="67"/>
      <c r="I403" s="66"/>
    </row>
    <row r="404" spans="1:9">
      <c r="A404" s="63"/>
      <c r="B404" s="66"/>
      <c r="C404" s="66"/>
      <c r="D404" s="67"/>
      <c r="E404" s="67"/>
      <c r="F404" s="67"/>
      <c r="G404" s="67"/>
      <c r="H404" s="67"/>
      <c r="I404" s="66"/>
    </row>
    <row r="405" spans="1:9">
      <c r="A405" s="63"/>
      <c r="B405" s="66"/>
      <c r="C405" s="66"/>
      <c r="D405" s="67"/>
      <c r="E405" s="67"/>
      <c r="F405" s="67"/>
      <c r="G405" s="67"/>
      <c r="H405" s="67"/>
      <c r="I405" s="66"/>
    </row>
    <row r="406" spans="1:9">
      <c r="A406" s="63"/>
      <c r="B406" s="66"/>
      <c r="C406" s="66"/>
      <c r="D406" s="66"/>
      <c r="E406" s="66"/>
      <c r="F406" s="67"/>
      <c r="G406" s="67"/>
      <c r="H406" s="67"/>
      <c r="I406" s="66"/>
    </row>
    <row r="407" spans="1:9">
      <c r="A407" s="63"/>
      <c r="B407" s="66"/>
      <c r="C407" s="67"/>
      <c r="D407" s="67"/>
      <c r="E407" s="67"/>
      <c r="F407" s="67"/>
      <c r="G407" s="67"/>
      <c r="H407" s="67"/>
      <c r="I407" s="66"/>
    </row>
    <row r="408" spans="1:9">
      <c r="A408" s="63"/>
      <c r="B408" s="66"/>
      <c r="C408" s="67"/>
      <c r="D408" s="67"/>
      <c r="E408" s="67"/>
      <c r="F408" s="67"/>
      <c r="G408" s="67"/>
      <c r="H408" s="67"/>
      <c r="I408" s="66"/>
    </row>
    <row r="409" spans="1:9">
      <c r="A409" s="63"/>
      <c r="B409" s="66"/>
      <c r="C409" s="66"/>
      <c r="D409" s="67"/>
      <c r="E409" s="67"/>
      <c r="F409" s="67"/>
      <c r="G409" s="67"/>
      <c r="H409" s="67"/>
      <c r="I409" s="66"/>
    </row>
    <row r="410" spans="1:9">
      <c r="A410" s="63"/>
      <c r="B410" s="66"/>
      <c r="C410" s="66"/>
      <c r="D410" s="67"/>
      <c r="E410" s="67"/>
      <c r="F410" s="67"/>
      <c r="G410" s="66"/>
      <c r="H410" s="67"/>
      <c r="I410" s="66"/>
    </row>
    <row r="411" spans="1:9">
      <c r="A411" s="63"/>
      <c r="B411" s="66"/>
      <c r="C411" s="66"/>
      <c r="D411" s="67"/>
      <c r="E411" s="67"/>
      <c r="F411" s="67"/>
      <c r="G411" s="67"/>
      <c r="H411" s="67"/>
      <c r="I411" s="66"/>
    </row>
    <row r="412" spans="1:9">
      <c r="A412" s="63"/>
      <c r="B412" s="66"/>
      <c r="C412" s="67"/>
      <c r="D412" s="67"/>
      <c r="E412" s="67"/>
      <c r="F412" s="67"/>
      <c r="G412" s="67"/>
      <c r="H412" s="67"/>
      <c r="I412" s="66"/>
    </row>
    <row r="413" spans="1:9">
      <c r="A413" s="63"/>
      <c r="B413" s="66"/>
      <c r="C413" s="66"/>
      <c r="D413" s="67"/>
      <c r="E413" s="67"/>
      <c r="F413" s="67"/>
      <c r="G413" s="67"/>
      <c r="H413" s="67"/>
      <c r="I413" s="66"/>
    </row>
    <row r="414" spans="1:9">
      <c r="A414" s="63"/>
      <c r="B414" s="66"/>
      <c r="C414" s="67"/>
      <c r="D414" s="67"/>
      <c r="E414" s="67"/>
      <c r="F414" s="67"/>
      <c r="G414" s="67"/>
      <c r="H414" s="67"/>
      <c r="I414" s="66"/>
    </row>
    <row r="415" spans="1:9">
      <c r="A415" s="63"/>
      <c r="B415" s="66"/>
      <c r="C415" s="66"/>
      <c r="D415" s="66"/>
      <c r="E415" s="67"/>
      <c r="F415" s="67"/>
      <c r="G415" s="67"/>
      <c r="H415" s="67"/>
      <c r="I415" s="66"/>
    </row>
    <row r="416" spans="1:9">
      <c r="A416" s="63"/>
      <c r="B416" s="66"/>
      <c r="C416" s="66"/>
      <c r="D416" s="67"/>
      <c r="E416" s="67"/>
      <c r="F416" s="67"/>
      <c r="G416" s="67"/>
      <c r="H416" s="67"/>
      <c r="I416" s="66"/>
    </row>
    <row r="417" spans="1:9">
      <c r="A417" s="63"/>
      <c r="B417" s="66"/>
      <c r="C417" s="67"/>
      <c r="D417" s="67"/>
      <c r="E417" s="67"/>
      <c r="F417" s="67"/>
      <c r="G417" s="67"/>
      <c r="H417" s="67"/>
      <c r="I417" s="66"/>
    </row>
    <row r="418" spans="1:9">
      <c r="A418" s="63"/>
      <c r="B418" s="67"/>
      <c r="C418" s="67"/>
      <c r="D418" s="67"/>
      <c r="E418" s="67"/>
      <c r="F418" s="67"/>
      <c r="G418" s="66"/>
      <c r="H418" s="66"/>
      <c r="I418" s="66"/>
    </row>
    <row r="419" spans="1:9">
      <c r="A419" s="63"/>
      <c r="B419" s="66"/>
      <c r="C419" s="66"/>
      <c r="D419" s="67"/>
      <c r="E419" s="67"/>
      <c r="F419" s="67"/>
      <c r="G419" s="67"/>
      <c r="H419" s="67"/>
      <c r="I419" s="66"/>
    </row>
    <row r="420" spans="1:9">
      <c r="A420" s="63"/>
      <c r="B420" s="66"/>
      <c r="C420" s="66"/>
      <c r="D420" s="67"/>
      <c r="E420" s="67"/>
      <c r="F420" s="67"/>
      <c r="G420" s="67"/>
      <c r="H420" s="67"/>
      <c r="I420" s="66"/>
    </row>
    <row r="421" spans="1:9">
      <c r="A421" s="63"/>
      <c r="B421" s="66"/>
      <c r="C421" s="66"/>
      <c r="D421" s="67"/>
      <c r="E421" s="67"/>
      <c r="F421" s="67"/>
      <c r="G421" s="67"/>
      <c r="H421" s="67"/>
      <c r="I421" s="66"/>
    </row>
    <row r="422" spans="1:9">
      <c r="A422" s="63"/>
      <c r="B422" s="66"/>
      <c r="C422" s="66"/>
      <c r="D422" s="67"/>
      <c r="E422" s="67"/>
      <c r="F422" s="67"/>
      <c r="G422" s="67"/>
      <c r="H422" s="67"/>
      <c r="I422" s="66"/>
    </row>
    <row r="423" spans="1:9">
      <c r="A423" s="63"/>
      <c r="B423" s="66"/>
      <c r="C423" s="67"/>
      <c r="D423" s="67"/>
      <c r="E423" s="67"/>
      <c r="F423" s="67"/>
      <c r="G423" s="67"/>
      <c r="H423" s="67"/>
      <c r="I423" s="66"/>
    </row>
    <row r="424" spans="1:9">
      <c r="A424" s="63"/>
      <c r="B424" s="66"/>
      <c r="C424" s="67"/>
      <c r="D424" s="67"/>
      <c r="E424" s="67"/>
      <c r="F424" s="67"/>
      <c r="G424" s="67"/>
      <c r="H424" s="67"/>
      <c r="I424" s="66"/>
    </row>
    <row r="425" spans="1:9">
      <c r="A425" s="63"/>
      <c r="B425" s="66"/>
      <c r="C425" s="66"/>
      <c r="D425" s="67"/>
      <c r="E425" s="66"/>
      <c r="F425" s="67"/>
      <c r="G425" s="67"/>
      <c r="H425" s="67"/>
      <c r="I425" s="66"/>
    </row>
    <row r="426" spans="1:9">
      <c r="A426" s="63"/>
      <c r="B426" s="66"/>
      <c r="C426" s="67"/>
      <c r="D426" s="67"/>
      <c r="E426" s="67"/>
      <c r="F426" s="67"/>
      <c r="G426" s="67"/>
      <c r="H426" s="67"/>
      <c r="I426" s="66"/>
    </row>
    <row r="427" spans="1:9">
      <c r="A427" s="63"/>
      <c r="B427" s="67"/>
      <c r="C427" s="67"/>
      <c r="D427" s="67"/>
      <c r="E427" s="66"/>
      <c r="F427" s="66"/>
      <c r="G427" s="67"/>
      <c r="H427" s="67"/>
      <c r="I427" s="66"/>
    </row>
    <row r="428" spans="1:9">
      <c r="A428" s="63"/>
      <c r="B428" s="66"/>
      <c r="C428" s="67"/>
      <c r="D428" s="67"/>
      <c r="E428" s="67"/>
      <c r="F428" s="67"/>
      <c r="G428" s="67"/>
      <c r="H428" s="67"/>
      <c r="I428" s="66"/>
    </row>
    <row r="429" spans="1:9">
      <c r="A429" s="63"/>
      <c r="B429" s="66"/>
      <c r="C429" s="66"/>
      <c r="D429" s="66"/>
      <c r="E429" s="66"/>
      <c r="F429" s="67"/>
      <c r="G429" s="67"/>
      <c r="H429" s="67"/>
      <c r="I429" s="66"/>
    </row>
    <row r="430" spans="1:9">
      <c r="A430" s="63"/>
      <c r="B430" s="66"/>
      <c r="C430" s="66"/>
      <c r="D430" s="67"/>
      <c r="E430" s="67"/>
      <c r="F430" s="67"/>
      <c r="G430" s="67"/>
      <c r="H430" s="67"/>
      <c r="I430" s="66"/>
    </row>
    <row r="431" spans="1:9">
      <c r="A431" s="63"/>
      <c r="B431" s="66"/>
      <c r="C431" s="67"/>
      <c r="D431" s="67"/>
      <c r="E431" s="67"/>
      <c r="F431" s="67"/>
      <c r="G431" s="67"/>
      <c r="H431" s="67"/>
      <c r="I431" s="66"/>
    </row>
    <row r="432" spans="1:9">
      <c r="A432" s="63"/>
      <c r="B432" s="66"/>
      <c r="C432" s="66"/>
      <c r="D432" s="67"/>
      <c r="E432" s="67"/>
      <c r="F432" s="67"/>
      <c r="G432" s="67"/>
      <c r="H432" s="67"/>
      <c r="I432" s="66"/>
    </row>
    <row r="433" spans="1:9">
      <c r="A433" s="63"/>
      <c r="B433" s="67"/>
      <c r="C433" s="67"/>
      <c r="D433" s="66"/>
      <c r="E433" s="66"/>
      <c r="F433" s="66"/>
      <c r="G433" s="67"/>
      <c r="H433" s="67"/>
      <c r="I433" s="66"/>
    </row>
    <row r="434" spans="1:9">
      <c r="A434" s="63"/>
      <c r="B434" s="66"/>
      <c r="C434" s="67"/>
      <c r="D434" s="67"/>
      <c r="E434" s="67"/>
      <c r="F434" s="67"/>
      <c r="G434" s="67"/>
      <c r="H434" s="67"/>
      <c r="I434" s="66"/>
    </row>
    <row r="435" spans="1:9">
      <c r="A435" s="63"/>
      <c r="B435" s="66"/>
      <c r="C435" s="67"/>
      <c r="D435" s="67"/>
      <c r="E435" s="67"/>
      <c r="F435" s="67"/>
      <c r="G435" s="67"/>
      <c r="H435" s="67"/>
      <c r="I435" s="66"/>
    </row>
    <row r="436" spans="1:9">
      <c r="A436" s="63"/>
      <c r="B436" s="67"/>
      <c r="C436" s="66"/>
      <c r="D436" s="67"/>
      <c r="E436" s="66"/>
      <c r="F436" s="67"/>
      <c r="G436" s="67"/>
      <c r="H436" s="67"/>
      <c r="I436" s="66"/>
    </row>
    <row r="437" spans="1:9">
      <c r="A437" s="63"/>
      <c r="B437" s="67"/>
      <c r="C437" s="67"/>
      <c r="D437" s="67"/>
      <c r="E437" s="66"/>
      <c r="F437" s="66"/>
      <c r="G437" s="66"/>
      <c r="H437" s="67"/>
      <c r="I437" s="66"/>
    </row>
    <row r="438" spans="1:9">
      <c r="A438" s="63"/>
      <c r="B438" s="66"/>
      <c r="C438" s="67"/>
      <c r="D438" s="67"/>
      <c r="E438" s="67"/>
      <c r="F438" s="67"/>
      <c r="G438" s="67"/>
      <c r="H438" s="67"/>
      <c r="I438" s="66"/>
    </row>
    <row r="439" spans="1:9">
      <c r="A439" s="63"/>
      <c r="B439" s="66"/>
      <c r="C439" s="66"/>
      <c r="D439" s="67"/>
      <c r="E439" s="67"/>
      <c r="F439" s="67"/>
      <c r="G439" s="67"/>
      <c r="H439" s="67"/>
      <c r="I439" s="66"/>
    </row>
    <row r="440" spans="1:9">
      <c r="A440" s="63"/>
      <c r="B440" s="66"/>
      <c r="C440" s="66"/>
      <c r="D440" s="67"/>
      <c r="E440" s="67"/>
      <c r="F440" s="67"/>
      <c r="G440" s="67"/>
      <c r="H440" s="67"/>
      <c r="I440" s="66"/>
    </row>
    <row r="441" spans="1:9">
      <c r="A441" s="63"/>
      <c r="B441" s="66"/>
      <c r="C441" s="66"/>
      <c r="D441" s="66"/>
      <c r="E441" s="67"/>
      <c r="F441" s="67"/>
      <c r="G441" s="67"/>
      <c r="H441" s="67"/>
      <c r="I441" s="66"/>
    </row>
    <row r="442" spans="1:9">
      <c r="A442" s="63"/>
      <c r="B442" s="66"/>
      <c r="C442" s="66"/>
      <c r="D442" s="67"/>
      <c r="E442" s="67"/>
      <c r="F442" s="67"/>
      <c r="G442" s="67"/>
      <c r="H442" s="67"/>
      <c r="I442" s="66"/>
    </row>
    <row r="443" spans="1:9">
      <c r="A443" s="63"/>
      <c r="B443" s="66"/>
      <c r="C443" s="67"/>
      <c r="D443" s="67"/>
      <c r="E443" s="67"/>
      <c r="F443" s="67"/>
      <c r="G443" s="67"/>
      <c r="H443" s="67"/>
      <c r="I443" s="66"/>
    </row>
    <row r="444" spans="1:9">
      <c r="A444" s="63"/>
      <c r="B444" s="66"/>
      <c r="C444" s="66"/>
      <c r="D444" s="67"/>
      <c r="E444" s="67"/>
      <c r="F444" s="67"/>
      <c r="G444" s="67"/>
      <c r="H444" s="67"/>
      <c r="I444" s="66"/>
    </row>
    <row r="445" spans="1:9">
      <c r="A445" s="63"/>
      <c r="B445" s="66"/>
      <c r="C445" s="67"/>
      <c r="D445" s="67"/>
      <c r="E445" s="66"/>
      <c r="F445" s="66"/>
      <c r="G445" s="67"/>
      <c r="H445" s="66"/>
      <c r="I445" s="66"/>
    </row>
    <row r="446" spans="1:9">
      <c r="A446" s="63"/>
      <c r="B446" s="66"/>
      <c r="C446" s="66"/>
      <c r="D446" s="67"/>
      <c r="E446" s="67"/>
      <c r="F446" s="67"/>
      <c r="G446" s="67"/>
      <c r="H446" s="67"/>
      <c r="I446" s="66"/>
    </row>
    <row r="447" spans="1:9">
      <c r="A447" s="63"/>
      <c r="B447" s="66"/>
      <c r="C447" s="67"/>
      <c r="D447" s="67"/>
      <c r="E447" s="67"/>
      <c r="F447" s="67"/>
      <c r="G447" s="67"/>
      <c r="H447" s="67"/>
      <c r="I447" s="66"/>
    </row>
    <row r="448" spans="1:9">
      <c r="A448" s="63"/>
      <c r="B448" s="66"/>
      <c r="C448" s="66"/>
      <c r="D448" s="66"/>
      <c r="E448" s="66"/>
      <c r="F448" s="66"/>
      <c r="G448" s="66"/>
      <c r="H448" s="67"/>
      <c r="I448" s="66"/>
    </row>
    <row r="449" spans="1:9">
      <c r="A449" s="63"/>
      <c r="B449" s="67"/>
      <c r="C449" s="67"/>
      <c r="D449" s="67"/>
      <c r="E449" s="67"/>
      <c r="F449" s="66"/>
      <c r="G449" s="66"/>
      <c r="H449" s="67"/>
      <c r="I449" s="66"/>
    </row>
    <row r="450" spans="1:9">
      <c r="A450" s="63"/>
      <c r="B450" s="66"/>
      <c r="C450" s="66"/>
      <c r="D450" s="66"/>
      <c r="E450" s="67"/>
      <c r="F450" s="66"/>
      <c r="G450" s="67"/>
      <c r="H450" s="67"/>
      <c r="I450" s="66"/>
    </row>
    <row r="451" spans="1:9">
      <c r="A451" s="63"/>
      <c r="B451" s="66"/>
      <c r="C451" s="66"/>
      <c r="D451" s="66"/>
      <c r="E451" s="67"/>
      <c r="F451" s="67"/>
      <c r="G451" s="67"/>
      <c r="H451" s="67"/>
      <c r="I451" s="66"/>
    </row>
    <row r="452" spans="1:9">
      <c r="A452" s="63"/>
      <c r="B452" s="66"/>
      <c r="C452" s="67"/>
      <c r="D452" s="67"/>
      <c r="E452" s="67"/>
      <c r="F452" s="67"/>
      <c r="G452" s="67"/>
      <c r="H452" s="67"/>
      <c r="I452" s="66"/>
    </row>
    <row r="453" spans="1:9">
      <c r="A453" s="63"/>
      <c r="B453" s="66"/>
      <c r="C453" s="66"/>
      <c r="D453" s="67"/>
      <c r="E453" s="66"/>
      <c r="F453" s="67"/>
      <c r="G453" s="67"/>
      <c r="H453" s="67"/>
      <c r="I453" s="66"/>
    </row>
    <row r="454" spans="1:9">
      <c r="A454" s="63"/>
      <c r="B454" s="66"/>
      <c r="C454" s="66"/>
      <c r="D454" s="67"/>
      <c r="E454" s="67"/>
      <c r="F454" s="67"/>
      <c r="G454" s="67"/>
      <c r="H454" s="67"/>
      <c r="I454" s="66"/>
    </row>
    <row r="455" spans="1:9">
      <c r="A455" s="63"/>
      <c r="B455" s="66"/>
      <c r="C455" s="67"/>
      <c r="D455" s="67"/>
      <c r="E455" s="67"/>
      <c r="F455" s="67"/>
      <c r="G455" s="67"/>
      <c r="H455" s="67"/>
      <c r="I455" s="66"/>
    </row>
    <row r="456" spans="1:9">
      <c r="A456" s="63"/>
      <c r="B456" s="66"/>
      <c r="C456" s="66"/>
      <c r="D456" s="66"/>
      <c r="E456" s="66"/>
      <c r="F456" s="67"/>
      <c r="G456" s="67"/>
      <c r="H456" s="67"/>
      <c r="I456" s="66"/>
    </row>
    <row r="457" spans="1:9">
      <c r="A457" s="63"/>
      <c r="B457" s="66"/>
      <c r="C457" s="66"/>
      <c r="D457" s="67"/>
      <c r="E457" s="67"/>
      <c r="F457" s="67"/>
      <c r="G457" s="67"/>
      <c r="H457" s="67"/>
      <c r="I457" s="66"/>
    </row>
    <row r="458" spans="1:9">
      <c r="A458" s="63"/>
      <c r="B458" s="67"/>
      <c r="C458" s="67"/>
      <c r="D458" s="67"/>
      <c r="E458" s="67"/>
      <c r="F458" s="66"/>
      <c r="G458" s="67"/>
      <c r="H458" s="67"/>
      <c r="I458" s="66"/>
    </row>
    <row r="459" spans="1:9">
      <c r="A459" s="63"/>
      <c r="B459" s="66"/>
      <c r="C459" s="67"/>
      <c r="D459" s="67"/>
      <c r="E459" s="67"/>
      <c r="F459" s="67"/>
      <c r="G459" s="67"/>
      <c r="H459" s="67"/>
      <c r="I459" s="66"/>
    </row>
    <row r="460" spans="1:9">
      <c r="A460" s="63"/>
      <c r="B460" s="66"/>
      <c r="C460" s="66"/>
      <c r="D460" s="67"/>
      <c r="E460" s="67"/>
      <c r="F460" s="67"/>
      <c r="G460" s="67"/>
      <c r="H460" s="67"/>
      <c r="I460" s="66"/>
    </row>
    <row r="461" spans="1:9">
      <c r="A461" s="63"/>
      <c r="B461" s="67"/>
      <c r="C461" s="67"/>
      <c r="D461" s="67"/>
      <c r="E461" s="67"/>
      <c r="F461" s="67"/>
      <c r="G461" s="67"/>
      <c r="H461" s="66"/>
      <c r="I461" s="66"/>
    </row>
    <row r="462" spans="1:9">
      <c r="A462" s="63"/>
      <c r="B462" s="66"/>
      <c r="C462" s="67"/>
      <c r="D462" s="67"/>
      <c r="E462" s="67"/>
      <c r="F462" s="67"/>
      <c r="G462" s="67"/>
      <c r="H462" s="67"/>
      <c r="I462" s="66"/>
    </row>
    <row r="463" spans="1:9">
      <c r="A463" s="63"/>
      <c r="B463" s="66"/>
      <c r="C463" s="66"/>
      <c r="D463" s="66"/>
      <c r="E463" s="67"/>
      <c r="F463" s="67"/>
      <c r="G463" s="67"/>
      <c r="H463" s="67"/>
      <c r="I463" s="66"/>
    </row>
    <row r="464" spans="1:9">
      <c r="A464" s="63"/>
      <c r="B464" s="66"/>
      <c r="C464" s="66"/>
      <c r="D464" s="67"/>
      <c r="E464" s="67"/>
      <c r="F464" s="67"/>
      <c r="G464" s="67"/>
      <c r="H464" s="66"/>
      <c r="I464" s="66"/>
    </row>
    <row r="465" spans="1:9">
      <c r="A465" s="63"/>
      <c r="B465" s="66"/>
      <c r="C465" s="66"/>
      <c r="D465" s="67"/>
      <c r="E465" s="67"/>
      <c r="F465" s="67"/>
      <c r="G465" s="67"/>
      <c r="H465" s="67"/>
      <c r="I465" s="66"/>
    </row>
    <row r="466" spans="1:9">
      <c r="A466" s="63"/>
      <c r="B466" s="66"/>
      <c r="C466" s="66"/>
      <c r="D466" s="67"/>
      <c r="E466" s="67"/>
      <c r="F466" s="67"/>
      <c r="G466" s="67"/>
      <c r="H466" s="67"/>
      <c r="I466" s="66"/>
    </row>
    <row r="467" spans="1:9">
      <c r="A467" s="63"/>
      <c r="B467" s="66"/>
      <c r="C467" s="67"/>
      <c r="D467" s="67"/>
      <c r="E467" s="67"/>
      <c r="F467" s="67"/>
      <c r="G467" s="67"/>
      <c r="H467" s="67"/>
      <c r="I467" s="66"/>
    </row>
    <row r="468" spans="1:9">
      <c r="A468" s="63"/>
      <c r="B468" s="67"/>
      <c r="C468" s="66"/>
      <c r="D468" s="67"/>
      <c r="E468" s="67"/>
      <c r="F468" s="67"/>
      <c r="G468" s="67"/>
      <c r="H468" s="67"/>
      <c r="I468" s="66"/>
    </row>
    <row r="469" spans="1:9">
      <c r="A469" s="63"/>
      <c r="B469" s="66"/>
      <c r="C469" s="66"/>
      <c r="D469" s="67"/>
      <c r="E469" s="67"/>
      <c r="F469" s="67"/>
      <c r="G469" s="67"/>
      <c r="H469" s="67"/>
      <c r="I469" s="66"/>
    </row>
    <row r="470" spans="1:9">
      <c r="A470" s="63"/>
      <c r="B470" s="66"/>
      <c r="C470" s="67"/>
      <c r="D470" s="67"/>
      <c r="E470" s="67"/>
      <c r="F470" s="67"/>
      <c r="G470" s="67"/>
      <c r="H470" s="67"/>
      <c r="I470" s="66"/>
    </row>
    <row r="471" spans="1:9">
      <c r="A471" s="63"/>
      <c r="B471" s="66"/>
      <c r="C471" s="66"/>
      <c r="D471" s="67"/>
      <c r="E471" s="67"/>
      <c r="F471" s="67"/>
      <c r="G471" s="67"/>
      <c r="H471" s="67"/>
      <c r="I471" s="66"/>
    </row>
    <row r="472" spans="1:9">
      <c r="A472" s="63"/>
      <c r="B472" s="66"/>
      <c r="C472" s="67"/>
      <c r="D472" s="67"/>
      <c r="E472" s="67"/>
      <c r="F472" s="67"/>
      <c r="G472" s="67"/>
      <c r="H472" s="67"/>
      <c r="I472" s="66"/>
    </row>
    <row r="473" spans="1:9">
      <c r="A473" s="63"/>
      <c r="B473" s="66"/>
      <c r="C473" s="66"/>
      <c r="D473" s="67"/>
      <c r="E473" s="67"/>
      <c r="F473" s="67"/>
      <c r="G473" s="67"/>
      <c r="H473" s="67"/>
      <c r="I473" s="66"/>
    </row>
    <row r="474" spans="1:9">
      <c r="A474" s="63"/>
      <c r="B474" s="66"/>
      <c r="C474" s="66"/>
      <c r="D474" s="67"/>
      <c r="E474" s="67"/>
      <c r="F474" s="67"/>
      <c r="G474" s="67"/>
      <c r="H474" s="67"/>
      <c r="I474" s="66"/>
    </row>
    <row r="475" spans="1:9">
      <c r="A475" s="63"/>
      <c r="B475" s="66"/>
      <c r="C475" s="66"/>
      <c r="D475" s="67"/>
      <c r="E475" s="67"/>
      <c r="F475" s="67"/>
      <c r="G475" s="67"/>
      <c r="H475" s="67"/>
      <c r="I475" s="66"/>
    </row>
    <row r="476" spans="1:9">
      <c r="A476" s="63"/>
      <c r="B476" s="66"/>
      <c r="C476" s="67"/>
      <c r="D476" s="67"/>
      <c r="E476" s="67"/>
      <c r="F476" s="67"/>
      <c r="G476" s="67"/>
      <c r="H476" s="67"/>
      <c r="I476" s="66"/>
    </row>
    <row r="477" spans="1:9">
      <c r="A477" s="63"/>
      <c r="B477" s="67"/>
      <c r="C477" s="67"/>
      <c r="D477" s="66"/>
      <c r="E477" s="66"/>
      <c r="F477" s="66"/>
      <c r="G477" s="66"/>
      <c r="H477" s="67"/>
      <c r="I477" s="66"/>
    </row>
    <row r="478" spans="1:9">
      <c r="A478" s="63"/>
      <c r="B478" s="66"/>
      <c r="C478" s="67"/>
      <c r="D478" s="67"/>
      <c r="E478" s="67"/>
      <c r="F478" s="67"/>
      <c r="G478" s="67"/>
      <c r="H478" s="67"/>
      <c r="I478" s="66"/>
    </row>
    <row r="479" spans="1:9">
      <c r="A479" s="63"/>
      <c r="B479" s="66"/>
      <c r="C479" s="66"/>
      <c r="D479" s="67"/>
      <c r="E479" s="67"/>
      <c r="F479" s="67"/>
      <c r="G479" s="67"/>
      <c r="H479" s="67"/>
      <c r="I479" s="66"/>
    </row>
    <row r="480" spans="1:9">
      <c r="A480" s="63"/>
      <c r="B480" s="66"/>
      <c r="C480" s="66"/>
      <c r="D480" s="67"/>
      <c r="E480" s="67"/>
      <c r="F480" s="67"/>
      <c r="G480" s="67"/>
      <c r="H480" s="67"/>
      <c r="I480" s="66"/>
    </row>
    <row r="481" spans="1:9">
      <c r="A481" s="63"/>
      <c r="B481" s="66"/>
      <c r="C481" s="66"/>
      <c r="D481" s="67"/>
      <c r="E481" s="67"/>
      <c r="F481" s="67"/>
      <c r="G481" s="67"/>
      <c r="H481" s="67"/>
      <c r="I481" s="66"/>
    </row>
    <row r="482" spans="1:9">
      <c r="A482" s="63"/>
      <c r="B482" s="66"/>
      <c r="C482" s="67"/>
      <c r="D482" s="67"/>
      <c r="E482" s="67"/>
      <c r="F482" s="67"/>
      <c r="G482" s="67"/>
      <c r="H482" s="67"/>
      <c r="I482" s="66"/>
    </row>
    <row r="483" spans="1:9">
      <c r="A483" s="63"/>
      <c r="B483" s="66"/>
      <c r="C483" s="66"/>
      <c r="D483" s="66"/>
      <c r="E483" s="66"/>
      <c r="F483" s="67"/>
      <c r="G483" s="67"/>
      <c r="H483" s="67"/>
      <c r="I483" s="66"/>
    </row>
    <row r="484" spans="1:9">
      <c r="A484" s="63"/>
      <c r="B484" s="66"/>
      <c r="C484" s="67"/>
      <c r="D484" s="67"/>
      <c r="E484" s="67"/>
      <c r="F484" s="67"/>
      <c r="G484" s="67"/>
      <c r="H484" s="67"/>
      <c r="I484" s="66"/>
    </row>
    <row r="485" spans="1:9">
      <c r="A485" s="63"/>
      <c r="B485" s="66"/>
      <c r="C485" s="66"/>
      <c r="D485" s="66"/>
      <c r="E485" s="66"/>
      <c r="F485" s="67"/>
      <c r="G485" s="67"/>
      <c r="H485" s="67"/>
      <c r="I485" s="66"/>
    </row>
    <row r="486" spans="1:9">
      <c r="A486" s="63"/>
      <c r="B486" s="66"/>
      <c r="C486" s="67"/>
      <c r="D486" s="67"/>
      <c r="E486" s="67"/>
      <c r="F486" s="67"/>
      <c r="G486" s="67"/>
      <c r="H486" s="67"/>
      <c r="I486" s="66"/>
    </row>
    <row r="487" spans="1:9">
      <c r="A487" s="63"/>
      <c r="B487" s="66"/>
      <c r="C487" s="66"/>
      <c r="D487" s="67"/>
      <c r="E487" s="66"/>
      <c r="F487" s="67"/>
      <c r="G487" s="67"/>
      <c r="H487" s="67"/>
      <c r="I487" s="66"/>
    </row>
    <row r="488" spans="1:9">
      <c r="A488" s="63"/>
      <c r="B488" s="66"/>
      <c r="C488" s="66"/>
      <c r="D488" s="67"/>
      <c r="E488" s="67"/>
      <c r="F488" s="67"/>
      <c r="G488" s="67"/>
      <c r="H488" s="67"/>
      <c r="I488" s="66"/>
    </row>
    <row r="489" spans="1:9">
      <c r="A489" s="63"/>
      <c r="B489" s="66"/>
      <c r="C489" s="66"/>
      <c r="D489" s="67"/>
      <c r="E489" s="67"/>
      <c r="F489" s="67"/>
      <c r="G489" s="67"/>
      <c r="H489" s="67"/>
      <c r="I489" s="66"/>
    </row>
    <row r="490" spans="1:9">
      <c r="A490" s="63"/>
      <c r="B490" s="67"/>
      <c r="C490" s="67"/>
      <c r="D490" s="67"/>
      <c r="E490" s="67"/>
      <c r="F490" s="67"/>
      <c r="G490" s="66"/>
      <c r="H490" s="66"/>
      <c r="I490" s="66"/>
    </row>
    <row r="491" spans="1:9">
      <c r="A491" s="63"/>
      <c r="B491" s="66"/>
      <c r="C491" s="66"/>
      <c r="D491" s="67"/>
      <c r="E491" s="67"/>
      <c r="F491" s="67"/>
      <c r="G491" s="67"/>
      <c r="H491" s="67"/>
      <c r="I491" s="66"/>
    </row>
    <row r="492" spans="1:9">
      <c r="A492" s="63"/>
      <c r="B492" s="66"/>
      <c r="C492" s="66"/>
      <c r="D492" s="67"/>
      <c r="E492" s="67"/>
      <c r="F492" s="67"/>
      <c r="G492" s="67"/>
      <c r="H492" s="67"/>
      <c r="I492" s="66"/>
    </row>
    <row r="493" spans="1:9">
      <c r="A493" s="63"/>
      <c r="B493" s="66"/>
      <c r="C493" s="67"/>
      <c r="D493" s="67"/>
      <c r="E493" s="67"/>
      <c r="F493" s="67"/>
      <c r="G493" s="67"/>
      <c r="H493" s="67"/>
      <c r="I493" s="66"/>
    </row>
    <row r="494" spans="1:9">
      <c r="A494" s="63"/>
      <c r="B494" s="66"/>
      <c r="C494" s="67"/>
      <c r="D494" s="67"/>
      <c r="E494" s="67"/>
      <c r="F494" s="67"/>
      <c r="G494" s="67"/>
      <c r="H494" s="67"/>
      <c r="I494" s="66"/>
    </row>
    <row r="495" spans="1:9">
      <c r="A495" s="63"/>
      <c r="B495" s="66"/>
      <c r="C495" s="67"/>
      <c r="D495" s="67"/>
      <c r="E495" s="67"/>
      <c r="F495" s="67"/>
      <c r="G495" s="67"/>
      <c r="H495" s="67"/>
      <c r="I495" s="66"/>
    </row>
    <row r="496" spans="1:9">
      <c r="A496" s="63"/>
      <c r="B496" s="66"/>
      <c r="C496" s="66"/>
      <c r="D496" s="67"/>
      <c r="E496" s="67"/>
      <c r="F496" s="67"/>
      <c r="G496" s="67"/>
      <c r="H496" s="67"/>
      <c r="I496" s="66"/>
    </row>
    <row r="497" spans="1:9">
      <c r="A497" s="63"/>
      <c r="B497" s="66"/>
      <c r="C497" s="67"/>
      <c r="D497" s="66"/>
      <c r="E497" s="66"/>
      <c r="F497" s="66"/>
      <c r="G497" s="67"/>
      <c r="H497" s="67"/>
      <c r="I497" s="66"/>
    </row>
    <row r="498" spans="1:9">
      <c r="A498" s="63"/>
      <c r="B498" s="67"/>
      <c r="C498" s="66"/>
      <c r="D498" s="67"/>
      <c r="E498" s="66"/>
      <c r="F498" s="67"/>
      <c r="G498" s="67"/>
      <c r="H498" s="67"/>
      <c r="I498" s="66"/>
    </row>
    <row r="499" spans="1:9">
      <c r="A499" s="63"/>
      <c r="B499" s="66"/>
      <c r="C499" s="67"/>
      <c r="D499" s="67"/>
      <c r="E499" s="67"/>
      <c r="F499" s="67"/>
      <c r="G499" s="67"/>
      <c r="H499" s="67"/>
      <c r="I499" s="66"/>
    </row>
    <row r="500" spans="1:9">
      <c r="A500" s="63"/>
      <c r="B500" s="66"/>
      <c r="C500" s="67"/>
      <c r="D500" s="67"/>
      <c r="E500" s="67"/>
      <c r="F500" s="67"/>
      <c r="G500" s="67"/>
      <c r="H500" s="67"/>
      <c r="I500" s="66"/>
    </row>
    <row r="501" spans="1:9">
      <c r="A501" s="63"/>
      <c r="B501" s="66"/>
      <c r="C501" s="66"/>
      <c r="D501" s="67"/>
      <c r="E501" s="67"/>
      <c r="F501" s="67"/>
      <c r="G501" s="67"/>
      <c r="H501" s="67"/>
      <c r="I501" s="66"/>
    </row>
    <row r="502" spans="1:9">
      <c r="A502" s="63"/>
      <c r="B502" s="66"/>
      <c r="C502" s="66"/>
      <c r="D502" s="67"/>
      <c r="E502" s="67"/>
      <c r="F502" s="67"/>
      <c r="G502" s="67"/>
      <c r="H502" s="67"/>
      <c r="I502" s="66"/>
    </row>
    <row r="503" spans="1:9">
      <c r="A503" s="63"/>
      <c r="B503" s="66"/>
      <c r="C503" s="67"/>
      <c r="D503" s="67"/>
      <c r="E503" s="67"/>
      <c r="F503" s="67"/>
      <c r="G503" s="67"/>
      <c r="H503" s="67"/>
      <c r="I503" s="66"/>
    </row>
    <row r="504" spans="1:9">
      <c r="A504" s="63"/>
      <c r="B504" s="66"/>
      <c r="C504" s="67"/>
      <c r="D504" s="67"/>
      <c r="E504" s="67"/>
      <c r="F504" s="67"/>
      <c r="G504" s="67"/>
      <c r="H504" s="67"/>
      <c r="I504" s="66"/>
    </row>
    <row r="505" spans="1:9">
      <c r="A505" s="63"/>
      <c r="B505" s="67"/>
      <c r="C505" s="67"/>
      <c r="D505" s="67"/>
      <c r="E505" s="66"/>
      <c r="F505" s="67"/>
      <c r="G505" s="67"/>
      <c r="H505" s="66"/>
      <c r="I505" s="66"/>
    </row>
    <row r="506" spans="1:9">
      <c r="A506" s="63"/>
      <c r="B506" s="66"/>
      <c r="C506" s="66"/>
      <c r="D506" s="67"/>
      <c r="E506" s="67"/>
      <c r="F506" s="67"/>
      <c r="G506" s="67"/>
      <c r="H506" s="67"/>
      <c r="I506" s="66"/>
    </row>
    <row r="507" spans="1:9">
      <c r="A507" s="63"/>
      <c r="B507" s="66"/>
      <c r="C507" s="66"/>
      <c r="D507" s="67"/>
      <c r="E507" s="67"/>
      <c r="F507" s="67"/>
      <c r="G507" s="67"/>
      <c r="H507" s="67"/>
      <c r="I507" s="66"/>
    </row>
    <row r="508" spans="1:9">
      <c r="A508" s="63"/>
      <c r="B508" s="66"/>
      <c r="C508" s="67"/>
      <c r="D508" s="67"/>
      <c r="E508" s="67"/>
      <c r="F508" s="67"/>
      <c r="G508" s="67"/>
      <c r="H508" s="67"/>
      <c r="I508" s="66"/>
    </row>
    <row r="509" spans="1:9">
      <c r="A509" s="63"/>
      <c r="B509" s="66"/>
      <c r="C509" s="66"/>
      <c r="D509" s="67"/>
      <c r="E509" s="67"/>
      <c r="F509" s="67"/>
      <c r="G509" s="67"/>
      <c r="H509" s="67"/>
      <c r="I509" s="66"/>
    </row>
    <row r="510" spans="1:9">
      <c r="A510" s="63"/>
      <c r="B510" s="66"/>
      <c r="C510" s="66"/>
      <c r="D510" s="67"/>
      <c r="E510" s="66"/>
      <c r="F510" s="67"/>
      <c r="G510" s="67"/>
      <c r="H510" s="67"/>
      <c r="I510" s="66"/>
    </row>
    <row r="511" spans="1:9">
      <c r="A511" s="63"/>
      <c r="B511" s="66"/>
      <c r="C511" s="67"/>
      <c r="D511" s="67"/>
      <c r="E511" s="67"/>
      <c r="F511" s="67"/>
      <c r="G511" s="67"/>
      <c r="H511" s="67"/>
      <c r="I511" s="66"/>
    </row>
    <row r="512" spans="1:9">
      <c r="A512" s="63"/>
      <c r="B512" s="66"/>
      <c r="C512" s="66"/>
      <c r="D512" s="67"/>
      <c r="E512" s="67"/>
      <c r="F512" s="67"/>
      <c r="G512" s="67"/>
      <c r="H512" s="67"/>
      <c r="I512" s="66"/>
    </row>
    <row r="513" spans="1:9">
      <c r="A513" s="63"/>
      <c r="B513" s="66"/>
      <c r="C513" s="66"/>
      <c r="D513" s="66"/>
      <c r="E513" s="66"/>
      <c r="F513" s="67"/>
      <c r="G513" s="67"/>
      <c r="H513" s="67"/>
      <c r="I513" s="66"/>
    </row>
    <row r="514" spans="1:9">
      <c r="A514" s="63"/>
      <c r="B514" s="66"/>
      <c r="C514" s="67"/>
      <c r="D514" s="67"/>
      <c r="E514" s="67"/>
      <c r="F514" s="67"/>
      <c r="G514" s="67"/>
      <c r="H514" s="67"/>
      <c r="I514" s="66"/>
    </row>
    <row r="515" spans="1:9">
      <c r="A515" s="63"/>
      <c r="B515" s="66"/>
      <c r="C515" s="67"/>
      <c r="D515" s="67"/>
      <c r="E515" s="67"/>
      <c r="F515" s="67"/>
      <c r="G515" s="67"/>
      <c r="H515" s="67"/>
      <c r="I515" s="66"/>
    </row>
    <row r="516" spans="1:9">
      <c r="A516" s="63"/>
      <c r="B516" s="66"/>
      <c r="C516" s="66"/>
      <c r="D516" s="66"/>
      <c r="E516" s="66"/>
      <c r="F516" s="67"/>
      <c r="G516" s="67"/>
      <c r="H516" s="67"/>
      <c r="I516" s="66"/>
    </row>
    <row r="517" spans="1:9">
      <c r="A517" s="63"/>
      <c r="B517" s="66"/>
      <c r="C517" s="67"/>
      <c r="D517" s="67"/>
      <c r="E517" s="67"/>
      <c r="F517" s="67"/>
      <c r="G517" s="67"/>
      <c r="H517" s="67"/>
      <c r="I517" s="66"/>
    </row>
    <row r="518" spans="1:9">
      <c r="A518" s="63"/>
      <c r="B518" s="66"/>
      <c r="C518" s="66"/>
      <c r="D518" s="67"/>
      <c r="E518" s="67"/>
      <c r="F518" s="67"/>
      <c r="G518" s="67"/>
      <c r="H518" s="67"/>
      <c r="I518" s="66"/>
    </row>
    <row r="519" spans="1:9">
      <c r="A519" s="63"/>
      <c r="B519" s="66"/>
      <c r="C519" s="66"/>
      <c r="D519" s="66"/>
      <c r="E519" s="67"/>
      <c r="F519" s="67"/>
      <c r="G519" s="67"/>
      <c r="H519" s="67"/>
      <c r="I519" s="66"/>
    </row>
    <row r="520" spans="1:9">
      <c r="A520" s="63"/>
      <c r="B520" s="66"/>
      <c r="C520" s="67"/>
      <c r="D520" s="67"/>
      <c r="E520" s="67"/>
      <c r="F520" s="67"/>
      <c r="G520" s="67"/>
      <c r="H520" s="67"/>
      <c r="I520" s="66"/>
    </row>
    <row r="521" spans="1:9">
      <c r="A521" s="63"/>
      <c r="B521" s="66"/>
      <c r="C521" s="67"/>
      <c r="D521" s="67"/>
      <c r="E521" s="67"/>
      <c r="F521" s="67"/>
      <c r="G521" s="67"/>
      <c r="H521" s="67"/>
      <c r="I521" s="66"/>
    </row>
    <row r="522" spans="1:9">
      <c r="A522" s="63"/>
      <c r="B522" s="66"/>
      <c r="C522" s="67"/>
      <c r="D522" s="67"/>
      <c r="E522" s="67"/>
      <c r="F522" s="67"/>
      <c r="G522" s="67"/>
      <c r="H522" s="67"/>
      <c r="I522" s="66"/>
    </row>
    <row r="523" spans="1:9">
      <c r="A523" s="63"/>
      <c r="B523" s="66"/>
      <c r="C523" s="66"/>
      <c r="D523" s="66"/>
      <c r="E523" s="67"/>
      <c r="F523" s="67"/>
      <c r="G523" s="67"/>
      <c r="H523" s="67"/>
      <c r="I523" s="66"/>
    </row>
    <row r="524" spans="1:9">
      <c r="A524" s="63"/>
      <c r="B524" s="66"/>
      <c r="C524" s="67"/>
      <c r="D524" s="67"/>
      <c r="E524" s="67"/>
      <c r="F524" s="67"/>
      <c r="G524" s="67"/>
      <c r="H524" s="67"/>
      <c r="I524" s="66"/>
    </row>
    <row r="525" spans="1:9">
      <c r="A525" s="63"/>
      <c r="B525" s="66"/>
      <c r="C525" s="66"/>
      <c r="D525" s="67"/>
      <c r="E525" s="67"/>
      <c r="F525" s="67"/>
      <c r="G525" s="67"/>
      <c r="H525" s="67"/>
      <c r="I525" s="66"/>
    </row>
    <row r="526" spans="1:9">
      <c r="A526" s="63"/>
      <c r="B526" s="66"/>
      <c r="C526" s="67"/>
      <c r="D526" s="67"/>
      <c r="E526" s="67"/>
      <c r="F526" s="67"/>
      <c r="G526" s="67"/>
      <c r="H526" s="67"/>
      <c r="I526" s="66"/>
    </row>
    <row r="527" spans="1:9">
      <c r="A527" s="63"/>
      <c r="B527" s="66"/>
      <c r="C527" s="67"/>
      <c r="D527" s="67"/>
      <c r="E527" s="67"/>
      <c r="F527" s="67"/>
      <c r="G527" s="67"/>
      <c r="H527" s="67"/>
      <c r="I527" s="66"/>
    </row>
    <row r="528" spans="1:9">
      <c r="A528" s="63"/>
      <c r="B528" s="66"/>
      <c r="C528" s="67"/>
      <c r="D528" s="67"/>
      <c r="E528" s="67"/>
      <c r="F528" s="67"/>
      <c r="G528" s="67"/>
      <c r="H528" s="67"/>
      <c r="I528" s="66"/>
    </row>
    <row r="529" spans="1:9">
      <c r="A529" s="63"/>
      <c r="B529" s="66"/>
      <c r="C529" s="67"/>
      <c r="D529" s="67"/>
      <c r="E529" s="67"/>
      <c r="F529" s="67"/>
      <c r="G529" s="67"/>
      <c r="H529" s="67"/>
      <c r="I529" s="66"/>
    </row>
    <row r="530" spans="1:9">
      <c r="A530" s="63"/>
      <c r="B530" s="66"/>
      <c r="C530" s="67"/>
      <c r="D530" s="67"/>
      <c r="E530" s="67"/>
      <c r="F530" s="67"/>
      <c r="G530" s="67"/>
      <c r="H530" s="67"/>
      <c r="I530" s="66"/>
    </row>
    <row r="531" spans="1:9">
      <c r="A531" s="63"/>
      <c r="B531" s="66"/>
      <c r="C531" s="66"/>
      <c r="D531" s="67"/>
      <c r="E531" s="67"/>
      <c r="F531" s="67"/>
      <c r="G531" s="67"/>
      <c r="H531" s="67"/>
      <c r="I531" s="66"/>
    </row>
    <row r="532" spans="1:9">
      <c r="A532" s="63"/>
      <c r="B532" s="66"/>
      <c r="C532" s="67"/>
      <c r="D532" s="67"/>
      <c r="E532" s="67"/>
      <c r="F532" s="67"/>
      <c r="G532" s="67"/>
      <c r="H532" s="67"/>
      <c r="I532" s="66"/>
    </row>
    <row r="533" spans="1:9">
      <c r="A533" s="63"/>
      <c r="B533" s="66"/>
      <c r="C533" s="67"/>
      <c r="D533" s="67"/>
      <c r="E533" s="67"/>
      <c r="F533" s="67"/>
      <c r="G533" s="67"/>
      <c r="H533" s="67"/>
      <c r="I533" s="66"/>
    </row>
    <row r="534" spans="1:9">
      <c r="A534" s="63"/>
      <c r="B534" s="66"/>
      <c r="C534" s="67"/>
      <c r="D534" s="67"/>
      <c r="E534" s="67"/>
      <c r="F534" s="67"/>
      <c r="G534" s="67"/>
      <c r="H534" s="67"/>
      <c r="I534" s="66"/>
    </row>
    <row r="535" spans="1:9">
      <c r="A535" s="63"/>
      <c r="B535" s="66"/>
      <c r="C535" s="67"/>
      <c r="D535" s="67"/>
      <c r="E535" s="67"/>
      <c r="F535" s="67"/>
      <c r="G535" s="67"/>
      <c r="H535" s="67"/>
      <c r="I535" s="66"/>
    </row>
    <row r="536" spans="1:9">
      <c r="A536" s="63"/>
      <c r="B536" s="66"/>
      <c r="C536" s="66"/>
      <c r="D536" s="67"/>
      <c r="E536" s="67"/>
      <c r="F536" s="67"/>
      <c r="G536" s="67"/>
      <c r="H536" s="67"/>
      <c r="I536" s="66"/>
    </row>
    <row r="537" spans="1:9">
      <c r="A537" s="63"/>
      <c r="B537" s="66"/>
      <c r="C537" s="66"/>
      <c r="D537" s="67"/>
      <c r="E537" s="67"/>
      <c r="F537" s="67"/>
      <c r="G537" s="67"/>
      <c r="H537" s="67"/>
      <c r="I537" s="66"/>
    </row>
    <row r="538" spans="1:9">
      <c r="A538" s="63"/>
      <c r="B538" s="66"/>
      <c r="C538" s="66"/>
      <c r="D538" s="67"/>
      <c r="E538" s="67"/>
      <c r="F538" s="67"/>
      <c r="G538" s="67"/>
      <c r="H538" s="67"/>
      <c r="I538" s="66"/>
    </row>
    <row r="539" spans="1:9">
      <c r="A539" s="63"/>
      <c r="B539" s="66"/>
      <c r="C539" s="66"/>
      <c r="D539" s="67"/>
      <c r="E539" s="67"/>
      <c r="F539" s="67"/>
      <c r="G539" s="67"/>
      <c r="H539" s="67"/>
      <c r="I539" s="66"/>
    </row>
    <row r="540" spans="1:9">
      <c r="A540" s="63"/>
      <c r="B540" s="66"/>
      <c r="C540" s="66"/>
      <c r="D540" s="66"/>
      <c r="E540" s="67"/>
      <c r="F540" s="67"/>
      <c r="G540" s="67"/>
      <c r="H540" s="67"/>
      <c r="I540" s="66"/>
    </row>
    <row r="541" spans="1:9">
      <c r="A541" s="63"/>
      <c r="B541" s="66"/>
      <c r="C541" s="66"/>
      <c r="D541" s="67"/>
      <c r="E541" s="67"/>
      <c r="F541" s="67"/>
      <c r="G541" s="67"/>
      <c r="H541" s="67"/>
      <c r="I541" s="66"/>
    </row>
    <row r="542" spans="1:9">
      <c r="A542" s="63"/>
      <c r="B542" s="66"/>
      <c r="C542" s="67"/>
      <c r="D542" s="67"/>
      <c r="E542" s="67"/>
      <c r="F542" s="67"/>
      <c r="G542" s="67"/>
      <c r="H542" s="67"/>
      <c r="I542" s="66"/>
    </row>
    <row r="543" spans="1:9">
      <c r="A543" s="63"/>
      <c r="B543" s="66"/>
      <c r="C543" s="66"/>
      <c r="D543" s="67"/>
      <c r="E543" s="67"/>
      <c r="F543" s="67"/>
      <c r="G543" s="67"/>
      <c r="H543" s="67"/>
      <c r="I543" s="66"/>
    </row>
    <row r="544" spans="1:9">
      <c r="A544" s="63"/>
      <c r="B544" s="66"/>
      <c r="C544" s="67"/>
      <c r="D544" s="67"/>
      <c r="E544" s="67"/>
      <c r="F544" s="67"/>
      <c r="G544" s="67"/>
      <c r="H544" s="67"/>
      <c r="I544" s="66"/>
    </row>
    <row r="545" spans="1:9">
      <c r="A545" s="63"/>
      <c r="B545" s="66"/>
      <c r="C545" s="67"/>
      <c r="D545" s="67"/>
      <c r="E545" s="67"/>
      <c r="F545" s="67"/>
      <c r="G545" s="67"/>
      <c r="H545" s="67"/>
      <c r="I545" s="66"/>
    </row>
    <row r="546" spans="1:9">
      <c r="A546" s="63"/>
      <c r="B546" s="66"/>
      <c r="C546" s="67"/>
      <c r="D546" s="67"/>
      <c r="E546" s="67"/>
      <c r="F546" s="67"/>
      <c r="G546" s="67"/>
      <c r="H546" s="67"/>
      <c r="I546" s="66"/>
    </row>
    <row r="547" spans="1:9">
      <c r="A547" s="63"/>
      <c r="B547" s="66"/>
      <c r="C547" s="67"/>
      <c r="D547" s="67"/>
      <c r="E547" s="67"/>
      <c r="F547" s="67"/>
      <c r="G547" s="67"/>
      <c r="H547" s="67"/>
      <c r="I547" s="66"/>
    </row>
    <row r="548" spans="1:9">
      <c r="A548" s="63"/>
      <c r="B548" s="67"/>
      <c r="C548" s="66"/>
      <c r="D548" s="66"/>
      <c r="E548" s="66"/>
      <c r="F548" s="67"/>
      <c r="G548" s="67"/>
      <c r="H548" s="67"/>
      <c r="I548" s="66"/>
    </row>
    <row r="549" spans="1:9">
      <c r="A549" s="63"/>
      <c r="B549" s="67"/>
      <c r="C549" s="67"/>
      <c r="D549" s="67"/>
      <c r="E549" s="66"/>
      <c r="F549" s="66"/>
      <c r="G549" s="66"/>
      <c r="H549" s="67"/>
      <c r="I549" s="66"/>
    </row>
    <row r="550" spans="1:9">
      <c r="A550" s="63"/>
      <c r="B550" s="66"/>
      <c r="C550" s="66"/>
      <c r="D550" s="67"/>
      <c r="E550" s="67"/>
      <c r="F550" s="67"/>
      <c r="G550" s="67"/>
      <c r="H550" s="67"/>
      <c r="I550" s="66"/>
    </row>
    <row r="551" spans="1:9">
      <c r="A551" s="63"/>
      <c r="B551" s="67"/>
      <c r="C551" s="67"/>
      <c r="D551" s="67"/>
      <c r="E551" s="67"/>
      <c r="F551" s="67"/>
      <c r="G551" s="67"/>
      <c r="H551" s="66"/>
      <c r="I551" s="66"/>
    </row>
    <row r="552" spans="1:9">
      <c r="A552" s="63"/>
      <c r="B552" s="66"/>
      <c r="C552" s="66"/>
      <c r="D552" s="66"/>
      <c r="E552" s="66"/>
      <c r="F552" s="67"/>
      <c r="G552" s="67"/>
      <c r="H552" s="67"/>
      <c r="I552" s="66"/>
    </row>
    <row r="553" spans="1:9">
      <c r="A553" s="63"/>
      <c r="B553" s="66"/>
      <c r="C553" s="67"/>
      <c r="D553" s="67"/>
      <c r="E553" s="67"/>
      <c r="F553" s="67"/>
      <c r="G553" s="67"/>
      <c r="H553" s="67"/>
      <c r="I553" s="66"/>
    </row>
    <row r="554" spans="1:9">
      <c r="A554" s="63"/>
      <c r="B554" s="67"/>
      <c r="C554" s="67"/>
      <c r="D554" s="67"/>
      <c r="E554" s="67"/>
      <c r="F554" s="67"/>
      <c r="G554" s="67"/>
      <c r="H554" s="66"/>
      <c r="I554" s="66"/>
    </row>
    <row r="555" spans="1:9">
      <c r="A555" s="63"/>
      <c r="B555" s="66"/>
      <c r="C555" s="67"/>
      <c r="D555" s="67"/>
      <c r="E555" s="67"/>
      <c r="F555" s="67"/>
      <c r="G555" s="67"/>
      <c r="H555" s="67"/>
      <c r="I555" s="66"/>
    </row>
    <row r="556" spans="1:9">
      <c r="A556" s="63"/>
      <c r="B556" s="66"/>
      <c r="C556" s="67"/>
      <c r="D556" s="67"/>
      <c r="E556" s="67"/>
      <c r="F556" s="67"/>
      <c r="G556" s="67"/>
      <c r="H556" s="67"/>
      <c r="I556" s="66"/>
    </row>
    <row r="557" spans="1:9">
      <c r="A557" s="63"/>
      <c r="B557" s="66"/>
      <c r="C557" s="67"/>
      <c r="D557" s="67"/>
      <c r="E557" s="67"/>
      <c r="F557" s="67"/>
      <c r="G557" s="67"/>
      <c r="H557" s="67"/>
      <c r="I557" s="66"/>
    </row>
    <row r="558" spans="1:9">
      <c r="A558" s="63"/>
      <c r="B558" s="66"/>
      <c r="C558" s="66"/>
      <c r="D558" s="66"/>
      <c r="E558" s="66"/>
      <c r="F558" s="67"/>
      <c r="G558" s="67"/>
      <c r="H558" s="67"/>
      <c r="I558" s="66"/>
    </row>
    <row r="559" spans="1:9">
      <c r="A559" s="63"/>
      <c r="B559" s="67"/>
      <c r="C559" s="66"/>
      <c r="D559" s="67"/>
      <c r="E559" s="66"/>
      <c r="F559" s="66"/>
      <c r="G559" s="66"/>
      <c r="H559" s="67"/>
      <c r="I559" s="66"/>
    </row>
    <row r="560" spans="1:9">
      <c r="A560" s="63"/>
      <c r="B560" s="66"/>
      <c r="C560" s="67"/>
      <c r="D560" s="67"/>
      <c r="E560" s="67"/>
      <c r="F560" s="67"/>
      <c r="G560" s="67"/>
      <c r="H560" s="67"/>
      <c r="I560" s="66"/>
    </row>
    <row r="561" spans="1:9">
      <c r="A561" s="63"/>
      <c r="B561" s="66"/>
      <c r="C561" s="67"/>
      <c r="D561" s="67"/>
      <c r="E561" s="67"/>
      <c r="F561" s="67"/>
      <c r="G561" s="67"/>
      <c r="H561" s="67"/>
      <c r="I561" s="66"/>
    </row>
    <row r="562" spans="1:9">
      <c r="A562" s="63"/>
      <c r="B562" s="66"/>
      <c r="C562" s="67"/>
      <c r="D562" s="67"/>
      <c r="E562" s="67"/>
      <c r="F562" s="67"/>
      <c r="G562" s="67"/>
      <c r="H562" s="67"/>
      <c r="I562" s="66"/>
    </row>
    <row r="563" spans="1:9">
      <c r="A563" s="63"/>
      <c r="B563" s="66"/>
      <c r="C563" s="66"/>
      <c r="D563" s="67"/>
      <c r="E563" s="67"/>
      <c r="F563" s="67"/>
      <c r="G563" s="67"/>
      <c r="H563" s="67"/>
      <c r="I563" s="66"/>
    </row>
    <row r="564" spans="1:9">
      <c r="A564" s="63"/>
      <c r="B564" s="66"/>
      <c r="C564" s="67"/>
      <c r="D564" s="67"/>
      <c r="E564" s="67"/>
      <c r="F564" s="67"/>
      <c r="G564" s="67"/>
      <c r="H564" s="67"/>
      <c r="I564" s="66"/>
    </row>
    <row r="565" spans="1:9">
      <c r="A565" s="63"/>
      <c r="B565" s="66"/>
      <c r="C565" s="66"/>
      <c r="D565" s="66"/>
      <c r="E565" s="67"/>
      <c r="F565" s="67"/>
      <c r="G565" s="67"/>
      <c r="H565" s="67"/>
      <c r="I565" s="66"/>
    </row>
    <row r="566" spans="1:9">
      <c r="A566" s="63"/>
      <c r="B566" s="66"/>
      <c r="C566" s="67"/>
      <c r="D566" s="67"/>
      <c r="E566" s="67"/>
      <c r="F566" s="67"/>
      <c r="G566" s="67"/>
      <c r="H566" s="67"/>
      <c r="I566" s="66"/>
    </row>
    <row r="567" spans="1:9">
      <c r="A567" s="63"/>
      <c r="B567" s="66"/>
      <c r="C567" s="66"/>
      <c r="D567" s="67"/>
      <c r="E567" s="67"/>
      <c r="F567" s="67"/>
      <c r="G567" s="67"/>
      <c r="H567" s="67"/>
      <c r="I567" s="66"/>
    </row>
    <row r="568" spans="1:9">
      <c r="A568" s="63"/>
      <c r="B568" s="66"/>
      <c r="C568" s="67"/>
      <c r="D568" s="67"/>
      <c r="E568" s="67"/>
      <c r="F568" s="67"/>
      <c r="G568" s="67"/>
      <c r="H568" s="67"/>
      <c r="I568" s="66"/>
    </row>
    <row r="569" spans="1:9">
      <c r="A569" s="63"/>
      <c r="B569" s="66"/>
      <c r="C569" s="67"/>
      <c r="D569" s="67"/>
      <c r="E569" s="67"/>
      <c r="F569" s="67"/>
      <c r="G569" s="67"/>
      <c r="H569" s="67"/>
      <c r="I569" s="66"/>
    </row>
    <row r="570" spans="1:9">
      <c r="A570" s="63"/>
      <c r="B570" s="66"/>
      <c r="C570" s="67"/>
      <c r="D570" s="67"/>
      <c r="E570" s="67"/>
      <c r="F570" s="67"/>
      <c r="G570" s="67"/>
      <c r="H570" s="67"/>
      <c r="I570" s="66"/>
    </row>
    <row r="571" spans="1:9">
      <c r="A571" s="63"/>
      <c r="B571" s="66"/>
      <c r="C571" s="66"/>
      <c r="D571" s="67"/>
      <c r="E571" s="67"/>
      <c r="F571" s="67"/>
      <c r="G571" s="67"/>
      <c r="H571" s="67"/>
      <c r="I571" s="66"/>
    </row>
    <row r="572" spans="1:9">
      <c r="A572" s="63"/>
      <c r="B572" s="66"/>
      <c r="C572" s="67"/>
      <c r="D572" s="67"/>
      <c r="E572" s="67"/>
      <c r="F572" s="67"/>
      <c r="G572" s="67"/>
      <c r="H572" s="67"/>
      <c r="I572" s="66"/>
    </row>
    <row r="573" spans="1:9">
      <c r="A573" s="63"/>
      <c r="B573" s="66"/>
      <c r="C573" s="66"/>
      <c r="D573" s="67"/>
      <c r="E573" s="67"/>
      <c r="F573" s="67"/>
      <c r="G573" s="67"/>
      <c r="H573" s="67"/>
      <c r="I573" s="66"/>
    </row>
    <row r="574" spans="1:9">
      <c r="A574" s="63"/>
      <c r="B574" s="66"/>
      <c r="C574" s="66"/>
      <c r="D574" s="67"/>
      <c r="E574" s="67"/>
      <c r="F574" s="67"/>
      <c r="G574" s="67"/>
      <c r="H574" s="67"/>
      <c r="I574" s="66"/>
    </row>
    <row r="575" spans="1:9">
      <c r="A575" s="63"/>
      <c r="B575" s="66"/>
      <c r="C575" s="66"/>
      <c r="D575" s="66"/>
      <c r="E575" s="66"/>
      <c r="F575" s="66"/>
      <c r="G575" s="67"/>
      <c r="H575" s="67"/>
      <c r="I575" s="66"/>
    </row>
    <row r="576" spans="1:9">
      <c r="A576" s="63"/>
      <c r="B576" s="66"/>
      <c r="C576" s="66"/>
      <c r="D576" s="67"/>
      <c r="E576" s="67"/>
      <c r="F576" s="67"/>
      <c r="G576" s="67"/>
      <c r="H576" s="67"/>
      <c r="I576" s="66"/>
    </row>
    <row r="577" spans="1:9">
      <c r="A577" s="63"/>
      <c r="B577" s="66"/>
      <c r="C577" s="67"/>
      <c r="D577" s="67"/>
      <c r="E577" s="67"/>
      <c r="F577" s="67"/>
      <c r="G577" s="67"/>
      <c r="H577" s="67"/>
      <c r="I577" s="66"/>
    </row>
    <row r="578" spans="1:9">
      <c r="A578" s="63"/>
      <c r="B578" s="66"/>
      <c r="C578" s="66"/>
      <c r="D578" s="67"/>
      <c r="E578" s="67"/>
      <c r="F578" s="67"/>
      <c r="G578" s="67"/>
      <c r="H578" s="67"/>
      <c r="I578" s="66"/>
    </row>
    <row r="579" spans="1:9">
      <c r="A579" s="63"/>
      <c r="B579" s="67"/>
      <c r="C579" s="67"/>
      <c r="D579" s="67"/>
      <c r="E579" s="67"/>
      <c r="F579" s="67"/>
      <c r="G579" s="67"/>
      <c r="H579" s="66"/>
      <c r="I579" s="66"/>
    </row>
    <row r="580" spans="1:9">
      <c r="A580" s="63"/>
      <c r="B580" s="67"/>
      <c r="C580" s="67"/>
      <c r="D580" s="67"/>
      <c r="E580" s="67"/>
      <c r="F580" s="67"/>
      <c r="G580" s="66"/>
      <c r="H580" s="66"/>
      <c r="I580" s="66"/>
    </row>
    <row r="581" spans="1:9">
      <c r="A581" s="63"/>
      <c r="B581" s="66"/>
      <c r="C581" s="67"/>
      <c r="D581" s="67"/>
      <c r="E581" s="67"/>
      <c r="F581" s="67"/>
      <c r="G581" s="67"/>
      <c r="H581" s="67"/>
      <c r="I581" s="66"/>
    </row>
    <row r="582" spans="1:9">
      <c r="A582" s="63"/>
      <c r="B582" s="66"/>
      <c r="C582" s="66"/>
      <c r="D582" s="67"/>
      <c r="E582" s="67"/>
      <c r="F582" s="67"/>
      <c r="G582" s="67"/>
      <c r="H582" s="66"/>
      <c r="I582" s="66"/>
    </row>
    <row r="583" spans="1:9">
      <c r="A583" s="63"/>
      <c r="B583" s="66"/>
      <c r="C583" s="67"/>
      <c r="D583" s="67"/>
      <c r="E583" s="67"/>
      <c r="F583" s="67"/>
      <c r="G583" s="67"/>
      <c r="H583" s="67"/>
      <c r="I583" s="66"/>
    </row>
    <row r="584" spans="1:9">
      <c r="A584" s="63"/>
      <c r="B584" s="66"/>
      <c r="C584" s="67"/>
      <c r="D584" s="67"/>
      <c r="E584" s="67"/>
      <c r="F584" s="67"/>
      <c r="G584" s="67"/>
      <c r="H584" s="67"/>
      <c r="I584" s="66"/>
    </row>
    <row r="585" spans="1:9">
      <c r="A585" s="63"/>
      <c r="B585" s="67"/>
      <c r="C585" s="67"/>
      <c r="D585" s="67"/>
      <c r="E585" s="67"/>
      <c r="F585" s="67"/>
      <c r="G585" s="67"/>
      <c r="H585" s="66"/>
      <c r="I585" s="66"/>
    </row>
    <row r="586" spans="1:9">
      <c r="A586" s="63"/>
      <c r="B586" s="66"/>
      <c r="C586" s="66"/>
      <c r="D586" s="67"/>
      <c r="E586" s="67"/>
      <c r="F586" s="67"/>
      <c r="G586" s="67"/>
      <c r="H586" s="67"/>
      <c r="I586" s="66"/>
    </row>
    <row r="587" spans="1:9">
      <c r="A587" s="63"/>
      <c r="B587" s="66"/>
      <c r="C587" s="66"/>
      <c r="D587" s="67"/>
      <c r="E587" s="67"/>
      <c r="F587" s="67"/>
      <c r="G587" s="67"/>
      <c r="H587" s="67"/>
      <c r="I587" s="66"/>
    </row>
    <row r="588" spans="1:9">
      <c r="A588" s="63"/>
      <c r="B588" s="66"/>
      <c r="C588" s="66"/>
      <c r="D588" s="67"/>
      <c r="E588" s="67"/>
      <c r="F588" s="67"/>
      <c r="G588" s="67"/>
      <c r="H588" s="67"/>
      <c r="I588" s="66"/>
    </row>
    <row r="589" spans="1:9">
      <c r="A589" s="63"/>
      <c r="B589" s="66"/>
      <c r="C589" s="67"/>
      <c r="D589" s="67"/>
      <c r="E589" s="67"/>
      <c r="F589" s="67"/>
      <c r="G589" s="67"/>
      <c r="H589" s="67"/>
      <c r="I589" s="66"/>
    </row>
    <row r="590" spans="1:9">
      <c r="A590" s="63"/>
      <c r="B590" s="66"/>
      <c r="C590" s="66"/>
      <c r="D590" s="66"/>
      <c r="E590" s="67"/>
      <c r="F590" s="67"/>
      <c r="G590" s="67"/>
      <c r="H590" s="67"/>
      <c r="I590" s="66"/>
    </row>
    <row r="591" spans="1:9">
      <c r="A591" s="63"/>
      <c r="B591" s="66"/>
      <c r="C591" s="66"/>
      <c r="D591" s="67"/>
      <c r="E591" s="67"/>
      <c r="F591" s="67"/>
      <c r="G591" s="67"/>
      <c r="H591" s="67"/>
      <c r="I591" s="66"/>
    </row>
    <row r="592" spans="1:9">
      <c r="A592" s="63"/>
      <c r="B592" s="67"/>
      <c r="C592" s="66"/>
      <c r="D592" s="66"/>
      <c r="E592" s="66"/>
      <c r="F592" s="66"/>
      <c r="G592" s="67"/>
      <c r="H592" s="67"/>
      <c r="I592" s="66"/>
    </row>
    <row r="593" spans="1:9">
      <c r="A593" s="63"/>
      <c r="B593" s="66"/>
      <c r="C593" s="66"/>
      <c r="D593" s="67"/>
      <c r="E593" s="67"/>
      <c r="F593" s="67"/>
      <c r="G593" s="67"/>
      <c r="H593" s="67"/>
      <c r="I593" s="66"/>
    </row>
    <row r="594" spans="1:9">
      <c r="A594" s="63"/>
      <c r="B594" s="66"/>
      <c r="C594" s="66"/>
      <c r="D594" s="67"/>
      <c r="E594" s="67"/>
      <c r="F594" s="67"/>
      <c r="G594" s="67"/>
      <c r="H594" s="67"/>
      <c r="I594" s="66"/>
    </row>
    <row r="595" spans="1:9">
      <c r="A595" s="63"/>
      <c r="B595" s="66"/>
      <c r="C595" s="66"/>
      <c r="D595" s="66"/>
      <c r="E595" s="66"/>
      <c r="F595" s="67"/>
      <c r="G595" s="67"/>
      <c r="H595" s="67"/>
      <c r="I595" s="66"/>
    </row>
    <row r="596" spans="1:9">
      <c r="A596" s="63"/>
      <c r="B596" s="66"/>
      <c r="C596" s="67"/>
      <c r="D596" s="67"/>
      <c r="E596" s="67"/>
      <c r="F596" s="67"/>
      <c r="G596" s="67"/>
      <c r="H596" s="67"/>
      <c r="I596" s="66"/>
    </row>
    <row r="597" spans="1:9">
      <c r="A597" s="63"/>
      <c r="B597" s="66"/>
      <c r="C597" s="67"/>
      <c r="D597" s="66"/>
      <c r="E597" s="67"/>
      <c r="F597" s="67"/>
      <c r="G597" s="67"/>
      <c r="H597" s="67"/>
      <c r="I597" s="66"/>
    </row>
    <row r="598" spans="1:9">
      <c r="A598" s="63"/>
      <c r="B598" s="66"/>
      <c r="C598" s="66"/>
      <c r="D598" s="67"/>
      <c r="E598" s="67"/>
      <c r="F598" s="67"/>
      <c r="G598" s="67"/>
      <c r="H598" s="67"/>
      <c r="I598" s="66"/>
    </row>
    <row r="599" spans="1:9">
      <c r="A599" s="63"/>
      <c r="B599" s="66"/>
      <c r="C599" s="66"/>
      <c r="D599" s="67"/>
      <c r="E599" s="67"/>
      <c r="F599" s="67"/>
      <c r="G599" s="67"/>
      <c r="H599" s="67"/>
      <c r="I599" s="66"/>
    </row>
    <row r="600" spans="1:9">
      <c r="A600" s="63"/>
      <c r="B600" s="66"/>
      <c r="C600" s="66"/>
      <c r="D600" s="66"/>
      <c r="E600" s="66"/>
      <c r="F600" s="67"/>
      <c r="G600" s="67"/>
      <c r="H600" s="67"/>
      <c r="I600" s="66"/>
    </row>
    <row r="601" spans="1:9">
      <c r="A601" s="63"/>
      <c r="B601" s="66"/>
      <c r="C601" s="67"/>
      <c r="D601" s="67"/>
      <c r="E601" s="67"/>
      <c r="F601" s="67"/>
      <c r="G601" s="67"/>
      <c r="H601" s="67"/>
      <c r="I601" s="66"/>
    </row>
    <row r="602" spans="1:9">
      <c r="A602" s="63"/>
      <c r="B602" s="66"/>
      <c r="C602" s="67"/>
      <c r="D602" s="67"/>
      <c r="E602" s="67"/>
      <c r="F602" s="67"/>
      <c r="G602" s="67"/>
      <c r="H602" s="67"/>
      <c r="I602" s="66"/>
    </row>
    <row r="603" spans="1:9">
      <c r="A603" s="63"/>
      <c r="B603" s="66"/>
      <c r="C603" s="66"/>
      <c r="D603" s="67"/>
      <c r="E603" s="67"/>
      <c r="F603" s="67"/>
      <c r="G603" s="67"/>
      <c r="H603" s="67"/>
      <c r="I603" s="66"/>
    </row>
    <row r="604" spans="1:9">
      <c r="A604" s="63"/>
      <c r="B604" s="66"/>
      <c r="C604" s="67"/>
      <c r="D604" s="67"/>
      <c r="E604" s="67"/>
      <c r="F604" s="67"/>
      <c r="G604" s="67"/>
      <c r="H604" s="67"/>
      <c r="I604" s="66"/>
    </row>
    <row r="605" spans="1:9">
      <c r="A605" s="63"/>
      <c r="B605" s="66"/>
      <c r="C605" s="67"/>
      <c r="D605" s="67"/>
      <c r="E605" s="67"/>
      <c r="F605" s="67"/>
      <c r="G605" s="67"/>
      <c r="H605" s="67"/>
      <c r="I605" s="66"/>
    </row>
    <row r="606" spans="1:9">
      <c r="A606" s="63"/>
      <c r="B606" s="66"/>
      <c r="C606" s="67"/>
      <c r="D606" s="67"/>
      <c r="E606" s="67"/>
      <c r="F606" s="67"/>
      <c r="G606" s="67"/>
      <c r="H606" s="67"/>
      <c r="I606" s="66"/>
    </row>
    <row r="607" spans="1:9">
      <c r="A607" s="63"/>
      <c r="B607" s="66"/>
      <c r="C607" s="66"/>
      <c r="D607" s="67"/>
      <c r="E607" s="67"/>
      <c r="F607" s="67"/>
      <c r="G607" s="67"/>
      <c r="H607" s="67"/>
      <c r="I607" s="66"/>
    </row>
    <row r="608" spans="1:9">
      <c r="A608" s="63"/>
      <c r="B608" s="67"/>
      <c r="C608" s="66"/>
      <c r="D608" s="67"/>
      <c r="E608" s="66"/>
      <c r="F608" s="66"/>
      <c r="G608" s="67"/>
      <c r="H608" s="67"/>
      <c r="I608" s="66"/>
    </row>
    <row r="609" spans="1:9">
      <c r="A609" s="63"/>
      <c r="B609" s="66"/>
      <c r="C609" s="66"/>
      <c r="D609" s="67"/>
      <c r="E609" s="67"/>
      <c r="F609" s="67"/>
      <c r="G609" s="67"/>
      <c r="H609" s="67"/>
      <c r="I609" s="66"/>
    </row>
    <row r="610" spans="1:9">
      <c r="A610" s="63"/>
      <c r="B610" s="67"/>
      <c r="C610" s="67"/>
      <c r="D610" s="67"/>
      <c r="E610" s="67"/>
      <c r="F610" s="67"/>
      <c r="G610" s="67"/>
      <c r="H610" s="66"/>
      <c r="I610" s="66"/>
    </row>
    <row r="611" spans="1:9">
      <c r="A611" s="63"/>
      <c r="B611" s="66"/>
      <c r="C611" s="66"/>
      <c r="D611" s="67"/>
      <c r="E611" s="67"/>
      <c r="F611" s="67"/>
      <c r="G611" s="67"/>
      <c r="H611" s="67"/>
      <c r="I611" s="66"/>
    </row>
    <row r="612" spans="1:9">
      <c r="A612" s="63"/>
      <c r="B612" s="66"/>
      <c r="C612" s="66"/>
      <c r="D612" s="67"/>
      <c r="E612" s="67"/>
      <c r="F612" s="67"/>
      <c r="G612" s="67"/>
      <c r="H612" s="67"/>
      <c r="I612" s="66"/>
    </row>
    <row r="613" spans="1:9">
      <c r="A613" s="63"/>
      <c r="B613" s="66"/>
      <c r="C613" s="67"/>
      <c r="D613" s="67"/>
      <c r="E613" s="67"/>
      <c r="F613" s="67"/>
      <c r="G613" s="67"/>
      <c r="H613" s="67"/>
      <c r="I613" s="66"/>
    </row>
    <row r="614" spans="1:9">
      <c r="A614" s="63"/>
      <c r="B614" s="66"/>
      <c r="C614" s="67"/>
      <c r="D614" s="67"/>
      <c r="E614" s="67"/>
      <c r="F614" s="67"/>
      <c r="G614" s="67"/>
      <c r="H614" s="67"/>
      <c r="I614" s="66"/>
    </row>
    <row r="615" spans="1:9">
      <c r="A615" s="63"/>
      <c r="B615" s="66"/>
      <c r="C615" s="66"/>
      <c r="D615" s="67"/>
      <c r="E615" s="67"/>
      <c r="F615" s="67"/>
      <c r="G615" s="67"/>
      <c r="H615" s="67"/>
      <c r="I615" s="66"/>
    </row>
    <row r="616" spans="1:9">
      <c r="A616" s="63"/>
      <c r="B616" s="66"/>
      <c r="C616" s="66"/>
      <c r="D616" s="67"/>
      <c r="E616" s="67"/>
      <c r="F616" s="67"/>
      <c r="G616" s="67"/>
      <c r="H616" s="67"/>
      <c r="I616" s="66"/>
    </row>
    <row r="617" spans="1:9">
      <c r="A617" s="63"/>
      <c r="B617" s="67"/>
      <c r="C617" s="66"/>
      <c r="D617" s="67"/>
      <c r="E617" s="66"/>
      <c r="F617" s="66"/>
      <c r="G617" s="67"/>
      <c r="H617" s="67"/>
      <c r="I617" s="66"/>
    </row>
    <row r="618" spans="1:9">
      <c r="A618" s="63"/>
      <c r="B618" s="66"/>
      <c r="C618" s="66"/>
      <c r="D618" s="66"/>
      <c r="E618" s="66"/>
      <c r="F618" s="67"/>
      <c r="G618" s="67"/>
      <c r="H618" s="67"/>
      <c r="I618" s="66"/>
    </row>
    <row r="619" spans="1:9">
      <c r="A619" s="63"/>
      <c r="B619" s="66"/>
      <c r="C619" s="67"/>
      <c r="D619" s="67"/>
      <c r="E619" s="67"/>
      <c r="F619" s="67"/>
      <c r="G619" s="67"/>
      <c r="H619" s="67"/>
      <c r="I619" s="66"/>
    </row>
    <row r="620" spans="1:9">
      <c r="A620" s="63"/>
      <c r="B620" s="67"/>
      <c r="C620" s="67"/>
      <c r="D620" s="67"/>
      <c r="E620" s="67"/>
      <c r="F620" s="67"/>
      <c r="G620" s="67"/>
      <c r="H620" s="66"/>
      <c r="I620" s="66"/>
    </row>
    <row r="621" spans="1:9">
      <c r="A621" s="63"/>
      <c r="B621" s="66"/>
      <c r="C621" s="67"/>
      <c r="D621" s="67"/>
      <c r="E621" s="67"/>
      <c r="F621" s="67"/>
      <c r="G621" s="67"/>
      <c r="H621" s="66"/>
      <c r="I621" s="66"/>
    </row>
    <row r="622" spans="1:9">
      <c r="A622" s="63"/>
      <c r="B622" s="67"/>
      <c r="C622" s="67"/>
      <c r="D622" s="67"/>
      <c r="E622" s="67"/>
      <c r="F622" s="67"/>
      <c r="G622" s="66"/>
      <c r="H622" s="67"/>
      <c r="I622" s="66"/>
    </row>
    <row r="623" spans="1:9">
      <c r="A623" s="63"/>
      <c r="B623" s="66"/>
      <c r="C623" s="66"/>
      <c r="D623" s="67"/>
      <c r="E623" s="67"/>
      <c r="F623" s="67"/>
      <c r="G623" s="67"/>
      <c r="H623" s="67"/>
      <c r="I623" s="66"/>
    </row>
    <row r="624" spans="1:9">
      <c r="A624" s="63"/>
      <c r="B624" s="66"/>
      <c r="C624" s="67"/>
      <c r="D624" s="67"/>
      <c r="E624" s="67"/>
      <c r="F624" s="67"/>
      <c r="G624" s="67"/>
      <c r="H624" s="67"/>
      <c r="I624" s="66"/>
    </row>
    <row r="625" spans="1:9">
      <c r="A625" s="63"/>
      <c r="B625" s="66"/>
      <c r="C625" s="66"/>
      <c r="D625" s="67"/>
      <c r="E625" s="67"/>
      <c r="F625" s="67"/>
      <c r="G625" s="67"/>
      <c r="H625" s="67"/>
      <c r="I625" s="66"/>
    </row>
    <row r="626" spans="1:9">
      <c r="A626" s="63"/>
      <c r="B626" s="66"/>
      <c r="C626" s="67"/>
      <c r="D626" s="67"/>
      <c r="E626" s="67"/>
      <c r="F626" s="67"/>
      <c r="G626" s="67"/>
      <c r="H626" s="67"/>
      <c r="I626" s="66"/>
    </row>
    <row r="627" spans="1:9">
      <c r="A627" s="63"/>
      <c r="B627" s="66"/>
      <c r="C627" s="66"/>
      <c r="D627" s="66"/>
      <c r="E627" s="67"/>
      <c r="F627" s="67"/>
      <c r="G627" s="67"/>
      <c r="H627" s="67"/>
      <c r="I627" s="66"/>
    </row>
    <row r="628" spans="1:9">
      <c r="A628" s="63"/>
      <c r="B628" s="66"/>
      <c r="C628" s="66"/>
      <c r="D628" s="67"/>
      <c r="E628" s="67"/>
      <c r="F628" s="67"/>
      <c r="G628" s="67"/>
      <c r="H628" s="67"/>
      <c r="I628" s="66"/>
    </row>
    <row r="629" spans="1:9">
      <c r="A629" s="63"/>
      <c r="B629" s="66"/>
      <c r="C629" s="67"/>
      <c r="D629" s="67"/>
      <c r="E629" s="67"/>
      <c r="F629" s="67"/>
      <c r="G629" s="67"/>
      <c r="H629" s="67"/>
      <c r="I629" s="66"/>
    </row>
    <row r="630" spans="1:9">
      <c r="A630" s="63"/>
      <c r="B630" s="66"/>
      <c r="C630" s="66"/>
      <c r="D630" s="67"/>
      <c r="E630" s="67"/>
      <c r="F630" s="67"/>
      <c r="G630" s="67"/>
      <c r="H630" s="67"/>
      <c r="I630" s="66"/>
    </row>
    <row r="631" spans="1:9">
      <c r="A631" s="63"/>
      <c r="B631" s="67"/>
      <c r="C631" s="67"/>
      <c r="D631" s="67"/>
      <c r="E631" s="67"/>
      <c r="F631" s="66"/>
      <c r="G631" s="66"/>
      <c r="H631" s="67"/>
      <c r="I631" s="66"/>
    </row>
    <row r="632" spans="1:9">
      <c r="A632" s="63"/>
      <c r="B632" s="67"/>
      <c r="C632" s="66"/>
      <c r="D632" s="66"/>
      <c r="E632" s="66"/>
      <c r="F632" s="67"/>
      <c r="G632" s="67"/>
      <c r="H632" s="67"/>
      <c r="I632" s="66"/>
    </row>
    <row r="633" spans="1:9">
      <c r="A633" s="63"/>
      <c r="B633" s="66"/>
      <c r="C633" s="67"/>
      <c r="D633" s="67"/>
      <c r="E633" s="67"/>
      <c r="F633" s="67"/>
      <c r="G633" s="67"/>
      <c r="H633" s="67"/>
      <c r="I633" s="66"/>
    </row>
    <row r="634" spans="1:9">
      <c r="A634" s="63"/>
      <c r="B634" s="66"/>
      <c r="C634" s="66"/>
      <c r="D634" s="67"/>
      <c r="E634" s="67"/>
      <c r="F634" s="67"/>
      <c r="G634" s="67"/>
      <c r="H634" s="67"/>
      <c r="I634" s="66"/>
    </row>
    <row r="635" spans="1:9">
      <c r="A635" s="63"/>
      <c r="B635" s="66"/>
      <c r="C635" s="67"/>
      <c r="D635" s="67"/>
      <c r="E635" s="67"/>
      <c r="F635" s="67"/>
      <c r="G635" s="67"/>
      <c r="H635" s="67"/>
      <c r="I635" s="66"/>
    </row>
    <row r="636" spans="1:9">
      <c r="A636" s="63"/>
      <c r="B636" s="66"/>
      <c r="C636" s="66"/>
      <c r="D636" s="67"/>
      <c r="E636" s="67"/>
      <c r="F636" s="67"/>
      <c r="G636" s="67"/>
      <c r="H636" s="67"/>
      <c r="I636" s="66"/>
    </row>
    <row r="637" spans="1:9">
      <c r="A637" s="63"/>
      <c r="B637" s="66"/>
      <c r="C637" s="66"/>
      <c r="D637" s="67"/>
      <c r="E637" s="67"/>
      <c r="F637" s="67"/>
      <c r="G637" s="67"/>
      <c r="H637" s="67"/>
      <c r="I637" s="66"/>
    </row>
    <row r="638" spans="1:9">
      <c r="A638" s="63"/>
      <c r="B638" s="66"/>
      <c r="C638" s="67"/>
      <c r="D638" s="67"/>
      <c r="E638" s="67"/>
      <c r="F638" s="67"/>
      <c r="G638" s="67"/>
      <c r="H638" s="67"/>
      <c r="I638" s="66"/>
    </row>
    <row r="639" spans="1:9">
      <c r="A639" s="63"/>
      <c r="B639" s="66"/>
      <c r="C639" s="66"/>
      <c r="D639" s="67"/>
      <c r="E639" s="67"/>
      <c r="F639" s="67"/>
      <c r="G639" s="67"/>
      <c r="H639" s="67"/>
      <c r="I639" s="66"/>
    </row>
    <row r="640" spans="1:9">
      <c r="A640" s="63"/>
      <c r="B640" s="66"/>
      <c r="C640" s="67"/>
      <c r="D640" s="67"/>
      <c r="E640" s="67"/>
      <c r="F640" s="67"/>
      <c r="G640" s="67"/>
      <c r="H640" s="67"/>
      <c r="I640" s="66"/>
    </row>
    <row r="641" spans="1:9">
      <c r="A641" s="63"/>
      <c r="B641" s="66"/>
      <c r="C641" s="66"/>
      <c r="D641" s="67"/>
      <c r="E641" s="67"/>
      <c r="F641" s="67"/>
      <c r="G641" s="67"/>
      <c r="H641" s="67"/>
      <c r="I641" s="66"/>
    </row>
    <row r="642" spans="1:9">
      <c r="A642" s="63"/>
      <c r="B642" s="66"/>
      <c r="C642" s="66"/>
      <c r="D642" s="67"/>
      <c r="E642" s="67"/>
      <c r="F642" s="67"/>
      <c r="G642" s="67"/>
      <c r="H642" s="67"/>
      <c r="I642" s="66"/>
    </row>
    <row r="643" spans="1:9">
      <c r="A643" s="63"/>
      <c r="B643" s="66"/>
      <c r="C643" s="67"/>
      <c r="D643" s="67"/>
      <c r="E643" s="67"/>
      <c r="F643" s="67"/>
      <c r="G643" s="67"/>
      <c r="H643" s="67"/>
      <c r="I643" s="66"/>
    </row>
    <row r="644" spans="1:9">
      <c r="A644" s="63"/>
      <c r="B644" s="67"/>
      <c r="C644" s="66"/>
      <c r="D644" s="66"/>
      <c r="E644" s="67"/>
      <c r="F644" s="67"/>
      <c r="G644" s="67"/>
      <c r="H644" s="67"/>
      <c r="I644" s="66"/>
    </row>
    <row r="645" spans="1:9">
      <c r="A645" s="63"/>
      <c r="B645" s="66"/>
      <c r="C645" s="66"/>
      <c r="D645" s="67"/>
      <c r="E645" s="67"/>
      <c r="F645" s="67"/>
      <c r="G645" s="67"/>
      <c r="H645" s="67"/>
      <c r="I645" s="66"/>
    </row>
    <row r="646" spans="1:9">
      <c r="A646" s="63"/>
      <c r="B646" s="66"/>
      <c r="C646" s="67"/>
      <c r="D646" s="67"/>
      <c r="E646" s="67"/>
      <c r="F646" s="67"/>
      <c r="G646" s="67"/>
      <c r="H646" s="67"/>
      <c r="I646" s="66"/>
    </row>
    <row r="647" spans="1:9">
      <c r="A647" s="63"/>
      <c r="B647" s="66"/>
      <c r="C647" s="66"/>
      <c r="D647" s="67"/>
      <c r="E647" s="67"/>
      <c r="F647" s="67"/>
      <c r="G647" s="67"/>
      <c r="H647" s="67"/>
      <c r="I647" s="66"/>
    </row>
    <row r="648" spans="1:9">
      <c r="A648" s="63"/>
      <c r="B648" s="66"/>
      <c r="C648" s="66"/>
      <c r="D648" s="67"/>
      <c r="E648" s="67"/>
      <c r="F648" s="67"/>
      <c r="G648" s="67"/>
      <c r="H648" s="67"/>
      <c r="I648" s="66"/>
    </row>
    <row r="649" spans="1:9">
      <c r="A649" s="63"/>
      <c r="B649" s="66"/>
      <c r="C649" s="67"/>
      <c r="D649" s="67"/>
      <c r="E649" s="67"/>
      <c r="F649" s="67"/>
      <c r="G649" s="67"/>
      <c r="H649" s="67"/>
      <c r="I649" s="66"/>
    </row>
    <row r="650" spans="1:9">
      <c r="A650" s="63"/>
      <c r="B650" s="66"/>
      <c r="C650" s="66"/>
      <c r="D650" s="67"/>
      <c r="E650" s="67"/>
      <c r="F650" s="67"/>
      <c r="G650" s="67"/>
      <c r="H650" s="67"/>
      <c r="I650" s="66"/>
    </row>
    <row r="651" spans="1:9">
      <c r="A651" s="63"/>
      <c r="B651" s="66"/>
      <c r="C651" s="66"/>
      <c r="D651" s="66"/>
      <c r="E651" s="66"/>
      <c r="F651" s="66"/>
      <c r="G651" s="66"/>
      <c r="H651" s="67"/>
      <c r="I651" s="66"/>
    </row>
    <row r="652" spans="1:9">
      <c r="A652" s="63"/>
      <c r="B652" s="66"/>
      <c r="C652" s="67"/>
      <c r="D652" s="67"/>
      <c r="E652" s="67"/>
      <c r="F652" s="67"/>
      <c r="G652" s="67"/>
      <c r="H652" s="67"/>
      <c r="I652" s="66"/>
    </row>
    <row r="653" spans="1:9">
      <c r="A653" s="63"/>
      <c r="B653" s="66"/>
      <c r="C653" s="67"/>
      <c r="D653" s="67"/>
      <c r="E653" s="67"/>
      <c r="F653" s="67"/>
      <c r="G653" s="67"/>
      <c r="H653" s="67"/>
      <c r="I653" s="66"/>
    </row>
    <row r="654" spans="1:9">
      <c r="A654" s="63"/>
      <c r="B654" s="66"/>
      <c r="C654" s="67"/>
      <c r="D654" s="67"/>
      <c r="E654" s="67"/>
      <c r="F654" s="67"/>
      <c r="G654" s="67"/>
      <c r="H654" s="67"/>
      <c r="I654" s="66"/>
    </row>
    <row r="655" spans="1:9">
      <c r="A655" s="63"/>
      <c r="B655" s="66"/>
      <c r="C655" s="66"/>
      <c r="D655" s="67"/>
      <c r="E655" s="67"/>
      <c r="F655" s="67"/>
      <c r="G655" s="67"/>
      <c r="H655" s="67"/>
      <c r="I655" s="66"/>
    </row>
    <row r="656" spans="1:9">
      <c r="A656" s="63"/>
      <c r="B656" s="67"/>
      <c r="C656" s="67"/>
      <c r="D656" s="67"/>
      <c r="E656" s="67"/>
      <c r="F656" s="67"/>
      <c r="G656" s="67"/>
      <c r="H656" s="66"/>
      <c r="I656" s="66"/>
    </row>
    <row r="657" spans="1:9">
      <c r="A657" s="63"/>
      <c r="B657" s="66"/>
      <c r="C657" s="67"/>
      <c r="D657" s="67"/>
      <c r="E657" s="67"/>
      <c r="F657" s="67"/>
      <c r="G657" s="67"/>
      <c r="H657" s="67"/>
      <c r="I657" s="66"/>
    </row>
    <row r="658" spans="1:9">
      <c r="A658" s="63"/>
      <c r="B658" s="67"/>
      <c r="C658" s="67"/>
      <c r="D658" s="67"/>
      <c r="E658" s="67"/>
      <c r="F658" s="67"/>
      <c r="G658" s="67"/>
      <c r="H658" s="66"/>
      <c r="I658" s="66"/>
    </row>
    <row r="659" spans="1:9">
      <c r="A659" s="63"/>
      <c r="B659" s="66"/>
      <c r="C659" s="66"/>
      <c r="D659" s="67"/>
      <c r="E659" s="67"/>
      <c r="F659" s="67"/>
      <c r="G659" s="67"/>
      <c r="H659" s="67"/>
      <c r="I659" s="66"/>
    </row>
    <row r="660" spans="1:9">
      <c r="A660" s="63"/>
      <c r="B660" s="66"/>
      <c r="C660" s="67"/>
      <c r="D660" s="67"/>
      <c r="E660" s="67"/>
      <c r="F660" s="67"/>
      <c r="G660" s="67"/>
      <c r="H660" s="67"/>
      <c r="I660" s="66"/>
    </row>
    <row r="661" spans="1:9">
      <c r="A661" s="63"/>
      <c r="B661" s="66"/>
      <c r="C661" s="66"/>
      <c r="D661" s="67"/>
      <c r="E661" s="67"/>
      <c r="F661" s="67"/>
      <c r="G661" s="67"/>
      <c r="H661" s="67"/>
      <c r="I661" s="66"/>
    </row>
    <row r="662" spans="1:9">
      <c r="A662" s="63"/>
      <c r="B662" s="66"/>
      <c r="C662" s="66"/>
      <c r="D662" s="66"/>
      <c r="E662" s="67"/>
      <c r="F662" s="67"/>
      <c r="G662" s="67"/>
      <c r="H662" s="67"/>
      <c r="I662" s="66"/>
    </row>
    <row r="663" spans="1:9">
      <c r="A663" s="63"/>
      <c r="B663" s="66"/>
      <c r="C663" s="67"/>
      <c r="D663" s="67"/>
      <c r="E663" s="67"/>
      <c r="F663" s="67"/>
      <c r="G663" s="67"/>
      <c r="H663" s="67"/>
      <c r="I663" s="66"/>
    </row>
    <row r="664" spans="1:9">
      <c r="A664" s="63"/>
      <c r="B664" s="66"/>
      <c r="C664" s="67"/>
      <c r="D664" s="67"/>
      <c r="E664" s="67"/>
      <c r="F664" s="67"/>
      <c r="G664" s="67"/>
      <c r="H664" s="67"/>
      <c r="I664" s="66"/>
    </row>
    <row r="665" spans="1:9">
      <c r="A665" s="63"/>
      <c r="B665" s="66"/>
      <c r="C665" s="67"/>
      <c r="D665" s="67"/>
      <c r="E665" s="67"/>
      <c r="F665" s="67"/>
      <c r="G665" s="67"/>
      <c r="H665" s="67"/>
      <c r="I665" s="66"/>
    </row>
    <row r="666" spans="1:9">
      <c r="A666" s="63"/>
      <c r="B666" s="66"/>
      <c r="C666" s="66"/>
      <c r="D666" s="67"/>
      <c r="E666" s="67"/>
      <c r="F666" s="67"/>
      <c r="G666" s="67"/>
      <c r="H666" s="67"/>
      <c r="I666" s="66"/>
    </row>
    <row r="667" spans="1:9">
      <c r="A667" s="63"/>
      <c r="B667" s="66"/>
      <c r="C667" s="66"/>
      <c r="D667" s="67"/>
      <c r="E667" s="67"/>
      <c r="F667" s="67"/>
      <c r="G667" s="67"/>
      <c r="H667" s="67"/>
      <c r="I667" s="66"/>
    </row>
    <row r="668" spans="1:9">
      <c r="A668" s="63"/>
      <c r="B668" s="66"/>
      <c r="C668" s="67"/>
      <c r="D668" s="67"/>
      <c r="E668" s="67"/>
      <c r="F668" s="67"/>
      <c r="G668" s="67"/>
      <c r="H668" s="67"/>
      <c r="I668" s="66"/>
    </row>
    <row r="669" spans="1:9">
      <c r="A669" s="63"/>
      <c r="B669" s="66"/>
      <c r="C669" s="67"/>
      <c r="D669" s="67"/>
      <c r="E669" s="67"/>
      <c r="F669" s="67"/>
      <c r="G669" s="67"/>
      <c r="H669" s="67"/>
      <c r="I669" s="66"/>
    </row>
    <row r="670" spans="1:9">
      <c r="A670" s="63"/>
      <c r="B670" s="66"/>
      <c r="C670" s="66"/>
      <c r="D670" s="67"/>
      <c r="E670" s="67"/>
      <c r="F670" s="67"/>
      <c r="G670" s="67"/>
      <c r="H670" s="67"/>
      <c r="I670" s="66"/>
    </row>
    <row r="671" spans="1:9">
      <c r="A671" s="63"/>
      <c r="B671" s="66"/>
      <c r="C671" s="66"/>
      <c r="D671" s="66"/>
      <c r="E671" s="67"/>
      <c r="F671" s="67"/>
      <c r="G671" s="67"/>
      <c r="H671" s="67"/>
      <c r="I671" s="66"/>
    </row>
    <row r="672" spans="1:9">
      <c r="A672" s="63"/>
      <c r="B672" s="66"/>
      <c r="C672" s="66"/>
      <c r="D672" s="66"/>
      <c r="E672" s="66"/>
      <c r="F672" s="66"/>
      <c r="G672" s="67"/>
      <c r="H672" s="67"/>
      <c r="I672" s="66"/>
    </row>
    <row r="673" spans="1:9">
      <c r="A673" s="63"/>
      <c r="B673" s="66"/>
      <c r="C673" s="67"/>
      <c r="D673" s="67"/>
      <c r="E673" s="67"/>
      <c r="F673" s="67"/>
      <c r="G673" s="67"/>
      <c r="H673" s="67"/>
      <c r="I673" s="66"/>
    </row>
    <row r="674" spans="1:9">
      <c r="A674" s="63"/>
      <c r="B674" s="66"/>
      <c r="C674" s="66"/>
      <c r="D674" s="67"/>
      <c r="E674" s="67"/>
      <c r="F674" s="67"/>
      <c r="G674" s="67"/>
      <c r="H674" s="67"/>
      <c r="I674" s="66"/>
    </row>
    <row r="675" spans="1:9">
      <c r="A675" s="63"/>
      <c r="B675" s="66"/>
      <c r="C675" s="66"/>
      <c r="D675" s="66"/>
      <c r="E675" s="67"/>
      <c r="F675" s="67"/>
      <c r="G675" s="67"/>
      <c r="H675" s="67"/>
      <c r="I675" s="66"/>
    </row>
    <row r="676" spans="1:9">
      <c r="A676" s="63"/>
      <c r="B676" s="66"/>
      <c r="C676" s="67"/>
      <c r="D676" s="67"/>
      <c r="E676" s="67"/>
      <c r="F676" s="67"/>
      <c r="G676" s="67"/>
      <c r="H676" s="67"/>
      <c r="I676" s="66"/>
    </row>
    <row r="677" spans="1:9">
      <c r="A677" s="63"/>
      <c r="B677" s="66"/>
      <c r="C677" s="67"/>
      <c r="D677" s="67"/>
      <c r="E677" s="67"/>
      <c r="F677" s="67"/>
      <c r="G677" s="67"/>
      <c r="H677" s="67"/>
      <c r="I677" s="66"/>
    </row>
    <row r="678" spans="1:9">
      <c r="A678" s="63"/>
      <c r="B678" s="66"/>
      <c r="C678" s="66"/>
      <c r="D678" s="67"/>
      <c r="E678" s="67"/>
      <c r="F678" s="67"/>
      <c r="G678" s="67"/>
      <c r="H678" s="67"/>
      <c r="I678" s="66"/>
    </row>
    <row r="679" spans="1:9">
      <c r="A679" s="63"/>
      <c r="B679" s="66"/>
      <c r="C679" s="66"/>
      <c r="D679" s="67"/>
      <c r="E679" s="67"/>
      <c r="F679" s="67"/>
      <c r="G679" s="67"/>
      <c r="H679" s="67"/>
      <c r="I679" s="66"/>
    </row>
    <row r="680" spans="1:9">
      <c r="A680" s="63"/>
      <c r="B680" s="66"/>
      <c r="C680" s="66"/>
      <c r="D680" s="67"/>
      <c r="E680" s="67"/>
      <c r="F680" s="67"/>
      <c r="G680" s="67"/>
      <c r="H680" s="67"/>
      <c r="I680" s="66"/>
    </row>
    <row r="681" spans="1:9">
      <c r="A681" s="63"/>
      <c r="B681" s="66"/>
      <c r="C681" s="66"/>
      <c r="D681" s="67"/>
      <c r="E681" s="67"/>
      <c r="F681" s="67"/>
      <c r="G681" s="67"/>
      <c r="H681" s="67"/>
      <c r="I681" s="66"/>
    </row>
    <row r="682" spans="1:9">
      <c r="A682" s="63"/>
      <c r="B682" s="66"/>
      <c r="C682" s="67"/>
      <c r="D682" s="67"/>
      <c r="E682" s="66"/>
      <c r="F682" s="67"/>
      <c r="G682" s="67"/>
      <c r="H682" s="67"/>
      <c r="I682" s="66"/>
    </row>
    <row r="683" spans="1:9">
      <c r="A683" s="63"/>
      <c r="B683" s="66"/>
      <c r="C683" s="66"/>
      <c r="D683" s="67"/>
      <c r="E683" s="67"/>
      <c r="F683" s="67"/>
      <c r="G683" s="67"/>
      <c r="H683" s="67"/>
      <c r="I683" s="66"/>
    </row>
    <row r="684" spans="1:9">
      <c r="A684" s="63"/>
      <c r="B684" s="66"/>
      <c r="C684" s="66"/>
      <c r="D684" s="67"/>
      <c r="E684" s="67"/>
      <c r="F684" s="67"/>
      <c r="G684" s="67"/>
      <c r="H684" s="67"/>
      <c r="I684" s="66"/>
    </row>
    <row r="685" spans="1:9">
      <c r="A685" s="63"/>
      <c r="B685" s="66"/>
      <c r="C685" s="66"/>
      <c r="D685" s="67"/>
      <c r="E685" s="67"/>
      <c r="F685" s="67"/>
      <c r="G685" s="67"/>
      <c r="H685" s="67"/>
      <c r="I685" s="66"/>
    </row>
    <row r="686" spans="1:9">
      <c r="A686" s="63"/>
      <c r="B686" s="66"/>
      <c r="C686" s="67"/>
      <c r="D686" s="67"/>
      <c r="E686" s="67"/>
      <c r="F686" s="67"/>
      <c r="G686" s="67"/>
      <c r="H686" s="67"/>
      <c r="I686" s="66"/>
    </row>
    <row r="687" spans="1:9">
      <c r="A687" s="63"/>
      <c r="B687" s="66"/>
      <c r="C687" s="67"/>
      <c r="D687" s="67"/>
      <c r="E687" s="67"/>
      <c r="F687" s="67"/>
      <c r="G687" s="67"/>
      <c r="H687" s="67"/>
      <c r="I687" s="66"/>
    </row>
    <row r="688" spans="1:9">
      <c r="A688" s="63"/>
      <c r="B688" s="66"/>
      <c r="C688" s="67"/>
      <c r="D688" s="67"/>
      <c r="E688" s="67"/>
      <c r="F688" s="67"/>
      <c r="G688" s="67"/>
      <c r="H688" s="67"/>
      <c r="I688" s="66"/>
    </row>
    <row r="689" spans="1:9">
      <c r="A689" s="63"/>
      <c r="B689" s="66"/>
      <c r="C689" s="67"/>
      <c r="D689" s="67"/>
      <c r="E689" s="67"/>
      <c r="F689" s="67"/>
      <c r="G689" s="67"/>
      <c r="H689" s="67"/>
      <c r="I689" s="66"/>
    </row>
    <row r="690" spans="1:9">
      <c r="A690" s="63"/>
      <c r="B690" s="66"/>
      <c r="C690" s="67"/>
      <c r="D690" s="67"/>
      <c r="E690" s="67"/>
      <c r="F690" s="67"/>
      <c r="G690" s="67"/>
      <c r="H690" s="67"/>
      <c r="I690" s="66"/>
    </row>
    <row r="691" spans="1:9">
      <c r="A691" s="63"/>
      <c r="B691" s="66"/>
      <c r="C691" s="66"/>
      <c r="D691" s="66"/>
      <c r="E691" s="67"/>
      <c r="F691" s="67"/>
      <c r="G691" s="67"/>
      <c r="H691" s="67"/>
      <c r="I691" s="66"/>
    </row>
    <row r="692" spans="1:9">
      <c r="A692" s="63"/>
      <c r="B692" s="66"/>
      <c r="C692" s="67"/>
      <c r="D692" s="66"/>
      <c r="E692" s="67"/>
      <c r="F692" s="67"/>
      <c r="G692" s="67"/>
      <c r="H692" s="67"/>
      <c r="I692" s="66"/>
    </row>
    <row r="693" spans="1:9">
      <c r="A693" s="63"/>
      <c r="B693" s="66"/>
      <c r="C693" s="67"/>
      <c r="D693" s="67"/>
      <c r="E693" s="67"/>
      <c r="F693" s="67"/>
      <c r="G693" s="67"/>
      <c r="H693" s="67"/>
      <c r="I693" s="66"/>
    </row>
    <row r="694" spans="1:9">
      <c r="A694" s="63"/>
      <c r="B694" s="66"/>
      <c r="C694" s="66"/>
      <c r="D694" s="66"/>
      <c r="E694" s="67"/>
      <c r="F694" s="67"/>
      <c r="G694" s="67"/>
      <c r="H694" s="67"/>
      <c r="I694" s="66"/>
    </row>
    <row r="695" spans="1:9">
      <c r="A695" s="63"/>
      <c r="B695" s="66"/>
      <c r="C695" s="66"/>
      <c r="D695" s="67"/>
      <c r="E695" s="67"/>
      <c r="F695" s="67"/>
      <c r="G695" s="67"/>
      <c r="H695" s="67"/>
      <c r="I695" s="66"/>
    </row>
    <row r="696" spans="1:9">
      <c r="A696" s="63"/>
      <c r="B696" s="66"/>
      <c r="C696" s="67"/>
      <c r="D696" s="67"/>
      <c r="E696" s="67"/>
      <c r="F696" s="67"/>
      <c r="G696" s="67"/>
      <c r="H696" s="67"/>
      <c r="I696" s="66"/>
    </row>
    <row r="697" spans="1:9">
      <c r="A697" s="63"/>
      <c r="B697" s="66"/>
      <c r="C697" s="67"/>
      <c r="D697" s="67"/>
      <c r="E697" s="67"/>
      <c r="F697" s="67"/>
      <c r="G697" s="67"/>
      <c r="H697" s="67"/>
      <c r="I697" s="66"/>
    </row>
    <row r="698" spans="1:9">
      <c r="A698" s="63"/>
      <c r="B698" s="66"/>
      <c r="C698" s="67"/>
      <c r="D698" s="67"/>
      <c r="E698" s="67"/>
      <c r="F698" s="67"/>
      <c r="G698" s="67"/>
      <c r="H698" s="67"/>
      <c r="I698" s="66"/>
    </row>
    <row r="699" spans="1:9">
      <c r="A699" s="63"/>
      <c r="B699" s="66"/>
      <c r="C699" s="67"/>
      <c r="D699" s="67"/>
      <c r="E699" s="67"/>
      <c r="F699" s="67"/>
      <c r="G699" s="67"/>
      <c r="H699" s="67"/>
      <c r="I699" s="66"/>
    </row>
    <row r="700" spans="1:9">
      <c r="A700" s="63"/>
      <c r="B700" s="66"/>
      <c r="C700" s="67"/>
      <c r="D700" s="67"/>
      <c r="E700" s="67"/>
      <c r="F700" s="67"/>
      <c r="G700" s="67"/>
      <c r="H700" s="67"/>
      <c r="I700" s="66"/>
    </row>
    <row r="701" spans="1:9">
      <c r="A701" s="63"/>
      <c r="B701" s="66"/>
      <c r="C701" s="66"/>
      <c r="D701" s="67"/>
      <c r="E701" s="67"/>
      <c r="F701" s="67"/>
      <c r="G701" s="67"/>
      <c r="H701" s="67"/>
      <c r="I701" s="66"/>
    </row>
    <row r="702" spans="1:9">
      <c r="A702" s="63"/>
      <c r="B702" s="66"/>
      <c r="C702" s="67"/>
      <c r="D702" s="67"/>
      <c r="E702" s="67"/>
      <c r="F702" s="67"/>
      <c r="G702" s="67"/>
      <c r="H702" s="67"/>
      <c r="I702" s="66"/>
    </row>
    <row r="703" spans="1:9">
      <c r="A703" s="63"/>
      <c r="B703" s="66"/>
      <c r="C703" s="67"/>
      <c r="D703" s="67"/>
      <c r="E703" s="67"/>
      <c r="F703" s="67"/>
      <c r="G703" s="67"/>
      <c r="H703" s="67"/>
      <c r="I703" s="66"/>
    </row>
    <row r="704" spans="1:9">
      <c r="A704" s="63"/>
      <c r="B704" s="66"/>
      <c r="C704" s="66"/>
      <c r="D704" s="67"/>
      <c r="E704" s="67"/>
      <c r="F704" s="67"/>
      <c r="G704" s="67"/>
      <c r="H704" s="67"/>
      <c r="I704" s="66"/>
    </row>
    <row r="705" spans="1:9">
      <c r="A705" s="63"/>
      <c r="B705" s="66"/>
      <c r="C705" s="67"/>
      <c r="D705" s="67"/>
      <c r="E705" s="67"/>
      <c r="F705" s="67"/>
      <c r="G705" s="67"/>
      <c r="H705" s="67"/>
      <c r="I705" s="66"/>
    </row>
    <row r="706" spans="1:9">
      <c r="A706" s="63"/>
      <c r="B706" s="66"/>
      <c r="C706" s="67"/>
      <c r="D706" s="67"/>
      <c r="E706" s="67"/>
      <c r="F706" s="67"/>
      <c r="G706" s="67"/>
      <c r="H706" s="67"/>
      <c r="I706" s="66"/>
    </row>
    <row r="707" spans="1:9">
      <c r="A707" s="63"/>
      <c r="B707" s="66"/>
      <c r="C707" s="66"/>
      <c r="D707" s="67"/>
      <c r="E707" s="67"/>
      <c r="F707" s="67"/>
      <c r="G707" s="67"/>
      <c r="H707" s="67"/>
      <c r="I707" s="66"/>
    </row>
    <row r="708" spans="1:9">
      <c r="A708" s="63"/>
      <c r="B708" s="66"/>
      <c r="C708" s="66"/>
      <c r="D708" s="67"/>
      <c r="E708" s="67"/>
      <c r="F708" s="67"/>
      <c r="G708" s="67"/>
      <c r="H708" s="67"/>
      <c r="I708" s="66"/>
    </row>
    <row r="709" spans="1:9">
      <c r="A709" s="63"/>
      <c r="B709" s="66"/>
      <c r="C709" s="66"/>
      <c r="D709" s="67"/>
      <c r="E709" s="67"/>
      <c r="F709" s="67"/>
      <c r="G709" s="67"/>
      <c r="H709" s="67"/>
      <c r="I709" s="66"/>
    </row>
    <row r="710" spans="1:9">
      <c r="A710" s="63"/>
      <c r="B710" s="66"/>
      <c r="C710" s="66"/>
      <c r="D710" s="67"/>
      <c r="E710" s="67"/>
      <c r="F710" s="67"/>
      <c r="G710" s="67"/>
      <c r="H710" s="67"/>
      <c r="I710" s="66"/>
    </row>
    <row r="711" spans="1:9">
      <c r="A711" s="63"/>
      <c r="B711" s="66"/>
      <c r="C711" s="67"/>
      <c r="D711" s="67"/>
      <c r="E711" s="67"/>
      <c r="F711" s="67"/>
      <c r="G711" s="67"/>
      <c r="H711" s="67"/>
      <c r="I711" s="66"/>
    </row>
    <row r="712" spans="1:9">
      <c r="A712" s="63"/>
      <c r="B712" s="67"/>
      <c r="C712" s="67"/>
      <c r="D712" s="67"/>
      <c r="E712" s="66"/>
      <c r="F712" s="67"/>
      <c r="G712" s="67"/>
      <c r="H712" s="67"/>
      <c r="I712" s="66"/>
    </row>
    <row r="713" spans="1:9">
      <c r="A713" s="63"/>
      <c r="B713" s="66"/>
      <c r="C713" s="66"/>
      <c r="D713" s="67"/>
      <c r="E713" s="67"/>
      <c r="F713" s="67"/>
      <c r="G713" s="67"/>
      <c r="H713" s="67"/>
      <c r="I713" s="66"/>
    </row>
    <row r="714" spans="1:9">
      <c r="A714" s="63"/>
      <c r="B714" s="66"/>
      <c r="C714" s="66"/>
      <c r="D714" s="67"/>
      <c r="E714" s="67"/>
      <c r="F714" s="67"/>
      <c r="G714" s="67"/>
      <c r="H714" s="67"/>
      <c r="I714" s="66"/>
    </row>
    <row r="715" spans="1:9">
      <c r="A715" s="63"/>
      <c r="B715" s="66"/>
      <c r="C715" s="67"/>
      <c r="D715" s="67"/>
      <c r="E715" s="67"/>
      <c r="F715" s="67"/>
      <c r="G715" s="67"/>
      <c r="H715" s="67"/>
      <c r="I715" s="66"/>
    </row>
    <row r="716" spans="1:9">
      <c r="A716" s="63"/>
      <c r="B716" s="66"/>
      <c r="C716" s="67"/>
      <c r="D716" s="67"/>
      <c r="E716" s="67"/>
      <c r="F716" s="67"/>
      <c r="G716" s="67"/>
      <c r="H716" s="67"/>
      <c r="I716" s="66"/>
    </row>
    <row r="717" spans="1:9">
      <c r="A717" s="63"/>
      <c r="B717" s="66"/>
      <c r="C717" s="67"/>
      <c r="D717" s="67"/>
      <c r="E717" s="67"/>
      <c r="F717" s="67"/>
      <c r="G717" s="67"/>
      <c r="H717" s="67"/>
      <c r="I717" s="66"/>
    </row>
    <row r="718" spans="1:9">
      <c r="A718" s="63"/>
      <c r="B718" s="66"/>
      <c r="C718" s="67"/>
      <c r="D718" s="67"/>
      <c r="E718" s="67"/>
      <c r="F718" s="67"/>
      <c r="G718" s="67"/>
      <c r="H718" s="67"/>
      <c r="I718" s="66"/>
    </row>
    <row r="719" spans="1:9">
      <c r="A719" s="63"/>
      <c r="B719" s="66"/>
      <c r="C719" s="67"/>
      <c r="D719" s="67"/>
      <c r="E719" s="67"/>
      <c r="F719" s="67"/>
      <c r="G719" s="67"/>
      <c r="H719" s="67"/>
      <c r="I719" s="66"/>
    </row>
    <row r="720" spans="1:9">
      <c r="A720" s="63"/>
      <c r="B720" s="66"/>
      <c r="C720" s="67"/>
      <c r="D720" s="67"/>
      <c r="E720" s="67"/>
      <c r="F720" s="67"/>
      <c r="G720" s="67"/>
      <c r="H720" s="67"/>
      <c r="I720" s="66"/>
    </row>
    <row r="721" spans="1:9">
      <c r="A721" s="63"/>
      <c r="B721" s="66"/>
      <c r="C721" s="67"/>
      <c r="D721" s="67"/>
      <c r="E721" s="66"/>
      <c r="F721" s="67"/>
      <c r="G721" s="67"/>
      <c r="H721" s="67"/>
      <c r="I721" s="66"/>
    </row>
    <row r="722" spans="1:9">
      <c r="A722" s="63"/>
      <c r="B722" s="66"/>
      <c r="C722" s="66"/>
      <c r="D722" s="66"/>
      <c r="E722" s="67"/>
      <c r="F722" s="67"/>
      <c r="G722" s="67"/>
      <c r="H722" s="67"/>
      <c r="I722" s="66"/>
    </row>
    <row r="723" spans="1:9">
      <c r="A723" s="63"/>
      <c r="B723" s="66"/>
      <c r="C723" s="66"/>
      <c r="D723" s="67"/>
      <c r="E723" s="67"/>
      <c r="F723" s="67"/>
      <c r="G723" s="67"/>
      <c r="H723" s="67"/>
      <c r="I723" s="66"/>
    </row>
    <row r="724" spans="1:9">
      <c r="A724" s="63"/>
      <c r="B724" s="66"/>
      <c r="C724" s="66"/>
      <c r="D724" s="67"/>
      <c r="E724" s="67"/>
      <c r="F724" s="67"/>
      <c r="G724" s="67"/>
      <c r="H724" s="67"/>
      <c r="I724" s="66"/>
    </row>
    <row r="725" spans="1:9">
      <c r="A725" s="63"/>
      <c r="B725" s="66"/>
      <c r="C725" s="67"/>
      <c r="D725" s="67"/>
      <c r="E725" s="67"/>
      <c r="F725" s="67"/>
      <c r="G725" s="67"/>
      <c r="H725" s="67"/>
      <c r="I725" s="66"/>
    </row>
    <row r="726" spans="1:9">
      <c r="A726" s="63"/>
      <c r="B726" s="66"/>
      <c r="C726" s="67"/>
      <c r="D726" s="67"/>
      <c r="E726" s="67"/>
      <c r="F726" s="67"/>
      <c r="G726" s="67"/>
      <c r="H726" s="67"/>
      <c r="I726" s="66"/>
    </row>
    <row r="727" spans="1:9">
      <c r="A727" s="63"/>
      <c r="B727" s="66"/>
      <c r="C727" s="66"/>
      <c r="D727" s="66"/>
      <c r="E727" s="67"/>
      <c r="F727" s="67"/>
      <c r="G727" s="67"/>
      <c r="H727" s="67"/>
      <c r="I727" s="66"/>
    </row>
    <row r="728" spans="1:9">
      <c r="A728" s="63"/>
      <c r="B728" s="66"/>
      <c r="C728" s="66"/>
      <c r="D728" s="66"/>
      <c r="E728" s="66"/>
      <c r="F728" s="67"/>
      <c r="G728" s="67"/>
      <c r="H728" s="67"/>
      <c r="I728" s="66"/>
    </row>
    <row r="729" spans="1:9">
      <c r="A729" s="63"/>
      <c r="B729" s="66"/>
      <c r="C729" s="67"/>
      <c r="D729" s="67"/>
      <c r="E729" s="67"/>
      <c r="F729" s="67"/>
      <c r="G729" s="67"/>
      <c r="H729" s="67"/>
      <c r="I729" s="66"/>
    </row>
    <row r="730" spans="1:9">
      <c r="A730" s="63"/>
      <c r="B730" s="66"/>
      <c r="C730" s="66"/>
      <c r="D730" s="66"/>
      <c r="E730" s="66"/>
      <c r="F730" s="66"/>
      <c r="G730" s="67"/>
      <c r="H730" s="67"/>
      <c r="I730" s="66"/>
    </row>
    <row r="731" spans="1:9">
      <c r="A731" s="63"/>
      <c r="B731" s="66"/>
      <c r="C731" s="66"/>
      <c r="D731" s="67"/>
      <c r="E731" s="67"/>
      <c r="F731" s="67"/>
      <c r="G731" s="67"/>
      <c r="H731" s="67"/>
      <c r="I731" s="66"/>
    </row>
    <row r="732" spans="1:9">
      <c r="A732" s="63"/>
      <c r="B732" s="66"/>
      <c r="C732" s="67"/>
      <c r="D732" s="67"/>
      <c r="E732" s="67"/>
      <c r="F732" s="67"/>
      <c r="G732" s="67"/>
      <c r="H732" s="67"/>
      <c r="I732" s="66"/>
    </row>
    <row r="733" spans="1:9">
      <c r="A733" s="63"/>
      <c r="B733" s="66"/>
      <c r="C733" s="66"/>
      <c r="D733" s="67"/>
      <c r="E733" s="67"/>
      <c r="F733" s="67"/>
      <c r="G733" s="67"/>
      <c r="H733" s="67"/>
      <c r="I733" s="66"/>
    </row>
    <row r="734" spans="1:9">
      <c r="A734" s="63"/>
      <c r="B734" s="66"/>
      <c r="C734" s="66"/>
      <c r="D734" s="67"/>
      <c r="E734" s="67"/>
      <c r="F734" s="67"/>
      <c r="G734" s="67"/>
      <c r="H734" s="67"/>
      <c r="I734" s="66"/>
    </row>
    <row r="735" spans="1:9">
      <c r="A735" s="63"/>
      <c r="B735" s="66"/>
      <c r="C735" s="66"/>
      <c r="D735" s="66"/>
      <c r="E735" s="67"/>
      <c r="F735" s="67"/>
      <c r="G735" s="67"/>
      <c r="H735" s="67"/>
      <c r="I735" s="66"/>
    </row>
    <row r="736" spans="1:9">
      <c r="A736" s="63"/>
      <c r="B736" s="66"/>
      <c r="C736" s="67"/>
      <c r="D736" s="67"/>
      <c r="E736" s="67"/>
      <c r="F736" s="67"/>
      <c r="G736" s="67"/>
      <c r="H736" s="67"/>
      <c r="I736" s="66"/>
    </row>
    <row r="737" spans="1:9">
      <c r="A737" s="63"/>
      <c r="B737" s="66"/>
      <c r="C737" s="66"/>
      <c r="D737" s="66"/>
      <c r="E737" s="66"/>
      <c r="F737" s="67"/>
      <c r="G737" s="67"/>
      <c r="H737" s="67"/>
      <c r="I737" s="66"/>
    </row>
    <row r="738" spans="1:9">
      <c r="A738" s="63"/>
      <c r="B738" s="66"/>
      <c r="C738" s="67"/>
      <c r="D738" s="67"/>
      <c r="E738" s="67"/>
      <c r="F738" s="67"/>
      <c r="G738" s="67"/>
      <c r="H738" s="67"/>
      <c r="I738" s="66"/>
    </row>
    <row r="739" spans="1:9">
      <c r="A739" s="63"/>
      <c r="B739" s="66"/>
      <c r="C739" s="67"/>
      <c r="D739" s="67"/>
      <c r="E739" s="67"/>
      <c r="F739" s="67"/>
      <c r="G739" s="67"/>
      <c r="H739" s="67"/>
      <c r="I739" s="66"/>
    </row>
    <row r="740" spans="1:9">
      <c r="A740" s="63"/>
      <c r="B740" s="67"/>
      <c r="C740" s="67"/>
      <c r="D740" s="67"/>
      <c r="E740" s="67"/>
      <c r="F740" s="66"/>
      <c r="G740" s="66"/>
      <c r="H740" s="67"/>
      <c r="I740" s="66"/>
    </row>
    <row r="741" spans="1:9">
      <c r="A741" s="63"/>
      <c r="B741" s="66"/>
      <c r="C741" s="66"/>
      <c r="D741" s="66"/>
      <c r="E741" s="67"/>
      <c r="F741" s="67"/>
      <c r="G741" s="67"/>
      <c r="H741" s="67"/>
      <c r="I741" s="66"/>
    </row>
    <row r="742" spans="1:9">
      <c r="A742" s="63"/>
      <c r="B742" s="66"/>
      <c r="C742" s="66"/>
      <c r="D742" s="67"/>
      <c r="E742" s="67"/>
      <c r="F742" s="67"/>
      <c r="G742" s="67"/>
      <c r="H742" s="67"/>
      <c r="I742" s="66"/>
    </row>
    <row r="743" spans="1:9">
      <c r="A743" s="63"/>
      <c r="B743" s="67"/>
      <c r="C743" s="67"/>
      <c r="D743" s="67"/>
      <c r="E743" s="66"/>
      <c r="F743" s="66"/>
      <c r="G743" s="67"/>
      <c r="H743" s="67"/>
      <c r="I743" s="66"/>
    </row>
    <row r="744" spans="1:9">
      <c r="A744" s="63"/>
      <c r="B744" s="66"/>
      <c r="C744" s="66"/>
      <c r="D744" s="66"/>
      <c r="E744" s="67"/>
      <c r="F744" s="67"/>
      <c r="G744" s="67"/>
      <c r="H744" s="67"/>
      <c r="I744" s="66"/>
    </row>
    <row r="745" spans="1:9">
      <c r="A745" s="63"/>
      <c r="B745" s="67"/>
      <c r="C745" s="66"/>
      <c r="D745" s="67"/>
      <c r="E745" s="67"/>
      <c r="F745" s="67"/>
      <c r="G745" s="67"/>
      <c r="H745" s="67"/>
      <c r="I745" s="66"/>
    </row>
    <row r="746" spans="1:9">
      <c r="A746" s="63"/>
      <c r="B746" s="66"/>
      <c r="C746" s="67"/>
      <c r="D746" s="67"/>
      <c r="E746" s="67"/>
      <c r="F746" s="67"/>
      <c r="G746" s="67"/>
      <c r="H746" s="67"/>
      <c r="I746" s="66"/>
    </row>
    <row r="747" spans="1:9">
      <c r="A747" s="63"/>
      <c r="B747" s="66"/>
      <c r="C747" s="67"/>
      <c r="D747" s="67"/>
      <c r="E747" s="66"/>
      <c r="F747" s="66"/>
      <c r="G747" s="66"/>
      <c r="H747" s="66"/>
      <c r="I747" s="66"/>
    </row>
    <row r="748" spans="1:9">
      <c r="A748" s="63"/>
      <c r="B748" s="66"/>
      <c r="C748" s="67"/>
      <c r="D748" s="67"/>
      <c r="E748" s="67"/>
      <c r="F748" s="67"/>
      <c r="G748" s="67"/>
      <c r="H748" s="67"/>
      <c r="I748" s="66"/>
    </row>
    <row r="749" spans="1:9">
      <c r="A749" s="63"/>
      <c r="B749" s="66"/>
      <c r="C749" s="67"/>
      <c r="D749" s="67"/>
      <c r="E749" s="67"/>
      <c r="F749" s="67"/>
      <c r="G749" s="67"/>
      <c r="H749" s="67"/>
      <c r="I749" s="66"/>
    </row>
    <row r="750" spans="1:9">
      <c r="A750" s="63"/>
      <c r="B750" s="66"/>
      <c r="C750" s="66"/>
      <c r="D750" s="66"/>
      <c r="E750" s="67"/>
      <c r="F750" s="67"/>
      <c r="G750" s="67"/>
      <c r="H750" s="66"/>
      <c r="I750" s="66"/>
    </row>
    <row r="751" spans="1:9">
      <c r="A751" s="63"/>
      <c r="B751" s="66"/>
      <c r="C751" s="67"/>
      <c r="D751" s="67"/>
      <c r="E751" s="67"/>
      <c r="F751" s="67"/>
      <c r="G751" s="67"/>
      <c r="H751" s="67"/>
      <c r="I751" s="66"/>
    </row>
    <row r="752" spans="1:9">
      <c r="A752" s="63"/>
      <c r="B752" s="66"/>
      <c r="C752" s="67"/>
      <c r="D752" s="67"/>
      <c r="E752" s="67"/>
      <c r="F752" s="67"/>
      <c r="G752" s="67"/>
      <c r="H752" s="67"/>
      <c r="I752" s="66"/>
    </row>
    <row r="753" spans="1:9">
      <c r="A753" s="63"/>
      <c r="B753" s="66"/>
      <c r="C753" s="67"/>
      <c r="D753" s="67"/>
      <c r="E753" s="67"/>
      <c r="F753" s="67"/>
      <c r="G753" s="67"/>
      <c r="H753" s="67"/>
      <c r="I753" s="66"/>
    </row>
    <row r="754" spans="1:9">
      <c r="A754" s="63"/>
      <c r="B754" s="66"/>
      <c r="C754" s="66"/>
      <c r="D754" s="67"/>
      <c r="E754" s="67"/>
      <c r="F754" s="67"/>
      <c r="G754" s="67"/>
      <c r="H754" s="67"/>
      <c r="I754" s="66"/>
    </row>
    <row r="755" spans="1:9">
      <c r="A755" s="63"/>
      <c r="B755" s="66"/>
      <c r="C755" s="67"/>
      <c r="D755" s="67"/>
      <c r="E755" s="67"/>
      <c r="F755" s="67"/>
      <c r="G755" s="67"/>
      <c r="H755" s="67"/>
      <c r="I755" s="66"/>
    </row>
    <row r="756" spans="1:9">
      <c r="A756" s="63"/>
      <c r="B756" s="66"/>
      <c r="C756" s="67"/>
      <c r="D756" s="67"/>
      <c r="E756" s="67"/>
      <c r="F756" s="67"/>
      <c r="G756" s="67"/>
      <c r="H756" s="67"/>
      <c r="I756" s="66"/>
    </row>
    <row r="757" spans="1:9">
      <c r="A757" s="63"/>
      <c r="B757" s="67"/>
      <c r="C757" s="67"/>
      <c r="D757" s="67"/>
      <c r="E757" s="67"/>
      <c r="F757" s="67"/>
      <c r="G757" s="67"/>
      <c r="H757" s="66"/>
      <c r="I757" s="66"/>
    </row>
    <row r="758" spans="1:9">
      <c r="A758" s="63"/>
      <c r="B758" s="66"/>
      <c r="C758" s="67"/>
      <c r="D758" s="67"/>
      <c r="E758" s="66"/>
      <c r="F758" s="67"/>
      <c r="G758" s="67"/>
      <c r="H758" s="67"/>
      <c r="I758" s="66"/>
    </row>
    <row r="759" spans="1:9">
      <c r="A759" s="63"/>
      <c r="B759" s="67"/>
      <c r="C759" s="66"/>
      <c r="D759" s="66"/>
      <c r="E759" s="66"/>
      <c r="F759" s="67"/>
      <c r="G759" s="67"/>
      <c r="H759" s="67"/>
      <c r="I759" s="66"/>
    </row>
    <row r="760" spans="1:9">
      <c r="A760" s="63"/>
      <c r="B760" s="66"/>
      <c r="C760" s="67"/>
      <c r="D760" s="67"/>
      <c r="E760" s="67"/>
      <c r="F760" s="67"/>
      <c r="G760" s="67"/>
      <c r="H760" s="67"/>
      <c r="I760" s="66"/>
    </row>
    <row r="761" spans="1:9">
      <c r="A761" s="63"/>
      <c r="B761" s="66"/>
      <c r="C761" s="66"/>
      <c r="D761" s="66"/>
      <c r="E761" s="67"/>
      <c r="F761" s="67"/>
      <c r="G761" s="67"/>
      <c r="H761" s="67"/>
      <c r="I761" s="66"/>
    </row>
    <row r="762" spans="1:9">
      <c r="A762" s="63"/>
      <c r="B762" s="67"/>
      <c r="C762" s="67"/>
      <c r="D762" s="67"/>
      <c r="E762" s="66"/>
      <c r="F762" s="67"/>
      <c r="G762" s="67"/>
      <c r="H762" s="67"/>
      <c r="I762" s="66"/>
    </row>
    <row r="763" spans="1:9">
      <c r="A763" s="63"/>
      <c r="B763" s="66"/>
      <c r="C763" s="66"/>
      <c r="D763" s="67"/>
      <c r="E763" s="67"/>
      <c r="F763" s="67"/>
      <c r="G763" s="67"/>
      <c r="H763" s="67"/>
      <c r="I763" s="66"/>
    </row>
    <row r="764" spans="1:9">
      <c r="A764" s="63"/>
      <c r="B764" s="66"/>
      <c r="C764" s="67"/>
      <c r="D764" s="67"/>
      <c r="E764" s="67"/>
      <c r="F764" s="67"/>
      <c r="G764" s="67"/>
      <c r="H764" s="67"/>
      <c r="I764" s="66"/>
    </row>
    <row r="765" spans="1:9">
      <c r="A765" s="63"/>
      <c r="B765" s="66"/>
      <c r="C765" s="67"/>
      <c r="D765" s="67"/>
      <c r="E765" s="67"/>
      <c r="F765" s="67"/>
      <c r="G765" s="67"/>
      <c r="H765" s="67"/>
      <c r="I765" s="66"/>
    </row>
    <row r="766" spans="1:9">
      <c r="A766" s="63"/>
      <c r="B766" s="66"/>
      <c r="C766" s="67"/>
      <c r="D766" s="67"/>
      <c r="E766" s="67"/>
      <c r="F766" s="67"/>
      <c r="G766" s="67"/>
      <c r="H766" s="67"/>
      <c r="I766" s="66"/>
    </row>
    <row r="767" spans="1:9">
      <c r="A767" s="63"/>
      <c r="B767" s="66"/>
      <c r="C767" s="67"/>
      <c r="D767" s="67"/>
      <c r="E767" s="67"/>
      <c r="F767" s="67"/>
      <c r="G767" s="67"/>
      <c r="H767" s="67"/>
      <c r="I767" s="66"/>
    </row>
    <row r="768" spans="1:9">
      <c r="A768" s="63"/>
      <c r="B768" s="66"/>
      <c r="C768" s="66"/>
      <c r="D768" s="67"/>
      <c r="E768" s="67"/>
      <c r="F768" s="67"/>
      <c r="G768" s="67"/>
      <c r="H768" s="67"/>
      <c r="I768" s="66"/>
    </row>
    <row r="769" spans="1:9">
      <c r="A769" s="63"/>
      <c r="B769" s="67"/>
      <c r="C769" s="66"/>
      <c r="D769" s="66"/>
      <c r="E769" s="67"/>
      <c r="F769" s="67"/>
      <c r="G769" s="67"/>
      <c r="H769" s="67"/>
      <c r="I769" s="66"/>
    </row>
    <row r="770" spans="1:9">
      <c r="A770" s="63"/>
      <c r="B770" s="66"/>
      <c r="C770" s="67"/>
      <c r="D770" s="67"/>
      <c r="E770" s="67"/>
      <c r="F770" s="67"/>
      <c r="G770" s="67"/>
      <c r="H770" s="67"/>
      <c r="I770" s="66"/>
    </row>
    <row r="771" spans="1:9">
      <c r="A771" s="63"/>
      <c r="B771" s="66"/>
      <c r="C771" s="66"/>
      <c r="D771" s="66"/>
      <c r="E771" s="66"/>
      <c r="F771" s="67"/>
      <c r="G771" s="67"/>
      <c r="H771" s="67"/>
      <c r="I771" s="66"/>
    </row>
    <row r="772" spans="1:9">
      <c r="A772" s="63"/>
      <c r="B772" s="66"/>
      <c r="C772" s="67"/>
      <c r="D772" s="67"/>
      <c r="E772" s="67"/>
      <c r="F772" s="67"/>
      <c r="G772" s="67"/>
      <c r="H772" s="67"/>
      <c r="I772" s="66"/>
    </row>
    <row r="773" spans="1:9">
      <c r="A773" s="63"/>
      <c r="B773" s="67"/>
      <c r="C773" s="66"/>
      <c r="D773" s="66"/>
      <c r="E773" s="66"/>
      <c r="F773" s="67"/>
      <c r="G773" s="67"/>
      <c r="H773" s="67"/>
      <c r="I773" s="66"/>
    </row>
    <row r="774" spans="1:9">
      <c r="A774" s="63"/>
      <c r="B774" s="66"/>
      <c r="C774" s="67"/>
      <c r="D774" s="67"/>
      <c r="E774" s="67"/>
      <c r="F774" s="67"/>
      <c r="G774" s="67"/>
      <c r="H774" s="67"/>
      <c r="I774" s="66"/>
    </row>
    <row r="775" spans="1:9">
      <c r="A775" s="63"/>
      <c r="B775" s="66"/>
      <c r="C775" s="67"/>
      <c r="D775" s="67"/>
      <c r="E775" s="67"/>
      <c r="F775" s="67"/>
      <c r="G775" s="67"/>
      <c r="H775" s="67"/>
      <c r="I775" s="66"/>
    </row>
    <row r="776" spans="1:9">
      <c r="A776" s="63"/>
      <c r="B776" s="66"/>
      <c r="C776" s="67"/>
      <c r="D776" s="67"/>
      <c r="E776" s="67"/>
      <c r="F776" s="67"/>
      <c r="G776" s="67"/>
      <c r="H776" s="67"/>
      <c r="I776" s="66"/>
    </row>
    <row r="777" spans="1:9">
      <c r="A777" s="63"/>
      <c r="B777" s="66"/>
      <c r="C777" s="67"/>
      <c r="D777" s="67"/>
      <c r="E777" s="67"/>
      <c r="F777" s="67"/>
      <c r="G777" s="67"/>
      <c r="H777" s="67"/>
      <c r="I777" s="66"/>
    </row>
    <row r="778" spans="1:9">
      <c r="A778" s="63"/>
      <c r="B778" s="66"/>
      <c r="C778" s="67"/>
      <c r="D778" s="67"/>
      <c r="E778" s="67"/>
      <c r="F778" s="67"/>
      <c r="G778" s="67"/>
      <c r="H778" s="67"/>
      <c r="I778" s="66"/>
    </row>
    <row r="779" spans="1:9">
      <c r="A779" s="63"/>
      <c r="B779" s="66"/>
      <c r="C779" s="67"/>
      <c r="D779" s="67"/>
      <c r="E779" s="67"/>
      <c r="F779" s="67"/>
      <c r="G779" s="67"/>
      <c r="H779" s="67"/>
      <c r="I779" s="66"/>
    </row>
    <row r="780" spans="1:9">
      <c r="A780" s="63"/>
      <c r="B780" s="66"/>
      <c r="C780" s="67"/>
      <c r="D780" s="67"/>
      <c r="E780" s="67"/>
      <c r="F780" s="67"/>
      <c r="G780" s="67"/>
      <c r="H780" s="67"/>
      <c r="I780" s="66"/>
    </row>
    <row r="781" spans="1:9">
      <c r="A781" s="63"/>
      <c r="B781" s="66"/>
      <c r="C781" s="67"/>
      <c r="D781" s="67"/>
      <c r="E781" s="67"/>
      <c r="F781" s="67"/>
      <c r="G781" s="67"/>
      <c r="H781" s="67"/>
      <c r="I781" s="66"/>
    </row>
    <row r="782" spans="1:9">
      <c r="A782" s="63"/>
      <c r="B782" s="66"/>
      <c r="C782" s="67"/>
      <c r="D782" s="67"/>
      <c r="E782" s="67"/>
      <c r="F782" s="67"/>
      <c r="G782" s="67"/>
      <c r="H782" s="67"/>
      <c r="I782" s="66"/>
    </row>
    <row r="783" spans="1:9">
      <c r="A783" s="63"/>
      <c r="B783" s="67"/>
      <c r="C783" s="66"/>
      <c r="D783" s="66"/>
      <c r="E783" s="67"/>
      <c r="F783" s="67"/>
      <c r="G783" s="67"/>
      <c r="H783" s="67"/>
      <c r="I783" s="66"/>
    </row>
    <row r="784" spans="1:9">
      <c r="A784" s="63"/>
      <c r="B784" s="66"/>
      <c r="C784" s="67"/>
      <c r="D784" s="67"/>
      <c r="E784" s="67"/>
      <c r="F784" s="67"/>
      <c r="G784" s="67"/>
      <c r="H784" s="67"/>
      <c r="I784" s="66"/>
    </row>
    <row r="785" spans="1:9">
      <c r="A785" s="63"/>
      <c r="B785" s="66"/>
      <c r="C785" s="67"/>
      <c r="D785" s="67"/>
      <c r="E785" s="67"/>
      <c r="F785" s="67"/>
      <c r="G785" s="67"/>
      <c r="H785" s="67"/>
      <c r="I785" s="66"/>
    </row>
    <row r="786" spans="1:9">
      <c r="A786" s="63"/>
      <c r="B786" s="66"/>
      <c r="C786" s="67"/>
      <c r="D786" s="67"/>
      <c r="E786" s="67"/>
      <c r="F786" s="67"/>
      <c r="G786" s="67"/>
      <c r="H786" s="67"/>
      <c r="I786" s="66"/>
    </row>
    <row r="787" spans="1:9">
      <c r="A787" s="63"/>
      <c r="B787" s="66"/>
      <c r="C787" s="66"/>
      <c r="D787" s="67"/>
      <c r="E787" s="67"/>
      <c r="F787" s="67"/>
      <c r="G787" s="67"/>
      <c r="H787" s="67"/>
      <c r="I787" s="66"/>
    </row>
    <row r="788" spans="1:9">
      <c r="A788" s="63"/>
      <c r="B788" s="66"/>
      <c r="C788" s="66"/>
      <c r="D788" s="66"/>
      <c r="E788" s="67"/>
      <c r="F788" s="67"/>
      <c r="G788" s="67"/>
      <c r="H788" s="67"/>
      <c r="I788" s="66"/>
    </row>
    <row r="789" spans="1:9">
      <c r="A789" s="63"/>
      <c r="B789" s="66"/>
      <c r="C789" s="67"/>
      <c r="D789" s="67"/>
      <c r="E789" s="67"/>
      <c r="F789" s="67"/>
      <c r="G789" s="67"/>
      <c r="H789" s="67"/>
      <c r="I789" s="66"/>
    </row>
    <row r="790" spans="1:9">
      <c r="A790" s="63"/>
      <c r="B790" s="66"/>
      <c r="C790" s="66"/>
      <c r="D790" s="67"/>
      <c r="E790" s="67"/>
      <c r="F790" s="67"/>
      <c r="G790" s="67"/>
      <c r="H790" s="67"/>
      <c r="I790" s="66"/>
    </row>
    <row r="791" spans="1:9">
      <c r="A791" s="63"/>
      <c r="B791" s="66"/>
      <c r="C791" s="66"/>
      <c r="D791" s="67"/>
      <c r="E791" s="67"/>
      <c r="F791" s="67"/>
      <c r="G791" s="67"/>
      <c r="H791" s="67"/>
      <c r="I791" s="66"/>
    </row>
    <row r="792" spans="1:9">
      <c r="A792" s="63"/>
      <c r="B792" s="66"/>
      <c r="C792" s="66"/>
      <c r="D792" s="67"/>
      <c r="E792" s="67"/>
      <c r="F792" s="67"/>
      <c r="G792" s="67"/>
      <c r="H792" s="67"/>
      <c r="I792" s="66"/>
    </row>
    <row r="793" spans="1:9">
      <c r="A793" s="63"/>
      <c r="B793" s="66"/>
      <c r="C793" s="66"/>
      <c r="D793" s="67"/>
      <c r="E793" s="67"/>
      <c r="F793" s="67"/>
      <c r="G793" s="67"/>
      <c r="H793" s="67"/>
      <c r="I793" s="66"/>
    </row>
    <row r="794" spans="1:9">
      <c r="A794" s="63"/>
      <c r="B794" s="66"/>
      <c r="C794" s="67"/>
      <c r="D794" s="67"/>
      <c r="E794" s="67"/>
      <c r="F794" s="67"/>
      <c r="G794" s="67"/>
      <c r="H794" s="67"/>
      <c r="I794" s="66"/>
    </row>
    <row r="795" spans="1:9">
      <c r="A795" s="63"/>
      <c r="B795" s="66"/>
      <c r="C795" s="66"/>
      <c r="D795" s="67"/>
      <c r="E795" s="67"/>
      <c r="F795" s="67"/>
      <c r="G795" s="67"/>
      <c r="H795" s="67"/>
      <c r="I795" s="66"/>
    </row>
    <row r="796" spans="1:9">
      <c r="A796" s="63"/>
      <c r="B796" s="66"/>
      <c r="C796" s="67"/>
      <c r="D796" s="67"/>
      <c r="E796" s="67"/>
      <c r="F796" s="67"/>
      <c r="G796" s="67"/>
      <c r="H796" s="67"/>
      <c r="I796" s="66"/>
    </row>
    <row r="797" spans="1:9">
      <c r="A797" s="63"/>
      <c r="B797" s="66"/>
      <c r="C797" s="66"/>
      <c r="D797" s="67"/>
      <c r="E797" s="67"/>
      <c r="F797" s="67"/>
      <c r="G797" s="67"/>
      <c r="H797" s="67"/>
      <c r="I797" s="66"/>
    </row>
    <row r="798" spans="1:9">
      <c r="A798" s="63"/>
      <c r="B798" s="66"/>
      <c r="C798" s="67"/>
      <c r="D798" s="67"/>
      <c r="E798" s="67"/>
      <c r="F798" s="67"/>
      <c r="G798" s="67"/>
      <c r="H798" s="67"/>
      <c r="I798" s="66"/>
    </row>
    <row r="799" spans="1:9">
      <c r="A799" s="63"/>
      <c r="B799" s="67"/>
      <c r="C799" s="66"/>
      <c r="D799" s="66"/>
      <c r="E799" s="67"/>
      <c r="F799" s="67"/>
      <c r="G799" s="67"/>
      <c r="H799" s="67"/>
      <c r="I799" s="66"/>
    </row>
    <row r="800" spans="1:9">
      <c r="A800" s="63"/>
      <c r="B800" s="66"/>
      <c r="C800" s="67"/>
      <c r="D800" s="67"/>
      <c r="E800" s="67"/>
      <c r="F800" s="67"/>
      <c r="G800" s="67"/>
      <c r="H800" s="67"/>
      <c r="I800" s="66"/>
    </row>
    <row r="801" spans="1:9">
      <c r="A801" s="63"/>
      <c r="B801" s="66"/>
      <c r="C801" s="66"/>
      <c r="D801" s="67"/>
      <c r="E801" s="67"/>
      <c r="F801" s="67"/>
      <c r="G801" s="67"/>
      <c r="H801" s="67"/>
      <c r="I801" s="66"/>
    </row>
    <row r="802" spans="1:9">
      <c r="A802" s="63"/>
      <c r="B802" s="66"/>
      <c r="C802" s="67"/>
      <c r="D802" s="67"/>
      <c r="E802" s="67"/>
      <c r="F802" s="67"/>
      <c r="G802" s="67"/>
      <c r="H802" s="67"/>
      <c r="I802" s="66"/>
    </row>
    <row r="803" spans="1:9">
      <c r="A803" s="63"/>
      <c r="B803" s="66"/>
      <c r="C803" s="67"/>
      <c r="D803" s="67"/>
      <c r="E803" s="67"/>
      <c r="F803" s="67"/>
      <c r="G803" s="67"/>
      <c r="H803" s="67"/>
      <c r="I803" s="66"/>
    </row>
    <row r="804" spans="1:9">
      <c r="A804" s="63"/>
      <c r="B804" s="66"/>
      <c r="C804" s="67"/>
      <c r="D804" s="67"/>
      <c r="E804" s="67"/>
      <c r="F804" s="67"/>
      <c r="G804" s="67"/>
      <c r="H804" s="67"/>
      <c r="I804" s="66"/>
    </row>
    <row r="805" spans="1:9">
      <c r="A805" s="63"/>
      <c r="B805" s="66"/>
      <c r="C805" s="67"/>
      <c r="D805" s="67"/>
      <c r="E805" s="67"/>
      <c r="F805" s="67"/>
      <c r="G805" s="67"/>
      <c r="H805" s="67"/>
      <c r="I805" s="66"/>
    </row>
    <row r="806" spans="1:9">
      <c r="A806" s="63"/>
      <c r="B806" s="66"/>
      <c r="C806" s="66"/>
      <c r="D806" s="67"/>
      <c r="E806" s="67"/>
      <c r="F806" s="67"/>
      <c r="G806" s="67"/>
      <c r="H806" s="67"/>
      <c r="I806" s="66"/>
    </row>
    <row r="807" spans="1:9">
      <c r="A807" s="63"/>
      <c r="B807" s="66"/>
      <c r="C807" s="66"/>
      <c r="D807" s="67"/>
      <c r="E807" s="67"/>
      <c r="F807" s="67"/>
      <c r="G807" s="67"/>
      <c r="H807" s="67"/>
      <c r="I807" s="66"/>
    </row>
    <row r="808" spans="1:9">
      <c r="A808" s="63"/>
      <c r="B808" s="66"/>
      <c r="C808" s="66"/>
      <c r="D808" s="67"/>
      <c r="E808" s="67"/>
      <c r="F808" s="67"/>
      <c r="G808" s="67"/>
      <c r="H808" s="67"/>
      <c r="I808" s="66"/>
    </row>
    <row r="809" spans="1:9">
      <c r="A809" s="63"/>
      <c r="B809" s="66"/>
      <c r="C809" s="67"/>
      <c r="D809" s="67"/>
      <c r="E809" s="67"/>
      <c r="F809" s="67"/>
      <c r="G809" s="67"/>
      <c r="H809" s="67"/>
      <c r="I809" s="66"/>
    </row>
    <row r="810" spans="1:9">
      <c r="A810" s="63"/>
      <c r="B810" s="67"/>
      <c r="C810" s="66"/>
      <c r="D810" s="67"/>
      <c r="E810" s="66"/>
      <c r="F810" s="67"/>
      <c r="G810" s="67"/>
      <c r="H810" s="67"/>
      <c r="I810" s="66"/>
    </row>
    <row r="811" spans="1:9">
      <c r="A811" s="63"/>
      <c r="B811" s="66"/>
      <c r="C811" s="67"/>
      <c r="D811" s="67"/>
      <c r="E811" s="67"/>
      <c r="F811" s="67"/>
      <c r="G811" s="67"/>
      <c r="H811" s="67"/>
      <c r="I811" s="66"/>
    </row>
    <row r="812" spans="1:9">
      <c r="A812" s="63"/>
      <c r="B812" s="66"/>
      <c r="C812" s="67"/>
      <c r="D812" s="67"/>
      <c r="E812" s="67"/>
      <c r="F812" s="67"/>
      <c r="G812" s="67"/>
      <c r="H812" s="67"/>
      <c r="I812" s="66"/>
    </row>
    <row r="813" spans="1:9">
      <c r="A813" s="63"/>
      <c r="B813" s="66"/>
      <c r="C813" s="66"/>
      <c r="D813" s="67"/>
      <c r="E813" s="67"/>
      <c r="F813" s="67"/>
      <c r="G813" s="67"/>
      <c r="H813" s="67"/>
      <c r="I813" s="66"/>
    </row>
    <row r="814" spans="1:9">
      <c r="A814" s="63"/>
      <c r="B814" s="66"/>
      <c r="C814" s="67"/>
      <c r="D814" s="67"/>
      <c r="E814" s="67"/>
      <c r="F814" s="67"/>
      <c r="G814" s="67"/>
      <c r="H814" s="67"/>
      <c r="I814" s="66"/>
    </row>
    <row r="815" spans="1:9">
      <c r="A815" s="63"/>
      <c r="B815" s="66"/>
      <c r="C815" s="67"/>
      <c r="D815" s="67"/>
      <c r="E815" s="67"/>
      <c r="F815" s="67"/>
      <c r="G815" s="67"/>
      <c r="H815" s="67"/>
      <c r="I815" s="66"/>
    </row>
    <row r="816" spans="1:9">
      <c r="A816" s="63"/>
      <c r="B816" s="66"/>
      <c r="C816" s="67"/>
      <c r="D816" s="67"/>
      <c r="E816" s="67"/>
      <c r="F816" s="67"/>
      <c r="G816" s="67"/>
      <c r="H816" s="67"/>
      <c r="I816" s="66"/>
    </row>
    <row r="817" spans="1:9">
      <c r="A817" s="63"/>
      <c r="B817" s="66"/>
      <c r="C817" s="67"/>
      <c r="D817" s="67"/>
      <c r="E817" s="67"/>
      <c r="F817" s="67"/>
      <c r="G817" s="67"/>
      <c r="H817" s="67"/>
      <c r="I817" s="66"/>
    </row>
    <row r="818" spans="1:9">
      <c r="A818" s="63"/>
      <c r="B818" s="66"/>
      <c r="C818" s="67"/>
      <c r="D818" s="67"/>
      <c r="E818" s="67"/>
      <c r="F818" s="67"/>
      <c r="G818" s="67"/>
      <c r="H818" s="67"/>
      <c r="I818" s="66"/>
    </row>
    <row r="819" spans="1:9">
      <c r="A819" s="63"/>
      <c r="B819" s="66"/>
      <c r="C819" s="66"/>
      <c r="D819" s="67"/>
      <c r="E819" s="67"/>
      <c r="F819" s="67"/>
      <c r="G819" s="67"/>
      <c r="H819" s="67"/>
      <c r="I819" s="66"/>
    </row>
    <row r="820" spans="1:9">
      <c r="A820" s="63"/>
      <c r="B820" s="66"/>
      <c r="C820" s="67"/>
      <c r="D820" s="67"/>
      <c r="E820" s="67"/>
      <c r="F820" s="67"/>
      <c r="G820" s="67"/>
      <c r="H820" s="67"/>
      <c r="I820" s="66"/>
    </row>
    <row r="821" spans="1:9">
      <c r="A821" s="63"/>
      <c r="B821" s="66"/>
      <c r="C821" s="66"/>
      <c r="D821" s="67"/>
      <c r="E821" s="67"/>
      <c r="F821" s="67"/>
      <c r="G821" s="67"/>
      <c r="H821" s="67"/>
      <c r="I821" s="66"/>
    </row>
    <row r="822" spans="1:9">
      <c r="A822" s="63"/>
      <c r="B822" s="67"/>
      <c r="C822" s="67"/>
      <c r="D822" s="67"/>
      <c r="E822" s="67"/>
      <c r="F822" s="67"/>
      <c r="G822" s="67"/>
      <c r="H822" s="66"/>
      <c r="I822" s="66"/>
    </row>
    <row r="823" spans="1:9">
      <c r="A823" s="63"/>
      <c r="B823" s="66"/>
      <c r="C823" s="66"/>
      <c r="D823" s="67"/>
      <c r="E823" s="67"/>
      <c r="F823" s="67"/>
      <c r="G823" s="67"/>
      <c r="H823" s="67"/>
      <c r="I823" s="66"/>
    </row>
    <row r="824" spans="1:9">
      <c r="A824" s="63"/>
      <c r="B824" s="66"/>
      <c r="C824" s="67"/>
      <c r="D824" s="67"/>
      <c r="E824" s="67"/>
      <c r="F824" s="67"/>
      <c r="G824" s="67"/>
      <c r="H824" s="67"/>
      <c r="I824" s="66"/>
    </row>
    <row r="825" spans="1:9">
      <c r="A825" s="63"/>
      <c r="B825" s="66"/>
      <c r="C825" s="66"/>
      <c r="D825" s="67"/>
      <c r="E825" s="67"/>
      <c r="F825" s="67"/>
      <c r="G825" s="67"/>
      <c r="H825" s="67"/>
      <c r="I825" s="66"/>
    </row>
    <row r="826" spans="1:9">
      <c r="A826" s="63"/>
      <c r="B826" s="66"/>
      <c r="C826" s="66"/>
      <c r="D826" s="67"/>
      <c r="E826" s="67"/>
      <c r="F826" s="67"/>
      <c r="G826" s="67"/>
      <c r="H826" s="67"/>
      <c r="I826" s="66"/>
    </row>
    <row r="827" spans="1:9">
      <c r="A827" s="63"/>
      <c r="B827" s="66"/>
      <c r="C827" s="67"/>
      <c r="D827" s="67"/>
      <c r="E827" s="67"/>
      <c r="F827" s="67"/>
      <c r="G827" s="67"/>
      <c r="H827" s="67"/>
      <c r="I827" s="66"/>
    </row>
    <row r="828" spans="1:9">
      <c r="A828" s="63"/>
      <c r="B828" s="66"/>
      <c r="C828" s="66"/>
      <c r="D828" s="67"/>
      <c r="E828" s="67"/>
      <c r="F828" s="67"/>
      <c r="G828" s="67"/>
      <c r="H828" s="67"/>
      <c r="I828" s="66"/>
    </row>
    <row r="829" spans="1:9">
      <c r="A829" s="63"/>
      <c r="B829" s="66"/>
      <c r="C829" s="66"/>
      <c r="D829" s="67"/>
      <c r="E829" s="67"/>
      <c r="F829" s="67"/>
      <c r="G829" s="67"/>
      <c r="H829" s="67"/>
      <c r="I829" s="66"/>
    </row>
    <row r="830" spans="1:9">
      <c r="A830" s="63"/>
      <c r="B830" s="66"/>
      <c r="C830" s="66"/>
      <c r="D830" s="67"/>
      <c r="E830" s="67"/>
      <c r="F830" s="67"/>
      <c r="G830" s="67"/>
      <c r="H830" s="66"/>
      <c r="I830" s="66"/>
    </row>
    <row r="831" spans="1:9">
      <c r="A831" s="63"/>
      <c r="B831" s="66"/>
      <c r="C831" s="66"/>
      <c r="D831" s="67"/>
      <c r="E831" s="66"/>
      <c r="F831" s="67"/>
      <c r="G831" s="67"/>
      <c r="H831" s="67"/>
      <c r="I831" s="66"/>
    </row>
    <row r="832" spans="1:9">
      <c r="A832" s="63"/>
      <c r="B832" s="66"/>
      <c r="C832" s="67"/>
      <c r="D832" s="67"/>
      <c r="E832" s="67"/>
      <c r="F832" s="67"/>
      <c r="G832" s="67"/>
      <c r="H832" s="67"/>
      <c r="I832" s="66"/>
    </row>
    <row r="833" spans="1:9">
      <c r="A833" s="63"/>
      <c r="B833" s="66"/>
      <c r="C833" s="67"/>
      <c r="D833" s="67"/>
      <c r="E833" s="67"/>
      <c r="F833" s="67"/>
      <c r="G833" s="67"/>
      <c r="H833" s="67"/>
      <c r="I833" s="66"/>
    </row>
    <row r="834" spans="1:9">
      <c r="A834" s="63"/>
      <c r="B834" s="66"/>
      <c r="C834" s="67"/>
      <c r="D834" s="67"/>
      <c r="E834" s="67"/>
      <c r="F834" s="67"/>
      <c r="G834" s="67"/>
      <c r="H834" s="67"/>
      <c r="I834" s="66"/>
    </row>
    <row r="835" spans="1:9">
      <c r="A835" s="63"/>
      <c r="B835" s="66"/>
      <c r="C835" s="67"/>
      <c r="D835" s="67"/>
      <c r="E835" s="67"/>
      <c r="F835" s="67"/>
      <c r="G835" s="67"/>
      <c r="H835" s="67"/>
      <c r="I835" s="66"/>
    </row>
    <row r="836" spans="1:9">
      <c r="A836" s="63"/>
      <c r="B836" s="66"/>
      <c r="C836" s="66"/>
      <c r="D836" s="66"/>
      <c r="E836" s="66"/>
      <c r="F836" s="67"/>
      <c r="G836" s="67"/>
      <c r="H836" s="67"/>
      <c r="I836" s="66"/>
    </row>
    <row r="837" spans="1:9">
      <c r="A837" s="63"/>
      <c r="B837" s="66"/>
      <c r="C837" s="67"/>
      <c r="D837" s="67"/>
      <c r="E837" s="67"/>
      <c r="F837" s="67"/>
      <c r="G837" s="67"/>
      <c r="H837" s="67"/>
      <c r="I837" s="66"/>
    </row>
    <row r="838" spans="1:9">
      <c r="A838" s="63"/>
      <c r="B838" s="66"/>
      <c r="C838" s="67"/>
      <c r="D838" s="67"/>
      <c r="E838" s="67"/>
      <c r="F838" s="67"/>
      <c r="G838" s="67"/>
      <c r="H838" s="67"/>
      <c r="I838" s="66"/>
    </row>
    <row r="839" spans="1:9">
      <c r="A839" s="63"/>
      <c r="B839" s="66"/>
      <c r="C839" s="67"/>
      <c r="D839" s="67"/>
      <c r="E839" s="67"/>
      <c r="F839" s="67"/>
      <c r="G839" s="67"/>
      <c r="H839" s="67"/>
      <c r="I839" s="66"/>
    </row>
    <row r="840" spans="1:9">
      <c r="A840" s="63"/>
      <c r="B840" s="66"/>
      <c r="C840" s="67"/>
      <c r="D840" s="67"/>
      <c r="E840" s="67"/>
      <c r="F840" s="67"/>
      <c r="G840" s="67"/>
      <c r="H840" s="67"/>
      <c r="I840" s="66"/>
    </row>
    <row r="841" spans="1:9">
      <c r="A841" s="63"/>
      <c r="B841" s="66"/>
      <c r="C841" s="67"/>
      <c r="D841" s="67"/>
      <c r="E841" s="67"/>
      <c r="F841" s="67"/>
      <c r="G841" s="67"/>
      <c r="H841" s="67"/>
      <c r="I841" s="66"/>
    </row>
    <row r="842" spans="1:9">
      <c r="A842" s="63"/>
      <c r="B842" s="66"/>
      <c r="C842" s="66"/>
      <c r="D842" s="67"/>
      <c r="E842" s="67"/>
      <c r="F842" s="67"/>
      <c r="G842" s="67"/>
      <c r="H842" s="67"/>
      <c r="I842" s="66"/>
    </row>
    <row r="843" spans="1:9">
      <c r="A843" s="63"/>
      <c r="B843" s="66"/>
      <c r="C843" s="67"/>
      <c r="D843" s="67"/>
      <c r="E843" s="67"/>
      <c r="F843" s="67"/>
      <c r="G843" s="67"/>
      <c r="H843" s="67"/>
      <c r="I843" s="66"/>
    </row>
    <row r="844" spans="1:9">
      <c r="A844" s="63"/>
      <c r="B844" s="66"/>
      <c r="C844" s="66"/>
      <c r="D844" s="67"/>
      <c r="E844" s="67"/>
      <c r="F844" s="67"/>
      <c r="G844" s="67"/>
      <c r="H844" s="67"/>
      <c r="I844" s="66"/>
    </row>
    <row r="845" spans="1:9">
      <c r="A845" s="63"/>
      <c r="B845" s="66"/>
      <c r="C845" s="66"/>
      <c r="D845" s="67"/>
      <c r="E845" s="67"/>
      <c r="F845" s="67"/>
      <c r="G845" s="67"/>
      <c r="H845" s="67"/>
      <c r="I845" s="66"/>
    </row>
    <row r="846" spans="1:9">
      <c r="A846" s="63"/>
      <c r="B846" s="66"/>
      <c r="C846" s="67"/>
      <c r="D846" s="67"/>
      <c r="E846" s="67"/>
      <c r="F846" s="67"/>
      <c r="G846" s="67"/>
      <c r="H846" s="67"/>
      <c r="I846" s="66"/>
    </row>
    <row r="847" spans="1:9">
      <c r="A847" s="63"/>
      <c r="B847" s="66"/>
      <c r="C847" s="67"/>
      <c r="D847" s="67"/>
      <c r="E847" s="67"/>
      <c r="F847" s="67"/>
      <c r="G847" s="67"/>
      <c r="H847" s="67"/>
      <c r="I847" s="66"/>
    </row>
    <row r="848" spans="1:9">
      <c r="A848" s="63"/>
      <c r="B848" s="66"/>
      <c r="C848" s="66"/>
      <c r="D848" s="67"/>
      <c r="E848" s="67"/>
      <c r="F848" s="67"/>
      <c r="G848" s="67"/>
      <c r="H848" s="67"/>
      <c r="I848" s="66"/>
    </row>
    <row r="849" spans="1:9">
      <c r="A849" s="63"/>
      <c r="B849" s="66"/>
      <c r="C849" s="67"/>
      <c r="D849" s="67"/>
      <c r="E849" s="67"/>
      <c r="F849" s="67"/>
      <c r="G849" s="67"/>
      <c r="H849" s="67"/>
      <c r="I849" s="66"/>
    </row>
    <row r="850" spans="1:9">
      <c r="A850" s="63"/>
      <c r="B850" s="66"/>
      <c r="C850" s="67"/>
      <c r="D850" s="67"/>
      <c r="E850" s="67"/>
      <c r="F850" s="67"/>
      <c r="G850" s="67"/>
      <c r="H850" s="67"/>
      <c r="I850" s="66"/>
    </row>
    <row r="851" spans="1:9">
      <c r="A851" s="63"/>
      <c r="B851" s="66"/>
      <c r="C851" s="66"/>
      <c r="D851" s="67"/>
      <c r="E851" s="67"/>
      <c r="F851" s="67"/>
      <c r="G851" s="67"/>
      <c r="H851" s="67"/>
      <c r="I851" s="66"/>
    </row>
    <row r="852" spans="1:9">
      <c r="A852" s="63"/>
      <c r="B852" s="66"/>
      <c r="C852" s="67"/>
      <c r="D852" s="67"/>
      <c r="E852" s="67"/>
      <c r="F852" s="67"/>
      <c r="G852" s="67"/>
      <c r="H852" s="67"/>
      <c r="I852" s="66"/>
    </row>
    <row r="853" spans="1:9">
      <c r="A853" s="63"/>
      <c r="B853" s="66"/>
      <c r="C853" s="67"/>
      <c r="D853" s="67"/>
      <c r="E853" s="67"/>
      <c r="F853" s="67"/>
      <c r="G853" s="67"/>
      <c r="H853" s="67"/>
      <c r="I853" s="66"/>
    </row>
    <row r="854" spans="1:9">
      <c r="A854" s="63"/>
      <c r="B854" s="66"/>
      <c r="C854" s="67"/>
      <c r="D854" s="67"/>
      <c r="E854" s="67"/>
      <c r="F854" s="67"/>
      <c r="G854" s="67"/>
      <c r="H854" s="67"/>
      <c r="I854" s="66"/>
    </row>
    <row r="855" spans="1:9">
      <c r="A855" s="63"/>
      <c r="B855" s="66"/>
      <c r="C855" s="67"/>
      <c r="D855" s="67"/>
      <c r="E855" s="67"/>
      <c r="F855" s="67"/>
      <c r="G855" s="67"/>
      <c r="H855" s="67"/>
      <c r="I855" s="66"/>
    </row>
    <row r="856" spans="1:9">
      <c r="A856" s="63"/>
      <c r="B856" s="66"/>
      <c r="C856" s="66"/>
      <c r="D856" s="67"/>
      <c r="E856" s="67"/>
      <c r="F856" s="67"/>
      <c r="G856" s="67"/>
      <c r="H856" s="67"/>
      <c r="I856" s="66"/>
    </row>
    <row r="857" spans="1:9">
      <c r="A857" s="63"/>
      <c r="B857" s="66"/>
      <c r="C857" s="66"/>
      <c r="D857" s="67"/>
      <c r="E857" s="67"/>
      <c r="F857" s="67"/>
      <c r="G857" s="67"/>
      <c r="H857" s="67"/>
      <c r="I857" s="66"/>
    </row>
    <row r="858" spans="1:9">
      <c r="A858" s="63"/>
      <c r="B858" s="66"/>
      <c r="C858" s="67"/>
      <c r="D858" s="67"/>
      <c r="E858" s="67"/>
      <c r="F858" s="67"/>
      <c r="G858" s="67"/>
      <c r="H858" s="67"/>
      <c r="I858" s="66"/>
    </row>
    <row r="859" spans="1:9">
      <c r="A859" s="63"/>
      <c r="B859" s="67"/>
      <c r="C859" s="67"/>
      <c r="D859" s="67"/>
      <c r="E859" s="67"/>
      <c r="F859" s="67"/>
      <c r="G859" s="66"/>
      <c r="H859" s="66"/>
      <c r="I859" s="66"/>
    </row>
    <row r="860" spans="1:9">
      <c r="A860" s="63"/>
      <c r="B860" s="66"/>
      <c r="C860" s="66"/>
      <c r="D860" s="67"/>
      <c r="E860" s="67"/>
      <c r="F860" s="67"/>
      <c r="G860" s="67"/>
      <c r="H860" s="67"/>
      <c r="I860" s="66"/>
    </row>
    <row r="861" spans="1:9">
      <c r="A861" s="63"/>
      <c r="B861" s="66"/>
      <c r="C861" s="67"/>
      <c r="D861" s="67"/>
      <c r="E861" s="67"/>
      <c r="F861" s="67"/>
      <c r="G861" s="67"/>
      <c r="H861" s="67"/>
      <c r="I861" s="66"/>
    </row>
    <row r="862" spans="1:9">
      <c r="A862" s="63"/>
      <c r="B862" s="66"/>
      <c r="C862" s="66"/>
      <c r="D862" s="67"/>
      <c r="E862" s="67"/>
      <c r="F862" s="67"/>
      <c r="G862" s="67"/>
      <c r="H862" s="67"/>
      <c r="I862" s="66"/>
    </row>
    <row r="863" spans="1:9">
      <c r="A863" s="63"/>
      <c r="B863" s="66"/>
      <c r="C863" s="67"/>
      <c r="D863" s="67"/>
      <c r="E863" s="67"/>
      <c r="F863" s="67"/>
      <c r="G863" s="67"/>
      <c r="H863" s="67"/>
      <c r="I863" s="66"/>
    </row>
    <row r="864" spans="1:9">
      <c r="A864" s="63"/>
      <c r="B864" s="66"/>
      <c r="C864" s="67"/>
      <c r="D864" s="67"/>
      <c r="E864" s="67"/>
      <c r="F864" s="67"/>
      <c r="G864" s="67"/>
      <c r="H864" s="67"/>
      <c r="I864" s="66"/>
    </row>
    <row r="865" spans="1:9">
      <c r="A865" s="63"/>
      <c r="B865" s="66"/>
      <c r="C865" s="67"/>
      <c r="D865" s="67"/>
      <c r="E865" s="67"/>
      <c r="F865" s="67"/>
      <c r="G865" s="67"/>
      <c r="H865" s="67"/>
      <c r="I865" s="66"/>
    </row>
    <row r="866" spans="1:9">
      <c r="A866" s="63"/>
      <c r="B866" s="66"/>
      <c r="C866" s="66"/>
      <c r="D866" s="67"/>
      <c r="E866" s="67"/>
      <c r="F866" s="67"/>
      <c r="G866" s="67"/>
      <c r="H866" s="67"/>
      <c r="I866" s="66"/>
    </row>
    <row r="867" spans="1:9">
      <c r="A867" s="63"/>
      <c r="B867" s="66"/>
      <c r="C867" s="67"/>
      <c r="D867" s="67"/>
      <c r="E867" s="67"/>
      <c r="F867" s="67"/>
      <c r="G867" s="67"/>
      <c r="H867" s="67"/>
      <c r="I867" s="66"/>
    </row>
    <row r="868" spans="1:9">
      <c r="A868" s="63"/>
      <c r="B868" s="66"/>
      <c r="C868" s="66"/>
      <c r="D868" s="67"/>
      <c r="E868" s="67"/>
      <c r="F868" s="67"/>
      <c r="G868" s="67"/>
      <c r="H868" s="67"/>
      <c r="I868" s="66"/>
    </row>
    <row r="869" spans="1:9">
      <c r="A869" s="63"/>
      <c r="B869" s="66"/>
      <c r="C869" s="67"/>
      <c r="D869" s="67"/>
      <c r="E869" s="67"/>
      <c r="F869" s="67"/>
      <c r="G869" s="67"/>
      <c r="H869" s="67"/>
      <c r="I869" s="66"/>
    </row>
    <row r="870" spans="1:9">
      <c r="A870" s="63"/>
      <c r="B870" s="66"/>
      <c r="C870" s="66"/>
      <c r="D870" s="67"/>
      <c r="E870" s="67"/>
      <c r="F870" s="67"/>
      <c r="G870" s="67"/>
      <c r="H870" s="67"/>
      <c r="I870" s="66"/>
    </row>
    <row r="871" spans="1:9">
      <c r="A871" s="63"/>
      <c r="B871" s="66"/>
      <c r="C871" s="66"/>
      <c r="D871" s="67"/>
      <c r="E871" s="67"/>
      <c r="F871" s="67"/>
      <c r="G871" s="67"/>
      <c r="H871" s="67"/>
      <c r="I871" s="66"/>
    </row>
    <row r="872" spans="1:9">
      <c r="A872" s="63"/>
      <c r="B872" s="66"/>
      <c r="C872" s="67"/>
      <c r="D872" s="67"/>
      <c r="E872" s="67"/>
      <c r="F872" s="67"/>
      <c r="G872" s="67"/>
      <c r="H872" s="67"/>
      <c r="I872" s="66"/>
    </row>
    <row r="873" spans="1:9">
      <c r="A873" s="63"/>
      <c r="B873" s="66"/>
      <c r="C873" s="67"/>
      <c r="D873" s="67"/>
      <c r="E873" s="67"/>
      <c r="F873" s="67"/>
      <c r="G873" s="67"/>
      <c r="H873" s="67"/>
      <c r="I873" s="66"/>
    </row>
    <row r="874" spans="1:9">
      <c r="A874" s="63"/>
      <c r="B874" s="66"/>
      <c r="C874" s="67"/>
      <c r="D874" s="67"/>
      <c r="E874" s="67"/>
      <c r="F874" s="67"/>
      <c r="G874" s="67"/>
      <c r="H874" s="67"/>
      <c r="I874" s="66"/>
    </row>
    <row r="875" spans="1:9">
      <c r="A875" s="63"/>
      <c r="B875" s="66"/>
      <c r="C875" s="67"/>
      <c r="D875" s="67"/>
      <c r="E875" s="67"/>
      <c r="F875" s="67"/>
      <c r="G875" s="67"/>
      <c r="H875" s="67"/>
      <c r="I875" s="66"/>
    </row>
    <row r="876" spans="1:9">
      <c r="A876" s="63"/>
      <c r="B876" s="66"/>
      <c r="C876" s="67"/>
      <c r="D876" s="67"/>
      <c r="E876" s="67"/>
      <c r="F876" s="67"/>
      <c r="G876" s="67"/>
      <c r="H876" s="67"/>
      <c r="I876" s="66"/>
    </row>
    <row r="877" spans="1:9">
      <c r="A877" s="63"/>
      <c r="B877" s="66"/>
      <c r="C877" s="66"/>
      <c r="D877" s="67"/>
      <c r="E877" s="67"/>
      <c r="F877" s="67"/>
      <c r="G877" s="67"/>
      <c r="H877" s="67"/>
      <c r="I877" s="66"/>
    </row>
    <row r="878" spans="1:9">
      <c r="A878" s="63"/>
      <c r="B878" s="66"/>
      <c r="C878" s="67"/>
      <c r="D878" s="67"/>
      <c r="E878" s="67"/>
      <c r="F878" s="67"/>
      <c r="G878" s="67"/>
      <c r="H878" s="67"/>
      <c r="I878" s="66"/>
    </row>
    <row r="879" spans="1:9">
      <c r="A879" s="63"/>
      <c r="B879" s="66"/>
      <c r="C879" s="67"/>
      <c r="D879" s="67"/>
      <c r="E879" s="67"/>
      <c r="F879" s="67"/>
      <c r="G879" s="67"/>
      <c r="H879" s="67"/>
      <c r="I879" s="66"/>
    </row>
    <row r="880" spans="1:9">
      <c r="A880" s="63"/>
      <c r="B880" s="66"/>
      <c r="C880" s="66"/>
      <c r="D880" s="67"/>
      <c r="E880" s="67"/>
      <c r="F880" s="67"/>
      <c r="G880" s="67"/>
      <c r="H880" s="67"/>
      <c r="I880" s="66"/>
    </row>
    <row r="881" spans="1:9">
      <c r="A881" s="63"/>
      <c r="B881" s="66"/>
      <c r="C881" s="67"/>
      <c r="D881" s="67"/>
      <c r="E881" s="67"/>
      <c r="F881" s="67"/>
      <c r="G881" s="67"/>
      <c r="H881" s="67"/>
      <c r="I881" s="66"/>
    </row>
    <row r="882" spans="1:9">
      <c r="A882" s="63"/>
      <c r="B882" s="66"/>
      <c r="C882" s="66"/>
      <c r="D882" s="67"/>
      <c r="E882" s="66"/>
      <c r="F882" s="67"/>
      <c r="G882" s="67"/>
      <c r="H882" s="67"/>
      <c r="I882" s="66"/>
    </row>
    <row r="883" spans="1:9">
      <c r="A883" s="63"/>
      <c r="B883" s="66"/>
      <c r="C883" s="66"/>
      <c r="D883" s="66"/>
      <c r="E883" s="67"/>
      <c r="F883" s="67"/>
      <c r="G883" s="67"/>
      <c r="H883" s="67"/>
      <c r="I883" s="66"/>
    </row>
    <row r="884" spans="1:9">
      <c r="A884" s="63"/>
      <c r="B884" s="66"/>
      <c r="C884" s="67"/>
      <c r="D884" s="67"/>
      <c r="E884" s="67"/>
      <c r="F884" s="67"/>
      <c r="G884" s="67"/>
      <c r="H884" s="67"/>
      <c r="I884" s="66"/>
    </row>
    <row r="885" spans="1:9">
      <c r="A885" s="63"/>
      <c r="B885" s="66"/>
      <c r="C885" s="66"/>
      <c r="D885" s="67"/>
      <c r="E885" s="67"/>
      <c r="F885" s="67"/>
      <c r="G885" s="67"/>
      <c r="H885" s="67"/>
      <c r="I885" s="66"/>
    </row>
    <row r="886" spans="1:9">
      <c r="A886" s="63"/>
      <c r="B886" s="66"/>
      <c r="C886" s="67"/>
      <c r="D886" s="67"/>
      <c r="E886" s="67"/>
      <c r="F886" s="67"/>
      <c r="G886" s="67"/>
      <c r="H886" s="67"/>
      <c r="I886" s="66"/>
    </row>
    <row r="887" spans="1:9">
      <c r="A887" s="63"/>
      <c r="B887" s="66"/>
      <c r="C887" s="66"/>
      <c r="D887" s="67"/>
      <c r="E887" s="67"/>
      <c r="F887" s="67"/>
      <c r="G887" s="67"/>
      <c r="H887" s="67"/>
      <c r="I887" s="66"/>
    </row>
    <row r="888" spans="1:9">
      <c r="A888" s="63"/>
      <c r="B888" s="66"/>
      <c r="C888" s="66"/>
      <c r="D888" s="66"/>
      <c r="E888" s="66"/>
      <c r="F888" s="67"/>
      <c r="G888" s="67"/>
      <c r="H888" s="67"/>
      <c r="I888" s="66"/>
    </row>
    <row r="889" spans="1:9">
      <c r="A889" s="63"/>
      <c r="B889" s="66"/>
      <c r="C889" s="66"/>
      <c r="D889" s="67"/>
      <c r="E889" s="67"/>
      <c r="F889" s="67"/>
      <c r="G889" s="67"/>
      <c r="H889" s="67"/>
      <c r="I889" s="66"/>
    </row>
    <row r="890" spans="1:9">
      <c r="A890" s="63"/>
      <c r="B890" s="66"/>
      <c r="C890" s="67"/>
      <c r="D890" s="67"/>
      <c r="E890" s="67"/>
      <c r="F890" s="67"/>
      <c r="G890" s="67"/>
      <c r="H890" s="67"/>
      <c r="I890" s="66"/>
    </row>
    <row r="891" spans="1:9">
      <c r="A891" s="63"/>
      <c r="B891" s="67"/>
      <c r="C891" s="66"/>
      <c r="D891" s="67"/>
      <c r="E891" s="67"/>
      <c r="F891" s="67"/>
      <c r="G891" s="67"/>
      <c r="H891" s="67"/>
      <c r="I891" s="66"/>
    </row>
    <row r="892" spans="1:9">
      <c r="A892" s="63"/>
      <c r="B892" s="66"/>
      <c r="C892" s="67"/>
      <c r="D892" s="67"/>
      <c r="E892" s="67"/>
      <c r="F892" s="67"/>
      <c r="G892" s="67"/>
      <c r="H892" s="67"/>
      <c r="I892" s="66"/>
    </row>
    <row r="893" spans="1:9">
      <c r="A893" s="63"/>
      <c r="B893" s="66"/>
      <c r="C893" s="66"/>
      <c r="D893" s="67"/>
      <c r="E893" s="67"/>
      <c r="F893" s="67"/>
      <c r="G893" s="67"/>
      <c r="H893" s="67"/>
      <c r="I893" s="66"/>
    </row>
    <row r="894" spans="1:9">
      <c r="A894" s="63"/>
      <c r="B894" s="66"/>
      <c r="C894" s="67"/>
      <c r="D894" s="67"/>
      <c r="E894" s="67"/>
      <c r="F894" s="67"/>
      <c r="G894" s="67"/>
      <c r="H894" s="67"/>
      <c r="I894" s="66"/>
    </row>
    <row r="895" spans="1:9">
      <c r="A895" s="63"/>
      <c r="B895" s="66"/>
      <c r="C895" s="66"/>
      <c r="D895" s="67"/>
      <c r="E895" s="67"/>
      <c r="F895" s="67"/>
      <c r="G895" s="67"/>
      <c r="H895" s="67"/>
      <c r="I895" s="66"/>
    </row>
    <row r="896" spans="1:9">
      <c r="A896" s="63"/>
      <c r="B896" s="66"/>
      <c r="C896" s="67"/>
      <c r="D896" s="67"/>
      <c r="E896" s="67"/>
      <c r="F896" s="67"/>
      <c r="G896" s="67"/>
      <c r="H896" s="67"/>
      <c r="I896" s="66"/>
    </row>
    <row r="897" spans="1:9">
      <c r="A897" s="63"/>
      <c r="B897" s="66"/>
      <c r="C897" s="67"/>
      <c r="D897" s="67"/>
      <c r="E897" s="67"/>
      <c r="F897" s="67"/>
      <c r="G897" s="67"/>
      <c r="H897" s="67"/>
      <c r="I897" s="66"/>
    </row>
    <row r="898" spans="1:9">
      <c r="A898" s="63"/>
      <c r="B898" s="67"/>
      <c r="C898" s="66"/>
      <c r="D898" s="67"/>
      <c r="E898" s="67"/>
      <c r="F898" s="67"/>
      <c r="G898" s="67"/>
      <c r="H898" s="67"/>
      <c r="I898" s="66"/>
    </row>
    <row r="899" spans="1:9">
      <c r="A899" s="63"/>
      <c r="B899" s="66"/>
      <c r="C899" s="66"/>
      <c r="D899" s="67"/>
      <c r="E899" s="67"/>
      <c r="F899" s="67"/>
      <c r="G899" s="67"/>
      <c r="H899" s="67"/>
      <c r="I899" s="66"/>
    </row>
    <row r="900" spans="1:9">
      <c r="A900" s="63"/>
      <c r="B900" s="66"/>
      <c r="C900" s="67"/>
      <c r="D900" s="67"/>
      <c r="E900" s="67"/>
      <c r="F900" s="67"/>
      <c r="G900" s="67"/>
      <c r="H900" s="67"/>
      <c r="I900" s="66"/>
    </row>
    <row r="901" spans="1:9">
      <c r="A901" s="63"/>
      <c r="B901" s="67"/>
      <c r="C901" s="67"/>
      <c r="D901" s="67"/>
      <c r="E901" s="66"/>
      <c r="F901" s="66"/>
      <c r="G901" s="67"/>
      <c r="H901" s="67"/>
      <c r="I901" s="66"/>
    </row>
    <row r="902" spans="1:9">
      <c r="A902" s="63"/>
      <c r="B902" s="66"/>
      <c r="C902" s="67"/>
      <c r="D902" s="67"/>
      <c r="E902" s="67"/>
      <c r="F902" s="67"/>
      <c r="G902" s="67"/>
      <c r="H902" s="67"/>
      <c r="I902" s="66"/>
    </row>
    <row r="903" spans="1:9">
      <c r="A903" s="63"/>
      <c r="B903" s="66"/>
      <c r="C903" s="67"/>
      <c r="D903" s="67"/>
      <c r="E903" s="67"/>
      <c r="F903" s="67"/>
      <c r="G903" s="67"/>
      <c r="H903" s="67"/>
      <c r="I903" s="66"/>
    </row>
    <row r="904" spans="1:9">
      <c r="A904" s="63"/>
      <c r="B904" s="66"/>
      <c r="C904" s="66"/>
      <c r="D904" s="67"/>
      <c r="E904" s="67"/>
      <c r="F904" s="67"/>
      <c r="G904" s="67"/>
      <c r="H904" s="67"/>
      <c r="I904" s="66"/>
    </row>
    <row r="905" spans="1:9">
      <c r="A905" s="63"/>
      <c r="B905" s="66"/>
      <c r="C905" s="67"/>
      <c r="D905" s="67"/>
      <c r="E905" s="67"/>
      <c r="F905" s="67"/>
      <c r="G905" s="67"/>
      <c r="H905" s="67"/>
      <c r="I905" s="66"/>
    </row>
    <row r="906" spans="1:9">
      <c r="A906" s="63"/>
      <c r="B906" s="66"/>
      <c r="C906" s="67"/>
      <c r="D906" s="67"/>
      <c r="E906" s="67"/>
      <c r="F906" s="67"/>
      <c r="G906" s="67"/>
      <c r="H906" s="67"/>
      <c r="I906" s="66"/>
    </row>
    <row r="907" spans="1:9">
      <c r="A907" s="63"/>
      <c r="B907" s="66"/>
      <c r="C907" s="67"/>
      <c r="D907" s="67"/>
      <c r="E907" s="67"/>
      <c r="F907" s="67"/>
      <c r="G907" s="67"/>
      <c r="H907" s="67"/>
      <c r="I907" s="66"/>
    </row>
    <row r="908" spans="1:9">
      <c r="A908" s="63"/>
      <c r="B908" s="66"/>
      <c r="C908" s="67"/>
      <c r="D908" s="67"/>
      <c r="E908" s="67"/>
      <c r="F908" s="67"/>
      <c r="G908" s="67"/>
      <c r="H908" s="67"/>
      <c r="I908" s="66"/>
    </row>
    <row r="909" spans="1:9">
      <c r="A909" s="63"/>
      <c r="B909" s="66"/>
      <c r="C909" s="67"/>
      <c r="D909" s="67"/>
      <c r="E909" s="67"/>
      <c r="F909" s="67"/>
      <c r="G909" s="67"/>
      <c r="H909" s="67"/>
      <c r="I909" s="66"/>
    </row>
    <row r="910" spans="1:9">
      <c r="A910" s="63"/>
      <c r="B910" s="66"/>
      <c r="C910" s="67"/>
      <c r="D910" s="67"/>
      <c r="E910" s="67"/>
      <c r="F910" s="67"/>
      <c r="G910" s="67"/>
      <c r="H910" s="67"/>
      <c r="I910" s="66"/>
    </row>
    <row r="911" spans="1:9">
      <c r="A911" s="63"/>
      <c r="B911" s="66"/>
      <c r="C911" s="66"/>
      <c r="D911" s="67"/>
      <c r="E911" s="67"/>
      <c r="F911" s="67"/>
      <c r="G911" s="67"/>
      <c r="H911" s="67"/>
      <c r="I911" s="66"/>
    </row>
    <row r="912" spans="1:9">
      <c r="A912" s="63"/>
      <c r="B912" s="66"/>
      <c r="C912" s="66"/>
      <c r="D912" s="67"/>
      <c r="E912" s="67"/>
      <c r="F912" s="67"/>
      <c r="G912" s="67"/>
      <c r="H912" s="67"/>
      <c r="I912" s="66"/>
    </row>
    <row r="913" spans="1:9">
      <c r="A913" s="63"/>
      <c r="B913" s="66"/>
      <c r="C913" s="67"/>
      <c r="D913" s="67"/>
      <c r="E913" s="67"/>
      <c r="F913" s="67"/>
      <c r="G913" s="67"/>
      <c r="H913" s="67"/>
      <c r="I913" s="66"/>
    </row>
    <row r="914" spans="1:9">
      <c r="A914" s="63"/>
      <c r="B914" s="66"/>
      <c r="C914" s="67"/>
      <c r="D914" s="67"/>
      <c r="E914" s="67"/>
      <c r="F914" s="67"/>
      <c r="G914" s="67"/>
      <c r="H914" s="67"/>
      <c r="I914" s="66"/>
    </row>
    <row r="915" spans="1:9">
      <c r="A915" s="63"/>
      <c r="B915" s="66"/>
      <c r="C915" s="66"/>
      <c r="D915" s="67"/>
      <c r="E915" s="67"/>
      <c r="F915" s="67"/>
      <c r="G915" s="67"/>
      <c r="H915" s="67"/>
      <c r="I915" s="66"/>
    </row>
    <row r="916" spans="1:9">
      <c r="A916" s="63"/>
      <c r="B916" s="66"/>
      <c r="C916" s="67"/>
      <c r="D916" s="67"/>
      <c r="E916" s="67"/>
      <c r="F916" s="67"/>
      <c r="G916" s="67"/>
      <c r="H916" s="67"/>
      <c r="I916" s="66"/>
    </row>
    <row r="917" spans="1:9">
      <c r="A917" s="63"/>
      <c r="B917" s="66"/>
      <c r="C917" s="67"/>
      <c r="D917" s="67"/>
      <c r="E917" s="67"/>
      <c r="F917" s="67"/>
      <c r="G917" s="67"/>
      <c r="H917" s="67"/>
      <c r="I917" s="66"/>
    </row>
    <row r="918" spans="1:9">
      <c r="A918" s="63"/>
      <c r="B918" s="66"/>
      <c r="C918" s="67"/>
      <c r="D918" s="67"/>
      <c r="E918" s="67"/>
      <c r="F918" s="67"/>
      <c r="G918" s="67"/>
      <c r="H918" s="67"/>
      <c r="I918" s="66"/>
    </row>
    <row r="919" spans="1:9">
      <c r="A919" s="63"/>
      <c r="B919" s="66"/>
      <c r="C919" s="67"/>
      <c r="D919" s="67"/>
      <c r="E919" s="67"/>
      <c r="F919" s="67"/>
      <c r="G919" s="67"/>
      <c r="H919" s="67"/>
      <c r="I919" s="66"/>
    </row>
    <row r="920" spans="1:9">
      <c r="A920" s="63"/>
      <c r="B920" s="67"/>
      <c r="C920" s="66"/>
      <c r="D920" s="66"/>
      <c r="E920" s="67"/>
      <c r="F920" s="67"/>
      <c r="G920" s="67"/>
      <c r="H920" s="67"/>
      <c r="I920" s="66"/>
    </row>
    <row r="921" spans="1:9">
      <c r="A921" s="63"/>
      <c r="B921" s="66"/>
      <c r="C921" s="67"/>
      <c r="D921" s="67"/>
      <c r="E921" s="67"/>
      <c r="F921" s="67"/>
      <c r="G921" s="67"/>
      <c r="H921" s="67"/>
      <c r="I921" s="66"/>
    </row>
    <row r="922" spans="1:9">
      <c r="A922" s="63"/>
      <c r="B922" s="67"/>
      <c r="C922" s="67"/>
      <c r="D922" s="67"/>
      <c r="E922" s="67"/>
      <c r="F922" s="67"/>
      <c r="G922" s="67"/>
      <c r="H922" s="66"/>
      <c r="I922" s="66"/>
    </row>
    <row r="923" spans="1:9">
      <c r="A923" s="63"/>
      <c r="B923" s="66"/>
      <c r="C923" s="67"/>
      <c r="D923" s="67"/>
      <c r="E923" s="67"/>
      <c r="F923" s="67"/>
      <c r="G923" s="67"/>
      <c r="H923" s="67"/>
      <c r="I923" s="66"/>
    </row>
    <row r="924" spans="1:9">
      <c r="A924" s="63"/>
      <c r="B924" s="66"/>
      <c r="C924" s="67"/>
      <c r="D924" s="67"/>
      <c r="E924" s="67"/>
      <c r="F924" s="67"/>
      <c r="G924" s="67"/>
      <c r="H924" s="67"/>
      <c r="I924" s="66"/>
    </row>
    <row r="925" spans="1:9">
      <c r="A925" s="63"/>
      <c r="B925" s="66"/>
      <c r="C925" s="66"/>
      <c r="D925" s="66"/>
      <c r="E925" s="67"/>
      <c r="F925" s="67"/>
      <c r="G925" s="67"/>
      <c r="H925" s="67"/>
      <c r="I925" s="66"/>
    </row>
    <row r="926" spans="1:9">
      <c r="A926" s="63"/>
      <c r="B926" s="66"/>
      <c r="C926" s="66"/>
      <c r="D926" s="66"/>
      <c r="E926" s="66"/>
      <c r="F926" s="67"/>
      <c r="G926" s="67"/>
      <c r="H926" s="67"/>
      <c r="I926" s="66"/>
    </row>
    <row r="927" spans="1:9">
      <c r="A927" s="63"/>
      <c r="B927" s="66"/>
      <c r="C927" s="67"/>
      <c r="D927" s="67"/>
      <c r="E927" s="67"/>
      <c r="F927" s="67"/>
      <c r="G927" s="67"/>
      <c r="H927" s="67"/>
      <c r="I927" s="66"/>
    </row>
    <row r="928" spans="1:9">
      <c r="A928" s="63"/>
      <c r="B928" s="66"/>
      <c r="C928" s="67"/>
      <c r="D928" s="67"/>
      <c r="E928" s="67"/>
      <c r="F928" s="67"/>
      <c r="G928" s="67"/>
      <c r="H928" s="67"/>
      <c r="I928" s="66"/>
    </row>
    <row r="929" spans="1:9">
      <c r="A929" s="63"/>
      <c r="B929" s="66"/>
      <c r="C929" s="67"/>
      <c r="D929" s="67"/>
      <c r="E929" s="67"/>
      <c r="F929" s="67"/>
      <c r="G929" s="67"/>
      <c r="H929" s="67"/>
      <c r="I929" s="66"/>
    </row>
    <row r="930" spans="1:9">
      <c r="A930" s="63"/>
      <c r="B930" s="66"/>
      <c r="C930" s="66"/>
      <c r="D930" s="66"/>
      <c r="E930" s="67"/>
      <c r="F930" s="67"/>
      <c r="G930" s="67"/>
      <c r="H930" s="67"/>
      <c r="I930" s="66"/>
    </row>
    <row r="931" spans="1:9">
      <c r="A931" s="63"/>
      <c r="B931" s="66"/>
      <c r="C931" s="67"/>
      <c r="D931" s="67"/>
      <c r="E931" s="67"/>
      <c r="F931" s="67"/>
      <c r="G931" s="67"/>
      <c r="H931" s="67"/>
      <c r="I931" s="66"/>
    </row>
    <row r="932" spans="1:9">
      <c r="A932" s="63"/>
      <c r="B932" s="66"/>
      <c r="C932" s="67"/>
      <c r="D932" s="67"/>
      <c r="E932" s="67"/>
      <c r="F932" s="67"/>
      <c r="G932" s="67"/>
      <c r="H932" s="67"/>
      <c r="I932" s="66"/>
    </row>
    <row r="933" spans="1:9">
      <c r="A933" s="63"/>
      <c r="B933" s="66"/>
      <c r="C933" s="66"/>
      <c r="D933" s="67"/>
      <c r="E933" s="67"/>
      <c r="F933" s="67"/>
      <c r="G933" s="67"/>
      <c r="H933" s="67"/>
      <c r="I933" s="66"/>
    </row>
    <row r="934" spans="1:9">
      <c r="A934" s="63"/>
      <c r="B934" s="66"/>
      <c r="C934" s="67"/>
      <c r="D934" s="67"/>
      <c r="E934" s="67"/>
      <c r="F934" s="67"/>
      <c r="G934" s="67"/>
      <c r="H934" s="67"/>
      <c r="I934" s="66"/>
    </row>
    <row r="935" spans="1:9">
      <c r="A935" s="63"/>
      <c r="B935" s="66"/>
      <c r="C935" s="66"/>
      <c r="D935" s="66"/>
      <c r="E935" s="66"/>
      <c r="F935" s="67"/>
      <c r="G935" s="67"/>
      <c r="H935" s="67"/>
      <c r="I935" s="66"/>
    </row>
    <row r="936" spans="1:9">
      <c r="A936" s="63"/>
      <c r="B936" s="66"/>
      <c r="C936" s="67"/>
      <c r="D936" s="67"/>
      <c r="E936" s="67"/>
      <c r="F936" s="67"/>
      <c r="G936" s="67"/>
      <c r="H936" s="67"/>
      <c r="I936" s="66"/>
    </row>
    <row r="937" spans="1:9">
      <c r="A937" s="63"/>
      <c r="B937" s="66"/>
      <c r="C937" s="66"/>
      <c r="D937" s="67"/>
      <c r="E937" s="67"/>
      <c r="F937" s="67"/>
      <c r="G937" s="67"/>
      <c r="H937" s="67"/>
      <c r="I937" s="66"/>
    </row>
    <row r="938" spans="1:9">
      <c r="A938" s="63"/>
      <c r="B938" s="66"/>
      <c r="C938" s="67"/>
      <c r="D938" s="67"/>
      <c r="E938" s="67"/>
      <c r="F938" s="67"/>
      <c r="G938" s="67"/>
      <c r="H938" s="67"/>
      <c r="I938" s="66"/>
    </row>
    <row r="939" spans="1:9">
      <c r="A939" s="63"/>
      <c r="B939" s="66"/>
      <c r="C939" s="67"/>
      <c r="D939" s="67"/>
      <c r="E939" s="67"/>
      <c r="F939" s="67"/>
      <c r="G939" s="67"/>
      <c r="H939" s="67"/>
      <c r="I939" s="66"/>
    </row>
    <row r="940" spans="1:9">
      <c r="A940" s="63"/>
      <c r="B940" s="66"/>
      <c r="C940" s="67"/>
      <c r="D940" s="67"/>
      <c r="E940" s="67"/>
      <c r="F940" s="67"/>
      <c r="G940" s="67"/>
      <c r="H940" s="67"/>
      <c r="I940" s="66"/>
    </row>
    <row r="941" spans="1:9">
      <c r="A941" s="63"/>
      <c r="B941" s="66"/>
      <c r="C941" s="66"/>
      <c r="D941" s="67"/>
      <c r="E941" s="67"/>
      <c r="F941" s="67"/>
      <c r="G941" s="67"/>
      <c r="H941" s="67"/>
      <c r="I941" s="66"/>
    </row>
    <row r="942" spans="1:9">
      <c r="A942" s="63"/>
      <c r="B942" s="66"/>
      <c r="C942" s="67"/>
      <c r="D942" s="67"/>
      <c r="E942" s="67"/>
      <c r="F942" s="67"/>
      <c r="G942" s="67"/>
      <c r="H942" s="67"/>
      <c r="I942" s="66"/>
    </row>
    <row r="943" spans="1:9">
      <c r="A943" s="63"/>
      <c r="B943" s="66"/>
      <c r="C943" s="67"/>
      <c r="D943" s="67"/>
      <c r="E943" s="67"/>
      <c r="F943" s="67"/>
      <c r="G943" s="67"/>
      <c r="H943" s="67"/>
      <c r="I943" s="66"/>
    </row>
    <row r="944" spans="1:9">
      <c r="A944" s="63"/>
      <c r="B944" s="67"/>
      <c r="C944" s="66"/>
      <c r="D944" s="67"/>
      <c r="E944" s="66"/>
      <c r="F944" s="67"/>
      <c r="G944" s="66"/>
      <c r="H944" s="67"/>
      <c r="I944" s="66"/>
    </row>
    <row r="945" spans="1:9">
      <c r="A945" s="63"/>
      <c r="B945" s="66"/>
      <c r="C945" s="67"/>
      <c r="D945" s="67"/>
      <c r="E945" s="67"/>
      <c r="F945" s="67"/>
      <c r="G945" s="67"/>
      <c r="H945" s="67"/>
      <c r="I945" s="66"/>
    </row>
    <row r="946" spans="1:9">
      <c r="A946" s="63"/>
      <c r="B946" s="66"/>
      <c r="C946" s="67"/>
      <c r="D946" s="67"/>
      <c r="E946" s="67"/>
      <c r="F946" s="67"/>
      <c r="G946" s="67"/>
      <c r="H946" s="67"/>
      <c r="I946" s="66"/>
    </row>
    <row r="947" spans="1:9">
      <c r="A947" s="63"/>
      <c r="B947" s="66"/>
      <c r="C947" s="67"/>
      <c r="D947" s="67"/>
      <c r="E947" s="67"/>
      <c r="F947" s="67"/>
      <c r="G947" s="67"/>
      <c r="H947" s="67"/>
      <c r="I947" s="66"/>
    </row>
    <row r="948" spans="1:9">
      <c r="A948" s="63"/>
      <c r="B948" s="66"/>
      <c r="C948" s="67"/>
      <c r="D948" s="67"/>
      <c r="E948" s="67"/>
      <c r="F948" s="67"/>
      <c r="G948" s="67"/>
      <c r="H948" s="67"/>
      <c r="I948" s="66"/>
    </row>
    <row r="949" spans="1:9">
      <c r="A949" s="63"/>
      <c r="B949" s="66"/>
      <c r="C949" s="66"/>
      <c r="D949" s="67"/>
      <c r="E949" s="67"/>
      <c r="F949" s="67"/>
      <c r="G949" s="67"/>
      <c r="H949" s="67"/>
      <c r="I949" s="66"/>
    </row>
    <row r="950" spans="1:9">
      <c r="A950" s="63"/>
      <c r="B950" s="66"/>
      <c r="C950" s="66"/>
      <c r="D950" s="67"/>
      <c r="E950" s="67"/>
      <c r="F950" s="67"/>
      <c r="G950" s="67"/>
      <c r="H950" s="67"/>
      <c r="I950" s="66"/>
    </row>
    <row r="951" spans="1:9">
      <c r="A951" s="63"/>
      <c r="B951" s="66"/>
      <c r="C951" s="67"/>
      <c r="D951" s="67"/>
      <c r="E951" s="67"/>
      <c r="F951" s="67"/>
      <c r="G951" s="67"/>
      <c r="H951" s="67"/>
      <c r="I951" s="66"/>
    </row>
    <row r="952" spans="1:9">
      <c r="A952" s="63"/>
      <c r="B952" s="66"/>
      <c r="C952" s="66"/>
      <c r="D952" s="67"/>
      <c r="E952" s="67"/>
      <c r="F952" s="67"/>
      <c r="G952" s="67"/>
      <c r="H952" s="67"/>
      <c r="I952" s="66"/>
    </row>
    <row r="953" spans="1:9">
      <c r="A953" s="63"/>
      <c r="B953" s="67"/>
      <c r="C953" s="67"/>
      <c r="D953" s="67"/>
      <c r="E953" s="67"/>
      <c r="F953" s="67"/>
      <c r="G953" s="66"/>
      <c r="H953" s="67"/>
      <c r="I953" s="66"/>
    </row>
    <row r="954" spans="1:9">
      <c r="A954" s="63"/>
      <c r="B954" s="66"/>
      <c r="C954" s="67"/>
      <c r="D954" s="67"/>
      <c r="E954" s="67"/>
      <c r="F954" s="67"/>
      <c r="G954" s="67"/>
      <c r="H954" s="67"/>
      <c r="I954" s="66"/>
    </row>
    <row r="955" spans="1:9">
      <c r="A955" s="63"/>
      <c r="B955" s="66"/>
      <c r="C955" s="67"/>
      <c r="D955" s="67"/>
      <c r="E955" s="67"/>
      <c r="F955" s="67"/>
      <c r="G955" s="67"/>
      <c r="H955" s="67"/>
      <c r="I955" s="66"/>
    </row>
    <row r="956" spans="1:9">
      <c r="A956" s="63"/>
      <c r="B956" s="66"/>
      <c r="C956" s="67"/>
      <c r="D956" s="67"/>
      <c r="E956" s="67"/>
      <c r="F956" s="67"/>
      <c r="G956" s="67"/>
      <c r="H956" s="67"/>
      <c r="I956" s="66"/>
    </row>
    <row r="957" spans="1:9">
      <c r="A957" s="63"/>
      <c r="B957" s="66"/>
      <c r="C957" s="67"/>
      <c r="D957" s="67"/>
      <c r="E957" s="67"/>
      <c r="F957" s="67"/>
      <c r="G957" s="67"/>
      <c r="H957" s="67"/>
      <c r="I957" s="66"/>
    </row>
    <row r="958" spans="1:9">
      <c r="A958" s="63"/>
      <c r="B958" s="66"/>
      <c r="C958" s="67"/>
      <c r="D958" s="67"/>
      <c r="E958" s="67"/>
      <c r="F958" s="67"/>
      <c r="G958" s="67"/>
      <c r="H958" s="67"/>
      <c r="I958" s="66"/>
    </row>
    <row r="959" spans="1:9">
      <c r="A959" s="63"/>
      <c r="B959" s="66"/>
      <c r="C959" s="67"/>
      <c r="D959" s="67"/>
      <c r="E959" s="67"/>
      <c r="F959" s="67"/>
      <c r="G959" s="67"/>
      <c r="H959" s="67"/>
      <c r="I959" s="66"/>
    </row>
    <row r="960" spans="1:9">
      <c r="A960" s="63"/>
      <c r="B960" s="66"/>
      <c r="C960" s="67"/>
      <c r="D960" s="67"/>
      <c r="E960" s="67"/>
      <c r="F960" s="67"/>
      <c r="G960" s="67"/>
      <c r="H960" s="67"/>
      <c r="I960" s="66"/>
    </row>
    <row r="961" spans="1:9">
      <c r="A961" s="63"/>
      <c r="B961" s="66"/>
      <c r="C961" s="66"/>
      <c r="D961" s="67"/>
      <c r="E961" s="67"/>
      <c r="F961" s="67"/>
      <c r="G961" s="67"/>
      <c r="H961" s="67"/>
      <c r="I961" s="66"/>
    </row>
    <row r="962" spans="1:9">
      <c r="A962" s="63"/>
      <c r="B962" s="66"/>
      <c r="C962" s="67"/>
      <c r="D962" s="67"/>
      <c r="E962" s="67"/>
      <c r="F962" s="67"/>
      <c r="G962" s="67"/>
      <c r="H962" s="67"/>
      <c r="I962" s="66"/>
    </row>
    <row r="963" spans="1:9">
      <c r="A963" s="63"/>
      <c r="B963" s="66"/>
      <c r="C963" s="67"/>
      <c r="D963" s="67"/>
      <c r="E963" s="66"/>
      <c r="F963" s="67"/>
      <c r="G963" s="67"/>
      <c r="H963" s="67"/>
      <c r="I963" s="66"/>
    </row>
    <row r="964" spans="1:9">
      <c r="A964" s="63"/>
      <c r="B964" s="66"/>
      <c r="C964" s="67"/>
      <c r="D964" s="67"/>
      <c r="E964" s="67"/>
      <c r="F964" s="67"/>
      <c r="G964" s="67"/>
      <c r="H964" s="67"/>
      <c r="I964" s="66"/>
    </row>
    <row r="965" spans="1:9">
      <c r="A965" s="63"/>
      <c r="B965" s="66"/>
      <c r="C965" s="67"/>
      <c r="D965" s="67"/>
      <c r="E965" s="67"/>
      <c r="F965" s="67"/>
      <c r="G965" s="67"/>
      <c r="H965" s="67"/>
      <c r="I965" s="66"/>
    </row>
    <row r="966" spans="1:9">
      <c r="A966" s="63"/>
      <c r="B966" s="66"/>
      <c r="C966" s="67"/>
      <c r="D966" s="67"/>
      <c r="E966" s="67"/>
      <c r="F966" s="67"/>
      <c r="G966" s="67"/>
      <c r="H966" s="67"/>
      <c r="I966" s="66"/>
    </row>
    <row r="967" spans="1:9">
      <c r="A967" s="63"/>
      <c r="B967" s="67"/>
      <c r="C967" s="67"/>
      <c r="D967" s="67"/>
      <c r="E967" s="66"/>
      <c r="F967" s="66"/>
      <c r="G967" s="67"/>
      <c r="H967" s="67"/>
      <c r="I967" s="66"/>
    </row>
    <row r="968" spans="1:9">
      <c r="A968" s="63"/>
      <c r="B968" s="66"/>
      <c r="C968" s="67"/>
      <c r="D968" s="67"/>
      <c r="E968" s="67"/>
      <c r="F968" s="67"/>
      <c r="G968" s="67"/>
      <c r="H968" s="67"/>
      <c r="I968" s="66"/>
    </row>
    <row r="969" spans="1:9">
      <c r="A969" s="63"/>
      <c r="B969" s="66"/>
      <c r="C969" s="67"/>
      <c r="D969" s="67"/>
      <c r="E969" s="67"/>
      <c r="F969" s="67"/>
      <c r="G969" s="67"/>
      <c r="H969" s="67"/>
      <c r="I969" s="66"/>
    </row>
    <row r="970" spans="1:9">
      <c r="A970" s="63"/>
      <c r="B970" s="66"/>
      <c r="C970" s="67"/>
      <c r="D970" s="67"/>
      <c r="E970" s="67"/>
      <c r="F970" s="67"/>
      <c r="G970" s="67"/>
      <c r="H970" s="67"/>
      <c r="I970" s="66"/>
    </row>
    <row r="971" spans="1:9">
      <c r="A971" s="63"/>
      <c r="B971" s="66"/>
      <c r="C971" s="67"/>
      <c r="D971" s="67"/>
      <c r="E971" s="67"/>
      <c r="F971" s="67"/>
      <c r="G971" s="67"/>
      <c r="H971" s="67"/>
      <c r="I971" s="66"/>
    </row>
    <row r="972" spans="1:9">
      <c r="A972" s="63"/>
      <c r="B972" s="66"/>
      <c r="C972" s="66"/>
      <c r="D972" s="67"/>
      <c r="E972" s="67"/>
      <c r="F972" s="67"/>
      <c r="G972" s="67"/>
      <c r="H972" s="67"/>
      <c r="I972" s="66"/>
    </row>
    <row r="973" spans="1:9">
      <c r="A973" s="63"/>
      <c r="B973" s="66"/>
      <c r="C973" s="67"/>
      <c r="D973" s="67"/>
      <c r="E973" s="67"/>
      <c r="F973" s="67"/>
      <c r="G973" s="67"/>
      <c r="H973" s="67"/>
      <c r="I973" s="66"/>
    </row>
    <row r="974" spans="1:9">
      <c r="A974" s="63"/>
      <c r="B974" s="66"/>
      <c r="C974" s="67"/>
      <c r="D974" s="67"/>
      <c r="E974" s="67"/>
      <c r="F974" s="67"/>
      <c r="G974" s="67"/>
      <c r="H974" s="67"/>
      <c r="I974" s="66"/>
    </row>
    <row r="975" spans="1:9">
      <c r="A975" s="63"/>
      <c r="B975" s="66"/>
      <c r="C975" s="67"/>
      <c r="D975" s="67"/>
      <c r="E975" s="67"/>
      <c r="F975" s="67"/>
      <c r="G975" s="67"/>
      <c r="H975" s="67"/>
      <c r="I975" s="66"/>
    </row>
    <row r="976" spans="1:9">
      <c r="A976" s="63"/>
      <c r="B976" s="66"/>
      <c r="C976" s="66"/>
      <c r="D976" s="66"/>
      <c r="E976" s="67"/>
      <c r="F976" s="67"/>
      <c r="G976" s="67"/>
      <c r="H976" s="67"/>
      <c r="I976" s="66"/>
    </row>
    <row r="977" spans="1:9">
      <c r="A977" s="63"/>
      <c r="B977" s="66"/>
      <c r="C977" s="67"/>
      <c r="D977" s="67"/>
      <c r="E977" s="67"/>
      <c r="F977" s="67"/>
      <c r="G977" s="67"/>
      <c r="H977" s="67"/>
      <c r="I977" s="66"/>
    </row>
    <row r="978" spans="1:9">
      <c r="A978" s="63"/>
      <c r="B978" s="66"/>
      <c r="C978" s="67"/>
      <c r="D978" s="67"/>
      <c r="E978" s="67"/>
      <c r="F978" s="67"/>
      <c r="G978" s="67"/>
      <c r="H978" s="67"/>
      <c r="I978" s="66"/>
    </row>
    <row r="979" spans="1:9">
      <c r="A979" s="63"/>
      <c r="B979" s="66"/>
      <c r="C979" s="67"/>
      <c r="D979" s="67"/>
      <c r="E979" s="67"/>
      <c r="F979" s="67"/>
      <c r="G979" s="67"/>
      <c r="H979" s="67"/>
      <c r="I979" s="66"/>
    </row>
    <row r="980" spans="1:9">
      <c r="A980" s="63"/>
      <c r="B980" s="66"/>
      <c r="C980" s="67"/>
      <c r="D980" s="67"/>
      <c r="E980" s="67"/>
      <c r="F980" s="67"/>
      <c r="G980" s="67"/>
      <c r="H980" s="67"/>
      <c r="I980" s="66"/>
    </row>
    <row r="981" spans="1:9">
      <c r="A981" s="63"/>
      <c r="B981" s="66"/>
      <c r="C981" s="67"/>
      <c r="D981" s="67"/>
      <c r="E981" s="67"/>
      <c r="F981" s="67"/>
      <c r="G981" s="67"/>
      <c r="H981" s="67"/>
      <c r="I981" s="66"/>
    </row>
    <row r="982" spans="1:9">
      <c r="A982" s="63"/>
      <c r="B982" s="66"/>
      <c r="C982" s="66"/>
      <c r="D982" s="67"/>
      <c r="E982" s="67"/>
      <c r="F982" s="67"/>
      <c r="G982" s="67"/>
      <c r="H982" s="67"/>
      <c r="I982" s="66"/>
    </row>
    <row r="983" spans="1:9">
      <c r="A983" s="63"/>
      <c r="B983" s="66"/>
      <c r="C983" s="67"/>
      <c r="D983" s="67"/>
      <c r="E983" s="67"/>
      <c r="F983" s="67"/>
      <c r="G983" s="67"/>
      <c r="H983" s="67"/>
      <c r="I983" s="66"/>
    </row>
    <row r="984" spans="1:9">
      <c r="A984" s="63"/>
      <c r="B984" s="67"/>
      <c r="C984" s="67"/>
      <c r="D984" s="67"/>
      <c r="E984" s="67"/>
      <c r="F984" s="67"/>
      <c r="G984" s="67"/>
      <c r="H984" s="66"/>
      <c r="I984" s="66"/>
    </row>
    <row r="985" spans="1:9">
      <c r="A985" s="63"/>
      <c r="B985" s="66"/>
      <c r="C985" s="66"/>
      <c r="D985" s="67"/>
      <c r="E985" s="67"/>
      <c r="F985" s="67"/>
      <c r="G985" s="67"/>
      <c r="H985" s="67"/>
      <c r="I985" s="66"/>
    </row>
    <row r="986" spans="1:9">
      <c r="A986" s="63"/>
      <c r="B986" s="66"/>
      <c r="C986" s="67"/>
      <c r="D986" s="67"/>
      <c r="E986" s="67"/>
      <c r="F986" s="67"/>
      <c r="G986" s="67"/>
      <c r="H986" s="67"/>
      <c r="I986" s="66"/>
    </row>
    <row r="987" spans="1:9">
      <c r="A987" s="63"/>
      <c r="B987" s="66"/>
      <c r="C987" s="67"/>
      <c r="D987" s="67"/>
      <c r="E987" s="67"/>
      <c r="F987" s="67"/>
      <c r="G987" s="67"/>
      <c r="H987" s="67"/>
      <c r="I987" s="66"/>
    </row>
    <row r="988" spans="1:9">
      <c r="A988" s="63"/>
      <c r="B988" s="66"/>
      <c r="C988" s="66"/>
      <c r="D988" s="67"/>
      <c r="E988" s="67"/>
      <c r="F988" s="67"/>
      <c r="G988" s="67"/>
      <c r="H988" s="67"/>
      <c r="I988" s="66"/>
    </row>
    <row r="989" spans="1:9">
      <c r="A989" s="63"/>
      <c r="B989" s="66"/>
      <c r="C989" s="66"/>
      <c r="D989" s="67"/>
      <c r="E989" s="67"/>
      <c r="F989" s="67"/>
      <c r="G989" s="67"/>
      <c r="H989" s="67"/>
      <c r="I989" s="66"/>
    </row>
    <row r="990" spans="1:9">
      <c r="A990" s="63"/>
      <c r="B990" s="66"/>
      <c r="C990" s="67"/>
      <c r="D990" s="67"/>
      <c r="E990" s="67"/>
      <c r="F990" s="67"/>
      <c r="G990" s="67"/>
      <c r="H990" s="67"/>
      <c r="I990" s="66"/>
    </row>
    <row r="991" spans="1:9">
      <c r="A991" s="63"/>
      <c r="B991" s="66"/>
      <c r="C991" s="67"/>
      <c r="D991" s="67"/>
      <c r="E991" s="67"/>
      <c r="F991" s="67"/>
      <c r="G991" s="67"/>
      <c r="H991" s="67"/>
      <c r="I991" s="66"/>
    </row>
    <row r="992" spans="1:9">
      <c r="A992" s="63"/>
      <c r="B992" s="66"/>
      <c r="C992" s="67"/>
      <c r="D992" s="67"/>
      <c r="E992" s="67"/>
      <c r="F992" s="67"/>
      <c r="G992" s="67"/>
      <c r="H992" s="67"/>
      <c r="I992" s="66"/>
    </row>
    <row r="993" spans="1:9">
      <c r="A993" s="63"/>
      <c r="B993" s="66"/>
      <c r="C993" s="67"/>
      <c r="D993" s="67"/>
      <c r="E993" s="67"/>
      <c r="F993" s="67"/>
      <c r="G993" s="67"/>
      <c r="H993" s="67"/>
      <c r="I993" s="66"/>
    </row>
    <row r="994" spans="1:9">
      <c r="A994" s="63"/>
      <c r="B994" s="66"/>
      <c r="C994" s="67"/>
      <c r="D994" s="67"/>
      <c r="E994" s="67"/>
      <c r="F994" s="67"/>
      <c r="G994" s="67"/>
      <c r="H994" s="67"/>
      <c r="I994" s="66"/>
    </row>
    <row r="995" spans="1:9">
      <c r="A995" s="63"/>
      <c r="B995" s="66"/>
      <c r="C995" s="67"/>
      <c r="D995" s="67"/>
      <c r="E995" s="67"/>
      <c r="F995" s="67"/>
      <c r="G995" s="67"/>
      <c r="H995" s="67"/>
      <c r="I995" s="66"/>
    </row>
    <row r="996" spans="1:9">
      <c r="A996" s="63"/>
      <c r="B996" s="66"/>
      <c r="C996" s="67"/>
      <c r="D996" s="67"/>
      <c r="E996" s="67"/>
      <c r="F996" s="67"/>
      <c r="G996" s="67"/>
      <c r="H996" s="67"/>
      <c r="I996" s="66"/>
    </row>
    <row r="997" spans="1:9">
      <c r="A997" s="63"/>
      <c r="B997" s="66"/>
      <c r="C997" s="67"/>
      <c r="D997" s="67"/>
      <c r="E997" s="67"/>
      <c r="F997" s="67"/>
      <c r="G997" s="67"/>
      <c r="H997" s="67"/>
      <c r="I997" s="66"/>
    </row>
    <row r="998" spans="1:9">
      <c r="A998" s="63"/>
      <c r="B998" s="66"/>
      <c r="C998" s="67"/>
      <c r="D998" s="67"/>
      <c r="E998" s="67"/>
      <c r="F998" s="67"/>
      <c r="G998" s="67"/>
      <c r="H998" s="67"/>
      <c r="I998" s="66"/>
    </row>
    <row r="999" spans="1:9">
      <c r="A999" s="63"/>
      <c r="B999" s="67"/>
      <c r="C999" s="67"/>
      <c r="D999" s="67"/>
      <c r="E999" s="67"/>
      <c r="F999" s="66"/>
      <c r="G999" s="66"/>
      <c r="H999" s="67"/>
      <c r="I999" s="66"/>
    </row>
    <row r="1000" spans="1:9">
      <c r="A1000" s="63"/>
      <c r="B1000" s="66"/>
      <c r="C1000" s="67"/>
      <c r="D1000" s="67"/>
      <c r="E1000" s="67"/>
      <c r="F1000" s="67"/>
      <c r="G1000" s="67"/>
      <c r="H1000" s="67"/>
      <c r="I1000" s="66"/>
    </row>
    <row r="1001" spans="1:9">
      <c r="A1001" s="63"/>
      <c r="B1001" s="66"/>
      <c r="C1001" s="66"/>
      <c r="D1001" s="67"/>
      <c r="E1001" s="67"/>
      <c r="F1001" s="67"/>
      <c r="G1001" s="67"/>
      <c r="H1001" s="67"/>
      <c r="I1001" s="66"/>
    </row>
    <row r="1002" spans="1:9">
      <c r="A1002" s="63"/>
      <c r="B1002" s="66"/>
      <c r="C1002" s="67"/>
      <c r="D1002" s="67"/>
      <c r="E1002" s="67"/>
      <c r="F1002" s="67"/>
      <c r="G1002" s="67"/>
      <c r="H1002" s="67"/>
      <c r="I1002" s="66"/>
    </row>
    <row r="1003" spans="1:9">
      <c r="A1003" s="63"/>
      <c r="B1003" s="66"/>
      <c r="C1003" s="66"/>
      <c r="D1003" s="67"/>
      <c r="E1003" s="67"/>
      <c r="F1003" s="67"/>
      <c r="G1003" s="67"/>
      <c r="H1003" s="67"/>
      <c r="I1003" s="66"/>
    </row>
    <row r="1004" spans="1:9">
      <c r="A1004" s="63"/>
      <c r="B1004" s="66"/>
      <c r="C1004" s="67"/>
      <c r="D1004" s="67"/>
      <c r="E1004" s="67"/>
      <c r="F1004" s="67"/>
      <c r="G1004" s="67"/>
      <c r="H1004" s="67"/>
      <c r="I1004" s="66"/>
    </row>
    <row r="1005" spans="1:9">
      <c r="A1005" s="63"/>
      <c r="B1005" s="66"/>
      <c r="C1005" s="67"/>
      <c r="D1005" s="67"/>
      <c r="E1005" s="67"/>
      <c r="F1005" s="67"/>
      <c r="G1005" s="67"/>
      <c r="H1005" s="67"/>
      <c r="I1005" s="66"/>
    </row>
    <row r="1006" spans="1:9">
      <c r="A1006" s="63"/>
      <c r="B1006" s="66"/>
      <c r="C1006" s="67"/>
      <c r="D1006" s="67"/>
      <c r="E1006" s="67"/>
      <c r="F1006" s="67"/>
      <c r="G1006" s="67"/>
      <c r="H1006" s="67"/>
      <c r="I1006" s="66"/>
    </row>
    <row r="1007" spans="1:9">
      <c r="A1007" s="63"/>
      <c r="B1007" s="66"/>
      <c r="C1007" s="66"/>
      <c r="D1007" s="67"/>
      <c r="E1007" s="67"/>
      <c r="F1007" s="67"/>
      <c r="G1007" s="67"/>
      <c r="H1007" s="67"/>
      <c r="I1007" s="66"/>
    </row>
    <row r="1008" spans="1:9">
      <c r="A1008" s="63"/>
      <c r="B1008" s="66"/>
      <c r="C1008" s="67"/>
      <c r="D1008" s="67"/>
      <c r="E1008" s="67"/>
      <c r="F1008" s="67"/>
      <c r="G1008" s="67"/>
      <c r="H1008" s="67"/>
      <c r="I1008" s="66"/>
    </row>
    <row r="1009" spans="1:9">
      <c r="A1009" s="63"/>
      <c r="B1009" s="66"/>
      <c r="C1009" s="67"/>
      <c r="D1009" s="67"/>
      <c r="E1009" s="67"/>
      <c r="F1009" s="67"/>
      <c r="G1009" s="67"/>
      <c r="H1009" s="67"/>
      <c r="I1009" s="66"/>
    </row>
    <row r="1010" spans="1:9">
      <c r="A1010" s="63"/>
      <c r="B1010" s="66"/>
      <c r="C1010" s="67"/>
      <c r="D1010" s="67"/>
      <c r="E1010" s="67"/>
      <c r="F1010" s="67"/>
      <c r="G1010" s="67"/>
      <c r="H1010" s="67"/>
      <c r="I1010" s="66"/>
    </row>
    <row r="1011" spans="1:9">
      <c r="A1011" s="63"/>
      <c r="B1011" s="66"/>
      <c r="C1011" s="66"/>
      <c r="D1011" s="67"/>
      <c r="E1011" s="67"/>
      <c r="F1011" s="67"/>
      <c r="G1011" s="67"/>
      <c r="H1011" s="67"/>
      <c r="I1011" s="66"/>
    </row>
    <row r="1012" spans="1:9">
      <c r="A1012" s="63"/>
      <c r="B1012" s="66"/>
      <c r="C1012" s="67"/>
      <c r="D1012" s="67"/>
      <c r="E1012" s="67"/>
      <c r="F1012" s="67"/>
      <c r="G1012" s="67"/>
      <c r="H1012" s="67"/>
      <c r="I1012" s="66"/>
    </row>
    <row r="1013" spans="1:9">
      <c r="A1013" s="63"/>
      <c r="B1013" s="66"/>
      <c r="C1013" s="67"/>
      <c r="D1013" s="67"/>
      <c r="E1013" s="67"/>
      <c r="F1013" s="67"/>
      <c r="G1013" s="67"/>
      <c r="H1013" s="67"/>
      <c r="I1013" s="66"/>
    </row>
    <row r="1014" spans="1:9">
      <c r="A1014" s="63"/>
      <c r="B1014" s="66"/>
      <c r="C1014" s="66"/>
      <c r="D1014" s="67"/>
      <c r="E1014" s="67"/>
      <c r="F1014" s="67"/>
      <c r="G1014" s="66"/>
      <c r="H1014" s="67"/>
      <c r="I1014" s="66"/>
    </row>
    <row r="1015" spans="1:9">
      <c r="A1015" s="63"/>
      <c r="B1015" s="66"/>
      <c r="C1015" s="67"/>
      <c r="D1015" s="67"/>
      <c r="E1015" s="67"/>
      <c r="F1015" s="67"/>
      <c r="G1015" s="67"/>
      <c r="H1015" s="67"/>
      <c r="I1015" s="66"/>
    </row>
    <row r="1016" spans="1:9">
      <c r="A1016" s="63"/>
      <c r="B1016" s="66"/>
      <c r="C1016" s="67"/>
      <c r="D1016" s="67"/>
      <c r="E1016" s="67"/>
      <c r="F1016" s="67"/>
      <c r="G1016" s="67"/>
      <c r="H1016" s="67"/>
      <c r="I1016" s="66"/>
    </row>
    <row r="1017" spans="1:9">
      <c r="A1017" s="63"/>
      <c r="B1017" s="66"/>
      <c r="C1017" s="67"/>
      <c r="D1017" s="67"/>
      <c r="E1017" s="67"/>
      <c r="F1017" s="67"/>
      <c r="G1017" s="67"/>
      <c r="H1017" s="67"/>
      <c r="I1017" s="66"/>
    </row>
    <row r="1018" spans="1:9">
      <c r="A1018" s="63"/>
      <c r="B1018" s="66"/>
      <c r="C1018" s="67"/>
      <c r="D1018" s="67"/>
      <c r="E1018" s="67"/>
      <c r="F1018" s="67"/>
      <c r="G1018" s="67"/>
      <c r="H1018" s="67"/>
      <c r="I1018" s="66"/>
    </row>
    <row r="1019" spans="1:9">
      <c r="A1019" s="63"/>
      <c r="B1019" s="66"/>
      <c r="C1019" s="67"/>
      <c r="D1019" s="67"/>
      <c r="E1019" s="67"/>
      <c r="F1019" s="67"/>
      <c r="G1019" s="67"/>
      <c r="H1019" s="67"/>
      <c r="I1019" s="66"/>
    </row>
    <row r="1020" spans="1:9">
      <c r="A1020" s="63"/>
      <c r="B1020" s="66"/>
      <c r="C1020" s="66"/>
      <c r="D1020" s="67"/>
      <c r="E1020" s="67"/>
      <c r="F1020" s="67"/>
      <c r="G1020" s="67"/>
      <c r="H1020" s="67"/>
      <c r="I1020" s="66"/>
    </row>
    <row r="1021" spans="1:9">
      <c r="A1021" s="63"/>
      <c r="B1021" s="66"/>
      <c r="C1021" s="67"/>
      <c r="D1021" s="67"/>
      <c r="E1021" s="67"/>
      <c r="F1021" s="67"/>
      <c r="G1021" s="67"/>
      <c r="H1021" s="67"/>
      <c r="I1021" s="66"/>
    </row>
    <row r="1022" spans="1:9">
      <c r="A1022" s="63"/>
      <c r="B1022" s="66"/>
      <c r="C1022" s="66"/>
      <c r="D1022" s="67"/>
      <c r="E1022" s="67"/>
      <c r="F1022" s="67"/>
      <c r="G1022" s="67"/>
      <c r="H1022" s="67"/>
      <c r="I1022" s="66"/>
    </row>
    <row r="1023" spans="1:9">
      <c r="A1023" s="63"/>
      <c r="B1023" s="66"/>
      <c r="C1023" s="67"/>
      <c r="D1023" s="67"/>
      <c r="E1023" s="67"/>
      <c r="F1023" s="67"/>
      <c r="G1023" s="67"/>
      <c r="H1023" s="67"/>
      <c r="I1023" s="66"/>
    </row>
    <row r="1024" spans="1:9">
      <c r="A1024" s="63"/>
      <c r="B1024" s="66"/>
      <c r="C1024" s="66"/>
      <c r="D1024" s="67"/>
      <c r="E1024" s="67"/>
      <c r="F1024" s="67"/>
      <c r="G1024" s="67"/>
      <c r="H1024" s="67"/>
      <c r="I1024" s="66"/>
    </row>
    <row r="1025" spans="1:9">
      <c r="A1025" s="63"/>
      <c r="B1025" s="67"/>
      <c r="C1025" s="66"/>
      <c r="D1025" s="67"/>
      <c r="E1025" s="67"/>
      <c r="F1025" s="67"/>
      <c r="G1025" s="67"/>
      <c r="H1025" s="67"/>
      <c r="I1025" s="66"/>
    </row>
    <row r="1026" spans="1:9">
      <c r="A1026" s="63"/>
      <c r="B1026" s="66"/>
      <c r="C1026" s="67"/>
      <c r="D1026" s="67"/>
      <c r="E1026" s="67"/>
      <c r="F1026" s="67"/>
      <c r="G1026" s="67"/>
      <c r="H1026" s="67"/>
      <c r="I1026" s="66"/>
    </row>
    <row r="1027" spans="1:9">
      <c r="A1027" s="63"/>
      <c r="B1027" s="66"/>
      <c r="C1027" s="66"/>
      <c r="D1027" s="66"/>
      <c r="E1027" s="67"/>
      <c r="F1027" s="67"/>
      <c r="G1027" s="67"/>
      <c r="H1027" s="67"/>
      <c r="I1027" s="66"/>
    </row>
    <row r="1028" spans="1:9">
      <c r="A1028" s="63"/>
      <c r="B1028" s="66"/>
      <c r="C1028" s="66"/>
      <c r="D1028" s="67"/>
      <c r="E1028" s="67"/>
      <c r="F1028" s="67"/>
      <c r="G1028" s="67"/>
      <c r="H1028" s="67"/>
      <c r="I1028" s="66"/>
    </row>
    <row r="1029" spans="1:9">
      <c r="A1029" s="63"/>
      <c r="B1029" s="66"/>
      <c r="C1029" s="67"/>
      <c r="D1029" s="67"/>
      <c r="E1029" s="67"/>
      <c r="F1029" s="67"/>
      <c r="G1029" s="67"/>
      <c r="H1029" s="67"/>
      <c r="I1029" s="66"/>
    </row>
    <row r="1030" spans="1:9">
      <c r="A1030" s="63"/>
      <c r="B1030" s="66"/>
      <c r="C1030" s="67"/>
      <c r="D1030" s="67"/>
      <c r="E1030" s="67"/>
      <c r="F1030" s="67"/>
      <c r="G1030" s="67"/>
      <c r="H1030" s="67"/>
      <c r="I1030" s="66"/>
    </row>
    <row r="1031" spans="1:9">
      <c r="A1031" s="63"/>
      <c r="B1031" s="66"/>
      <c r="C1031" s="66"/>
      <c r="D1031" s="67"/>
      <c r="E1031" s="67"/>
      <c r="F1031" s="67"/>
      <c r="G1031" s="67"/>
      <c r="H1031" s="67"/>
      <c r="I1031" s="66"/>
    </row>
    <row r="1032" spans="1:9">
      <c r="A1032" s="63"/>
      <c r="B1032" s="66"/>
      <c r="C1032" s="66"/>
      <c r="D1032" s="67"/>
      <c r="E1032" s="67"/>
      <c r="F1032" s="67"/>
      <c r="G1032" s="67"/>
      <c r="H1032" s="67"/>
      <c r="I1032" s="66"/>
    </row>
    <row r="1033" spans="1:9">
      <c r="A1033" s="63"/>
      <c r="B1033" s="66"/>
      <c r="C1033" s="67"/>
      <c r="D1033" s="67"/>
      <c r="E1033" s="67"/>
      <c r="F1033" s="67"/>
      <c r="G1033" s="67"/>
      <c r="H1033" s="67"/>
      <c r="I1033" s="66"/>
    </row>
    <row r="1034" spans="1:9">
      <c r="A1034" s="63"/>
      <c r="B1034" s="66"/>
      <c r="C1034" s="66"/>
      <c r="D1034" s="67"/>
      <c r="E1034" s="67"/>
      <c r="F1034" s="67"/>
      <c r="G1034" s="67"/>
      <c r="H1034" s="67"/>
      <c r="I1034" s="66"/>
    </row>
    <row r="1035" spans="1:9">
      <c r="A1035" s="63"/>
      <c r="B1035" s="66"/>
      <c r="C1035" s="66"/>
      <c r="D1035" s="67"/>
      <c r="E1035" s="67"/>
      <c r="F1035" s="67"/>
      <c r="G1035" s="67"/>
      <c r="H1035" s="67"/>
      <c r="I1035" s="66"/>
    </row>
    <row r="1036" spans="1:9">
      <c r="A1036" s="63"/>
      <c r="B1036" s="67"/>
      <c r="C1036" s="67"/>
      <c r="D1036" s="67"/>
      <c r="E1036" s="67"/>
      <c r="F1036" s="66"/>
      <c r="G1036" s="66"/>
      <c r="H1036" s="66"/>
      <c r="I1036" s="66"/>
    </row>
    <row r="1037" spans="1:9">
      <c r="A1037" s="63"/>
      <c r="B1037" s="66"/>
      <c r="C1037" s="67"/>
      <c r="D1037" s="67"/>
      <c r="E1037" s="67"/>
      <c r="F1037" s="67"/>
      <c r="G1037" s="67"/>
      <c r="H1037" s="67"/>
      <c r="I1037" s="66"/>
    </row>
    <row r="1038" spans="1:9">
      <c r="A1038" s="63"/>
      <c r="B1038" s="66"/>
      <c r="C1038" s="67"/>
      <c r="D1038" s="67"/>
      <c r="E1038" s="67"/>
      <c r="F1038" s="67"/>
      <c r="G1038" s="67"/>
      <c r="H1038" s="67"/>
      <c r="I1038" s="66"/>
    </row>
    <row r="1039" spans="1:9">
      <c r="A1039" s="63"/>
      <c r="B1039" s="66"/>
      <c r="C1039" s="66"/>
      <c r="D1039" s="67"/>
      <c r="E1039" s="67"/>
      <c r="F1039" s="67"/>
      <c r="G1039" s="67"/>
      <c r="H1039" s="67"/>
      <c r="I1039" s="66"/>
    </row>
    <row r="1040" spans="1:9">
      <c r="A1040" s="63"/>
      <c r="B1040" s="66"/>
      <c r="C1040" s="67"/>
      <c r="D1040" s="67"/>
      <c r="E1040" s="67"/>
      <c r="F1040" s="67"/>
      <c r="G1040" s="67"/>
      <c r="H1040" s="67"/>
      <c r="I1040" s="66"/>
    </row>
    <row r="1041" spans="1:9">
      <c r="A1041" s="63"/>
      <c r="B1041" s="66"/>
      <c r="C1041" s="67"/>
      <c r="D1041" s="67"/>
      <c r="E1041" s="67"/>
      <c r="F1041" s="67"/>
      <c r="G1041" s="67"/>
      <c r="H1041" s="67"/>
      <c r="I1041" s="66"/>
    </row>
    <row r="1042" spans="1:9">
      <c r="A1042" s="63"/>
      <c r="B1042" s="66"/>
      <c r="C1042" s="66"/>
      <c r="D1042" s="67"/>
      <c r="E1042" s="67"/>
      <c r="F1042" s="67"/>
      <c r="G1042" s="67"/>
      <c r="H1042" s="67"/>
      <c r="I1042" s="66"/>
    </row>
    <row r="1043" spans="1:9">
      <c r="A1043" s="63"/>
      <c r="B1043" s="66"/>
      <c r="C1043" s="66"/>
      <c r="D1043" s="66"/>
      <c r="E1043" s="66"/>
      <c r="F1043" s="67"/>
      <c r="G1043" s="67"/>
      <c r="H1043" s="67"/>
      <c r="I1043" s="66"/>
    </row>
    <row r="1044" spans="1:9">
      <c r="A1044" s="63"/>
      <c r="B1044" s="66"/>
      <c r="C1044" s="67"/>
      <c r="D1044" s="67"/>
      <c r="E1044" s="67"/>
      <c r="F1044" s="67"/>
      <c r="G1044" s="67"/>
      <c r="H1044" s="67"/>
      <c r="I1044" s="66"/>
    </row>
    <row r="1045" spans="1:9">
      <c r="A1045" s="63"/>
      <c r="B1045" s="66"/>
      <c r="C1045" s="66"/>
      <c r="D1045" s="67"/>
      <c r="E1045" s="67"/>
      <c r="F1045" s="67"/>
      <c r="G1045" s="67"/>
      <c r="H1045" s="67"/>
      <c r="I1045" s="66"/>
    </row>
    <row r="1046" spans="1:9">
      <c r="A1046" s="63"/>
      <c r="B1046" s="66"/>
      <c r="C1046" s="66"/>
      <c r="D1046" s="67"/>
      <c r="E1046" s="67"/>
      <c r="F1046" s="67"/>
      <c r="G1046" s="67"/>
      <c r="H1046" s="67"/>
      <c r="I1046" s="66"/>
    </row>
    <row r="1047" spans="1:9">
      <c r="A1047" s="63"/>
      <c r="B1047" s="66"/>
      <c r="C1047" s="66"/>
      <c r="D1047" s="67"/>
      <c r="E1047" s="67"/>
      <c r="F1047" s="67"/>
      <c r="G1047" s="67"/>
      <c r="H1047" s="67"/>
      <c r="I1047" s="66"/>
    </row>
    <row r="1048" spans="1:9">
      <c r="A1048" s="63"/>
      <c r="B1048" s="66"/>
      <c r="C1048" s="66"/>
      <c r="D1048" s="67"/>
      <c r="E1048" s="67"/>
      <c r="F1048" s="67"/>
      <c r="G1048" s="67"/>
      <c r="H1048" s="67"/>
      <c r="I1048" s="66"/>
    </row>
    <row r="1049" spans="1:9">
      <c r="A1049" s="63"/>
      <c r="B1049" s="66"/>
      <c r="C1049" s="67"/>
      <c r="D1049" s="67"/>
      <c r="E1049" s="67"/>
      <c r="F1049" s="67"/>
      <c r="G1049" s="67"/>
      <c r="H1049" s="67"/>
      <c r="I1049" s="66"/>
    </row>
    <row r="1050" spans="1:9">
      <c r="A1050" s="63"/>
      <c r="B1050" s="66"/>
      <c r="C1050" s="66"/>
      <c r="D1050" s="67"/>
      <c r="E1050" s="67"/>
      <c r="F1050" s="67"/>
      <c r="G1050" s="67"/>
      <c r="H1050" s="67"/>
      <c r="I1050" s="66"/>
    </row>
    <row r="1051" spans="1:9">
      <c r="A1051" s="63"/>
      <c r="B1051" s="66"/>
      <c r="C1051" s="67"/>
      <c r="D1051" s="67"/>
      <c r="E1051" s="67"/>
      <c r="F1051" s="67"/>
      <c r="G1051" s="67"/>
      <c r="H1051" s="67"/>
      <c r="I1051" s="66"/>
    </row>
    <row r="1052" spans="1:9">
      <c r="A1052" s="63"/>
      <c r="B1052" s="67"/>
      <c r="C1052" s="67"/>
      <c r="D1052" s="67"/>
      <c r="E1052" s="66"/>
      <c r="F1052" s="66"/>
      <c r="G1052" s="66"/>
      <c r="H1052" s="67"/>
      <c r="I1052" s="66"/>
    </row>
    <row r="1053" spans="1:9">
      <c r="A1053" s="63"/>
      <c r="B1053" s="66"/>
      <c r="C1053" s="67"/>
      <c r="D1053" s="67"/>
      <c r="E1053" s="67"/>
      <c r="F1053" s="67"/>
      <c r="G1053" s="67"/>
      <c r="H1053" s="67"/>
      <c r="I1053" s="66"/>
    </row>
    <row r="1054" spans="1:9">
      <c r="A1054" s="63"/>
      <c r="B1054" s="66"/>
      <c r="C1054" s="67"/>
      <c r="D1054" s="67"/>
      <c r="E1054" s="67"/>
      <c r="F1054" s="67"/>
      <c r="G1054" s="67"/>
      <c r="H1054" s="67"/>
      <c r="I1054" s="66"/>
    </row>
    <row r="1055" spans="1:9">
      <c r="A1055" s="63"/>
      <c r="B1055" s="66"/>
      <c r="C1055" s="67"/>
      <c r="D1055" s="67"/>
      <c r="E1055" s="67"/>
      <c r="F1055" s="67"/>
      <c r="G1055" s="67"/>
      <c r="H1055" s="67"/>
      <c r="I1055" s="66"/>
    </row>
    <row r="1056" spans="1:9">
      <c r="A1056" s="63"/>
      <c r="B1056" s="66"/>
      <c r="C1056" s="67"/>
      <c r="D1056" s="67"/>
      <c r="E1056" s="67"/>
      <c r="F1056" s="67"/>
      <c r="G1056" s="67"/>
      <c r="H1056" s="67"/>
      <c r="I1056" s="66"/>
    </row>
    <row r="1057" spans="1:9">
      <c r="A1057" s="63"/>
      <c r="B1057" s="66"/>
      <c r="C1057" s="66"/>
      <c r="D1057" s="67"/>
      <c r="E1057" s="67"/>
      <c r="F1057" s="67"/>
      <c r="G1057" s="67"/>
      <c r="H1057" s="67"/>
      <c r="I1057" s="66"/>
    </row>
    <row r="1058" spans="1:9">
      <c r="A1058" s="63"/>
      <c r="B1058" s="66"/>
      <c r="C1058" s="67"/>
      <c r="D1058" s="67"/>
      <c r="E1058" s="67"/>
      <c r="F1058" s="67"/>
      <c r="G1058" s="67"/>
      <c r="H1058" s="67"/>
      <c r="I1058" s="66"/>
    </row>
    <row r="1059" spans="1:9">
      <c r="A1059" s="63"/>
      <c r="B1059" s="66"/>
      <c r="C1059" s="67"/>
      <c r="D1059" s="67"/>
      <c r="E1059" s="67"/>
      <c r="F1059" s="67"/>
      <c r="G1059" s="67"/>
      <c r="H1059" s="67"/>
      <c r="I1059" s="66"/>
    </row>
    <row r="1060" spans="1:9">
      <c r="A1060" s="63"/>
      <c r="B1060" s="67"/>
      <c r="C1060" s="66"/>
      <c r="D1060" s="67"/>
      <c r="E1060" s="67"/>
      <c r="F1060" s="67"/>
      <c r="G1060" s="67"/>
      <c r="H1060" s="67"/>
      <c r="I1060" s="66"/>
    </row>
    <row r="1061" spans="1:9">
      <c r="A1061" s="63"/>
      <c r="B1061" s="66"/>
      <c r="C1061" s="67"/>
      <c r="D1061" s="67"/>
      <c r="E1061" s="67"/>
      <c r="F1061" s="67"/>
      <c r="G1061" s="67"/>
      <c r="H1061" s="67"/>
      <c r="I1061" s="66"/>
    </row>
    <row r="1062" spans="1:9">
      <c r="A1062" s="63"/>
      <c r="B1062" s="66"/>
      <c r="C1062" s="67"/>
      <c r="D1062" s="67"/>
      <c r="E1062" s="67"/>
      <c r="F1062" s="67"/>
      <c r="G1062" s="67"/>
      <c r="H1062" s="67"/>
      <c r="I1062" s="66"/>
    </row>
    <row r="1063" spans="1:9">
      <c r="A1063" s="63"/>
      <c r="B1063" s="66"/>
      <c r="C1063" s="66"/>
      <c r="D1063" s="67"/>
      <c r="E1063" s="67"/>
      <c r="F1063" s="67"/>
      <c r="G1063" s="67"/>
      <c r="H1063" s="67"/>
      <c r="I1063" s="66"/>
    </row>
    <row r="1064" spans="1:9">
      <c r="A1064" s="63"/>
      <c r="B1064" s="66"/>
      <c r="C1064" s="66"/>
      <c r="D1064" s="66"/>
      <c r="E1064" s="67"/>
      <c r="F1064" s="67"/>
      <c r="G1064" s="67"/>
      <c r="H1064" s="67"/>
      <c r="I1064" s="66"/>
    </row>
    <row r="1065" spans="1:9">
      <c r="A1065" s="63"/>
      <c r="B1065" s="66"/>
      <c r="C1065" s="67"/>
      <c r="D1065" s="67"/>
      <c r="E1065" s="67"/>
      <c r="F1065" s="67"/>
      <c r="G1065" s="67"/>
      <c r="H1065" s="67"/>
      <c r="I1065" s="66"/>
    </row>
    <row r="1066" spans="1:9">
      <c r="A1066" s="63"/>
      <c r="B1066" s="66"/>
      <c r="C1066" s="66"/>
      <c r="D1066" s="67"/>
      <c r="E1066" s="67"/>
      <c r="F1066" s="67"/>
      <c r="G1066" s="67"/>
      <c r="H1066" s="67"/>
      <c r="I1066" s="66"/>
    </row>
    <row r="1067" spans="1:9">
      <c r="A1067" s="63"/>
      <c r="B1067" s="66"/>
      <c r="C1067" s="67"/>
      <c r="D1067" s="67"/>
      <c r="E1067" s="67"/>
      <c r="F1067" s="67"/>
      <c r="G1067" s="67"/>
      <c r="H1067" s="67"/>
      <c r="I1067" s="66"/>
    </row>
    <row r="1068" spans="1:9">
      <c r="A1068" s="63"/>
      <c r="B1068" s="66"/>
      <c r="C1068" s="66"/>
      <c r="D1068" s="67"/>
      <c r="E1068" s="67"/>
      <c r="F1068" s="67"/>
      <c r="G1068" s="67"/>
      <c r="H1068" s="67"/>
      <c r="I1068" s="66"/>
    </row>
    <row r="1069" spans="1:9">
      <c r="A1069" s="63"/>
      <c r="B1069" s="66"/>
      <c r="C1069" s="67"/>
      <c r="D1069" s="67"/>
      <c r="E1069" s="67"/>
      <c r="F1069" s="67"/>
      <c r="G1069" s="67"/>
      <c r="H1069" s="67"/>
      <c r="I1069" s="66"/>
    </row>
    <row r="1070" spans="1:9">
      <c r="A1070" s="63"/>
      <c r="B1070" s="67"/>
      <c r="C1070" s="66"/>
      <c r="D1070" s="67"/>
      <c r="E1070" s="67"/>
      <c r="F1070" s="67"/>
      <c r="G1070" s="67"/>
      <c r="H1070" s="67"/>
      <c r="I1070" s="66"/>
    </row>
    <row r="1071" spans="1:9">
      <c r="A1071" s="63"/>
      <c r="B1071" s="66"/>
      <c r="C1071" s="67"/>
      <c r="D1071" s="67"/>
      <c r="E1071" s="67"/>
      <c r="F1071" s="67"/>
      <c r="G1071" s="67"/>
      <c r="H1071" s="67"/>
      <c r="I1071" s="66"/>
    </row>
    <row r="1072" spans="1:9">
      <c r="A1072" s="63"/>
      <c r="B1072" s="66"/>
      <c r="C1072" s="66"/>
      <c r="D1072" s="67"/>
      <c r="E1072" s="67"/>
      <c r="F1072" s="67"/>
      <c r="G1072" s="67"/>
      <c r="H1072" s="67"/>
      <c r="I1072" s="66"/>
    </row>
    <row r="1073" spans="1:9">
      <c r="A1073" s="63"/>
      <c r="B1073" s="66"/>
      <c r="C1073" s="66"/>
      <c r="D1073" s="67"/>
      <c r="E1073" s="67"/>
      <c r="F1073" s="67"/>
      <c r="G1073" s="67"/>
      <c r="H1073" s="67"/>
      <c r="I1073" s="66"/>
    </row>
    <row r="1074" spans="1:9">
      <c r="A1074" s="63"/>
      <c r="B1074" s="66"/>
      <c r="C1074" s="67"/>
      <c r="D1074" s="67"/>
      <c r="E1074" s="67"/>
      <c r="F1074" s="67"/>
      <c r="G1074" s="67"/>
      <c r="H1074" s="67"/>
      <c r="I1074" s="66"/>
    </row>
    <row r="1075" spans="1:9">
      <c r="A1075" s="63"/>
      <c r="B1075" s="66"/>
      <c r="C1075" s="66"/>
      <c r="D1075" s="67"/>
      <c r="E1075" s="67"/>
      <c r="F1075" s="67"/>
      <c r="G1075" s="67"/>
      <c r="H1075" s="67"/>
      <c r="I1075" s="66"/>
    </row>
    <row r="1076" spans="1:9">
      <c r="A1076" s="63"/>
      <c r="B1076" s="67"/>
      <c r="C1076" s="66"/>
      <c r="D1076" s="66"/>
      <c r="E1076" s="66"/>
      <c r="F1076" s="66"/>
      <c r="G1076" s="67"/>
      <c r="H1076" s="67"/>
      <c r="I1076" s="66"/>
    </row>
    <row r="1077" spans="1:9">
      <c r="A1077" s="63"/>
      <c r="B1077" s="66"/>
      <c r="C1077" s="67"/>
      <c r="D1077" s="67"/>
      <c r="E1077" s="67"/>
      <c r="F1077" s="67"/>
      <c r="G1077" s="67"/>
      <c r="H1077" s="67"/>
      <c r="I1077" s="66"/>
    </row>
    <row r="1078" spans="1:9">
      <c r="A1078" s="63"/>
      <c r="B1078" s="67"/>
      <c r="C1078" s="66"/>
      <c r="D1078" s="67"/>
      <c r="E1078" s="67"/>
      <c r="F1078" s="67"/>
      <c r="G1078" s="67"/>
      <c r="H1078" s="67"/>
      <c r="I1078" s="66"/>
    </row>
    <row r="1079" spans="1:9">
      <c r="A1079" s="63"/>
      <c r="B1079" s="66"/>
      <c r="C1079" s="66"/>
      <c r="D1079" s="67"/>
      <c r="E1079" s="67"/>
      <c r="F1079" s="67"/>
      <c r="G1079" s="67"/>
      <c r="H1079" s="67"/>
      <c r="I1079" s="66"/>
    </row>
    <row r="1080" spans="1:9">
      <c r="A1080" s="63"/>
      <c r="B1080" s="66"/>
      <c r="C1080" s="66"/>
      <c r="D1080" s="67"/>
      <c r="E1080" s="67"/>
      <c r="F1080" s="67"/>
      <c r="G1080" s="67"/>
      <c r="H1080" s="67"/>
      <c r="I1080" s="66"/>
    </row>
    <row r="1081" spans="1:9">
      <c r="A1081" s="63"/>
      <c r="B1081" s="66"/>
      <c r="C1081" s="67"/>
      <c r="D1081" s="67"/>
      <c r="E1081" s="67"/>
      <c r="F1081" s="67"/>
      <c r="G1081" s="67"/>
      <c r="H1081" s="67"/>
      <c r="I1081" s="66"/>
    </row>
    <row r="1082" spans="1:9">
      <c r="A1082" s="63"/>
      <c r="B1082" s="66"/>
      <c r="C1082" s="67"/>
      <c r="D1082" s="67"/>
      <c r="E1082" s="67"/>
      <c r="F1082" s="67"/>
      <c r="G1082" s="67"/>
      <c r="H1082" s="67"/>
      <c r="I1082" s="66"/>
    </row>
    <row r="1083" spans="1:9">
      <c r="A1083" s="63"/>
      <c r="B1083" s="66"/>
      <c r="C1083" s="66"/>
      <c r="D1083" s="67"/>
      <c r="E1083" s="67"/>
      <c r="F1083" s="67"/>
      <c r="G1083" s="67"/>
      <c r="H1083" s="67"/>
      <c r="I1083" s="66"/>
    </row>
    <row r="1084" spans="1:9">
      <c r="A1084" s="63"/>
      <c r="B1084" s="66"/>
      <c r="C1084" s="67"/>
      <c r="D1084" s="67"/>
      <c r="E1084" s="67"/>
      <c r="F1084" s="67"/>
      <c r="G1084" s="67"/>
      <c r="H1084" s="67"/>
      <c r="I1084" s="66"/>
    </row>
    <row r="1085" spans="1:9">
      <c r="A1085" s="63"/>
      <c r="B1085" s="66"/>
      <c r="C1085" s="67"/>
      <c r="D1085" s="67"/>
      <c r="E1085" s="67"/>
      <c r="F1085" s="67"/>
      <c r="G1085" s="67"/>
      <c r="H1085" s="67"/>
      <c r="I1085" s="66"/>
    </row>
    <row r="1086" spans="1:9">
      <c r="A1086" s="63"/>
      <c r="B1086" s="66"/>
      <c r="C1086" s="67"/>
      <c r="D1086" s="67"/>
      <c r="E1086" s="67"/>
      <c r="F1086" s="67"/>
      <c r="G1086" s="67"/>
      <c r="H1086" s="67"/>
      <c r="I1086" s="66"/>
    </row>
    <row r="1087" spans="1:9">
      <c r="A1087" s="63"/>
      <c r="B1087" s="66"/>
      <c r="C1087" s="66"/>
      <c r="D1087" s="67"/>
      <c r="E1087" s="66"/>
      <c r="F1087" s="67"/>
      <c r="G1087" s="67"/>
      <c r="H1087" s="67"/>
      <c r="I1087" s="66"/>
    </row>
    <row r="1088" spans="1:9">
      <c r="A1088" s="63"/>
      <c r="B1088" s="66"/>
      <c r="C1088" s="66"/>
      <c r="D1088" s="67"/>
      <c r="E1088" s="67"/>
      <c r="F1088" s="67"/>
      <c r="G1088" s="67"/>
      <c r="H1088" s="67"/>
      <c r="I1088" s="66"/>
    </row>
    <row r="1089" spans="1:9">
      <c r="A1089" s="63"/>
      <c r="B1089" s="66"/>
      <c r="C1089" s="67"/>
      <c r="D1089" s="67"/>
      <c r="E1089" s="67"/>
      <c r="F1089" s="67"/>
      <c r="G1089" s="67"/>
      <c r="H1089" s="67"/>
      <c r="I1089" s="66"/>
    </row>
    <row r="1090" spans="1:9">
      <c r="A1090" s="63"/>
      <c r="B1090" s="66"/>
      <c r="C1090" s="67"/>
      <c r="D1090" s="67"/>
      <c r="E1090" s="67"/>
      <c r="F1090" s="67"/>
      <c r="G1090" s="67"/>
      <c r="H1090" s="67"/>
      <c r="I1090" s="66"/>
    </row>
    <row r="1091" spans="1:9">
      <c r="A1091" s="63"/>
      <c r="B1091" s="66"/>
      <c r="C1091" s="66"/>
      <c r="D1091" s="67"/>
      <c r="E1091" s="67"/>
      <c r="F1091" s="67"/>
      <c r="G1091" s="67"/>
      <c r="H1091" s="67"/>
      <c r="I1091" s="66"/>
    </row>
    <row r="1092" spans="1:9">
      <c r="A1092" s="63"/>
      <c r="B1092" s="66"/>
      <c r="C1092" s="66"/>
      <c r="D1092" s="67"/>
      <c r="E1092" s="67"/>
      <c r="F1092" s="67"/>
      <c r="G1092" s="67"/>
      <c r="H1092" s="67"/>
      <c r="I1092" s="66"/>
    </row>
    <row r="1093" spans="1:9">
      <c r="A1093" s="63"/>
      <c r="B1093" s="66"/>
      <c r="C1093" s="66"/>
      <c r="D1093" s="67"/>
      <c r="E1093" s="67"/>
      <c r="F1093" s="67"/>
      <c r="G1093" s="67"/>
      <c r="H1093" s="67"/>
      <c r="I1093" s="66"/>
    </row>
    <row r="1094" spans="1:9">
      <c r="A1094" s="63"/>
      <c r="B1094" s="66"/>
      <c r="C1094" s="66"/>
      <c r="D1094" s="67"/>
      <c r="E1094" s="67"/>
      <c r="F1094" s="67"/>
      <c r="G1094" s="67"/>
      <c r="H1094" s="67"/>
      <c r="I1094" s="66"/>
    </row>
    <row r="1095" spans="1:9">
      <c r="A1095" s="63"/>
      <c r="B1095" s="67"/>
      <c r="C1095" s="67"/>
      <c r="D1095" s="67"/>
      <c r="E1095" s="67"/>
      <c r="F1095" s="67"/>
      <c r="G1095" s="66"/>
      <c r="H1095" s="66"/>
      <c r="I1095" s="66"/>
    </row>
    <row r="1096" spans="1:9">
      <c r="A1096" s="63"/>
      <c r="B1096" s="66"/>
      <c r="C1096" s="67"/>
      <c r="D1096" s="67"/>
      <c r="E1096" s="67"/>
      <c r="F1096" s="67"/>
      <c r="G1096" s="67"/>
      <c r="H1096" s="67"/>
      <c r="I1096" s="66"/>
    </row>
    <row r="1097" spans="1:9">
      <c r="A1097" s="63"/>
      <c r="B1097" s="66"/>
      <c r="C1097" s="67"/>
      <c r="D1097" s="67"/>
      <c r="E1097" s="67"/>
      <c r="F1097" s="67"/>
      <c r="G1097" s="67"/>
      <c r="H1097" s="67"/>
      <c r="I1097" s="66"/>
    </row>
    <row r="1098" spans="1:9">
      <c r="A1098" s="63"/>
      <c r="B1098" s="66"/>
      <c r="C1098" s="67"/>
      <c r="D1098" s="67"/>
      <c r="E1098" s="67"/>
      <c r="F1098" s="67"/>
      <c r="G1098" s="67"/>
      <c r="H1098" s="67"/>
      <c r="I1098" s="66"/>
    </row>
    <row r="1099" spans="1:9">
      <c r="A1099" s="63"/>
      <c r="B1099" s="66"/>
      <c r="C1099" s="67"/>
      <c r="D1099" s="67"/>
      <c r="E1099" s="67"/>
      <c r="F1099" s="67"/>
      <c r="G1099" s="67"/>
      <c r="H1099" s="67"/>
      <c r="I1099" s="66"/>
    </row>
    <row r="1100" spans="1:9">
      <c r="A1100" s="63"/>
      <c r="B1100" s="66"/>
      <c r="C1100" s="66"/>
      <c r="D1100" s="66"/>
      <c r="E1100" s="67"/>
      <c r="F1100" s="67"/>
      <c r="G1100" s="67"/>
      <c r="H1100" s="67"/>
      <c r="I1100" s="66"/>
    </row>
    <row r="1101" spans="1:9">
      <c r="A1101" s="63"/>
      <c r="B1101" s="66"/>
      <c r="C1101" s="67"/>
      <c r="D1101" s="67"/>
      <c r="E1101" s="67"/>
      <c r="F1101" s="67"/>
      <c r="G1101" s="67"/>
      <c r="H1101" s="67"/>
      <c r="I1101" s="66"/>
    </row>
    <row r="1102" spans="1:9">
      <c r="A1102" s="63"/>
      <c r="B1102" s="66"/>
      <c r="C1102" s="67"/>
      <c r="D1102" s="67"/>
      <c r="E1102" s="67"/>
      <c r="F1102" s="67"/>
      <c r="G1102" s="67"/>
      <c r="H1102" s="67"/>
      <c r="I1102" s="66"/>
    </row>
    <row r="1103" spans="1:9">
      <c r="A1103" s="63"/>
      <c r="B1103" s="66"/>
      <c r="C1103" s="66"/>
      <c r="D1103" s="67"/>
      <c r="E1103" s="67"/>
      <c r="F1103" s="67"/>
      <c r="G1103" s="67"/>
      <c r="H1103" s="67"/>
      <c r="I1103" s="66"/>
    </row>
    <row r="1104" spans="1:9">
      <c r="A1104" s="63"/>
      <c r="B1104" s="66"/>
      <c r="C1104" s="67"/>
      <c r="D1104" s="67"/>
      <c r="E1104" s="67"/>
      <c r="F1104" s="67"/>
      <c r="G1104" s="67"/>
      <c r="H1104" s="67"/>
      <c r="I1104" s="66"/>
    </row>
    <row r="1105" spans="1:9">
      <c r="A1105" s="63"/>
      <c r="B1105" s="66"/>
      <c r="C1105" s="67"/>
      <c r="D1105" s="67"/>
      <c r="E1105" s="67"/>
      <c r="F1105" s="67"/>
      <c r="G1105" s="67"/>
      <c r="H1105" s="67"/>
      <c r="I1105" s="66"/>
    </row>
    <row r="1106" spans="1:9">
      <c r="A1106" s="63"/>
      <c r="B1106" s="66"/>
      <c r="C1106" s="67"/>
      <c r="D1106" s="67"/>
      <c r="E1106" s="67"/>
      <c r="F1106" s="67"/>
      <c r="G1106" s="67"/>
      <c r="H1106" s="67"/>
      <c r="I1106" s="66"/>
    </row>
    <row r="1107" spans="1:9">
      <c r="A1107" s="63"/>
      <c r="B1107" s="66"/>
      <c r="C1107" s="67"/>
      <c r="D1107" s="67"/>
      <c r="E1107" s="67"/>
      <c r="F1107" s="67"/>
      <c r="G1107" s="67"/>
      <c r="H1107" s="67"/>
      <c r="I1107" s="66"/>
    </row>
    <row r="1108" spans="1:9">
      <c r="A1108" s="63"/>
      <c r="B1108" s="66"/>
      <c r="C1108" s="67"/>
      <c r="D1108" s="67"/>
      <c r="E1108" s="67"/>
      <c r="F1108" s="67"/>
      <c r="G1108" s="67"/>
      <c r="H1108" s="67"/>
      <c r="I1108" s="66"/>
    </row>
    <row r="1109" spans="1:9">
      <c r="A1109" s="63"/>
      <c r="B1109" s="66"/>
      <c r="C1109" s="66"/>
      <c r="D1109" s="67"/>
      <c r="E1109" s="67"/>
      <c r="F1109" s="67"/>
      <c r="G1109" s="67"/>
      <c r="H1109" s="67"/>
      <c r="I1109" s="66"/>
    </row>
    <row r="1110" spans="1:9">
      <c r="A1110" s="63"/>
      <c r="B1110" s="66"/>
      <c r="C1110" s="67"/>
      <c r="D1110" s="67"/>
      <c r="E1110" s="67"/>
      <c r="F1110" s="67"/>
      <c r="G1110" s="67"/>
      <c r="H1110" s="67"/>
      <c r="I1110" s="66"/>
    </row>
    <row r="1111" spans="1:9">
      <c r="A1111" s="63"/>
      <c r="B1111" s="67"/>
      <c r="C1111" s="66"/>
      <c r="D1111" s="67"/>
      <c r="E1111" s="67"/>
      <c r="F1111" s="67"/>
      <c r="G1111" s="67"/>
      <c r="H1111" s="67"/>
      <c r="I1111" s="66"/>
    </row>
    <row r="1112" spans="1:9">
      <c r="A1112" s="63"/>
      <c r="B1112" s="67"/>
      <c r="C1112" s="67"/>
      <c r="D1112" s="67"/>
      <c r="E1112" s="67"/>
      <c r="F1112" s="66"/>
      <c r="G1112" s="67"/>
      <c r="H1112" s="67"/>
      <c r="I1112" s="66"/>
    </row>
    <row r="1113" spans="1:9">
      <c r="A1113" s="63"/>
      <c r="B1113" s="66"/>
      <c r="C1113" s="67"/>
      <c r="D1113" s="67"/>
      <c r="E1113" s="67"/>
      <c r="F1113" s="67"/>
      <c r="G1113" s="67"/>
      <c r="H1113" s="67"/>
      <c r="I1113" s="66"/>
    </row>
    <row r="1114" spans="1:9">
      <c r="A1114" s="63"/>
      <c r="B1114" s="66"/>
      <c r="C1114" s="67"/>
      <c r="D1114" s="67"/>
      <c r="E1114" s="67"/>
      <c r="F1114" s="67"/>
      <c r="G1114" s="67"/>
      <c r="H1114" s="67"/>
      <c r="I1114" s="66"/>
    </row>
    <row r="1115" spans="1:9">
      <c r="A1115" s="63"/>
      <c r="B1115" s="66"/>
      <c r="C1115" s="67"/>
      <c r="D1115" s="66"/>
      <c r="E1115" s="67"/>
      <c r="F1115" s="67"/>
      <c r="G1115" s="67"/>
      <c r="H1115" s="67"/>
      <c r="I1115" s="66"/>
    </row>
    <row r="1116" spans="1:9">
      <c r="A1116" s="63"/>
      <c r="B1116" s="66"/>
      <c r="C1116" s="67"/>
      <c r="D1116" s="67"/>
      <c r="E1116" s="67"/>
      <c r="F1116" s="67"/>
      <c r="G1116" s="67"/>
      <c r="H1116" s="67"/>
      <c r="I1116" s="66"/>
    </row>
    <row r="1117" spans="1:9">
      <c r="A1117" s="63"/>
      <c r="B1117" s="66"/>
      <c r="C1117" s="67"/>
      <c r="D1117" s="67"/>
      <c r="E1117" s="67"/>
      <c r="F1117" s="67"/>
      <c r="G1117" s="67"/>
      <c r="H1117" s="67"/>
      <c r="I1117" s="66"/>
    </row>
    <row r="1118" spans="1:9">
      <c r="A1118" s="63"/>
      <c r="B1118" s="66"/>
      <c r="C1118" s="66"/>
      <c r="D1118" s="67"/>
      <c r="E1118" s="67"/>
      <c r="F1118" s="67"/>
      <c r="G1118" s="67"/>
      <c r="H1118" s="67"/>
      <c r="I1118" s="66"/>
    </row>
    <row r="1119" spans="1:9">
      <c r="A1119" s="63"/>
      <c r="B1119" s="66"/>
      <c r="C1119" s="67"/>
      <c r="D1119" s="67"/>
      <c r="E1119" s="67"/>
      <c r="F1119" s="67"/>
      <c r="G1119" s="67"/>
      <c r="H1119" s="67"/>
      <c r="I1119" s="66"/>
    </row>
    <row r="1120" spans="1:9">
      <c r="A1120" s="63"/>
      <c r="B1120" s="67"/>
      <c r="C1120" s="66"/>
      <c r="D1120" s="67"/>
      <c r="E1120" s="67"/>
      <c r="F1120" s="67"/>
      <c r="G1120" s="67"/>
      <c r="H1120" s="67"/>
      <c r="I1120" s="66"/>
    </row>
    <row r="1121" spans="1:9">
      <c r="A1121" s="63"/>
      <c r="B1121" s="66"/>
      <c r="C1121" s="66"/>
      <c r="D1121" s="67"/>
      <c r="E1121" s="67"/>
      <c r="F1121" s="67"/>
      <c r="G1121" s="67"/>
      <c r="H1121" s="67"/>
      <c r="I1121" s="66"/>
    </row>
    <row r="1122" spans="1:9">
      <c r="A1122" s="63"/>
      <c r="B1122" s="66"/>
      <c r="C1122" s="66"/>
      <c r="D1122" s="67"/>
      <c r="E1122" s="67"/>
      <c r="F1122" s="67"/>
      <c r="G1122" s="67"/>
      <c r="H1122" s="67"/>
      <c r="I1122" s="66"/>
    </row>
    <row r="1123" spans="1:9">
      <c r="A1123" s="63"/>
      <c r="B1123" s="66"/>
      <c r="C1123" s="67"/>
      <c r="D1123" s="67"/>
      <c r="E1123" s="67"/>
      <c r="F1123" s="67"/>
      <c r="G1123" s="67"/>
      <c r="H1123" s="67"/>
      <c r="I1123" s="66"/>
    </row>
    <row r="1124" spans="1:9">
      <c r="A1124" s="63"/>
      <c r="B1124" s="66"/>
      <c r="C1124" s="66"/>
      <c r="D1124" s="67"/>
      <c r="E1124" s="67"/>
      <c r="F1124" s="67"/>
      <c r="G1124" s="67"/>
      <c r="H1124" s="67"/>
      <c r="I1124" s="66"/>
    </row>
    <row r="1125" spans="1:9">
      <c r="A1125" s="63"/>
      <c r="B1125" s="66"/>
      <c r="C1125" s="67"/>
      <c r="D1125" s="67"/>
      <c r="E1125" s="67"/>
      <c r="F1125" s="67"/>
      <c r="G1125" s="67"/>
      <c r="H1125" s="67"/>
      <c r="I1125" s="66"/>
    </row>
    <row r="1126" spans="1:9">
      <c r="A1126" s="63"/>
      <c r="B1126" s="66"/>
      <c r="C1126" s="67"/>
      <c r="D1126" s="67"/>
      <c r="E1126" s="67"/>
      <c r="F1126" s="67"/>
      <c r="G1126" s="67"/>
      <c r="H1126" s="67"/>
      <c r="I1126" s="66"/>
    </row>
    <row r="1127" spans="1:9">
      <c r="A1127" s="63"/>
      <c r="B1127" s="66"/>
      <c r="C1127" s="67"/>
      <c r="D1127" s="67"/>
      <c r="E1127" s="67"/>
      <c r="F1127" s="67"/>
      <c r="G1127" s="67"/>
      <c r="H1127" s="67"/>
      <c r="I1127" s="66"/>
    </row>
    <row r="1128" spans="1:9">
      <c r="A1128" s="63"/>
      <c r="B1128" s="67"/>
      <c r="C1128" s="66"/>
      <c r="D1128" s="67"/>
      <c r="E1128" s="67"/>
      <c r="F1128" s="67"/>
      <c r="G1128" s="67"/>
      <c r="H1128" s="67"/>
      <c r="I1128" s="66"/>
    </row>
    <row r="1129" spans="1:9">
      <c r="A1129" s="63"/>
      <c r="B1129" s="66"/>
      <c r="C1129" s="67"/>
      <c r="D1129" s="67"/>
      <c r="E1129" s="67"/>
      <c r="F1129" s="67"/>
      <c r="G1129" s="67"/>
      <c r="H1129" s="67"/>
      <c r="I1129" s="66"/>
    </row>
    <row r="1130" spans="1:9">
      <c r="A1130" s="63"/>
      <c r="B1130" s="66"/>
      <c r="C1130" s="66"/>
      <c r="D1130" s="67"/>
      <c r="E1130" s="67"/>
      <c r="F1130" s="67"/>
      <c r="G1130" s="67"/>
      <c r="H1130" s="67"/>
      <c r="I1130" s="66"/>
    </row>
    <row r="1131" spans="1:9">
      <c r="A1131" s="63"/>
      <c r="B1131" s="67"/>
      <c r="C1131" s="66"/>
      <c r="D1131" s="67"/>
      <c r="E1131" s="67"/>
      <c r="F1131" s="67"/>
      <c r="G1131" s="67"/>
      <c r="H1131" s="67"/>
      <c r="I1131" s="66"/>
    </row>
    <row r="1132" spans="1:9">
      <c r="A1132" s="63"/>
      <c r="B1132" s="66"/>
      <c r="C1132" s="67"/>
      <c r="D1132" s="67"/>
      <c r="E1132" s="67"/>
      <c r="F1132" s="67"/>
      <c r="G1132" s="67"/>
      <c r="H1132" s="67"/>
      <c r="I1132" s="66"/>
    </row>
    <row r="1133" spans="1:9">
      <c r="A1133" s="63"/>
      <c r="B1133" s="66"/>
      <c r="C1133" s="67"/>
      <c r="D1133" s="67"/>
      <c r="E1133" s="67"/>
      <c r="F1133" s="67"/>
      <c r="G1133" s="67"/>
      <c r="H1133" s="67"/>
      <c r="I1133" s="66"/>
    </row>
    <row r="1134" spans="1:9">
      <c r="A1134" s="63"/>
      <c r="B1134" s="66"/>
      <c r="C1134" s="67"/>
      <c r="D1134" s="67"/>
      <c r="E1134" s="67"/>
      <c r="F1134" s="67"/>
      <c r="G1134" s="67"/>
      <c r="H1134" s="67"/>
      <c r="I1134" s="66"/>
    </row>
    <row r="1135" spans="1:9">
      <c r="A1135" s="63"/>
      <c r="B1135" s="66"/>
      <c r="C1135" s="67"/>
      <c r="D1135" s="67"/>
      <c r="E1135" s="67"/>
      <c r="F1135" s="67"/>
      <c r="G1135" s="67"/>
      <c r="H1135" s="67"/>
      <c r="I1135" s="66"/>
    </row>
    <row r="1136" spans="1:9">
      <c r="A1136" s="63"/>
      <c r="B1136" s="66"/>
      <c r="C1136" s="67"/>
      <c r="D1136" s="67"/>
      <c r="E1136" s="67"/>
      <c r="F1136" s="67"/>
      <c r="G1136" s="67"/>
      <c r="H1136" s="67"/>
      <c r="I1136" s="66"/>
    </row>
    <row r="1137" spans="1:9">
      <c r="A1137" s="63"/>
      <c r="B1137" s="66"/>
      <c r="C1137" s="66"/>
      <c r="D1137" s="67"/>
      <c r="E1137" s="67"/>
      <c r="F1137" s="67"/>
      <c r="G1137" s="67"/>
      <c r="H1137" s="67"/>
      <c r="I1137" s="66"/>
    </row>
    <row r="1138" spans="1:9">
      <c r="A1138" s="63"/>
      <c r="B1138" s="66"/>
      <c r="C1138" s="67"/>
      <c r="D1138" s="67"/>
      <c r="E1138" s="67"/>
      <c r="F1138" s="67"/>
      <c r="G1138" s="67"/>
      <c r="H1138" s="67"/>
      <c r="I1138" s="66"/>
    </row>
    <row r="1139" spans="1:9">
      <c r="A1139" s="63"/>
      <c r="B1139" s="66"/>
      <c r="C1139" s="67"/>
      <c r="D1139" s="67"/>
      <c r="E1139" s="67"/>
      <c r="F1139" s="67"/>
      <c r="G1139" s="67"/>
      <c r="H1139" s="67"/>
      <c r="I1139" s="66"/>
    </row>
    <row r="1140" spans="1:9">
      <c r="A1140" s="63"/>
      <c r="B1140" s="66"/>
      <c r="C1140" s="67"/>
      <c r="D1140" s="67"/>
      <c r="E1140" s="67"/>
      <c r="F1140" s="67"/>
      <c r="G1140" s="67"/>
      <c r="H1140" s="67"/>
      <c r="I1140" s="66"/>
    </row>
    <row r="1141" spans="1:9">
      <c r="A1141" s="63"/>
      <c r="B1141" s="67"/>
      <c r="C1141" s="67"/>
      <c r="D1141" s="67"/>
      <c r="E1141" s="66"/>
      <c r="F1141" s="67"/>
      <c r="G1141" s="67"/>
      <c r="H1141" s="67"/>
      <c r="I1141" s="66"/>
    </row>
    <row r="1142" spans="1:9">
      <c r="A1142" s="63"/>
      <c r="B1142" s="66"/>
      <c r="C1142" s="66"/>
      <c r="D1142" s="67"/>
      <c r="E1142" s="66"/>
      <c r="F1142" s="66"/>
      <c r="G1142" s="67"/>
      <c r="H1142" s="67"/>
      <c r="I1142" s="66"/>
    </row>
    <row r="1143" spans="1:9">
      <c r="A1143" s="63"/>
      <c r="B1143" s="66"/>
      <c r="C1143" s="67"/>
      <c r="D1143" s="67"/>
      <c r="E1143" s="67"/>
      <c r="F1143" s="67"/>
      <c r="G1143" s="67"/>
      <c r="H1143" s="67"/>
      <c r="I1143" s="66"/>
    </row>
    <row r="1144" spans="1:9">
      <c r="A1144" s="63"/>
      <c r="B1144" s="66"/>
      <c r="C1144" s="66"/>
      <c r="D1144" s="67"/>
      <c r="E1144" s="67"/>
      <c r="F1144" s="67"/>
      <c r="G1144" s="67"/>
      <c r="H1144" s="67"/>
      <c r="I1144" s="66"/>
    </row>
    <row r="1145" spans="1:9">
      <c r="A1145" s="63"/>
      <c r="B1145" s="66"/>
      <c r="C1145" s="67"/>
      <c r="D1145" s="67"/>
      <c r="E1145" s="67"/>
      <c r="F1145" s="67"/>
      <c r="G1145" s="67"/>
      <c r="H1145" s="67"/>
      <c r="I1145" s="66"/>
    </row>
    <row r="1146" spans="1:9">
      <c r="A1146" s="63"/>
      <c r="B1146" s="67"/>
      <c r="C1146" s="66"/>
      <c r="D1146" s="67"/>
      <c r="E1146" s="67"/>
      <c r="F1146" s="67"/>
      <c r="G1146" s="67"/>
      <c r="H1146" s="67"/>
      <c r="I1146" s="66"/>
    </row>
    <row r="1147" spans="1:9">
      <c r="A1147" s="63"/>
      <c r="B1147" s="66"/>
      <c r="C1147" s="67"/>
      <c r="D1147" s="67"/>
      <c r="E1147" s="67"/>
      <c r="F1147" s="67"/>
      <c r="G1147" s="67"/>
      <c r="H1147" s="67"/>
      <c r="I1147" s="66"/>
    </row>
    <row r="1148" spans="1:9">
      <c r="A1148" s="63"/>
      <c r="B1148" s="66"/>
      <c r="C1148" s="66"/>
      <c r="D1148" s="66"/>
      <c r="E1148" s="67"/>
      <c r="F1148" s="67"/>
      <c r="G1148" s="67"/>
      <c r="H1148" s="67"/>
      <c r="I1148" s="66"/>
    </row>
    <row r="1149" spans="1:9">
      <c r="A1149" s="63"/>
      <c r="B1149" s="66"/>
      <c r="C1149" s="67"/>
      <c r="D1149" s="67"/>
      <c r="E1149" s="67"/>
      <c r="F1149" s="67"/>
      <c r="G1149" s="67"/>
      <c r="H1149" s="67"/>
      <c r="I1149" s="66"/>
    </row>
    <row r="1150" spans="1:9">
      <c r="A1150" s="63"/>
      <c r="B1150" s="66"/>
      <c r="C1150" s="67"/>
      <c r="D1150" s="67"/>
      <c r="E1150" s="67"/>
      <c r="F1150" s="67"/>
      <c r="G1150" s="67"/>
      <c r="H1150" s="67"/>
      <c r="I1150" s="66"/>
    </row>
    <row r="1151" spans="1:9">
      <c r="A1151" s="63"/>
      <c r="B1151" s="66"/>
      <c r="C1151" s="67"/>
      <c r="D1151" s="67"/>
      <c r="E1151" s="67"/>
      <c r="F1151" s="67"/>
      <c r="G1151" s="67"/>
      <c r="H1151" s="67"/>
      <c r="I1151" s="66"/>
    </row>
    <row r="1152" spans="1:9">
      <c r="A1152" s="63"/>
      <c r="B1152" s="67"/>
      <c r="C1152" s="67"/>
      <c r="D1152" s="67"/>
      <c r="E1152" s="67"/>
      <c r="F1152" s="66"/>
      <c r="G1152" s="66"/>
      <c r="H1152" s="67"/>
      <c r="I1152" s="66"/>
    </row>
    <row r="1153" spans="1:9">
      <c r="A1153" s="63"/>
      <c r="B1153" s="66"/>
      <c r="C1153" s="67"/>
      <c r="D1153" s="67"/>
      <c r="E1153" s="67"/>
      <c r="F1153" s="67"/>
      <c r="G1153" s="67"/>
      <c r="H1153" s="67"/>
      <c r="I1153" s="66"/>
    </row>
    <row r="1154" spans="1:9">
      <c r="A1154" s="63"/>
      <c r="B1154" s="66"/>
      <c r="C1154" s="66"/>
      <c r="D1154" s="67"/>
      <c r="E1154" s="67"/>
      <c r="F1154" s="67"/>
      <c r="G1154" s="67"/>
      <c r="H1154" s="67"/>
      <c r="I1154" s="66"/>
    </row>
    <row r="1155" spans="1:9">
      <c r="A1155" s="63"/>
      <c r="B1155" s="66"/>
      <c r="C1155" s="66"/>
      <c r="D1155" s="67"/>
      <c r="E1155" s="67"/>
      <c r="F1155" s="67"/>
      <c r="G1155" s="67"/>
      <c r="H1155" s="67"/>
      <c r="I1155" s="66"/>
    </row>
    <row r="1156" spans="1:9">
      <c r="A1156" s="63"/>
      <c r="B1156" s="66"/>
      <c r="C1156" s="67"/>
      <c r="D1156" s="67"/>
      <c r="E1156" s="67"/>
      <c r="F1156" s="67"/>
      <c r="G1156" s="67"/>
      <c r="H1156" s="67"/>
      <c r="I1156" s="66"/>
    </row>
    <row r="1157" spans="1:9">
      <c r="A1157" s="63"/>
      <c r="B1157" s="66"/>
      <c r="C1157" s="67"/>
      <c r="D1157" s="67"/>
      <c r="E1157" s="67"/>
      <c r="F1157" s="67"/>
      <c r="G1157" s="67"/>
      <c r="H1157" s="67"/>
      <c r="I1157" s="66"/>
    </row>
    <row r="1158" spans="1:9">
      <c r="A1158" s="63"/>
      <c r="B1158" s="66"/>
      <c r="C1158" s="66"/>
      <c r="D1158" s="67"/>
      <c r="E1158" s="67"/>
      <c r="F1158" s="67"/>
      <c r="G1158" s="67"/>
      <c r="H1158" s="67"/>
      <c r="I1158" s="66"/>
    </row>
    <row r="1159" spans="1:9">
      <c r="A1159" s="63"/>
      <c r="B1159" s="66"/>
      <c r="C1159" s="67"/>
      <c r="D1159" s="67"/>
      <c r="E1159" s="67"/>
      <c r="F1159" s="67"/>
      <c r="G1159" s="67"/>
      <c r="H1159" s="67"/>
      <c r="I1159" s="66"/>
    </row>
    <row r="1160" spans="1:9">
      <c r="A1160" s="63"/>
      <c r="B1160" s="66"/>
      <c r="C1160" s="67"/>
      <c r="D1160" s="67"/>
      <c r="E1160" s="67"/>
      <c r="F1160" s="67"/>
      <c r="G1160" s="67"/>
      <c r="H1160" s="67"/>
      <c r="I1160" s="66"/>
    </row>
    <row r="1161" spans="1:9">
      <c r="A1161" s="63"/>
      <c r="B1161" s="66"/>
      <c r="C1161" s="67"/>
      <c r="D1161" s="67"/>
      <c r="E1161" s="67"/>
      <c r="F1161" s="67"/>
      <c r="G1161" s="67"/>
      <c r="H1161" s="67"/>
      <c r="I1161" s="66"/>
    </row>
    <row r="1162" spans="1:9">
      <c r="A1162" s="63"/>
      <c r="B1162" s="66"/>
      <c r="C1162" s="67"/>
      <c r="D1162" s="67"/>
      <c r="E1162" s="67"/>
      <c r="F1162" s="67"/>
      <c r="G1162" s="67"/>
      <c r="H1162" s="67"/>
      <c r="I1162" s="66"/>
    </row>
    <row r="1163" spans="1:9">
      <c r="A1163" s="63"/>
      <c r="B1163" s="66"/>
      <c r="C1163" s="66"/>
      <c r="D1163" s="67"/>
      <c r="E1163" s="67"/>
      <c r="F1163" s="67"/>
      <c r="G1163" s="67"/>
      <c r="H1163" s="67"/>
      <c r="I1163" s="66"/>
    </row>
    <row r="1164" spans="1:9">
      <c r="A1164" s="63"/>
      <c r="B1164" s="66"/>
      <c r="C1164" s="66"/>
      <c r="D1164" s="67"/>
      <c r="E1164" s="67"/>
      <c r="F1164" s="67"/>
      <c r="G1164" s="67"/>
      <c r="H1164" s="67"/>
      <c r="I1164" s="66"/>
    </row>
    <row r="1165" spans="1:9">
      <c r="A1165" s="63"/>
      <c r="B1165" s="66"/>
      <c r="C1165" s="67"/>
      <c r="D1165" s="67"/>
      <c r="E1165" s="67"/>
      <c r="F1165" s="67"/>
      <c r="G1165" s="67"/>
      <c r="H1165" s="67"/>
      <c r="I1165" s="66"/>
    </row>
    <row r="1166" spans="1:9">
      <c r="A1166" s="63"/>
      <c r="B1166" s="66"/>
      <c r="C1166" s="67"/>
      <c r="D1166" s="67"/>
      <c r="E1166" s="67"/>
      <c r="F1166" s="67"/>
      <c r="G1166" s="67"/>
      <c r="H1166" s="67"/>
      <c r="I1166" s="66"/>
    </row>
    <row r="1167" spans="1:9">
      <c r="A1167" s="63"/>
      <c r="B1167" s="66"/>
      <c r="C1167" s="67"/>
      <c r="D1167" s="67"/>
      <c r="E1167" s="67"/>
      <c r="F1167" s="67"/>
      <c r="G1167" s="67"/>
      <c r="H1167" s="67"/>
      <c r="I1167" s="66"/>
    </row>
    <row r="1168" spans="1:9">
      <c r="A1168" s="63"/>
      <c r="B1168" s="66"/>
      <c r="C1168" s="67"/>
      <c r="D1168" s="67"/>
      <c r="E1168" s="67"/>
      <c r="F1168" s="67"/>
      <c r="G1168" s="67"/>
      <c r="H1168" s="67"/>
      <c r="I1168" s="66"/>
    </row>
    <row r="1169" spans="1:9">
      <c r="A1169" s="63"/>
      <c r="B1169" s="66"/>
      <c r="C1169" s="67"/>
      <c r="D1169" s="67"/>
      <c r="E1169" s="67"/>
      <c r="F1169" s="67"/>
      <c r="G1169" s="67"/>
      <c r="H1169" s="67"/>
      <c r="I1169" s="66"/>
    </row>
    <row r="1170" spans="1:9">
      <c r="A1170" s="63"/>
      <c r="B1170" s="67"/>
      <c r="C1170" s="67"/>
      <c r="D1170" s="67"/>
      <c r="E1170" s="67"/>
      <c r="F1170" s="67"/>
      <c r="G1170" s="67"/>
      <c r="H1170" s="66"/>
      <c r="I1170" s="66"/>
    </row>
    <row r="1171" spans="1:9">
      <c r="A1171" s="63"/>
      <c r="B1171" s="66"/>
      <c r="C1171" s="67"/>
      <c r="D1171" s="67"/>
      <c r="E1171" s="67"/>
      <c r="F1171" s="67"/>
      <c r="G1171" s="67"/>
      <c r="H1171" s="67"/>
      <c r="I1171" s="66"/>
    </row>
    <row r="1172" spans="1:9">
      <c r="A1172" s="63"/>
      <c r="B1172" s="66"/>
      <c r="C1172" s="66"/>
      <c r="D1172" s="67"/>
      <c r="E1172" s="67"/>
      <c r="F1172" s="67"/>
      <c r="G1172" s="67"/>
      <c r="H1172" s="67"/>
      <c r="I1172" s="66"/>
    </row>
    <row r="1173" spans="1:9">
      <c r="A1173" s="63"/>
      <c r="B1173" s="66"/>
      <c r="C1173" s="67"/>
      <c r="D1173" s="67"/>
      <c r="E1173" s="67"/>
      <c r="F1173" s="67"/>
      <c r="G1173" s="67"/>
      <c r="H1173" s="67"/>
      <c r="I1173" s="66"/>
    </row>
    <row r="1174" spans="1:9">
      <c r="A1174" s="63"/>
      <c r="B1174" s="67"/>
      <c r="C1174" s="66"/>
      <c r="D1174" s="67"/>
      <c r="E1174" s="67"/>
      <c r="F1174" s="67"/>
      <c r="G1174" s="67"/>
      <c r="H1174" s="67"/>
      <c r="I1174" s="66"/>
    </row>
    <row r="1175" spans="1:9">
      <c r="A1175" s="63"/>
      <c r="B1175" s="67"/>
      <c r="C1175" s="66"/>
      <c r="D1175" s="67"/>
      <c r="E1175" s="67"/>
      <c r="F1175" s="67"/>
      <c r="G1175" s="67"/>
      <c r="H1175" s="67"/>
      <c r="I1175" s="66"/>
    </row>
    <row r="1176" spans="1:9">
      <c r="A1176" s="63"/>
      <c r="B1176" s="66"/>
      <c r="C1176" s="66"/>
      <c r="D1176" s="67"/>
      <c r="E1176" s="67"/>
      <c r="F1176" s="67"/>
      <c r="G1176" s="67"/>
      <c r="H1176" s="67"/>
      <c r="I1176" s="66"/>
    </row>
    <row r="1177" spans="1:9">
      <c r="A1177" s="63"/>
      <c r="B1177" s="66"/>
      <c r="C1177" s="67"/>
      <c r="D1177" s="67"/>
      <c r="E1177" s="67"/>
      <c r="F1177" s="67"/>
      <c r="G1177" s="67"/>
      <c r="H1177" s="67"/>
      <c r="I1177" s="66"/>
    </row>
    <row r="1178" spans="1:9">
      <c r="A1178" s="63"/>
      <c r="B1178" s="66"/>
      <c r="C1178" s="67"/>
      <c r="D1178" s="67"/>
      <c r="E1178" s="67"/>
      <c r="F1178" s="67"/>
      <c r="G1178" s="67"/>
      <c r="H1178" s="67"/>
      <c r="I1178" s="66"/>
    </row>
    <row r="1179" spans="1:9">
      <c r="A1179" s="63"/>
      <c r="B1179" s="66"/>
      <c r="C1179" s="67"/>
      <c r="D1179" s="67"/>
      <c r="E1179" s="67"/>
      <c r="F1179" s="67"/>
      <c r="G1179" s="67"/>
      <c r="H1179" s="67"/>
      <c r="I1179" s="66"/>
    </row>
    <row r="1180" spans="1:9">
      <c r="A1180" s="63"/>
      <c r="B1180" s="66"/>
      <c r="C1180" s="66"/>
      <c r="D1180" s="67"/>
      <c r="E1180" s="67"/>
      <c r="F1180" s="67"/>
      <c r="G1180" s="67"/>
      <c r="H1180" s="67"/>
      <c r="I1180" s="66"/>
    </row>
    <row r="1181" spans="1:9">
      <c r="A1181" s="63"/>
      <c r="B1181" s="66"/>
      <c r="C1181" s="67"/>
      <c r="D1181" s="67"/>
      <c r="E1181" s="67"/>
      <c r="F1181" s="67"/>
      <c r="G1181" s="67"/>
      <c r="H1181" s="67"/>
      <c r="I1181" s="66"/>
    </row>
    <row r="1182" spans="1:9">
      <c r="A1182" s="63"/>
      <c r="B1182" s="66"/>
      <c r="C1182" s="67"/>
      <c r="D1182" s="67"/>
      <c r="E1182" s="67"/>
      <c r="F1182" s="67"/>
      <c r="G1182" s="67"/>
      <c r="H1182" s="67"/>
      <c r="I1182" s="66"/>
    </row>
    <row r="1183" spans="1:9">
      <c r="A1183" s="63"/>
      <c r="B1183" s="66"/>
      <c r="C1183" s="67"/>
      <c r="D1183" s="67"/>
      <c r="E1183" s="67"/>
      <c r="F1183" s="67"/>
      <c r="G1183" s="67"/>
      <c r="H1183" s="67"/>
      <c r="I1183" s="66"/>
    </row>
    <row r="1184" spans="1:9">
      <c r="A1184" s="63"/>
      <c r="B1184" s="66"/>
      <c r="C1184" s="67"/>
      <c r="D1184" s="67"/>
      <c r="E1184" s="67"/>
      <c r="F1184" s="67"/>
      <c r="G1184" s="67"/>
      <c r="H1184" s="67"/>
      <c r="I1184" s="66"/>
    </row>
    <row r="1185" spans="1:9">
      <c r="A1185" s="63"/>
      <c r="B1185" s="66"/>
      <c r="C1185" s="66"/>
      <c r="D1185" s="67"/>
      <c r="E1185" s="67"/>
      <c r="F1185" s="67"/>
      <c r="G1185" s="67"/>
      <c r="H1185" s="67"/>
      <c r="I1185" s="66"/>
    </row>
    <row r="1186" spans="1:9">
      <c r="A1186" s="63"/>
      <c r="B1186" s="66"/>
      <c r="C1186" s="67"/>
      <c r="D1186" s="67"/>
      <c r="E1186" s="67"/>
      <c r="F1186" s="67"/>
      <c r="G1186" s="67"/>
      <c r="H1186" s="67"/>
      <c r="I1186" s="66"/>
    </row>
    <row r="1187" spans="1:9">
      <c r="A1187" s="63"/>
      <c r="B1187" s="66"/>
      <c r="C1187" s="66"/>
      <c r="D1187" s="66"/>
      <c r="E1187" s="66"/>
      <c r="F1187" s="67"/>
      <c r="G1187" s="67"/>
      <c r="H1187" s="67"/>
      <c r="I1187" s="66"/>
    </row>
    <row r="1188" spans="1:9">
      <c r="A1188" s="63"/>
      <c r="B1188" s="66"/>
      <c r="C1188" s="66"/>
      <c r="D1188" s="67"/>
      <c r="E1188" s="67"/>
      <c r="F1188" s="67"/>
      <c r="G1188" s="67"/>
      <c r="H1188" s="67"/>
      <c r="I1188" s="66"/>
    </row>
    <row r="1189" spans="1:9">
      <c r="A1189" s="63"/>
      <c r="B1189" s="66"/>
      <c r="C1189" s="67"/>
      <c r="D1189" s="67"/>
      <c r="E1189" s="67"/>
      <c r="F1189" s="67"/>
      <c r="G1189" s="67"/>
      <c r="H1189" s="67"/>
      <c r="I1189" s="66"/>
    </row>
    <row r="1190" spans="1:9">
      <c r="A1190" s="63"/>
      <c r="B1190" s="66"/>
      <c r="C1190" s="67"/>
      <c r="D1190" s="67"/>
      <c r="E1190" s="67"/>
      <c r="F1190" s="67"/>
      <c r="G1190" s="67"/>
      <c r="H1190" s="67"/>
      <c r="I1190" s="66"/>
    </row>
    <row r="1191" spans="1:9">
      <c r="A1191" s="63"/>
      <c r="B1191" s="67"/>
      <c r="C1191" s="66"/>
      <c r="D1191" s="67"/>
      <c r="E1191" s="67"/>
      <c r="F1191" s="67"/>
      <c r="G1191" s="67"/>
      <c r="H1191" s="67"/>
      <c r="I1191" s="66"/>
    </row>
    <row r="1192" spans="1:9">
      <c r="A1192" s="63"/>
      <c r="B1192" s="66"/>
      <c r="C1192" s="67"/>
      <c r="D1192" s="67"/>
      <c r="E1192" s="67"/>
      <c r="F1192" s="67"/>
      <c r="G1192" s="67"/>
      <c r="H1192" s="67"/>
      <c r="I1192" s="66"/>
    </row>
    <row r="1193" spans="1:9">
      <c r="A1193" s="63"/>
      <c r="B1193" s="66"/>
      <c r="C1193" s="67"/>
      <c r="D1193" s="67"/>
      <c r="E1193" s="67"/>
      <c r="F1193" s="67"/>
      <c r="G1193" s="67"/>
      <c r="H1193" s="67"/>
      <c r="I1193" s="66"/>
    </row>
    <row r="1194" spans="1:9">
      <c r="A1194" s="63"/>
      <c r="B1194" s="66"/>
      <c r="C1194" s="67"/>
      <c r="D1194" s="67"/>
      <c r="E1194" s="67"/>
      <c r="F1194" s="67"/>
      <c r="G1194" s="67"/>
      <c r="H1194" s="67"/>
      <c r="I1194" s="66"/>
    </row>
    <row r="1195" spans="1:9">
      <c r="A1195" s="63"/>
      <c r="B1195" s="66"/>
      <c r="C1195" s="66"/>
      <c r="D1195" s="67"/>
      <c r="E1195" s="67"/>
      <c r="F1195" s="67"/>
      <c r="G1195" s="67"/>
      <c r="H1195" s="67"/>
      <c r="I1195" s="66"/>
    </row>
    <row r="1196" spans="1:9">
      <c r="A1196" s="126"/>
      <c r="B1196" s="66"/>
      <c r="C1196" s="67"/>
      <c r="D1196" s="67"/>
      <c r="E1196" s="67"/>
      <c r="F1196" s="67"/>
      <c r="G1196" s="67"/>
      <c r="H1196" s="66"/>
      <c r="I1196" s="66"/>
    </row>
    <row r="1197" spans="1:9">
      <c r="A1197" s="126"/>
      <c r="B1197" s="68"/>
      <c r="I1197" s="66"/>
    </row>
    <row r="1198" spans="1:9">
      <c r="A1198" s="126"/>
      <c r="H1198" s="68"/>
      <c r="I1198" s="66"/>
    </row>
    <row r="1199" spans="1:9">
      <c r="A1199" s="63"/>
      <c r="B1199" s="66"/>
      <c r="C1199" s="67"/>
      <c r="D1199" s="67"/>
      <c r="E1199" s="67"/>
      <c r="F1199" s="67"/>
      <c r="G1199" s="67"/>
      <c r="H1199" s="67"/>
      <c r="I1199" s="66"/>
    </row>
    <row r="1200" spans="1:9">
      <c r="A1200" s="63"/>
      <c r="B1200" s="66"/>
      <c r="C1200" s="67"/>
      <c r="D1200" s="67"/>
      <c r="E1200" s="67"/>
      <c r="F1200" s="67"/>
      <c r="G1200" s="67"/>
      <c r="H1200" s="67"/>
      <c r="I1200" s="66"/>
    </row>
    <row r="1201" spans="1:9">
      <c r="A1201" s="63"/>
      <c r="B1201" s="66"/>
      <c r="C1201" s="66"/>
      <c r="D1201" s="67"/>
      <c r="E1201" s="67"/>
      <c r="F1201" s="67"/>
      <c r="G1201" s="67"/>
      <c r="H1201" s="67"/>
      <c r="I1201" s="66"/>
    </row>
    <row r="1202" spans="1:9">
      <c r="A1202" s="63"/>
      <c r="B1202" s="66"/>
      <c r="C1202" s="67"/>
      <c r="D1202" s="67"/>
      <c r="E1202" s="67"/>
      <c r="F1202" s="67"/>
      <c r="G1202" s="67"/>
      <c r="H1202" s="67"/>
      <c r="I1202" s="66"/>
    </row>
    <row r="1203" spans="1:9">
      <c r="A1203" s="63"/>
      <c r="B1203" s="66"/>
      <c r="C1203" s="66"/>
      <c r="D1203" s="67"/>
      <c r="E1203" s="67"/>
      <c r="F1203" s="67"/>
      <c r="G1203" s="67"/>
      <c r="H1203" s="67"/>
      <c r="I1203" s="66"/>
    </row>
    <row r="1204" spans="1:9">
      <c r="A1204" s="63"/>
      <c r="B1204" s="66"/>
      <c r="C1204" s="67"/>
      <c r="D1204" s="67"/>
      <c r="E1204" s="67"/>
      <c r="F1204" s="67"/>
      <c r="G1204" s="67"/>
      <c r="H1204" s="67"/>
      <c r="I1204" s="66"/>
    </row>
    <row r="1205" spans="1:9">
      <c r="A1205" s="63"/>
      <c r="B1205" s="66"/>
      <c r="C1205" s="66"/>
      <c r="D1205" s="67"/>
      <c r="E1205" s="67"/>
      <c r="F1205" s="67"/>
      <c r="G1205" s="67"/>
      <c r="H1205" s="67"/>
      <c r="I1205" s="66"/>
    </row>
    <row r="1206" spans="1:9">
      <c r="A1206" s="63"/>
      <c r="B1206" s="66"/>
      <c r="C1206" s="67"/>
      <c r="D1206" s="67"/>
      <c r="E1206" s="67"/>
      <c r="F1206" s="67"/>
      <c r="G1206" s="67"/>
      <c r="H1206" s="67"/>
      <c r="I1206" s="66"/>
    </row>
    <row r="1207" spans="1:9">
      <c r="A1207" s="63"/>
      <c r="B1207" s="66"/>
      <c r="C1207" s="66"/>
      <c r="D1207" s="67"/>
      <c r="E1207" s="67"/>
      <c r="F1207" s="67"/>
      <c r="G1207" s="67"/>
      <c r="H1207" s="67"/>
      <c r="I1207" s="66"/>
    </row>
    <row r="1208" spans="1:9">
      <c r="A1208" s="63"/>
      <c r="B1208" s="66"/>
      <c r="C1208" s="67"/>
      <c r="D1208" s="67"/>
      <c r="E1208" s="67"/>
      <c r="F1208" s="67"/>
      <c r="G1208" s="67"/>
      <c r="H1208" s="67"/>
      <c r="I1208" s="66"/>
    </row>
    <row r="1209" spans="1:9">
      <c r="A1209" s="63"/>
      <c r="B1209" s="66"/>
      <c r="C1209" s="66"/>
      <c r="D1209" s="67"/>
      <c r="E1209" s="66"/>
      <c r="F1209" s="67"/>
      <c r="G1209" s="67"/>
      <c r="H1209" s="67"/>
      <c r="I1209" s="66"/>
    </row>
    <row r="1210" spans="1:9">
      <c r="A1210" s="63"/>
      <c r="B1210" s="66"/>
      <c r="C1210" s="67"/>
      <c r="D1210" s="67"/>
      <c r="E1210" s="67"/>
      <c r="F1210" s="67"/>
      <c r="G1210" s="67"/>
      <c r="H1210" s="67"/>
      <c r="I1210" s="66"/>
    </row>
    <row r="1211" spans="1:9">
      <c r="A1211" s="63"/>
      <c r="B1211" s="66"/>
      <c r="C1211" s="67"/>
      <c r="D1211" s="67"/>
      <c r="E1211" s="67"/>
      <c r="F1211" s="67"/>
      <c r="G1211" s="67"/>
      <c r="H1211" s="67"/>
      <c r="I1211" s="66"/>
    </row>
    <row r="1212" spans="1:9">
      <c r="A1212" s="63"/>
      <c r="B1212" s="66"/>
      <c r="C1212" s="66"/>
      <c r="D1212" s="67"/>
      <c r="E1212" s="67"/>
      <c r="F1212" s="67"/>
      <c r="G1212" s="67"/>
      <c r="H1212" s="67"/>
      <c r="I1212" s="66"/>
    </row>
    <row r="1213" spans="1:9">
      <c r="A1213" s="63"/>
      <c r="B1213" s="66"/>
      <c r="C1213" s="66"/>
      <c r="D1213" s="67"/>
      <c r="E1213" s="67"/>
      <c r="F1213" s="67"/>
      <c r="G1213" s="67"/>
      <c r="H1213" s="67"/>
      <c r="I1213" s="66"/>
    </row>
    <row r="1214" spans="1:9">
      <c r="A1214" s="63"/>
      <c r="B1214" s="67"/>
      <c r="C1214" s="66"/>
      <c r="D1214" s="67"/>
      <c r="E1214" s="67"/>
      <c r="F1214" s="67"/>
      <c r="G1214" s="67"/>
      <c r="H1214" s="67"/>
      <c r="I1214" s="66"/>
    </row>
    <row r="1215" spans="1:9">
      <c r="A1215" s="63"/>
      <c r="B1215" s="66"/>
      <c r="C1215" s="67"/>
      <c r="D1215" s="67"/>
      <c r="E1215" s="67"/>
      <c r="F1215" s="67"/>
      <c r="G1215" s="67"/>
      <c r="H1215" s="67"/>
      <c r="I1215" s="66"/>
    </row>
    <row r="1216" spans="1:9">
      <c r="A1216" s="63"/>
      <c r="B1216" s="66"/>
      <c r="C1216" s="66"/>
      <c r="D1216" s="67"/>
      <c r="E1216" s="67"/>
      <c r="F1216" s="67"/>
      <c r="G1216" s="67"/>
      <c r="H1216" s="67"/>
      <c r="I1216" s="66"/>
    </row>
    <row r="1217" spans="1:9">
      <c r="A1217" s="63"/>
      <c r="B1217" s="66"/>
      <c r="C1217" s="67"/>
      <c r="D1217" s="67"/>
      <c r="E1217" s="67"/>
      <c r="F1217" s="67"/>
      <c r="G1217" s="67"/>
      <c r="H1217" s="67"/>
      <c r="I1217" s="66"/>
    </row>
    <row r="1218" spans="1:9">
      <c r="A1218" s="63"/>
      <c r="B1218" s="66"/>
      <c r="C1218" s="67"/>
      <c r="D1218" s="67"/>
      <c r="E1218" s="67"/>
      <c r="F1218" s="67"/>
      <c r="G1218" s="67"/>
      <c r="H1218" s="67"/>
      <c r="I1218" s="66"/>
    </row>
    <row r="1219" spans="1:9">
      <c r="A1219" s="63"/>
      <c r="B1219" s="67"/>
      <c r="C1219" s="66"/>
      <c r="D1219" s="66"/>
      <c r="E1219" s="67"/>
      <c r="F1219" s="67"/>
      <c r="G1219" s="67"/>
      <c r="H1219" s="67"/>
      <c r="I1219" s="66"/>
    </row>
    <row r="1220" spans="1:9">
      <c r="A1220" s="63"/>
      <c r="B1220" s="66"/>
      <c r="C1220" s="67"/>
      <c r="D1220" s="67"/>
      <c r="E1220" s="67"/>
      <c r="F1220" s="67"/>
      <c r="G1220" s="67"/>
      <c r="H1220" s="66"/>
      <c r="I1220" s="66"/>
    </row>
    <row r="1221" spans="1:9">
      <c r="A1221" s="63"/>
      <c r="B1221" s="66"/>
      <c r="C1221" s="67"/>
      <c r="D1221" s="67"/>
      <c r="E1221" s="67"/>
      <c r="F1221" s="67"/>
      <c r="G1221" s="67"/>
      <c r="H1221" s="67"/>
      <c r="I1221" s="66"/>
    </row>
    <row r="1222" spans="1:9">
      <c r="A1222" s="63"/>
      <c r="B1222" s="66"/>
      <c r="C1222" s="67"/>
      <c r="D1222" s="67"/>
      <c r="E1222" s="67"/>
      <c r="F1222" s="67"/>
      <c r="G1222" s="67"/>
      <c r="H1222" s="67"/>
      <c r="I1222" s="66"/>
    </row>
    <row r="1223" spans="1:9">
      <c r="A1223" s="63"/>
      <c r="B1223" s="66"/>
      <c r="C1223" s="67"/>
      <c r="D1223" s="67"/>
      <c r="E1223" s="67"/>
      <c r="F1223" s="67"/>
      <c r="G1223" s="67"/>
      <c r="H1223" s="67"/>
      <c r="I1223" s="66"/>
    </row>
    <row r="1224" spans="1:9">
      <c r="A1224" s="63"/>
      <c r="B1224" s="66"/>
      <c r="C1224" s="67"/>
      <c r="D1224" s="67"/>
      <c r="E1224" s="67"/>
      <c r="F1224" s="67"/>
      <c r="G1224" s="67"/>
      <c r="H1224" s="67"/>
      <c r="I1224" s="66"/>
    </row>
    <row r="1225" spans="1:9">
      <c r="A1225" s="63"/>
      <c r="B1225" s="66"/>
      <c r="C1225" s="67"/>
      <c r="D1225" s="67"/>
      <c r="E1225" s="67"/>
      <c r="F1225" s="67"/>
      <c r="G1225" s="67"/>
      <c r="H1225" s="67"/>
      <c r="I1225" s="66"/>
    </row>
    <row r="1226" spans="1:9">
      <c r="A1226" s="63"/>
      <c r="B1226" s="66"/>
      <c r="C1226" s="67"/>
      <c r="D1226" s="67"/>
      <c r="E1226" s="67"/>
      <c r="F1226" s="67"/>
      <c r="G1226" s="67"/>
      <c r="H1226" s="67"/>
      <c r="I1226" s="66"/>
    </row>
    <row r="1227" spans="1:9">
      <c r="A1227" s="63"/>
      <c r="B1227" s="66"/>
      <c r="C1227" s="66"/>
      <c r="D1227" s="67"/>
      <c r="E1227" s="67"/>
      <c r="F1227" s="67"/>
      <c r="G1227" s="67"/>
      <c r="H1227" s="67"/>
      <c r="I1227" s="66"/>
    </row>
    <row r="1228" spans="1:9">
      <c r="A1228" s="63"/>
      <c r="B1228" s="66"/>
      <c r="C1228" s="67"/>
      <c r="D1228" s="67"/>
      <c r="E1228" s="67"/>
      <c r="F1228" s="67"/>
      <c r="G1228" s="67"/>
      <c r="H1228" s="67"/>
      <c r="I1228" s="66"/>
    </row>
    <row r="1229" spans="1:9">
      <c r="A1229" s="63"/>
      <c r="B1229" s="66"/>
      <c r="C1229" s="67"/>
      <c r="D1229" s="67"/>
      <c r="E1229" s="67"/>
      <c r="F1229" s="67"/>
      <c r="G1229" s="67"/>
      <c r="H1229" s="67"/>
      <c r="I1229" s="66"/>
    </row>
    <row r="1230" spans="1:9">
      <c r="A1230" s="63"/>
      <c r="B1230" s="66"/>
      <c r="C1230" s="66"/>
      <c r="D1230" s="66"/>
      <c r="E1230" s="67"/>
      <c r="F1230" s="67"/>
      <c r="G1230" s="67"/>
      <c r="H1230" s="67"/>
      <c r="I1230" s="66"/>
    </row>
    <row r="1231" spans="1:9">
      <c r="A1231" s="63"/>
      <c r="B1231" s="66"/>
      <c r="C1231" s="67"/>
      <c r="D1231" s="67"/>
      <c r="E1231" s="67"/>
      <c r="F1231" s="67"/>
      <c r="G1231" s="67"/>
      <c r="H1231" s="67"/>
      <c r="I1231" s="66"/>
    </row>
    <row r="1232" spans="1:9">
      <c r="A1232" s="63"/>
      <c r="B1232" s="66"/>
      <c r="C1232" s="67"/>
      <c r="D1232" s="67"/>
      <c r="E1232" s="67"/>
      <c r="F1232" s="67"/>
      <c r="G1232" s="67"/>
      <c r="H1232" s="67"/>
      <c r="I1232" s="66"/>
    </row>
    <row r="1233" spans="1:9">
      <c r="A1233" s="63"/>
      <c r="B1233" s="66"/>
      <c r="C1233" s="67"/>
      <c r="D1233" s="67"/>
      <c r="E1233" s="67"/>
      <c r="F1233" s="67"/>
      <c r="G1233" s="67"/>
      <c r="H1233" s="67"/>
      <c r="I1233" s="66"/>
    </row>
    <row r="1234" spans="1:9">
      <c r="A1234" s="63"/>
      <c r="B1234" s="66"/>
      <c r="C1234" s="66"/>
      <c r="D1234" s="66"/>
      <c r="E1234" s="67"/>
      <c r="F1234" s="67"/>
      <c r="G1234" s="67"/>
      <c r="H1234" s="67"/>
      <c r="I1234" s="66"/>
    </row>
    <row r="1235" spans="1:9">
      <c r="A1235" s="63"/>
      <c r="B1235" s="66"/>
      <c r="C1235" s="67"/>
      <c r="D1235" s="67"/>
      <c r="E1235" s="67"/>
      <c r="F1235" s="67"/>
      <c r="G1235" s="67"/>
      <c r="H1235" s="67"/>
      <c r="I1235" s="66"/>
    </row>
    <row r="1236" spans="1:9">
      <c r="A1236" s="63"/>
      <c r="B1236" s="66"/>
      <c r="C1236" s="67"/>
      <c r="D1236" s="67"/>
      <c r="E1236" s="67"/>
      <c r="F1236" s="67"/>
      <c r="G1236" s="67"/>
      <c r="H1236" s="67"/>
      <c r="I1236" s="66"/>
    </row>
    <row r="1237" spans="1:9">
      <c r="A1237" s="63"/>
      <c r="B1237" s="66"/>
      <c r="C1237" s="67"/>
      <c r="D1237" s="67"/>
      <c r="E1237" s="67"/>
      <c r="F1237" s="67"/>
      <c r="G1237" s="67"/>
      <c r="H1237" s="67"/>
      <c r="I1237" s="66"/>
    </row>
    <row r="1238" spans="1:9">
      <c r="A1238" s="63"/>
      <c r="B1238" s="66"/>
      <c r="C1238" s="66"/>
      <c r="D1238" s="67"/>
      <c r="E1238" s="67"/>
      <c r="F1238" s="67"/>
      <c r="G1238" s="67"/>
      <c r="H1238" s="67"/>
      <c r="I1238" s="66"/>
    </row>
    <row r="1239" spans="1:9">
      <c r="A1239" s="63"/>
      <c r="B1239" s="66"/>
      <c r="C1239" s="67"/>
      <c r="D1239" s="67"/>
      <c r="E1239" s="67"/>
      <c r="F1239" s="67"/>
      <c r="G1239" s="67"/>
      <c r="H1239" s="67"/>
      <c r="I1239" s="66"/>
    </row>
    <row r="1240" spans="1:9">
      <c r="A1240" s="63"/>
      <c r="B1240" s="66"/>
      <c r="C1240" s="67"/>
      <c r="D1240" s="67"/>
      <c r="E1240" s="67"/>
      <c r="F1240" s="67"/>
      <c r="G1240" s="67"/>
      <c r="H1240" s="67"/>
      <c r="I1240" s="66"/>
    </row>
    <row r="1241" spans="1:9">
      <c r="A1241" s="63"/>
      <c r="B1241" s="66"/>
      <c r="C1241" s="67"/>
      <c r="D1241" s="67"/>
      <c r="E1241" s="67"/>
      <c r="F1241" s="67"/>
      <c r="G1241" s="67"/>
      <c r="H1241" s="67"/>
      <c r="I1241" s="66"/>
    </row>
    <row r="1242" spans="1:9">
      <c r="A1242" s="63"/>
      <c r="B1242" s="66"/>
      <c r="C1242" s="66"/>
      <c r="D1242" s="67"/>
      <c r="E1242" s="67"/>
      <c r="F1242" s="67"/>
      <c r="G1242" s="67"/>
      <c r="H1242" s="67"/>
      <c r="I1242" s="66"/>
    </row>
    <row r="1243" spans="1:9">
      <c r="A1243" s="63"/>
      <c r="B1243" s="66"/>
      <c r="C1243" s="67"/>
      <c r="D1243" s="67"/>
      <c r="E1243" s="67"/>
      <c r="F1243" s="67"/>
      <c r="G1243" s="67"/>
      <c r="H1243" s="67"/>
      <c r="I1243" s="66"/>
    </row>
    <row r="1244" spans="1:9">
      <c r="A1244" s="63"/>
      <c r="B1244" s="66"/>
      <c r="C1244" s="67"/>
      <c r="D1244" s="67"/>
      <c r="E1244" s="67"/>
      <c r="F1244" s="67"/>
      <c r="G1244" s="67"/>
      <c r="H1244" s="67"/>
      <c r="I1244" s="66"/>
    </row>
    <row r="1245" spans="1:9">
      <c r="A1245" s="63"/>
      <c r="B1245" s="66"/>
      <c r="C1245" s="67"/>
      <c r="D1245" s="67"/>
      <c r="E1245" s="67"/>
      <c r="F1245" s="67"/>
      <c r="G1245" s="67"/>
      <c r="H1245" s="67"/>
      <c r="I1245" s="66"/>
    </row>
    <row r="1246" spans="1:9">
      <c r="A1246" s="63"/>
      <c r="B1246" s="66"/>
      <c r="C1246" s="67"/>
      <c r="D1246" s="67"/>
      <c r="E1246" s="66"/>
      <c r="F1246" s="67"/>
      <c r="G1246" s="67"/>
      <c r="H1246" s="67"/>
      <c r="I1246" s="66"/>
    </row>
    <row r="1247" spans="1:9">
      <c r="A1247" s="63"/>
      <c r="B1247" s="66"/>
      <c r="C1247" s="67"/>
      <c r="D1247" s="67"/>
      <c r="E1247" s="67"/>
      <c r="F1247" s="67"/>
      <c r="G1247" s="67"/>
      <c r="H1247" s="67"/>
      <c r="I1247" s="66"/>
    </row>
    <row r="1248" spans="1:9">
      <c r="A1248" s="63"/>
      <c r="B1248" s="66"/>
      <c r="C1248" s="67"/>
      <c r="D1248" s="67"/>
      <c r="E1248" s="67"/>
      <c r="F1248" s="67"/>
      <c r="G1248" s="67"/>
      <c r="H1248" s="67"/>
      <c r="I1248" s="66"/>
    </row>
    <row r="1249" spans="1:9">
      <c r="A1249" s="63"/>
      <c r="B1249" s="66"/>
      <c r="C1249" s="67"/>
      <c r="D1249" s="67"/>
      <c r="E1249" s="67"/>
      <c r="F1249" s="67"/>
      <c r="G1249" s="67"/>
      <c r="H1249" s="67"/>
      <c r="I1249" s="66"/>
    </row>
    <row r="1250" spans="1:9">
      <c r="A1250" s="63"/>
      <c r="B1250" s="66"/>
      <c r="C1250" s="66"/>
      <c r="D1250" s="66"/>
      <c r="E1250" s="67"/>
      <c r="F1250" s="67"/>
      <c r="G1250" s="67"/>
      <c r="H1250" s="67"/>
      <c r="I1250" s="66"/>
    </row>
    <row r="1251" spans="1:9">
      <c r="A1251" s="63"/>
      <c r="B1251" s="66"/>
      <c r="C1251" s="67"/>
      <c r="D1251" s="67"/>
      <c r="E1251" s="67"/>
      <c r="F1251" s="67"/>
      <c r="G1251" s="67"/>
      <c r="H1251" s="67"/>
      <c r="I1251" s="66"/>
    </row>
    <row r="1252" spans="1:9">
      <c r="A1252" s="63"/>
      <c r="B1252" s="66"/>
      <c r="C1252" s="67"/>
      <c r="D1252" s="67"/>
      <c r="E1252" s="67"/>
      <c r="F1252" s="67"/>
      <c r="G1252" s="67"/>
      <c r="H1252" s="67"/>
      <c r="I1252" s="66"/>
    </row>
    <row r="1253" spans="1:9">
      <c r="A1253" s="63"/>
      <c r="B1253" s="66"/>
      <c r="C1253" s="66"/>
      <c r="D1253" s="67"/>
      <c r="E1253" s="67"/>
      <c r="F1253" s="67"/>
      <c r="G1253" s="67"/>
      <c r="H1253" s="67"/>
      <c r="I1253" s="66"/>
    </row>
    <row r="1254" spans="1:9">
      <c r="A1254" s="63"/>
      <c r="B1254" s="66"/>
      <c r="C1254" s="67"/>
      <c r="D1254" s="67"/>
      <c r="E1254" s="67"/>
      <c r="F1254" s="67"/>
      <c r="G1254" s="67"/>
      <c r="H1254" s="67"/>
      <c r="I1254" s="66"/>
    </row>
    <row r="1255" spans="1:9">
      <c r="A1255" s="63"/>
      <c r="B1255" s="66"/>
      <c r="C1255" s="67"/>
      <c r="D1255" s="67"/>
      <c r="E1255" s="67"/>
      <c r="F1255" s="67"/>
      <c r="G1255" s="67"/>
      <c r="H1255" s="67"/>
      <c r="I1255" s="66"/>
    </row>
    <row r="1256" spans="1:9">
      <c r="A1256" s="63"/>
      <c r="B1256" s="66"/>
      <c r="C1256" s="67"/>
      <c r="D1256" s="67"/>
      <c r="E1256" s="67"/>
      <c r="F1256" s="67"/>
      <c r="G1256" s="67"/>
      <c r="H1256" s="67"/>
      <c r="I1256" s="66"/>
    </row>
    <row r="1257" spans="1:9">
      <c r="A1257" s="63"/>
      <c r="B1257" s="66"/>
      <c r="C1257" s="67"/>
      <c r="D1257" s="67"/>
      <c r="E1257" s="67"/>
      <c r="F1257" s="67"/>
      <c r="G1257" s="67"/>
      <c r="H1257" s="67"/>
      <c r="I1257" s="66"/>
    </row>
    <row r="1258" spans="1:9">
      <c r="A1258" s="63"/>
      <c r="B1258" s="66"/>
      <c r="C1258" s="67"/>
      <c r="D1258" s="67"/>
      <c r="E1258" s="67"/>
      <c r="F1258" s="67"/>
      <c r="G1258" s="67"/>
      <c r="H1258" s="67"/>
      <c r="I1258" s="66"/>
    </row>
    <row r="1259" spans="1:9">
      <c r="A1259" s="63"/>
      <c r="B1259" s="66"/>
      <c r="C1259" s="66"/>
      <c r="D1259" s="66"/>
      <c r="E1259" s="67"/>
      <c r="F1259" s="67"/>
      <c r="G1259" s="67"/>
      <c r="H1259" s="67"/>
      <c r="I1259" s="66"/>
    </row>
    <row r="1260" spans="1:9">
      <c r="A1260" s="63"/>
      <c r="B1260" s="66"/>
      <c r="C1260" s="66"/>
      <c r="D1260" s="67"/>
      <c r="E1260" s="67"/>
      <c r="F1260" s="67"/>
      <c r="G1260" s="67"/>
      <c r="H1260" s="67"/>
      <c r="I1260" s="66"/>
    </row>
    <row r="1261" spans="1:9">
      <c r="A1261" s="63"/>
      <c r="B1261" s="66"/>
      <c r="C1261" s="67"/>
      <c r="D1261" s="67"/>
      <c r="E1261" s="67"/>
      <c r="F1261" s="67"/>
      <c r="G1261" s="67"/>
      <c r="H1261" s="67"/>
      <c r="I1261" s="66"/>
    </row>
    <row r="1262" spans="1:9">
      <c r="A1262" s="63"/>
      <c r="B1262" s="66"/>
      <c r="C1262" s="67"/>
      <c r="D1262" s="67"/>
      <c r="E1262" s="67"/>
      <c r="F1262" s="67"/>
      <c r="G1262" s="67"/>
      <c r="H1262" s="67"/>
      <c r="I1262" s="66"/>
    </row>
    <row r="1263" spans="1:9">
      <c r="A1263" s="63"/>
      <c r="B1263" s="66"/>
      <c r="C1263" s="67"/>
      <c r="D1263" s="67"/>
      <c r="E1263" s="67"/>
      <c r="F1263" s="67"/>
      <c r="G1263" s="67"/>
      <c r="H1263" s="67"/>
      <c r="I1263" s="66"/>
    </row>
    <row r="1264" spans="1:9">
      <c r="A1264" s="63"/>
      <c r="B1264" s="66"/>
      <c r="C1264" s="67"/>
      <c r="D1264" s="67"/>
      <c r="E1264" s="67"/>
      <c r="F1264" s="67"/>
      <c r="G1264" s="67"/>
      <c r="H1264" s="67"/>
      <c r="I1264" s="66"/>
    </row>
    <row r="1265" spans="1:9">
      <c r="A1265" s="63"/>
      <c r="B1265" s="66"/>
      <c r="C1265" s="67"/>
      <c r="D1265" s="67"/>
      <c r="E1265" s="67"/>
      <c r="F1265" s="67"/>
      <c r="G1265" s="67"/>
      <c r="H1265" s="67"/>
      <c r="I1265" s="66"/>
    </row>
    <row r="1266" spans="1:9">
      <c r="A1266" s="63"/>
      <c r="B1266" s="66"/>
      <c r="C1266" s="67"/>
      <c r="D1266" s="67"/>
      <c r="E1266" s="67"/>
      <c r="F1266" s="67"/>
      <c r="G1266" s="67"/>
      <c r="H1266" s="67"/>
      <c r="I1266" s="66"/>
    </row>
    <row r="1267" spans="1:9">
      <c r="A1267" s="63"/>
      <c r="B1267" s="66"/>
      <c r="C1267" s="67"/>
      <c r="D1267" s="67"/>
      <c r="E1267" s="67"/>
      <c r="F1267" s="67"/>
      <c r="G1267" s="67"/>
      <c r="H1267" s="67"/>
      <c r="I1267" s="66"/>
    </row>
    <row r="1268" spans="1:9">
      <c r="A1268" s="63"/>
      <c r="B1268" s="66"/>
      <c r="C1268" s="67"/>
      <c r="D1268" s="67"/>
      <c r="E1268" s="67"/>
      <c r="F1268" s="67"/>
      <c r="G1268" s="67"/>
      <c r="H1268" s="67"/>
      <c r="I1268" s="66"/>
    </row>
    <row r="1269" spans="1:9">
      <c r="A1269" s="63"/>
      <c r="B1269" s="66"/>
      <c r="C1269" s="67"/>
      <c r="D1269" s="67"/>
      <c r="E1269" s="67"/>
      <c r="F1269" s="67"/>
      <c r="G1269" s="67"/>
      <c r="H1269" s="67"/>
      <c r="I1269" s="66"/>
    </row>
    <row r="1270" spans="1:9">
      <c r="A1270" s="63"/>
      <c r="B1270" s="66"/>
      <c r="C1270" s="66"/>
      <c r="D1270" s="67"/>
      <c r="E1270" s="66"/>
      <c r="F1270" s="66"/>
      <c r="G1270" s="67"/>
      <c r="H1270" s="67"/>
      <c r="I1270" s="66"/>
    </row>
    <row r="1271" spans="1:9">
      <c r="A1271" s="63"/>
      <c r="B1271" s="66"/>
      <c r="C1271" s="67"/>
      <c r="D1271" s="67"/>
      <c r="E1271" s="67"/>
      <c r="F1271" s="67"/>
      <c r="G1271" s="67"/>
      <c r="H1271" s="67"/>
      <c r="I1271" s="66"/>
    </row>
    <row r="1272" spans="1:9">
      <c r="A1272" s="63"/>
      <c r="B1272" s="66"/>
      <c r="C1272" s="67"/>
      <c r="D1272" s="67"/>
      <c r="E1272" s="67"/>
      <c r="F1272" s="67"/>
      <c r="G1272" s="67"/>
      <c r="H1272" s="67"/>
      <c r="I1272" s="66"/>
    </row>
    <row r="1273" spans="1:9">
      <c r="A1273" s="63"/>
      <c r="B1273" s="66"/>
      <c r="C1273" s="66"/>
      <c r="D1273" s="66"/>
      <c r="E1273" s="66"/>
      <c r="F1273" s="67"/>
      <c r="G1273" s="67"/>
      <c r="H1273" s="67"/>
      <c r="I1273" s="66"/>
    </row>
    <row r="1274" spans="1:9">
      <c r="A1274" s="63"/>
      <c r="B1274" s="66"/>
      <c r="C1274" s="67"/>
      <c r="D1274" s="67"/>
      <c r="E1274" s="67"/>
      <c r="F1274" s="67"/>
      <c r="G1274" s="67"/>
      <c r="H1274" s="67"/>
      <c r="I1274" s="66"/>
    </row>
    <row r="1275" spans="1:9">
      <c r="A1275" s="63"/>
      <c r="B1275" s="66"/>
      <c r="C1275" s="66"/>
      <c r="D1275" s="67"/>
      <c r="E1275" s="67"/>
      <c r="F1275" s="67"/>
      <c r="G1275" s="67"/>
      <c r="H1275" s="67"/>
      <c r="I1275" s="66"/>
    </row>
    <row r="1276" spans="1:9">
      <c r="A1276" s="63"/>
      <c r="B1276" s="66"/>
      <c r="C1276" s="67"/>
      <c r="D1276" s="67"/>
      <c r="E1276" s="67"/>
      <c r="F1276" s="67"/>
      <c r="G1276" s="67"/>
      <c r="H1276" s="67"/>
      <c r="I1276" s="66"/>
    </row>
    <row r="1277" spans="1:9">
      <c r="A1277" s="63"/>
      <c r="B1277" s="66"/>
      <c r="C1277" s="67"/>
      <c r="D1277" s="67"/>
      <c r="E1277" s="67"/>
      <c r="F1277" s="67"/>
      <c r="G1277" s="67"/>
      <c r="H1277" s="67"/>
      <c r="I1277" s="66"/>
    </row>
    <row r="1278" spans="1:9">
      <c r="A1278" s="63"/>
      <c r="B1278" s="66"/>
      <c r="C1278" s="66"/>
      <c r="D1278" s="67"/>
      <c r="E1278" s="67"/>
      <c r="F1278" s="67"/>
      <c r="G1278" s="67"/>
      <c r="H1278" s="67"/>
      <c r="I1278" s="66"/>
    </row>
    <row r="1279" spans="1:9">
      <c r="A1279" s="63"/>
      <c r="B1279" s="67"/>
      <c r="C1279" s="66"/>
      <c r="D1279" s="67"/>
      <c r="E1279" s="67"/>
      <c r="F1279" s="67"/>
      <c r="G1279" s="67"/>
      <c r="H1279" s="67"/>
      <c r="I1279" s="66"/>
    </row>
    <row r="1280" spans="1:9">
      <c r="A1280" s="63"/>
      <c r="B1280" s="66"/>
      <c r="C1280" s="67"/>
      <c r="D1280" s="67"/>
      <c r="E1280" s="67"/>
      <c r="F1280" s="67"/>
      <c r="G1280" s="67"/>
      <c r="H1280" s="67"/>
      <c r="I1280" s="66"/>
    </row>
    <row r="1281" spans="1:9">
      <c r="A1281" s="63"/>
      <c r="B1281" s="66"/>
      <c r="C1281" s="67"/>
      <c r="D1281" s="67"/>
      <c r="E1281" s="67"/>
      <c r="F1281" s="67"/>
      <c r="G1281" s="67"/>
      <c r="H1281" s="67"/>
      <c r="I1281" s="66"/>
    </row>
    <row r="1282" spans="1:9">
      <c r="A1282" s="63"/>
      <c r="B1282" s="66"/>
      <c r="C1282" s="67"/>
      <c r="D1282" s="67"/>
      <c r="E1282" s="67"/>
      <c r="F1282" s="67"/>
      <c r="G1282" s="67"/>
      <c r="H1282" s="67"/>
      <c r="I1282" s="66"/>
    </row>
    <row r="1283" spans="1:9">
      <c r="A1283" s="63"/>
      <c r="B1283" s="66"/>
      <c r="C1283" s="67"/>
      <c r="D1283" s="67"/>
      <c r="E1283" s="67"/>
      <c r="F1283" s="67"/>
      <c r="G1283" s="67"/>
      <c r="H1283" s="67"/>
      <c r="I1283" s="66"/>
    </row>
    <row r="1284" spans="1:9">
      <c r="A1284" s="63"/>
      <c r="B1284" s="66"/>
      <c r="C1284" s="67"/>
      <c r="D1284" s="67"/>
      <c r="E1284" s="67"/>
      <c r="F1284" s="67"/>
      <c r="G1284" s="67"/>
      <c r="H1284" s="67"/>
      <c r="I1284" s="66"/>
    </row>
    <row r="1285" spans="1:9">
      <c r="A1285" s="63"/>
      <c r="B1285" s="66"/>
      <c r="C1285" s="66"/>
      <c r="D1285" s="67"/>
      <c r="E1285" s="67"/>
      <c r="F1285" s="67"/>
      <c r="G1285" s="67"/>
      <c r="H1285" s="67"/>
      <c r="I1285" s="66"/>
    </row>
    <row r="1286" spans="1:9">
      <c r="A1286" s="63"/>
      <c r="B1286" s="67"/>
      <c r="C1286" s="66"/>
      <c r="D1286" s="67"/>
      <c r="E1286" s="67"/>
      <c r="F1286" s="67"/>
      <c r="G1286" s="67"/>
      <c r="H1286" s="67"/>
      <c r="I1286" s="66"/>
    </row>
    <row r="1287" spans="1:9">
      <c r="A1287" s="63"/>
      <c r="B1287" s="66"/>
      <c r="C1287" s="67"/>
      <c r="D1287" s="67"/>
      <c r="E1287" s="67"/>
      <c r="F1287" s="67"/>
      <c r="G1287" s="67"/>
      <c r="H1287" s="67"/>
      <c r="I1287" s="66"/>
    </row>
    <row r="1288" spans="1:9">
      <c r="A1288" s="63"/>
      <c r="B1288" s="66"/>
      <c r="C1288" s="67"/>
      <c r="D1288" s="67"/>
      <c r="E1288" s="67"/>
      <c r="F1288" s="67"/>
      <c r="G1288" s="67"/>
      <c r="H1288" s="67"/>
      <c r="I1288" s="66"/>
    </row>
    <row r="1289" spans="1:9">
      <c r="A1289" s="63"/>
      <c r="B1289" s="66"/>
      <c r="C1289" s="66"/>
      <c r="D1289" s="67"/>
      <c r="E1289" s="67"/>
      <c r="F1289" s="67"/>
      <c r="G1289" s="67"/>
      <c r="H1289" s="67"/>
      <c r="I1289" s="66"/>
    </row>
    <row r="1290" spans="1:9">
      <c r="A1290" s="63"/>
      <c r="B1290" s="66"/>
      <c r="C1290" s="67"/>
      <c r="D1290" s="67"/>
      <c r="E1290" s="67"/>
      <c r="F1290" s="67"/>
      <c r="G1290" s="67"/>
      <c r="H1290" s="67"/>
      <c r="I1290" s="66"/>
    </row>
    <row r="1291" spans="1:9">
      <c r="A1291" s="63"/>
      <c r="B1291" s="66"/>
      <c r="C1291" s="67"/>
      <c r="D1291" s="67"/>
      <c r="E1291" s="67"/>
      <c r="F1291" s="67"/>
      <c r="G1291" s="67"/>
      <c r="H1291" s="67"/>
      <c r="I1291" s="66"/>
    </row>
    <row r="1292" spans="1:9">
      <c r="A1292" s="63"/>
      <c r="B1292" s="66"/>
      <c r="C1292" s="67"/>
      <c r="D1292" s="67"/>
      <c r="E1292" s="67"/>
      <c r="F1292" s="67"/>
      <c r="G1292" s="67"/>
      <c r="H1292" s="67"/>
      <c r="I1292" s="66"/>
    </row>
    <row r="1293" spans="1:9">
      <c r="A1293" s="63"/>
      <c r="B1293" s="66"/>
      <c r="C1293" s="67"/>
      <c r="D1293" s="67"/>
      <c r="E1293" s="67"/>
      <c r="F1293" s="67"/>
      <c r="G1293" s="67"/>
      <c r="H1293" s="67"/>
      <c r="I1293" s="66"/>
    </row>
    <row r="1294" spans="1:9">
      <c r="A1294" s="63"/>
      <c r="B1294" s="66"/>
      <c r="C1294" s="67"/>
      <c r="D1294" s="67"/>
      <c r="E1294" s="67"/>
      <c r="F1294" s="66"/>
      <c r="G1294" s="67"/>
      <c r="H1294" s="67"/>
      <c r="I1294" s="66"/>
    </row>
    <row r="1295" spans="1:9">
      <c r="A1295" s="63"/>
      <c r="B1295" s="66"/>
      <c r="C1295" s="67"/>
      <c r="D1295" s="67"/>
      <c r="E1295" s="67"/>
      <c r="F1295" s="67"/>
      <c r="G1295" s="67"/>
      <c r="H1295" s="67"/>
      <c r="I1295" s="66"/>
    </row>
    <row r="1296" spans="1:9">
      <c r="A1296" s="63"/>
      <c r="B1296" s="66"/>
      <c r="C1296" s="67"/>
      <c r="D1296" s="67"/>
      <c r="E1296" s="67"/>
      <c r="F1296" s="67"/>
      <c r="G1296" s="67"/>
      <c r="H1296" s="67"/>
      <c r="I1296" s="66"/>
    </row>
    <row r="1297" spans="1:9">
      <c r="A1297" s="63"/>
      <c r="B1297" s="66"/>
      <c r="C1297" s="67"/>
      <c r="D1297" s="67"/>
      <c r="E1297" s="67"/>
      <c r="F1297" s="67"/>
      <c r="G1297" s="67"/>
      <c r="H1297" s="67"/>
      <c r="I1297" s="66"/>
    </row>
    <row r="1298" spans="1:9">
      <c r="A1298" s="63"/>
      <c r="B1298" s="66"/>
      <c r="C1298" s="67"/>
      <c r="D1298" s="67"/>
      <c r="E1298" s="67"/>
      <c r="F1298" s="67"/>
      <c r="G1298" s="67"/>
      <c r="H1298" s="67"/>
      <c r="I1298" s="66"/>
    </row>
    <row r="1299" spans="1:9">
      <c r="A1299" s="63"/>
      <c r="B1299" s="66"/>
      <c r="C1299" s="66"/>
      <c r="D1299" s="67"/>
      <c r="E1299" s="67"/>
      <c r="F1299" s="67"/>
      <c r="G1299" s="67"/>
      <c r="H1299" s="67"/>
      <c r="I1299" s="66"/>
    </row>
    <row r="1300" spans="1:9">
      <c r="A1300" s="63"/>
      <c r="B1300" s="66"/>
      <c r="C1300" s="67"/>
      <c r="D1300" s="67"/>
      <c r="E1300" s="67"/>
      <c r="F1300" s="67"/>
      <c r="G1300" s="67"/>
      <c r="H1300" s="67"/>
      <c r="I1300" s="66"/>
    </row>
    <row r="1301" spans="1:9">
      <c r="A1301" s="63"/>
      <c r="B1301" s="66"/>
      <c r="C1301" s="67"/>
      <c r="D1301" s="67"/>
      <c r="E1301" s="67"/>
      <c r="F1301" s="67"/>
      <c r="G1301" s="67"/>
      <c r="H1301" s="67"/>
      <c r="I1301" s="66"/>
    </row>
    <row r="1302" spans="1:9">
      <c r="A1302" s="63"/>
      <c r="B1302" s="66"/>
      <c r="C1302" s="67"/>
      <c r="D1302" s="67"/>
      <c r="E1302" s="67"/>
      <c r="F1302" s="67"/>
      <c r="G1302" s="67"/>
      <c r="H1302" s="67"/>
      <c r="I1302" s="66"/>
    </row>
    <row r="1303" spans="1:9">
      <c r="A1303" s="63"/>
      <c r="B1303" s="66"/>
      <c r="C1303" s="67"/>
      <c r="D1303" s="67"/>
      <c r="E1303" s="67"/>
      <c r="F1303" s="67"/>
      <c r="G1303" s="67"/>
      <c r="H1303" s="67"/>
      <c r="I1303" s="66"/>
    </row>
    <row r="1304" spans="1:9">
      <c r="A1304" s="63"/>
      <c r="B1304" s="66"/>
      <c r="C1304" s="66"/>
      <c r="D1304" s="67"/>
      <c r="E1304" s="67"/>
      <c r="F1304" s="67"/>
      <c r="G1304" s="67"/>
      <c r="H1304" s="67"/>
      <c r="I1304" s="66"/>
    </row>
    <row r="1305" spans="1:9">
      <c r="A1305" s="63"/>
      <c r="B1305" s="67"/>
      <c r="C1305" s="66"/>
      <c r="D1305" s="67"/>
      <c r="E1305" s="67"/>
      <c r="F1305" s="67"/>
      <c r="G1305" s="67"/>
      <c r="H1305" s="67"/>
      <c r="I1305" s="66"/>
    </row>
    <row r="1306" spans="1:9">
      <c r="A1306" s="63"/>
      <c r="B1306" s="66"/>
      <c r="C1306" s="67"/>
      <c r="D1306" s="67"/>
      <c r="E1306" s="67"/>
      <c r="F1306" s="67"/>
      <c r="G1306" s="67"/>
      <c r="H1306" s="67"/>
      <c r="I1306" s="66"/>
    </row>
    <row r="1307" spans="1:9">
      <c r="A1307" s="63"/>
      <c r="B1307" s="66"/>
      <c r="C1307" s="67"/>
      <c r="D1307" s="67"/>
      <c r="E1307" s="67"/>
      <c r="F1307" s="67"/>
      <c r="G1307" s="67"/>
      <c r="H1307" s="67"/>
      <c r="I1307" s="66"/>
    </row>
    <row r="1308" spans="1:9">
      <c r="A1308" s="63"/>
      <c r="B1308" s="66"/>
      <c r="C1308" s="66"/>
      <c r="D1308" s="66"/>
      <c r="E1308" s="67"/>
      <c r="F1308" s="67"/>
      <c r="G1308" s="67"/>
      <c r="H1308" s="67"/>
      <c r="I1308" s="66"/>
    </row>
    <row r="1309" spans="1:9">
      <c r="A1309" s="63"/>
      <c r="B1309" s="66"/>
      <c r="C1309" s="66"/>
      <c r="D1309" s="67"/>
      <c r="E1309" s="67"/>
      <c r="F1309" s="67"/>
      <c r="G1309" s="67"/>
      <c r="H1309" s="67"/>
      <c r="I1309" s="66"/>
    </row>
    <row r="1310" spans="1:9">
      <c r="A1310" s="63"/>
      <c r="B1310" s="66"/>
      <c r="C1310" s="67"/>
      <c r="D1310" s="67"/>
      <c r="E1310" s="67"/>
      <c r="F1310" s="67"/>
      <c r="G1310" s="67"/>
      <c r="H1310" s="67"/>
      <c r="I1310" s="66"/>
    </row>
    <row r="1311" spans="1:9">
      <c r="A1311" s="63"/>
      <c r="B1311" s="66"/>
      <c r="C1311" s="66"/>
      <c r="D1311" s="67"/>
      <c r="E1311" s="67"/>
      <c r="F1311" s="67"/>
      <c r="G1311" s="67"/>
      <c r="H1311" s="67"/>
      <c r="I1311" s="66"/>
    </row>
    <row r="1312" spans="1:9">
      <c r="A1312" s="63"/>
      <c r="B1312" s="66"/>
      <c r="C1312" s="66"/>
      <c r="D1312" s="67"/>
      <c r="E1312" s="67"/>
      <c r="F1312" s="67"/>
      <c r="G1312" s="67"/>
      <c r="H1312" s="67"/>
      <c r="I1312" s="66"/>
    </row>
    <row r="1313" spans="1:9">
      <c r="A1313" s="63"/>
      <c r="B1313" s="66"/>
      <c r="C1313" s="67"/>
      <c r="D1313" s="67"/>
      <c r="E1313" s="67"/>
      <c r="F1313" s="67"/>
      <c r="G1313" s="67"/>
      <c r="H1313" s="67"/>
      <c r="I1313" s="66"/>
    </row>
    <row r="1314" spans="1:9">
      <c r="A1314" s="63"/>
      <c r="B1314" s="66"/>
      <c r="C1314" s="67"/>
      <c r="D1314" s="67"/>
      <c r="E1314" s="67"/>
      <c r="F1314" s="67"/>
      <c r="G1314" s="67"/>
      <c r="H1314" s="67"/>
      <c r="I1314" s="66"/>
    </row>
    <row r="1315" spans="1:9">
      <c r="A1315" s="63"/>
      <c r="B1315" s="66"/>
      <c r="C1315" s="67"/>
      <c r="D1315" s="67"/>
      <c r="E1315" s="67"/>
      <c r="F1315" s="67"/>
      <c r="G1315" s="67"/>
      <c r="H1315" s="67"/>
      <c r="I1315" s="66"/>
    </row>
    <row r="1316" spans="1:9">
      <c r="A1316" s="63"/>
      <c r="B1316" s="66"/>
      <c r="C1316" s="67"/>
      <c r="D1316" s="67"/>
      <c r="E1316" s="67"/>
      <c r="F1316" s="67"/>
      <c r="G1316" s="67"/>
      <c r="H1316" s="67"/>
      <c r="I1316" s="66"/>
    </row>
    <row r="1317" spans="1:9">
      <c r="A1317" s="63"/>
      <c r="B1317" s="66"/>
      <c r="C1317" s="67"/>
      <c r="D1317" s="67"/>
      <c r="E1317" s="67"/>
      <c r="F1317" s="67"/>
      <c r="G1317" s="67"/>
      <c r="H1317" s="67"/>
      <c r="I1317" s="66"/>
    </row>
    <row r="1318" spans="1:9">
      <c r="A1318" s="63"/>
      <c r="B1318" s="66"/>
      <c r="C1318" s="66"/>
      <c r="D1318" s="67"/>
      <c r="E1318" s="67"/>
      <c r="F1318" s="67"/>
      <c r="G1318" s="67"/>
      <c r="H1318" s="67"/>
      <c r="I1318" s="66"/>
    </row>
    <row r="1319" spans="1:9">
      <c r="A1319" s="63"/>
      <c r="B1319" s="66"/>
      <c r="C1319" s="66"/>
      <c r="D1319" s="67"/>
      <c r="E1319" s="67"/>
      <c r="F1319" s="67"/>
      <c r="G1319" s="67"/>
      <c r="H1319" s="67"/>
      <c r="I1319" s="66"/>
    </row>
    <row r="1320" spans="1:9">
      <c r="A1320" s="63"/>
      <c r="B1320" s="66"/>
      <c r="C1320" s="66"/>
      <c r="D1320" s="67"/>
      <c r="E1320" s="67"/>
      <c r="F1320" s="67"/>
      <c r="G1320" s="67"/>
      <c r="H1320" s="67"/>
      <c r="I1320" s="66"/>
    </row>
    <row r="1321" spans="1:9">
      <c r="A1321" s="63"/>
      <c r="B1321" s="66"/>
      <c r="C1321" s="67"/>
      <c r="D1321" s="67"/>
      <c r="E1321" s="67"/>
      <c r="F1321" s="67"/>
      <c r="G1321" s="67"/>
      <c r="H1321" s="67"/>
      <c r="I1321" s="66"/>
    </row>
    <row r="1322" spans="1:9">
      <c r="A1322" s="63"/>
      <c r="B1322" s="66"/>
      <c r="C1322" s="67"/>
      <c r="D1322" s="67"/>
      <c r="E1322" s="67"/>
      <c r="F1322" s="67"/>
      <c r="G1322" s="67"/>
      <c r="H1322" s="67"/>
      <c r="I1322" s="66"/>
    </row>
    <row r="1323" spans="1:9">
      <c r="A1323" s="63"/>
      <c r="B1323" s="66"/>
      <c r="C1323" s="66"/>
      <c r="D1323" s="66"/>
      <c r="E1323" s="66"/>
      <c r="F1323" s="67"/>
      <c r="G1323" s="67"/>
      <c r="H1323" s="67"/>
      <c r="I1323" s="66"/>
    </row>
    <row r="1324" spans="1:9">
      <c r="A1324" s="63"/>
      <c r="B1324" s="66"/>
      <c r="C1324" s="66"/>
      <c r="D1324" s="67"/>
      <c r="E1324" s="67"/>
      <c r="F1324" s="67"/>
      <c r="G1324" s="67"/>
      <c r="H1324" s="67"/>
      <c r="I1324" s="66"/>
    </row>
    <row r="1325" spans="1:9">
      <c r="A1325" s="63"/>
      <c r="B1325" s="66"/>
      <c r="C1325" s="67"/>
      <c r="D1325" s="67"/>
      <c r="E1325" s="67"/>
      <c r="F1325" s="67"/>
      <c r="G1325" s="67"/>
      <c r="H1325" s="67"/>
      <c r="I1325" s="66"/>
    </row>
    <row r="1326" spans="1:9">
      <c r="A1326" s="63"/>
      <c r="B1326" s="66"/>
      <c r="C1326" s="67"/>
      <c r="D1326" s="67"/>
      <c r="E1326" s="67"/>
      <c r="F1326" s="67"/>
      <c r="G1326" s="67"/>
      <c r="H1326" s="67"/>
      <c r="I1326" s="66"/>
    </row>
    <row r="1327" spans="1:9">
      <c r="A1327" s="63"/>
      <c r="B1327" s="67"/>
      <c r="C1327" s="66"/>
      <c r="D1327" s="67"/>
      <c r="E1327" s="67"/>
      <c r="F1327" s="67"/>
      <c r="G1327" s="67"/>
      <c r="H1327" s="67"/>
      <c r="I1327" s="66"/>
    </row>
    <row r="1328" spans="1:9">
      <c r="A1328" s="63"/>
      <c r="B1328" s="66"/>
      <c r="C1328" s="67"/>
      <c r="D1328" s="67"/>
      <c r="E1328" s="67"/>
      <c r="F1328" s="67"/>
      <c r="G1328" s="67"/>
      <c r="H1328" s="67"/>
      <c r="I1328" s="66"/>
    </row>
    <row r="1329" spans="1:9">
      <c r="A1329" s="63"/>
      <c r="B1329" s="66"/>
      <c r="C1329" s="67"/>
      <c r="D1329" s="67"/>
      <c r="E1329" s="67"/>
      <c r="F1329" s="67"/>
      <c r="G1329" s="67"/>
      <c r="H1329" s="67"/>
      <c r="I1329" s="66"/>
    </row>
    <row r="1330" spans="1:9">
      <c r="A1330" s="63"/>
      <c r="B1330" s="66"/>
      <c r="C1330" s="67"/>
      <c r="D1330" s="67"/>
      <c r="E1330" s="67"/>
      <c r="F1330" s="67"/>
      <c r="G1330" s="67"/>
      <c r="H1330" s="67"/>
      <c r="I1330" s="66"/>
    </row>
    <row r="1331" spans="1:9">
      <c r="A1331" s="63"/>
      <c r="B1331" s="66"/>
      <c r="C1331" s="67"/>
      <c r="D1331" s="67"/>
      <c r="E1331" s="67"/>
      <c r="F1331" s="67"/>
      <c r="G1331" s="67"/>
      <c r="H1331" s="67"/>
      <c r="I1331" s="66"/>
    </row>
    <row r="1332" spans="1:9">
      <c r="A1332" s="63"/>
      <c r="B1332" s="66"/>
      <c r="C1332" s="67"/>
      <c r="D1332" s="67"/>
      <c r="E1332" s="67"/>
      <c r="F1332" s="67"/>
      <c r="G1332" s="67"/>
      <c r="H1332" s="67"/>
      <c r="I1332" s="66"/>
    </row>
    <row r="1333" spans="1:9">
      <c r="A1333" s="63"/>
      <c r="B1333" s="66"/>
      <c r="C1333" s="67"/>
      <c r="D1333" s="67"/>
      <c r="E1333" s="67"/>
      <c r="F1333" s="67"/>
      <c r="G1333" s="67"/>
      <c r="H1333" s="67"/>
      <c r="I1333" s="66"/>
    </row>
    <row r="1334" spans="1:9">
      <c r="A1334" s="63"/>
      <c r="B1334" s="66"/>
      <c r="C1334" s="67"/>
      <c r="D1334" s="67"/>
      <c r="E1334" s="67"/>
      <c r="F1334" s="67"/>
      <c r="G1334" s="67"/>
      <c r="H1334" s="67"/>
      <c r="I1334" s="66"/>
    </row>
    <row r="1335" spans="1:9">
      <c r="A1335" s="63"/>
      <c r="B1335" s="66"/>
      <c r="C1335" s="67"/>
      <c r="D1335" s="67"/>
      <c r="E1335" s="67"/>
      <c r="F1335" s="67"/>
      <c r="G1335" s="67"/>
      <c r="H1335" s="67"/>
      <c r="I1335" s="66"/>
    </row>
    <row r="1336" spans="1:9">
      <c r="A1336" s="63"/>
      <c r="B1336" s="67"/>
      <c r="C1336" s="66"/>
      <c r="D1336" s="67"/>
      <c r="E1336" s="67"/>
      <c r="F1336" s="67"/>
      <c r="G1336" s="67"/>
      <c r="H1336" s="67"/>
      <c r="I1336" s="66"/>
    </row>
    <row r="1337" spans="1:9">
      <c r="A1337" s="63"/>
      <c r="B1337" s="66"/>
      <c r="C1337" s="67"/>
      <c r="D1337" s="67"/>
      <c r="E1337" s="67"/>
      <c r="F1337" s="67"/>
      <c r="G1337" s="67"/>
      <c r="H1337" s="67"/>
      <c r="I1337" s="66"/>
    </row>
    <row r="1338" spans="1:9">
      <c r="A1338" s="63"/>
      <c r="B1338" s="66"/>
      <c r="C1338" s="66"/>
      <c r="D1338" s="67"/>
      <c r="E1338" s="66"/>
      <c r="F1338" s="67"/>
      <c r="G1338" s="67"/>
      <c r="H1338" s="67"/>
      <c r="I1338" s="66"/>
    </row>
    <row r="1339" spans="1:9">
      <c r="A1339" s="63"/>
      <c r="B1339" s="66"/>
      <c r="C1339" s="67"/>
      <c r="D1339" s="67"/>
      <c r="E1339" s="67"/>
      <c r="F1339" s="67"/>
      <c r="G1339" s="67"/>
      <c r="H1339" s="67"/>
      <c r="I1339" s="66"/>
    </row>
    <row r="1340" spans="1:9">
      <c r="A1340" s="63"/>
      <c r="B1340" s="66"/>
      <c r="C1340" s="67"/>
      <c r="D1340" s="67"/>
      <c r="E1340" s="67"/>
      <c r="F1340" s="67"/>
      <c r="G1340" s="67"/>
      <c r="H1340" s="67"/>
      <c r="I1340" s="66"/>
    </row>
    <row r="1341" spans="1:9">
      <c r="A1341" s="63"/>
      <c r="B1341" s="66"/>
      <c r="C1341" s="67"/>
      <c r="D1341" s="67"/>
      <c r="E1341" s="67"/>
      <c r="F1341" s="67"/>
      <c r="G1341" s="67"/>
      <c r="H1341" s="67"/>
      <c r="I1341" s="66"/>
    </row>
    <row r="1342" spans="1:9">
      <c r="A1342" s="63"/>
      <c r="B1342" s="66"/>
      <c r="C1342" s="66"/>
      <c r="D1342" s="67"/>
      <c r="E1342" s="67"/>
      <c r="F1342" s="67"/>
      <c r="G1342" s="67"/>
      <c r="H1342" s="67"/>
      <c r="I1342" s="66"/>
    </row>
    <row r="1343" spans="1:9">
      <c r="A1343" s="63"/>
      <c r="B1343" s="66"/>
      <c r="C1343" s="66"/>
      <c r="D1343" s="67"/>
      <c r="E1343" s="67"/>
      <c r="F1343" s="67"/>
      <c r="G1343" s="67"/>
      <c r="H1343" s="67"/>
      <c r="I1343" s="66"/>
    </row>
    <row r="1344" spans="1:9">
      <c r="A1344" s="63"/>
      <c r="B1344" s="66"/>
      <c r="C1344" s="66"/>
      <c r="D1344" s="66"/>
      <c r="E1344" s="67"/>
      <c r="F1344" s="67"/>
      <c r="G1344" s="67"/>
      <c r="H1344" s="67"/>
      <c r="I1344" s="66"/>
    </row>
    <row r="1345" spans="1:9">
      <c r="A1345" s="63"/>
      <c r="B1345" s="66"/>
      <c r="C1345" s="67"/>
      <c r="D1345" s="67"/>
      <c r="E1345" s="67"/>
      <c r="F1345" s="67"/>
      <c r="G1345" s="67"/>
      <c r="H1345" s="67"/>
      <c r="I1345" s="66"/>
    </row>
    <row r="1346" spans="1:9">
      <c r="A1346" s="63"/>
      <c r="B1346" s="66"/>
      <c r="C1346" s="67"/>
      <c r="D1346" s="67"/>
      <c r="E1346" s="67"/>
      <c r="F1346" s="67"/>
      <c r="G1346" s="67"/>
      <c r="H1346" s="67"/>
      <c r="I1346" s="66"/>
    </row>
    <row r="1347" spans="1:9">
      <c r="A1347" s="63"/>
      <c r="B1347" s="66"/>
      <c r="C1347" s="67"/>
      <c r="D1347" s="67"/>
      <c r="E1347" s="67"/>
      <c r="F1347" s="67"/>
      <c r="G1347" s="67"/>
      <c r="H1347" s="67"/>
      <c r="I1347" s="66"/>
    </row>
    <row r="1348" spans="1:9">
      <c r="A1348" s="63"/>
      <c r="B1348" s="66"/>
      <c r="C1348" s="66"/>
      <c r="D1348" s="66"/>
      <c r="E1348" s="67"/>
      <c r="F1348" s="67"/>
      <c r="G1348" s="67"/>
      <c r="H1348" s="67"/>
      <c r="I1348" s="66"/>
    </row>
    <row r="1349" spans="1:9">
      <c r="A1349" s="63"/>
      <c r="B1349" s="66"/>
      <c r="C1349" s="67"/>
      <c r="D1349" s="67"/>
      <c r="E1349" s="67"/>
      <c r="F1349" s="67"/>
      <c r="G1349" s="67"/>
      <c r="H1349" s="67"/>
      <c r="I1349" s="66"/>
    </row>
    <row r="1350" spans="1:9">
      <c r="A1350" s="63"/>
      <c r="B1350" s="66"/>
      <c r="C1350" s="67"/>
      <c r="D1350" s="67"/>
      <c r="E1350" s="67"/>
      <c r="F1350" s="67"/>
      <c r="G1350" s="67"/>
      <c r="H1350" s="67"/>
      <c r="I1350" s="66"/>
    </row>
    <row r="1351" spans="1:9">
      <c r="A1351" s="63"/>
      <c r="B1351" s="66"/>
      <c r="C1351" s="67"/>
      <c r="D1351" s="67"/>
      <c r="E1351" s="67"/>
      <c r="F1351" s="67"/>
      <c r="G1351" s="67"/>
      <c r="H1351" s="67"/>
      <c r="I1351" s="66"/>
    </row>
    <row r="1352" spans="1:9">
      <c r="A1352" s="63"/>
      <c r="B1352" s="66"/>
      <c r="C1352" s="67"/>
      <c r="D1352" s="67"/>
      <c r="E1352" s="67"/>
      <c r="F1352" s="67"/>
      <c r="G1352" s="67"/>
      <c r="H1352" s="67"/>
      <c r="I1352" s="66"/>
    </row>
    <row r="1353" spans="1:9">
      <c r="A1353" s="63"/>
      <c r="B1353" s="66"/>
      <c r="C1353" s="66"/>
      <c r="D1353" s="67"/>
      <c r="E1353" s="67"/>
      <c r="F1353" s="67"/>
      <c r="G1353" s="67"/>
      <c r="H1353" s="67"/>
      <c r="I1353" s="66"/>
    </row>
    <row r="1354" spans="1:9">
      <c r="A1354" s="63"/>
      <c r="B1354" s="66"/>
      <c r="C1354" s="66"/>
      <c r="D1354" s="67"/>
      <c r="E1354" s="67"/>
      <c r="F1354" s="67"/>
      <c r="G1354" s="67"/>
      <c r="H1354" s="67"/>
      <c r="I1354" s="66"/>
    </row>
    <row r="1355" spans="1:9">
      <c r="A1355" s="63"/>
      <c r="B1355" s="66"/>
      <c r="C1355" s="67"/>
      <c r="D1355" s="67"/>
      <c r="E1355" s="67"/>
      <c r="F1355" s="67"/>
      <c r="G1355" s="67"/>
      <c r="H1355" s="67"/>
      <c r="I1355" s="66"/>
    </row>
    <row r="1356" spans="1:9">
      <c r="A1356" s="63"/>
      <c r="B1356" s="66"/>
      <c r="C1356" s="67"/>
      <c r="D1356" s="67"/>
      <c r="E1356" s="67"/>
      <c r="F1356" s="67"/>
      <c r="G1356" s="67"/>
      <c r="H1356" s="67"/>
      <c r="I1356" s="66"/>
    </row>
    <row r="1357" spans="1:9">
      <c r="A1357" s="63"/>
      <c r="B1357" s="66"/>
      <c r="C1357" s="67"/>
      <c r="D1357" s="67"/>
      <c r="E1357" s="67"/>
      <c r="F1357" s="67"/>
      <c r="G1357" s="67"/>
      <c r="H1357" s="67"/>
      <c r="I1357" s="66"/>
    </row>
    <row r="1358" spans="1:9">
      <c r="A1358" s="63"/>
      <c r="B1358" s="66"/>
      <c r="C1358" s="67"/>
      <c r="D1358" s="67"/>
      <c r="E1358" s="67"/>
      <c r="F1358" s="67"/>
      <c r="G1358" s="67"/>
      <c r="H1358" s="67"/>
      <c r="I1358" s="66"/>
    </row>
    <row r="1359" spans="1:9">
      <c r="A1359" s="63"/>
      <c r="B1359" s="66"/>
      <c r="C1359" s="67"/>
      <c r="D1359" s="67"/>
      <c r="E1359" s="67"/>
      <c r="F1359" s="67"/>
      <c r="G1359" s="67"/>
      <c r="H1359" s="67"/>
      <c r="I1359" s="66"/>
    </row>
    <row r="1360" spans="1:9">
      <c r="A1360" s="63"/>
      <c r="B1360" s="66"/>
      <c r="C1360" s="66"/>
      <c r="D1360" s="67"/>
      <c r="E1360" s="67"/>
      <c r="F1360" s="67"/>
      <c r="G1360" s="67"/>
      <c r="H1360" s="67"/>
      <c r="I1360" s="66"/>
    </row>
    <row r="1361" spans="1:9">
      <c r="A1361" s="63"/>
      <c r="B1361" s="66"/>
      <c r="C1361" s="67"/>
      <c r="D1361" s="67"/>
      <c r="E1361" s="67"/>
      <c r="F1361" s="67"/>
      <c r="G1361" s="67"/>
      <c r="H1361" s="67"/>
      <c r="I1361" s="66"/>
    </row>
    <row r="1362" spans="1:9">
      <c r="A1362" s="63"/>
      <c r="B1362" s="66"/>
      <c r="C1362" s="67"/>
      <c r="D1362" s="67"/>
      <c r="E1362" s="67"/>
      <c r="F1362" s="67"/>
      <c r="G1362" s="67"/>
      <c r="H1362" s="67"/>
      <c r="I1362" s="66"/>
    </row>
    <row r="1363" spans="1:9">
      <c r="A1363" s="63"/>
      <c r="B1363" s="67"/>
      <c r="C1363" s="66"/>
      <c r="D1363" s="67"/>
      <c r="E1363" s="67"/>
      <c r="F1363" s="67"/>
      <c r="G1363" s="67"/>
      <c r="H1363" s="67"/>
      <c r="I1363" s="66"/>
    </row>
    <row r="1364" spans="1:9">
      <c r="A1364" s="63"/>
      <c r="B1364" s="66"/>
      <c r="C1364" s="67"/>
      <c r="D1364" s="67"/>
      <c r="E1364" s="67"/>
      <c r="F1364" s="67"/>
      <c r="G1364" s="67"/>
      <c r="H1364" s="67"/>
      <c r="I1364" s="66"/>
    </row>
    <row r="1365" spans="1:9">
      <c r="A1365" s="63"/>
      <c r="B1365" s="66"/>
      <c r="C1365" s="67"/>
      <c r="D1365" s="67"/>
      <c r="E1365" s="67"/>
      <c r="F1365" s="67"/>
      <c r="G1365" s="67"/>
      <c r="H1365" s="67"/>
      <c r="I1365" s="66"/>
    </row>
    <row r="1366" spans="1:9">
      <c r="A1366" s="63"/>
      <c r="B1366" s="66"/>
      <c r="C1366" s="67"/>
      <c r="D1366" s="67"/>
      <c r="E1366" s="67"/>
      <c r="F1366" s="67"/>
      <c r="G1366" s="67"/>
      <c r="H1366" s="67"/>
      <c r="I1366" s="66"/>
    </row>
    <row r="1367" spans="1:9">
      <c r="A1367" s="63"/>
      <c r="B1367" s="66"/>
      <c r="C1367" s="66"/>
      <c r="D1367" s="66"/>
      <c r="E1367" s="66"/>
      <c r="F1367" s="67"/>
      <c r="G1367" s="67"/>
      <c r="H1367" s="67"/>
      <c r="I1367" s="66"/>
    </row>
    <row r="1368" spans="1:9">
      <c r="A1368" s="63"/>
      <c r="B1368" s="66"/>
      <c r="C1368" s="67"/>
      <c r="D1368" s="67"/>
      <c r="E1368" s="67"/>
      <c r="F1368" s="67"/>
      <c r="G1368" s="67"/>
      <c r="H1368" s="67"/>
      <c r="I1368" s="66"/>
    </row>
    <row r="1369" spans="1:9">
      <c r="A1369" s="63"/>
      <c r="B1369" s="66"/>
      <c r="C1369" s="66"/>
      <c r="D1369" s="67"/>
      <c r="E1369" s="67"/>
      <c r="F1369" s="67"/>
      <c r="G1369" s="67"/>
      <c r="H1369" s="67"/>
      <c r="I1369" s="66"/>
    </row>
    <row r="1370" spans="1:9">
      <c r="A1370" s="63"/>
      <c r="B1370" s="66"/>
      <c r="C1370" s="66"/>
      <c r="D1370" s="67"/>
      <c r="E1370" s="66"/>
      <c r="F1370" s="67"/>
      <c r="G1370" s="67"/>
      <c r="H1370" s="67"/>
      <c r="I1370" s="66"/>
    </row>
    <row r="1371" spans="1:9">
      <c r="A1371" s="63"/>
      <c r="B1371" s="66"/>
      <c r="C1371" s="67"/>
      <c r="D1371" s="67"/>
      <c r="E1371" s="67"/>
      <c r="F1371" s="67"/>
      <c r="G1371" s="67"/>
      <c r="H1371" s="67"/>
      <c r="I1371" s="66"/>
    </row>
    <row r="1372" spans="1:9">
      <c r="A1372" s="63"/>
      <c r="B1372" s="66"/>
      <c r="C1372" s="67"/>
      <c r="D1372" s="67"/>
      <c r="E1372" s="66"/>
      <c r="F1372" s="67"/>
      <c r="G1372" s="67"/>
      <c r="H1372" s="67"/>
      <c r="I1372" s="66"/>
    </row>
    <row r="1373" spans="1:9">
      <c r="A1373" s="63"/>
      <c r="B1373" s="67"/>
      <c r="C1373" s="66"/>
      <c r="D1373" s="67"/>
      <c r="E1373" s="67"/>
      <c r="F1373" s="67"/>
      <c r="G1373" s="67"/>
      <c r="H1373" s="67"/>
      <c r="I1373" s="66"/>
    </row>
    <row r="1374" spans="1:9">
      <c r="A1374" s="63"/>
      <c r="B1374" s="66"/>
      <c r="C1374" s="67"/>
      <c r="D1374" s="67"/>
      <c r="E1374" s="67"/>
      <c r="F1374" s="67"/>
      <c r="G1374" s="67"/>
      <c r="H1374" s="67"/>
      <c r="I1374" s="66"/>
    </row>
    <row r="1375" spans="1:9">
      <c r="A1375" s="63"/>
      <c r="B1375" s="66"/>
      <c r="C1375" s="66"/>
      <c r="D1375" s="67"/>
      <c r="E1375" s="67"/>
      <c r="F1375" s="67"/>
      <c r="G1375" s="67"/>
      <c r="H1375" s="67"/>
      <c r="I1375" s="66"/>
    </row>
    <row r="1376" spans="1:9">
      <c r="A1376" s="63"/>
      <c r="B1376" s="66"/>
      <c r="C1376" s="67"/>
      <c r="D1376" s="67"/>
      <c r="E1376" s="67"/>
      <c r="F1376" s="67"/>
      <c r="G1376" s="67"/>
      <c r="H1376" s="67"/>
      <c r="I1376" s="66"/>
    </row>
    <row r="1377" spans="1:9">
      <c r="A1377" s="63"/>
      <c r="B1377" s="66"/>
      <c r="C1377" s="67"/>
      <c r="D1377" s="67"/>
      <c r="E1377" s="67"/>
      <c r="F1377" s="67"/>
      <c r="G1377" s="67"/>
      <c r="H1377" s="67"/>
      <c r="I1377" s="66"/>
    </row>
    <row r="1378" spans="1:9">
      <c r="A1378" s="63"/>
      <c r="B1378" s="66"/>
      <c r="C1378" s="67"/>
      <c r="D1378" s="67"/>
      <c r="E1378" s="67"/>
      <c r="F1378" s="67"/>
      <c r="G1378" s="67"/>
      <c r="H1378" s="67"/>
      <c r="I1378" s="66"/>
    </row>
    <row r="1379" spans="1:9">
      <c r="A1379" s="63"/>
      <c r="B1379" s="66"/>
      <c r="C1379" s="66"/>
      <c r="D1379" s="67"/>
      <c r="E1379" s="67"/>
      <c r="F1379" s="67"/>
      <c r="G1379" s="67"/>
      <c r="H1379" s="67"/>
      <c r="I1379" s="66"/>
    </row>
    <row r="1380" spans="1:9">
      <c r="A1380" s="63"/>
      <c r="B1380" s="66"/>
      <c r="C1380" s="66"/>
      <c r="D1380" s="67"/>
      <c r="E1380" s="67"/>
      <c r="F1380" s="67"/>
      <c r="G1380" s="67"/>
      <c r="H1380" s="67"/>
      <c r="I1380" s="66"/>
    </row>
    <row r="1381" spans="1:9">
      <c r="A1381" s="63"/>
      <c r="B1381" s="66"/>
      <c r="C1381" s="67"/>
      <c r="D1381" s="67"/>
      <c r="E1381" s="67"/>
      <c r="F1381" s="67"/>
      <c r="G1381" s="67"/>
      <c r="H1381" s="67"/>
      <c r="I1381" s="66"/>
    </row>
    <row r="1382" spans="1:9">
      <c r="A1382" s="63"/>
      <c r="B1382" s="66"/>
      <c r="C1382" s="67"/>
      <c r="D1382" s="67"/>
      <c r="E1382" s="67"/>
      <c r="F1382" s="67"/>
      <c r="G1382" s="67"/>
      <c r="H1382" s="67"/>
      <c r="I1382" s="66"/>
    </row>
    <row r="1383" spans="1:9">
      <c r="A1383" s="63"/>
      <c r="B1383" s="66"/>
      <c r="C1383" s="67"/>
      <c r="D1383" s="67"/>
      <c r="E1383" s="67"/>
      <c r="F1383" s="67"/>
      <c r="G1383" s="67"/>
      <c r="H1383" s="67"/>
      <c r="I1383" s="66"/>
    </row>
    <row r="1384" spans="1:9">
      <c r="A1384" s="63"/>
      <c r="B1384" s="66"/>
      <c r="C1384" s="67"/>
      <c r="D1384" s="67"/>
      <c r="E1384" s="67"/>
      <c r="F1384" s="67"/>
      <c r="G1384" s="67"/>
      <c r="H1384" s="67"/>
      <c r="I1384" s="66"/>
    </row>
    <row r="1385" spans="1:9">
      <c r="A1385" s="63"/>
      <c r="B1385" s="66"/>
      <c r="C1385" s="66"/>
      <c r="D1385" s="67"/>
      <c r="E1385" s="67"/>
      <c r="F1385" s="67"/>
      <c r="G1385" s="67"/>
      <c r="H1385" s="67"/>
      <c r="I1385" s="66"/>
    </row>
    <row r="1386" spans="1:9">
      <c r="A1386" s="63"/>
      <c r="B1386" s="66"/>
      <c r="C1386" s="67"/>
      <c r="D1386" s="67"/>
      <c r="E1386" s="67"/>
      <c r="F1386" s="67"/>
      <c r="G1386" s="67"/>
      <c r="H1386" s="67"/>
      <c r="I1386" s="66"/>
    </row>
    <row r="1387" spans="1:9">
      <c r="A1387" s="63"/>
      <c r="B1387" s="66"/>
      <c r="C1387" s="67"/>
      <c r="D1387" s="67"/>
      <c r="E1387" s="67"/>
      <c r="F1387" s="67"/>
      <c r="G1387" s="67"/>
      <c r="H1387" s="67"/>
      <c r="I1387" s="66"/>
    </row>
    <row r="1388" spans="1:9">
      <c r="A1388" s="63"/>
      <c r="B1388" s="66"/>
      <c r="C1388" s="67"/>
      <c r="D1388" s="67"/>
      <c r="E1388" s="67"/>
      <c r="F1388" s="67"/>
      <c r="G1388" s="67"/>
      <c r="H1388" s="67"/>
      <c r="I1388" s="66"/>
    </row>
    <row r="1389" spans="1:9">
      <c r="A1389" s="63"/>
      <c r="B1389" s="66"/>
      <c r="C1389" s="67"/>
      <c r="D1389" s="67"/>
      <c r="E1389" s="67"/>
      <c r="F1389" s="67"/>
      <c r="G1389" s="67"/>
      <c r="H1389" s="67"/>
      <c r="I1389" s="66"/>
    </row>
    <row r="1390" spans="1:9">
      <c r="A1390" s="63"/>
      <c r="B1390" s="66"/>
      <c r="C1390" s="67"/>
      <c r="D1390" s="67"/>
      <c r="E1390" s="67"/>
      <c r="F1390" s="67"/>
      <c r="G1390" s="67"/>
      <c r="H1390" s="67"/>
      <c r="I1390" s="66"/>
    </row>
    <row r="1391" spans="1:9">
      <c r="A1391" s="63"/>
      <c r="B1391" s="66"/>
      <c r="C1391" s="66"/>
      <c r="D1391" s="67"/>
      <c r="E1391" s="67"/>
      <c r="F1391" s="67"/>
      <c r="G1391" s="67"/>
      <c r="H1391" s="67"/>
      <c r="I1391" s="66"/>
    </row>
    <row r="1392" spans="1:9">
      <c r="A1392" s="63"/>
      <c r="B1392" s="66"/>
      <c r="C1392" s="67"/>
      <c r="D1392" s="67"/>
      <c r="E1392" s="67"/>
      <c r="F1392" s="67"/>
      <c r="G1392" s="67"/>
      <c r="H1392" s="67"/>
      <c r="I1392" s="66"/>
    </row>
    <row r="1393" spans="1:9">
      <c r="A1393" s="63"/>
      <c r="B1393" s="66"/>
      <c r="C1393" s="67"/>
      <c r="D1393" s="67"/>
      <c r="E1393" s="67"/>
      <c r="F1393" s="67"/>
      <c r="G1393" s="67"/>
      <c r="H1393" s="67"/>
      <c r="I1393" s="66"/>
    </row>
    <row r="1394" spans="1:9">
      <c r="A1394" s="63"/>
      <c r="B1394" s="66"/>
      <c r="C1394" s="67"/>
      <c r="D1394" s="67"/>
      <c r="E1394" s="67"/>
      <c r="F1394" s="67"/>
      <c r="G1394" s="67"/>
      <c r="H1394" s="67"/>
      <c r="I1394" s="66"/>
    </row>
    <row r="1395" spans="1:9">
      <c r="A1395" s="63"/>
      <c r="B1395" s="66"/>
      <c r="C1395" s="67"/>
      <c r="D1395" s="67"/>
      <c r="E1395" s="67"/>
      <c r="F1395" s="67"/>
      <c r="G1395" s="67"/>
      <c r="H1395" s="67"/>
      <c r="I1395" s="66"/>
    </row>
    <row r="1396" spans="1:9">
      <c r="A1396" s="63"/>
      <c r="B1396" s="66"/>
      <c r="C1396" s="67"/>
      <c r="D1396" s="67"/>
      <c r="E1396" s="67"/>
      <c r="F1396" s="67"/>
      <c r="G1396" s="67"/>
      <c r="H1396" s="67"/>
      <c r="I1396" s="66"/>
    </row>
    <row r="1397" spans="1:9">
      <c r="A1397" s="63"/>
      <c r="B1397" s="66"/>
      <c r="C1397" s="67"/>
      <c r="D1397" s="67"/>
      <c r="E1397" s="67"/>
      <c r="F1397" s="67"/>
      <c r="G1397" s="67"/>
      <c r="H1397" s="67"/>
      <c r="I1397" s="66"/>
    </row>
    <row r="1398" spans="1:9">
      <c r="A1398" s="63"/>
      <c r="B1398" s="67"/>
      <c r="C1398" s="67"/>
      <c r="D1398" s="66"/>
      <c r="E1398" s="66"/>
      <c r="F1398" s="67"/>
      <c r="G1398" s="67"/>
      <c r="H1398" s="67"/>
      <c r="I1398" s="66"/>
    </row>
    <row r="1399" spans="1:9">
      <c r="A1399" s="63"/>
      <c r="B1399" s="66"/>
      <c r="C1399" s="67"/>
      <c r="D1399" s="67"/>
      <c r="E1399" s="67"/>
      <c r="F1399" s="67"/>
      <c r="G1399" s="67"/>
      <c r="H1399" s="67"/>
      <c r="I1399" s="66"/>
    </row>
    <row r="1400" spans="1:9">
      <c r="A1400" s="63"/>
      <c r="B1400" s="66"/>
      <c r="C1400" s="67"/>
      <c r="D1400" s="67"/>
      <c r="E1400" s="67"/>
      <c r="F1400" s="67"/>
      <c r="G1400" s="67"/>
      <c r="H1400" s="67"/>
      <c r="I1400" s="66"/>
    </row>
    <row r="1401" spans="1:9">
      <c r="A1401" s="63"/>
      <c r="B1401" s="66"/>
      <c r="C1401" s="66"/>
      <c r="D1401" s="67"/>
      <c r="E1401" s="67"/>
      <c r="F1401" s="67"/>
      <c r="G1401" s="67"/>
      <c r="H1401" s="67"/>
      <c r="I1401" s="66"/>
    </row>
    <row r="1402" spans="1:9">
      <c r="A1402" s="63"/>
      <c r="B1402" s="66"/>
      <c r="C1402" s="67"/>
      <c r="D1402" s="67"/>
      <c r="E1402" s="67"/>
      <c r="F1402" s="67"/>
      <c r="G1402" s="67"/>
      <c r="H1402" s="67"/>
      <c r="I1402" s="66"/>
    </row>
    <row r="1403" spans="1:9">
      <c r="A1403" s="63"/>
      <c r="B1403" s="66"/>
      <c r="C1403" s="67"/>
      <c r="D1403" s="67"/>
      <c r="E1403" s="67"/>
      <c r="F1403" s="67"/>
      <c r="G1403" s="67"/>
      <c r="H1403" s="67"/>
      <c r="I1403" s="66"/>
    </row>
    <row r="1404" spans="1:9">
      <c r="A1404" s="63"/>
      <c r="B1404" s="66"/>
      <c r="C1404" s="66"/>
      <c r="D1404" s="67"/>
      <c r="E1404" s="66"/>
      <c r="F1404" s="67"/>
      <c r="G1404" s="67"/>
      <c r="H1404" s="67"/>
      <c r="I1404" s="66"/>
    </row>
    <row r="1405" spans="1:9">
      <c r="A1405" s="63"/>
      <c r="B1405" s="66"/>
      <c r="C1405" s="67"/>
      <c r="D1405" s="67"/>
      <c r="E1405" s="67"/>
      <c r="F1405" s="67"/>
      <c r="G1405" s="67"/>
      <c r="H1405" s="67"/>
      <c r="I1405" s="66"/>
    </row>
    <row r="1406" spans="1:9">
      <c r="A1406" s="63"/>
      <c r="B1406" s="66"/>
      <c r="C1406" s="67"/>
      <c r="D1406" s="67"/>
      <c r="E1406" s="67"/>
      <c r="F1406" s="67"/>
      <c r="G1406" s="67"/>
      <c r="H1406" s="67"/>
      <c r="I1406" s="66"/>
    </row>
    <row r="1407" spans="1:9">
      <c r="A1407" s="63"/>
      <c r="B1407" s="66"/>
      <c r="C1407" s="66"/>
      <c r="D1407" s="67"/>
      <c r="E1407" s="67"/>
      <c r="F1407" s="67"/>
      <c r="G1407" s="67"/>
      <c r="H1407" s="67"/>
      <c r="I1407" s="66"/>
    </row>
    <row r="1408" spans="1:9">
      <c r="A1408" s="63"/>
      <c r="B1408" s="66"/>
      <c r="C1408" s="67"/>
      <c r="D1408" s="67"/>
      <c r="E1408" s="67"/>
      <c r="F1408" s="67"/>
      <c r="G1408" s="67"/>
      <c r="H1408" s="67"/>
      <c r="I1408" s="66"/>
    </row>
    <row r="1409" spans="1:9">
      <c r="A1409" s="63"/>
      <c r="B1409" s="66"/>
      <c r="C1409" s="66"/>
      <c r="D1409" s="67"/>
      <c r="E1409" s="67"/>
      <c r="F1409" s="67"/>
      <c r="G1409" s="67"/>
      <c r="H1409" s="67"/>
      <c r="I1409" s="66"/>
    </row>
    <row r="1410" spans="1:9">
      <c r="A1410" s="63"/>
      <c r="B1410" s="66"/>
      <c r="C1410" s="67"/>
      <c r="D1410" s="67"/>
      <c r="E1410" s="67"/>
      <c r="F1410" s="67"/>
      <c r="G1410" s="67"/>
      <c r="H1410" s="67"/>
      <c r="I1410" s="66"/>
    </row>
    <row r="1411" spans="1:9">
      <c r="A1411" s="63"/>
      <c r="B1411" s="66"/>
      <c r="C1411" s="67"/>
      <c r="D1411" s="67"/>
      <c r="E1411" s="67"/>
      <c r="F1411" s="67"/>
      <c r="G1411" s="67"/>
      <c r="H1411" s="67"/>
      <c r="I1411" s="66"/>
    </row>
    <row r="1412" spans="1:9">
      <c r="A1412" s="63"/>
      <c r="B1412" s="66"/>
      <c r="C1412" s="67"/>
      <c r="D1412" s="67"/>
      <c r="E1412" s="67"/>
      <c r="F1412" s="67"/>
      <c r="G1412" s="67"/>
      <c r="H1412" s="67"/>
      <c r="I1412" s="66"/>
    </row>
    <row r="1413" spans="1:9">
      <c r="A1413" s="63"/>
      <c r="B1413" s="66"/>
      <c r="C1413" s="67"/>
      <c r="D1413" s="67"/>
      <c r="E1413" s="67"/>
      <c r="F1413" s="67"/>
      <c r="G1413" s="67"/>
      <c r="H1413" s="67"/>
      <c r="I1413" s="66"/>
    </row>
    <row r="1414" spans="1:9">
      <c r="A1414" s="63"/>
      <c r="B1414" s="67"/>
      <c r="C1414" s="67"/>
      <c r="D1414" s="67"/>
      <c r="E1414" s="67"/>
      <c r="F1414" s="67"/>
      <c r="G1414" s="67"/>
      <c r="H1414" s="66"/>
      <c r="I1414" s="66"/>
    </row>
    <row r="1415" spans="1:9">
      <c r="A1415" s="63"/>
      <c r="B1415" s="66"/>
      <c r="C1415" s="67"/>
      <c r="D1415" s="67"/>
      <c r="E1415" s="67"/>
      <c r="F1415" s="67"/>
      <c r="G1415" s="67"/>
      <c r="H1415" s="67"/>
      <c r="I1415" s="66"/>
    </row>
    <row r="1416" spans="1:9">
      <c r="A1416" s="63"/>
      <c r="B1416" s="66"/>
      <c r="C1416" s="67"/>
      <c r="D1416" s="67"/>
      <c r="E1416" s="67"/>
      <c r="F1416" s="67"/>
      <c r="G1416" s="67"/>
      <c r="H1416" s="67"/>
      <c r="I1416" s="66"/>
    </row>
    <row r="1417" spans="1:9">
      <c r="A1417" s="63"/>
      <c r="B1417" s="66"/>
      <c r="C1417" s="66"/>
      <c r="D1417" s="67"/>
      <c r="E1417" s="67"/>
      <c r="F1417" s="67"/>
      <c r="G1417" s="67"/>
      <c r="H1417" s="67"/>
      <c r="I1417" s="66"/>
    </row>
    <row r="1418" spans="1:9">
      <c r="A1418" s="63"/>
      <c r="B1418" s="66"/>
      <c r="C1418" s="67"/>
      <c r="D1418" s="67"/>
      <c r="E1418" s="67"/>
      <c r="F1418" s="67"/>
      <c r="G1418" s="67"/>
      <c r="H1418" s="67"/>
      <c r="I1418" s="66"/>
    </row>
    <row r="1419" spans="1:9">
      <c r="A1419" s="63"/>
      <c r="B1419" s="66"/>
      <c r="C1419" s="67"/>
      <c r="D1419" s="67"/>
      <c r="E1419" s="67"/>
      <c r="F1419" s="67"/>
      <c r="G1419" s="67"/>
      <c r="H1419" s="67"/>
      <c r="I1419" s="66"/>
    </row>
    <row r="1420" spans="1:9">
      <c r="A1420" s="63"/>
      <c r="B1420" s="67"/>
      <c r="C1420" s="66"/>
      <c r="D1420" s="67"/>
      <c r="E1420" s="67"/>
      <c r="F1420" s="67"/>
      <c r="G1420" s="67"/>
      <c r="H1420" s="67"/>
      <c r="I1420" s="66"/>
    </row>
    <row r="1421" spans="1:9">
      <c r="A1421" s="63"/>
      <c r="B1421" s="66"/>
      <c r="C1421" s="66"/>
      <c r="D1421" s="67"/>
      <c r="E1421" s="67"/>
      <c r="F1421" s="67"/>
      <c r="G1421" s="67"/>
      <c r="H1421" s="66"/>
      <c r="I1421" s="66"/>
    </row>
    <row r="1422" spans="1:9">
      <c r="A1422" s="63"/>
      <c r="B1422" s="66"/>
      <c r="C1422" s="67"/>
      <c r="D1422" s="67"/>
      <c r="E1422" s="67"/>
      <c r="F1422" s="67"/>
      <c r="G1422" s="67"/>
      <c r="H1422" s="67"/>
      <c r="I1422" s="66"/>
    </row>
    <row r="1423" spans="1:9">
      <c r="A1423" s="63"/>
      <c r="B1423" s="66"/>
      <c r="C1423" s="67"/>
      <c r="D1423" s="67"/>
      <c r="E1423" s="67"/>
      <c r="F1423" s="67"/>
      <c r="G1423" s="67"/>
      <c r="H1423" s="67"/>
      <c r="I1423" s="66"/>
    </row>
    <row r="1424" spans="1:9">
      <c r="A1424" s="63"/>
      <c r="B1424" s="66"/>
      <c r="C1424" s="67"/>
      <c r="D1424" s="67"/>
      <c r="E1424" s="67"/>
      <c r="F1424" s="67"/>
      <c r="G1424" s="67"/>
      <c r="H1424" s="67"/>
      <c r="I1424" s="66"/>
    </row>
    <row r="1425" spans="1:9">
      <c r="A1425" s="63"/>
      <c r="B1425" s="66"/>
      <c r="C1425" s="67"/>
      <c r="D1425" s="67"/>
      <c r="E1425" s="67"/>
      <c r="F1425" s="67"/>
      <c r="G1425" s="67"/>
      <c r="H1425" s="67"/>
      <c r="I1425" s="66"/>
    </row>
    <row r="1426" spans="1:9">
      <c r="A1426" s="63"/>
      <c r="B1426" s="66"/>
      <c r="C1426" s="67"/>
      <c r="D1426" s="67"/>
      <c r="E1426" s="67"/>
      <c r="F1426" s="67"/>
      <c r="G1426" s="67"/>
      <c r="H1426" s="67"/>
      <c r="I1426" s="66"/>
    </row>
    <row r="1427" spans="1:9">
      <c r="A1427" s="63"/>
      <c r="B1427" s="66"/>
      <c r="C1427" s="67"/>
      <c r="D1427" s="67"/>
      <c r="E1427" s="67"/>
      <c r="F1427" s="67"/>
      <c r="G1427" s="67"/>
      <c r="H1427" s="67"/>
      <c r="I1427" s="66"/>
    </row>
    <row r="1428" spans="1:9">
      <c r="A1428" s="63"/>
      <c r="B1428" s="67"/>
      <c r="C1428" s="67"/>
      <c r="D1428" s="67"/>
      <c r="E1428" s="66"/>
      <c r="F1428" s="67"/>
      <c r="G1428" s="67"/>
      <c r="H1428" s="67"/>
      <c r="I1428" s="66"/>
    </row>
    <row r="1429" spans="1:9">
      <c r="A1429" s="63"/>
      <c r="B1429" s="66"/>
      <c r="C1429" s="66"/>
      <c r="D1429" s="67"/>
      <c r="E1429" s="67"/>
      <c r="F1429" s="67"/>
      <c r="G1429" s="67"/>
      <c r="H1429" s="67"/>
      <c r="I1429" s="66"/>
    </row>
    <row r="1430" spans="1:9">
      <c r="A1430" s="63"/>
      <c r="B1430" s="66"/>
      <c r="C1430" s="67"/>
      <c r="D1430" s="67"/>
      <c r="E1430" s="67"/>
      <c r="F1430" s="67"/>
      <c r="G1430" s="67"/>
      <c r="H1430" s="67"/>
      <c r="I1430" s="66"/>
    </row>
    <row r="1431" spans="1:9">
      <c r="A1431" s="63"/>
      <c r="B1431" s="66"/>
      <c r="C1431" s="67"/>
      <c r="D1431" s="67"/>
      <c r="E1431" s="67"/>
      <c r="F1431" s="67"/>
      <c r="G1431" s="67"/>
      <c r="H1431" s="67"/>
      <c r="I1431" s="66"/>
    </row>
    <row r="1432" spans="1:9">
      <c r="A1432" s="63"/>
      <c r="B1432" s="66"/>
      <c r="C1432" s="66"/>
      <c r="D1432" s="67"/>
      <c r="E1432" s="67"/>
      <c r="F1432" s="67"/>
      <c r="G1432" s="67"/>
      <c r="H1432" s="67"/>
      <c r="I1432" s="66"/>
    </row>
    <row r="1433" spans="1:9">
      <c r="A1433" s="63"/>
      <c r="B1433" s="66"/>
      <c r="C1433" s="66"/>
      <c r="D1433" s="66"/>
      <c r="E1433" s="67"/>
      <c r="F1433" s="67"/>
      <c r="G1433" s="67"/>
      <c r="H1433" s="67"/>
      <c r="I1433" s="66"/>
    </row>
    <row r="1434" spans="1:9">
      <c r="A1434" s="63"/>
      <c r="B1434" s="66"/>
      <c r="C1434" s="66"/>
      <c r="D1434" s="67"/>
      <c r="E1434" s="67"/>
      <c r="F1434" s="67"/>
      <c r="G1434" s="67"/>
      <c r="H1434" s="67"/>
      <c r="I1434" s="66"/>
    </row>
    <row r="1435" spans="1:9">
      <c r="A1435" s="63"/>
      <c r="B1435" s="66"/>
      <c r="C1435" s="67"/>
      <c r="D1435" s="67"/>
      <c r="E1435" s="67"/>
      <c r="F1435" s="67"/>
      <c r="G1435" s="67"/>
      <c r="H1435" s="67"/>
      <c r="I1435" s="66"/>
    </row>
    <row r="1436" spans="1:9">
      <c r="A1436" s="63"/>
      <c r="B1436" s="66"/>
      <c r="C1436" s="67"/>
      <c r="D1436" s="67"/>
      <c r="E1436" s="67"/>
      <c r="F1436" s="67"/>
      <c r="G1436" s="67"/>
      <c r="H1436" s="67"/>
      <c r="I1436" s="66"/>
    </row>
    <row r="1437" spans="1:9">
      <c r="A1437" s="63"/>
      <c r="B1437" s="66"/>
      <c r="C1437" s="67"/>
      <c r="D1437" s="67"/>
      <c r="E1437" s="67"/>
      <c r="F1437" s="67"/>
      <c r="G1437" s="67"/>
      <c r="H1437" s="67"/>
      <c r="I1437" s="66"/>
    </row>
    <row r="1438" spans="1:9">
      <c r="A1438" s="63"/>
      <c r="B1438" s="66"/>
      <c r="C1438" s="67"/>
      <c r="D1438" s="66"/>
      <c r="E1438" s="67"/>
      <c r="F1438" s="67"/>
      <c r="G1438" s="67"/>
      <c r="H1438" s="67"/>
      <c r="I1438" s="66"/>
    </row>
    <row r="1439" spans="1:9">
      <c r="A1439" s="63"/>
      <c r="B1439" s="66"/>
      <c r="C1439" s="67"/>
      <c r="D1439" s="67"/>
      <c r="E1439" s="67"/>
      <c r="F1439" s="67"/>
      <c r="G1439" s="67"/>
      <c r="H1439" s="67"/>
      <c r="I1439" s="66"/>
    </row>
    <row r="1440" spans="1:9">
      <c r="A1440" s="63"/>
      <c r="B1440" s="66"/>
      <c r="C1440" s="67"/>
      <c r="D1440" s="67"/>
      <c r="E1440" s="67"/>
      <c r="F1440" s="67"/>
      <c r="G1440" s="67"/>
      <c r="H1440" s="67"/>
      <c r="I1440" s="66"/>
    </row>
    <row r="1441" spans="1:9">
      <c r="A1441" s="63"/>
      <c r="B1441" s="66"/>
      <c r="C1441" s="67"/>
      <c r="D1441" s="67"/>
      <c r="E1441" s="67"/>
      <c r="F1441" s="67"/>
      <c r="G1441" s="67"/>
      <c r="H1441" s="67"/>
      <c r="I1441" s="66"/>
    </row>
    <row r="1442" spans="1:9">
      <c r="A1442" s="63"/>
      <c r="B1442" s="66"/>
      <c r="C1442" s="67"/>
      <c r="D1442" s="67"/>
      <c r="E1442" s="67"/>
      <c r="F1442" s="67"/>
      <c r="G1442" s="67"/>
      <c r="H1442" s="67"/>
      <c r="I1442" s="66"/>
    </row>
    <row r="1443" spans="1:9">
      <c r="A1443" s="63"/>
      <c r="B1443" s="66"/>
      <c r="C1443" s="67"/>
      <c r="D1443" s="67"/>
      <c r="E1443" s="67"/>
      <c r="F1443" s="67"/>
      <c r="G1443" s="67"/>
      <c r="H1443" s="67"/>
      <c r="I1443" s="66"/>
    </row>
    <row r="1444" spans="1:9">
      <c r="A1444" s="63"/>
      <c r="B1444" s="66"/>
      <c r="C1444" s="67"/>
      <c r="D1444" s="67"/>
      <c r="E1444" s="67"/>
      <c r="F1444" s="67"/>
      <c r="G1444" s="67"/>
      <c r="H1444" s="67"/>
      <c r="I1444" s="66"/>
    </row>
    <row r="1445" spans="1:9">
      <c r="A1445" s="63"/>
      <c r="B1445" s="67"/>
      <c r="C1445" s="66"/>
      <c r="D1445" s="67"/>
      <c r="E1445" s="67"/>
      <c r="F1445" s="67"/>
      <c r="G1445" s="67"/>
      <c r="H1445" s="67"/>
      <c r="I1445" s="66"/>
    </row>
    <row r="1446" spans="1:9">
      <c r="A1446" s="63"/>
      <c r="B1446" s="66"/>
      <c r="C1446" s="66"/>
      <c r="D1446" s="67"/>
      <c r="E1446" s="67"/>
      <c r="F1446" s="67"/>
      <c r="G1446" s="67"/>
      <c r="H1446" s="67"/>
      <c r="I1446" s="66"/>
    </row>
    <row r="1447" spans="1:9">
      <c r="A1447" s="63"/>
      <c r="B1447" s="66"/>
      <c r="C1447" s="67"/>
      <c r="D1447" s="67"/>
      <c r="E1447" s="67"/>
      <c r="F1447" s="67"/>
      <c r="G1447" s="67"/>
      <c r="H1447" s="67"/>
      <c r="I1447" s="66"/>
    </row>
    <row r="1448" spans="1:9">
      <c r="A1448" s="63"/>
      <c r="B1448" s="66"/>
      <c r="C1448" s="67"/>
      <c r="D1448" s="67"/>
      <c r="E1448" s="67"/>
      <c r="F1448" s="67"/>
      <c r="G1448" s="67"/>
      <c r="H1448" s="67"/>
      <c r="I1448" s="66"/>
    </row>
    <row r="1449" spans="1:9">
      <c r="A1449" s="63"/>
      <c r="B1449" s="66"/>
      <c r="C1449" s="67"/>
      <c r="D1449" s="67"/>
      <c r="E1449" s="67"/>
      <c r="F1449" s="67"/>
      <c r="G1449" s="67"/>
      <c r="H1449" s="67"/>
      <c r="I1449" s="66"/>
    </row>
    <row r="1450" spans="1:9">
      <c r="A1450" s="63"/>
      <c r="B1450" s="66"/>
      <c r="C1450" s="67"/>
      <c r="D1450" s="67"/>
      <c r="E1450" s="67"/>
      <c r="F1450" s="67"/>
      <c r="G1450" s="67"/>
      <c r="H1450" s="67"/>
      <c r="I1450" s="66"/>
    </row>
    <row r="1451" spans="1:9">
      <c r="A1451" s="63"/>
      <c r="B1451" s="66"/>
      <c r="C1451" s="67"/>
      <c r="D1451" s="67"/>
      <c r="E1451" s="67"/>
      <c r="F1451" s="67"/>
      <c r="G1451" s="67"/>
      <c r="H1451" s="67"/>
      <c r="I1451" s="66"/>
    </row>
    <row r="1452" spans="1:9">
      <c r="A1452" s="63"/>
      <c r="B1452" s="66"/>
      <c r="C1452" s="66"/>
      <c r="D1452" s="67"/>
      <c r="E1452" s="67"/>
      <c r="F1452" s="67"/>
      <c r="G1452" s="67"/>
      <c r="H1452" s="66"/>
      <c r="I1452" s="66"/>
    </row>
    <row r="1453" spans="1:9">
      <c r="A1453" s="63"/>
      <c r="B1453" s="66"/>
      <c r="C1453" s="67"/>
      <c r="D1453" s="67"/>
      <c r="E1453" s="67"/>
      <c r="F1453" s="67"/>
      <c r="G1453" s="67"/>
      <c r="H1453" s="67"/>
      <c r="I1453" s="66"/>
    </row>
    <row r="1454" spans="1:9">
      <c r="A1454" s="63"/>
      <c r="B1454" s="67"/>
      <c r="C1454" s="66"/>
      <c r="D1454" s="67"/>
      <c r="E1454" s="67"/>
      <c r="F1454" s="66"/>
      <c r="G1454" s="67"/>
      <c r="H1454" s="67"/>
      <c r="I1454" s="66"/>
    </row>
    <row r="1455" spans="1:9">
      <c r="A1455" s="63"/>
      <c r="B1455" s="67"/>
      <c r="C1455" s="66"/>
      <c r="D1455" s="67"/>
      <c r="E1455" s="67"/>
      <c r="F1455" s="67"/>
      <c r="G1455" s="67"/>
      <c r="H1455" s="67"/>
      <c r="I1455" s="66"/>
    </row>
    <row r="1456" spans="1:9">
      <c r="A1456" s="63"/>
      <c r="B1456" s="66"/>
      <c r="C1456" s="67"/>
      <c r="D1456" s="67"/>
      <c r="E1456" s="67"/>
      <c r="F1456" s="67"/>
      <c r="G1456" s="67"/>
      <c r="H1456" s="67"/>
      <c r="I1456" s="66"/>
    </row>
    <row r="1457" spans="1:9">
      <c r="A1457" s="63"/>
      <c r="B1457" s="66"/>
      <c r="C1457" s="67"/>
      <c r="D1457" s="67"/>
      <c r="E1457" s="67"/>
      <c r="F1457" s="67"/>
      <c r="G1457" s="67"/>
      <c r="H1457" s="67"/>
      <c r="I1457" s="66"/>
    </row>
    <row r="1458" spans="1:9">
      <c r="A1458" s="63"/>
      <c r="B1458" s="66"/>
      <c r="C1458" s="67"/>
      <c r="D1458" s="67"/>
      <c r="E1458" s="67"/>
      <c r="F1458" s="67"/>
      <c r="G1458" s="67"/>
      <c r="H1458" s="67"/>
      <c r="I1458" s="66"/>
    </row>
    <row r="1459" spans="1:9">
      <c r="A1459" s="63"/>
      <c r="B1459" s="66"/>
      <c r="C1459" s="67"/>
      <c r="D1459" s="67"/>
      <c r="E1459" s="67"/>
      <c r="F1459" s="67"/>
      <c r="G1459" s="67"/>
      <c r="H1459" s="67"/>
      <c r="I1459" s="66"/>
    </row>
    <row r="1460" spans="1:9">
      <c r="A1460" s="63"/>
      <c r="B1460" s="66"/>
      <c r="C1460" s="67"/>
      <c r="D1460" s="67"/>
      <c r="E1460" s="67"/>
      <c r="F1460" s="67"/>
      <c r="G1460" s="67"/>
      <c r="H1460" s="67"/>
      <c r="I1460" s="66"/>
    </row>
    <row r="1461" spans="1:9">
      <c r="A1461" s="63"/>
      <c r="B1461" s="66"/>
      <c r="C1461" s="67"/>
      <c r="D1461" s="67"/>
      <c r="E1461" s="67"/>
      <c r="F1461" s="67"/>
      <c r="G1461" s="67"/>
      <c r="H1461" s="67"/>
      <c r="I1461" s="66"/>
    </row>
    <row r="1462" spans="1:9">
      <c r="A1462" s="63"/>
      <c r="B1462" s="66"/>
      <c r="C1462" s="67"/>
      <c r="D1462" s="67"/>
      <c r="E1462" s="67"/>
      <c r="F1462" s="67"/>
      <c r="G1462" s="67"/>
      <c r="H1462" s="67"/>
      <c r="I1462" s="66"/>
    </row>
    <row r="1463" spans="1:9">
      <c r="A1463" s="63"/>
      <c r="B1463" s="67"/>
      <c r="C1463" s="66"/>
      <c r="D1463" s="67"/>
      <c r="E1463" s="67"/>
      <c r="F1463" s="67"/>
      <c r="G1463" s="67"/>
      <c r="H1463" s="67"/>
      <c r="I1463" s="66"/>
    </row>
    <row r="1464" spans="1:9">
      <c r="A1464" s="63"/>
      <c r="B1464" s="66"/>
      <c r="C1464" s="67"/>
      <c r="D1464" s="67"/>
      <c r="E1464" s="67"/>
      <c r="F1464" s="67"/>
      <c r="G1464" s="67"/>
      <c r="H1464" s="67"/>
      <c r="I1464" s="66"/>
    </row>
    <row r="1465" spans="1:9">
      <c r="A1465" s="63"/>
      <c r="B1465" s="66"/>
      <c r="C1465" s="67"/>
      <c r="D1465" s="67"/>
      <c r="E1465" s="67"/>
      <c r="F1465" s="67"/>
      <c r="G1465" s="67"/>
      <c r="H1465" s="67"/>
      <c r="I1465" s="66"/>
    </row>
    <row r="1466" spans="1:9">
      <c r="A1466" s="63"/>
      <c r="B1466" s="66"/>
      <c r="C1466" s="67"/>
      <c r="D1466" s="67"/>
      <c r="E1466" s="67"/>
      <c r="F1466" s="67"/>
      <c r="G1466" s="67"/>
      <c r="H1466" s="67"/>
      <c r="I1466" s="66"/>
    </row>
    <row r="1467" spans="1:9">
      <c r="A1467" s="63"/>
      <c r="B1467" s="66"/>
      <c r="C1467" s="67"/>
      <c r="D1467" s="67"/>
      <c r="E1467" s="67"/>
      <c r="F1467" s="67"/>
      <c r="G1467" s="67"/>
      <c r="H1467" s="67"/>
      <c r="I1467" s="66"/>
    </row>
    <row r="1468" spans="1:9">
      <c r="A1468" s="63"/>
      <c r="B1468" s="66"/>
      <c r="C1468" s="66"/>
      <c r="D1468" s="67"/>
      <c r="E1468" s="67"/>
      <c r="F1468" s="67"/>
      <c r="G1468" s="67"/>
      <c r="H1468" s="67"/>
      <c r="I1468" s="66"/>
    </row>
    <row r="1469" spans="1:9">
      <c r="A1469" s="63"/>
      <c r="B1469" s="66"/>
      <c r="C1469" s="67"/>
      <c r="D1469" s="67"/>
      <c r="E1469" s="67"/>
      <c r="F1469" s="67"/>
      <c r="G1469" s="67"/>
      <c r="H1469" s="67"/>
      <c r="I1469" s="66"/>
    </row>
    <row r="1470" spans="1:9">
      <c r="A1470" s="63"/>
      <c r="B1470" s="66"/>
      <c r="C1470" s="67"/>
      <c r="D1470" s="67"/>
      <c r="E1470" s="67"/>
      <c r="F1470" s="67"/>
      <c r="G1470" s="67"/>
      <c r="H1470" s="67"/>
      <c r="I1470" s="66"/>
    </row>
    <row r="1471" spans="1:9">
      <c r="A1471" s="63"/>
      <c r="B1471" s="66"/>
      <c r="C1471" s="67"/>
      <c r="D1471" s="67"/>
      <c r="E1471" s="67"/>
      <c r="F1471" s="67"/>
      <c r="G1471" s="67"/>
      <c r="H1471" s="67"/>
      <c r="I1471" s="66"/>
    </row>
    <row r="1472" spans="1:9">
      <c r="A1472" s="63"/>
      <c r="B1472" s="66"/>
      <c r="C1472" s="66"/>
      <c r="D1472" s="67"/>
      <c r="E1472" s="67"/>
      <c r="F1472" s="67"/>
      <c r="G1472" s="67"/>
      <c r="H1472" s="67"/>
      <c r="I1472" s="66"/>
    </row>
    <row r="1473" spans="1:9">
      <c r="A1473" s="63"/>
      <c r="B1473" s="66"/>
      <c r="C1473" s="67"/>
      <c r="D1473" s="67"/>
      <c r="E1473" s="67"/>
      <c r="F1473" s="67"/>
      <c r="G1473" s="67"/>
      <c r="H1473" s="67"/>
      <c r="I1473" s="66"/>
    </row>
    <row r="1474" spans="1:9">
      <c r="A1474" s="63"/>
      <c r="B1474" s="66"/>
      <c r="C1474" s="67"/>
      <c r="D1474" s="67"/>
      <c r="E1474" s="67"/>
      <c r="F1474" s="67"/>
      <c r="G1474" s="67"/>
      <c r="H1474" s="67"/>
      <c r="I1474" s="66"/>
    </row>
    <row r="1475" spans="1:9">
      <c r="A1475" s="63"/>
      <c r="B1475" s="66"/>
      <c r="C1475" s="67"/>
      <c r="D1475" s="67"/>
      <c r="E1475" s="67"/>
      <c r="F1475" s="67"/>
      <c r="G1475" s="67"/>
      <c r="H1475" s="67"/>
      <c r="I1475" s="66"/>
    </row>
    <row r="1476" spans="1:9">
      <c r="A1476" s="63"/>
      <c r="B1476" s="66"/>
      <c r="C1476" s="67"/>
      <c r="D1476" s="67"/>
      <c r="E1476" s="67"/>
      <c r="F1476" s="67"/>
      <c r="G1476" s="67"/>
      <c r="H1476" s="67"/>
      <c r="I1476" s="66"/>
    </row>
    <row r="1477" spans="1:9">
      <c r="A1477" s="63"/>
      <c r="B1477" s="66"/>
      <c r="C1477" s="67"/>
      <c r="D1477" s="67"/>
      <c r="E1477" s="67"/>
      <c r="F1477" s="67"/>
      <c r="G1477" s="67"/>
      <c r="H1477" s="67"/>
      <c r="I1477" s="66"/>
    </row>
    <row r="1478" spans="1:9">
      <c r="A1478" s="63"/>
      <c r="B1478" s="66"/>
      <c r="C1478" s="67"/>
      <c r="D1478" s="67"/>
      <c r="E1478" s="67"/>
      <c r="F1478" s="67"/>
      <c r="G1478" s="67"/>
      <c r="H1478" s="67"/>
      <c r="I1478" s="66"/>
    </row>
    <row r="1479" spans="1:9">
      <c r="A1479" s="63"/>
      <c r="B1479" s="66"/>
      <c r="C1479" s="67"/>
      <c r="D1479" s="67"/>
      <c r="E1479" s="67"/>
      <c r="F1479" s="67"/>
      <c r="G1479" s="67"/>
      <c r="H1479" s="67"/>
      <c r="I1479" s="66"/>
    </row>
    <row r="1480" spans="1:9">
      <c r="A1480" s="63"/>
      <c r="B1480" s="67"/>
      <c r="C1480" s="66"/>
      <c r="D1480" s="67"/>
      <c r="E1480" s="67"/>
      <c r="F1480" s="67"/>
      <c r="G1480" s="67"/>
      <c r="H1480" s="67"/>
      <c r="I1480" s="66"/>
    </row>
    <row r="1481" spans="1:9">
      <c r="A1481" s="63"/>
      <c r="B1481" s="66"/>
      <c r="C1481" s="67"/>
      <c r="D1481" s="67"/>
      <c r="E1481" s="67"/>
      <c r="F1481" s="67"/>
      <c r="G1481" s="67"/>
      <c r="H1481" s="67"/>
      <c r="I1481" s="66"/>
    </row>
    <row r="1482" spans="1:9">
      <c r="A1482" s="63"/>
      <c r="B1482" s="66"/>
      <c r="C1482" s="67"/>
      <c r="D1482" s="67"/>
      <c r="E1482" s="67"/>
      <c r="F1482" s="67"/>
      <c r="G1482" s="67"/>
      <c r="H1482" s="67"/>
      <c r="I1482" s="66"/>
    </row>
    <row r="1483" spans="1:9">
      <c r="A1483" s="63"/>
      <c r="B1483" s="66"/>
      <c r="C1483" s="67"/>
      <c r="D1483" s="67"/>
      <c r="E1483" s="67"/>
      <c r="F1483" s="67"/>
      <c r="G1483" s="67"/>
      <c r="H1483" s="67"/>
      <c r="I1483" s="66"/>
    </row>
    <row r="1484" spans="1:9">
      <c r="A1484" s="63"/>
      <c r="B1484" s="66"/>
      <c r="C1484" s="66"/>
      <c r="D1484" s="67"/>
      <c r="E1484" s="67"/>
      <c r="F1484" s="67"/>
      <c r="G1484" s="67"/>
      <c r="H1484" s="67"/>
      <c r="I1484" s="66"/>
    </row>
    <row r="1485" spans="1:9">
      <c r="A1485" s="63"/>
      <c r="B1485" s="66"/>
      <c r="C1485" s="67"/>
      <c r="D1485" s="67"/>
      <c r="E1485" s="67"/>
      <c r="F1485" s="67"/>
      <c r="G1485" s="67"/>
      <c r="H1485" s="67"/>
      <c r="I1485" s="66"/>
    </row>
    <row r="1486" spans="1:9">
      <c r="A1486" s="63"/>
      <c r="B1486" s="66"/>
      <c r="C1486" s="67"/>
      <c r="D1486" s="67"/>
      <c r="E1486" s="67"/>
      <c r="F1486" s="67"/>
      <c r="G1486" s="67"/>
      <c r="H1486" s="67"/>
      <c r="I1486" s="66"/>
    </row>
    <row r="1487" spans="1:9">
      <c r="A1487" s="63"/>
      <c r="B1487" s="66"/>
      <c r="C1487" s="67"/>
      <c r="D1487" s="67"/>
      <c r="E1487" s="67"/>
      <c r="F1487" s="67"/>
      <c r="G1487" s="67"/>
      <c r="H1487" s="67"/>
      <c r="I1487" s="66"/>
    </row>
    <row r="1488" spans="1:9">
      <c r="A1488" s="63"/>
      <c r="B1488" s="66"/>
      <c r="C1488" s="67"/>
      <c r="D1488" s="67"/>
      <c r="E1488" s="67"/>
      <c r="F1488" s="67"/>
      <c r="G1488" s="67"/>
      <c r="H1488" s="67"/>
      <c r="I1488" s="66"/>
    </row>
    <row r="1489" spans="1:9">
      <c r="A1489" s="63"/>
      <c r="B1489" s="66"/>
      <c r="C1489" s="67"/>
      <c r="D1489" s="67"/>
      <c r="E1489" s="67"/>
      <c r="F1489" s="67"/>
      <c r="G1489" s="67"/>
      <c r="H1489" s="67"/>
      <c r="I1489" s="66"/>
    </row>
    <row r="1490" spans="1:9">
      <c r="A1490" s="63"/>
      <c r="B1490" s="66"/>
      <c r="C1490" s="67"/>
      <c r="D1490" s="67"/>
      <c r="E1490" s="67"/>
      <c r="F1490" s="67"/>
      <c r="G1490" s="67"/>
      <c r="H1490" s="66"/>
      <c r="I1490" s="66"/>
    </row>
    <row r="1491" spans="1:9">
      <c r="A1491" s="63"/>
      <c r="B1491" s="66"/>
      <c r="C1491" s="67"/>
      <c r="D1491" s="67"/>
      <c r="E1491" s="67"/>
      <c r="F1491" s="67"/>
      <c r="G1491" s="67"/>
      <c r="H1491" s="67"/>
      <c r="I1491" s="66"/>
    </row>
    <row r="1492" spans="1:9">
      <c r="A1492" s="63"/>
      <c r="B1492" s="66"/>
      <c r="C1492" s="67"/>
      <c r="D1492" s="67"/>
      <c r="E1492" s="67"/>
      <c r="F1492" s="67"/>
      <c r="G1492" s="67"/>
      <c r="H1492" s="67"/>
      <c r="I1492" s="66"/>
    </row>
    <row r="1493" spans="1:9">
      <c r="A1493" s="63"/>
      <c r="B1493" s="66"/>
      <c r="C1493" s="67"/>
      <c r="D1493" s="67"/>
      <c r="E1493" s="67"/>
      <c r="F1493" s="67"/>
      <c r="G1493" s="67"/>
      <c r="H1493" s="67"/>
      <c r="I1493" s="66"/>
    </row>
    <row r="1494" spans="1:9">
      <c r="A1494" s="63"/>
      <c r="B1494" s="66"/>
      <c r="C1494" s="67"/>
      <c r="D1494" s="67"/>
      <c r="E1494" s="67"/>
      <c r="F1494" s="67"/>
      <c r="G1494" s="67"/>
      <c r="H1494" s="67"/>
      <c r="I1494" s="66"/>
    </row>
    <row r="1495" spans="1:9">
      <c r="A1495" s="63"/>
      <c r="B1495" s="66"/>
      <c r="C1495" s="67"/>
      <c r="D1495" s="67"/>
      <c r="E1495" s="67"/>
      <c r="F1495" s="67"/>
      <c r="G1495" s="67"/>
      <c r="H1495" s="67"/>
      <c r="I1495" s="66"/>
    </row>
    <row r="1496" spans="1:9">
      <c r="A1496" s="63"/>
      <c r="B1496" s="67"/>
      <c r="C1496" s="66"/>
      <c r="D1496" s="67"/>
      <c r="E1496" s="67"/>
      <c r="F1496" s="67"/>
      <c r="G1496" s="67"/>
      <c r="H1496" s="67"/>
      <c r="I1496" s="66"/>
    </row>
    <row r="1497" spans="1:9">
      <c r="A1497" s="63"/>
      <c r="B1497" s="66"/>
      <c r="C1497" s="67"/>
      <c r="D1497" s="67"/>
      <c r="E1497" s="67"/>
      <c r="F1497" s="67"/>
      <c r="G1497" s="67"/>
      <c r="H1497" s="67"/>
      <c r="I1497" s="66"/>
    </row>
    <row r="1498" spans="1:9">
      <c r="A1498" s="63"/>
      <c r="B1498" s="66"/>
      <c r="C1498" s="66"/>
      <c r="D1498" s="66"/>
      <c r="E1498" s="66"/>
      <c r="F1498" s="67"/>
      <c r="G1498" s="67"/>
      <c r="H1498" s="67"/>
      <c r="I1498" s="66"/>
    </row>
    <row r="1499" spans="1:9">
      <c r="A1499" s="63"/>
      <c r="B1499" s="66"/>
      <c r="C1499" s="67"/>
      <c r="D1499" s="67"/>
      <c r="E1499" s="67"/>
      <c r="F1499" s="67"/>
      <c r="G1499" s="67"/>
      <c r="H1499" s="67"/>
      <c r="I1499" s="66"/>
    </row>
    <row r="1500" spans="1:9">
      <c r="A1500" s="63"/>
      <c r="B1500" s="67"/>
      <c r="C1500" s="66"/>
      <c r="D1500" s="67"/>
      <c r="E1500" s="67"/>
      <c r="F1500" s="67"/>
      <c r="G1500" s="67"/>
      <c r="H1500" s="67"/>
      <c r="I1500" s="66"/>
    </row>
    <row r="1501" spans="1:9">
      <c r="A1501" s="63"/>
      <c r="B1501" s="66"/>
      <c r="C1501" s="66"/>
      <c r="D1501" s="67"/>
      <c r="E1501" s="67"/>
      <c r="F1501" s="67"/>
      <c r="G1501" s="67"/>
      <c r="H1501" s="67"/>
      <c r="I1501" s="66"/>
    </row>
    <row r="1502" spans="1:9">
      <c r="A1502" s="63"/>
      <c r="B1502" s="66"/>
      <c r="C1502" s="66"/>
      <c r="D1502" s="67"/>
      <c r="E1502" s="67"/>
      <c r="F1502" s="67"/>
      <c r="G1502" s="67"/>
      <c r="H1502" s="67"/>
      <c r="I1502" s="66"/>
    </row>
    <row r="1503" spans="1:9">
      <c r="A1503" s="63"/>
      <c r="B1503" s="66"/>
      <c r="C1503" s="67"/>
      <c r="D1503" s="67"/>
      <c r="E1503" s="67"/>
      <c r="F1503" s="67"/>
      <c r="G1503" s="67"/>
      <c r="H1503" s="67"/>
      <c r="I1503" s="66"/>
    </row>
    <row r="1504" spans="1:9">
      <c r="A1504" s="63"/>
      <c r="B1504" s="67"/>
      <c r="C1504" s="67"/>
      <c r="D1504" s="67"/>
      <c r="E1504" s="67"/>
      <c r="F1504" s="67"/>
      <c r="G1504" s="67"/>
      <c r="H1504" s="66"/>
      <c r="I1504" s="66"/>
    </row>
    <row r="1505" spans="1:9">
      <c r="A1505" s="63"/>
      <c r="B1505" s="66"/>
      <c r="C1505" s="67"/>
      <c r="D1505" s="67"/>
      <c r="E1505" s="67"/>
      <c r="F1505" s="67"/>
      <c r="G1505" s="67"/>
      <c r="H1505" s="67"/>
      <c r="I1505" s="66"/>
    </row>
    <row r="1506" spans="1:9">
      <c r="A1506" s="63"/>
      <c r="B1506" s="66"/>
      <c r="C1506" s="67"/>
      <c r="D1506" s="67"/>
      <c r="E1506" s="67"/>
      <c r="F1506" s="67"/>
      <c r="G1506" s="67"/>
      <c r="H1506" s="67"/>
      <c r="I1506" s="66"/>
    </row>
    <row r="1507" spans="1:9">
      <c r="A1507" s="63"/>
      <c r="B1507" s="66"/>
      <c r="C1507" s="67"/>
      <c r="D1507" s="67"/>
      <c r="E1507" s="67"/>
      <c r="F1507" s="67"/>
      <c r="G1507" s="67"/>
      <c r="H1507" s="67"/>
      <c r="I1507" s="66"/>
    </row>
    <row r="1508" spans="1:9">
      <c r="A1508" s="63"/>
      <c r="B1508" s="67"/>
      <c r="C1508" s="66"/>
      <c r="D1508" s="67"/>
      <c r="E1508" s="67"/>
      <c r="F1508" s="67"/>
      <c r="G1508" s="67"/>
      <c r="H1508" s="67"/>
      <c r="I1508" s="66"/>
    </row>
    <row r="1509" spans="1:9">
      <c r="A1509" s="63"/>
      <c r="B1509" s="66"/>
      <c r="C1509" s="66"/>
      <c r="D1509" s="67"/>
      <c r="E1509" s="67"/>
      <c r="F1509" s="67"/>
      <c r="G1509" s="67"/>
      <c r="H1509" s="67"/>
      <c r="I1509" s="66"/>
    </row>
    <row r="1510" spans="1:9">
      <c r="A1510" s="63"/>
      <c r="B1510" s="66"/>
      <c r="C1510" s="67"/>
      <c r="D1510" s="67"/>
      <c r="E1510" s="67"/>
      <c r="F1510" s="67"/>
      <c r="G1510" s="67"/>
      <c r="H1510" s="67"/>
      <c r="I1510" s="66"/>
    </row>
    <row r="1511" spans="1:9">
      <c r="A1511" s="63"/>
      <c r="B1511" s="66"/>
      <c r="C1511" s="67"/>
      <c r="D1511" s="67"/>
      <c r="E1511" s="67"/>
      <c r="F1511" s="67"/>
      <c r="G1511" s="67"/>
      <c r="H1511" s="67"/>
      <c r="I1511" s="66"/>
    </row>
    <row r="1512" spans="1:9">
      <c r="A1512" s="63"/>
      <c r="B1512" s="66"/>
      <c r="C1512" s="67"/>
      <c r="D1512" s="67"/>
      <c r="E1512" s="67"/>
      <c r="F1512" s="67"/>
      <c r="G1512" s="67"/>
      <c r="H1512" s="67"/>
      <c r="I1512" s="66"/>
    </row>
    <row r="1513" spans="1:9">
      <c r="A1513" s="63"/>
      <c r="B1513" s="66"/>
      <c r="C1513" s="67"/>
      <c r="D1513" s="67"/>
      <c r="E1513" s="67"/>
      <c r="F1513" s="67"/>
      <c r="G1513" s="67"/>
      <c r="H1513" s="67"/>
      <c r="I1513" s="66"/>
    </row>
    <row r="1514" spans="1:9">
      <c r="A1514" s="63"/>
      <c r="B1514" s="66"/>
      <c r="C1514" s="67"/>
      <c r="D1514" s="67"/>
      <c r="E1514" s="67"/>
      <c r="F1514" s="67"/>
      <c r="G1514" s="67"/>
      <c r="H1514" s="67"/>
      <c r="I1514" s="66"/>
    </row>
    <row r="1515" spans="1:9">
      <c r="A1515" s="63"/>
      <c r="B1515" s="66"/>
      <c r="C1515" s="67"/>
      <c r="D1515" s="67"/>
      <c r="E1515" s="67"/>
      <c r="F1515" s="67"/>
      <c r="G1515" s="67"/>
      <c r="H1515" s="67"/>
      <c r="I1515" s="66"/>
    </row>
    <row r="1516" spans="1:9">
      <c r="A1516" s="63"/>
      <c r="B1516" s="66"/>
      <c r="C1516" s="67"/>
      <c r="D1516" s="67"/>
      <c r="E1516" s="67"/>
      <c r="F1516" s="67"/>
      <c r="G1516" s="67"/>
      <c r="H1516" s="67"/>
      <c r="I1516" s="66"/>
    </row>
    <row r="1517" spans="1:9">
      <c r="A1517" s="63"/>
      <c r="B1517" s="66"/>
      <c r="C1517" s="67"/>
      <c r="D1517" s="67"/>
      <c r="E1517" s="67"/>
      <c r="F1517" s="67"/>
      <c r="G1517" s="67"/>
      <c r="H1517" s="67"/>
      <c r="I1517" s="66"/>
    </row>
    <row r="1518" spans="1:9">
      <c r="A1518" s="63"/>
      <c r="B1518" s="66"/>
      <c r="C1518" s="67"/>
      <c r="D1518" s="67"/>
      <c r="E1518" s="67"/>
      <c r="F1518" s="67"/>
      <c r="G1518" s="67"/>
      <c r="H1518" s="67"/>
      <c r="I1518" s="66"/>
    </row>
    <row r="1519" spans="1:9">
      <c r="A1519" s="63"/>
      <c r="B1519" s="66"/>
      <c r="C1519" s="67"/>
      <c r="D1519" s="67"/>
      <c r="E1519" s="67"/>
      <c r="F1519" s="67"/>
      <c r="G1519" s="67"/>
      <c r="H1519" s="67"/>
      <c r="I1519" s="66"/>
    </row>
    <row r="1520" spans="1:9">
      <c r="A1520" s="63"/>
      <c r="B1520" s="66"/>
      <c r="C1520" s="67"/>
      <c r="D1520" s="67"/>
      <c r="E1520" s="67"/>
      <c r="F1520" s="67"/>
      <c r="G1520" s="67"/>
      <c r="H1520" s="67"/>
      <c r="I1520" s="66"/>
    </row>
    <row r="1521" spans="1:9">
      <c r="A1521" s="63"/>
      <c r="B1521" s="66"/>
      <c r="C1521" s="66"/>
      <c r="D1521" s="67"/>
      <c r="E1521" s="67"/>
      <c r="F1521" s="67"/>
      <c r="G1521" s="67"/>
      <c r="H1521" s="67"/>
      <c r="I1521" s="66"/>
    </row>
    <row r="1522" spans="1:9">
      <c r="A1522" s="63"/>
      <c r="B1522" s="67"/>
      <c r="C1522" s="66"/>
      <c r="D1522" s="67"/>
      <c r="E1522" s="67"/>
      <c r="F1522" s="67"/>
      <c r="G1522" s="67"/>
      <c r="H1522" s="67"/>
      <c r="I1522" s="66"/>
    </row>
    <row r="1523" spans="1:9">
      <c r="A1523" s="63"/>
      <c r="B1523" s="66"/>
      <c r="C1523" s="66"/>
      <c r="D1523" s="67"/>
      <c r="E1523" s="67"/>
      <c r="F1523" s="67"/>
      <c r="G1523" s="67"/>
      <c r="H1523" s="67"/>
      <c r="I1523" s="66"/>
    </row>
    <row r="1524" spans="1:9">
      <c r="A1524" s="63"/>
      <c r="B1524" s="66"/>
      <c r="C1524" s="67"/>
      <c r="D1524" s="67"/>
      <c r="E1524" s="67"/>
      <c r="F1524" s="67"/>
      <c r="G1524" s="67"/>
      <c r="H1524" s="67"/>
      <c r="I1524" s="66"/>
    </row>
    <row r="1525" spans="1:9">
      <c r="A1525" s="63"/>
      <c r="B1525" s="66"/>
      <c r="C1525" s="66"/>
      <c r="D1525" s="66"/>
      <c r="E1525" s="66"/>
      <c r="F1525" s="66"/>
      <c r="G1525" s="66"/>
      <c r="H1525" s="67"/>
      <c r="I1525" s="66"/>
    </row>
    <row r="1526" spans="1:9">
      <c r="A1526" s="63"/>
      <c r="B1526" s="66"/>
      <c r="C1526" s="67"/>
      <c r="D1526" s="67"/>
      <c r="E1526" s="67"/>
      <c r="F1526" s="67"/>
      <c r="G1526" s="67"/>
      <c r="H1526" s="67"/>
      <c r="I1526" s="66"/>
    </row>
    <row r="1527" spans="1:9">
      <c r="A1527" s="63"/>
      <c r="B1527" s="66"/>
      <c r="C1527" s="67"/>
      <c r="D1527" s="67"/>
      <c r="E1527" s="67"/>
      <c r="F1527" s="67"/>
      <c r="G1527" s="67"/>
      <c r="H1527" s="67"/>
      <c r="I1527" s="66"/>
    </row>
    <row r="1528" spans="1:9">
      <c r="A1528" s="63"/>
      <c r="B1528" s="66"/>
      <c r="C1528" s="66"/>
      <c r="D1528" s="67"/>
      <c r="E1528" s="67"/>
      <c r="F1528" s="67"/>
      <c r="G1528" s="67"/>
      <c r="H1528" s="67"/>
      <c r="I1528" s="66"/>
    </row>
    <row r="1529" spans="1:9">
      <c r="A1529" s="63"/>
      <c r="B1529" s="67"/>
      <c r="C1529" s="67"/>
      <c r="D1529" s="67"/>
      <c r="E1529" s="67"/>
      <c r="F1529" s="67"/>
      <c r="G1529" s="66"/>
      <c r="H1529" s="67"/>
      <c r="I1529" s="66"/>
    </row>
    <row r="1530" spans="1:9">
      <c r="A1530" s="63"/>
      <c r="B1530" s="66"/>
      <c r="C1530" s="66"/>
      <c r="D1530" s="67"/>
      <c r="E1530" s="67"/>
      <c r="F1530" s="67"/>
      <c r="G1530" s="67"/>
      <c r="H1530" s="67"/>
      <c r="I1530" s="66"/>
    </row>
    <row r="1531" spans="1:9">
      <c r="A1531" s="63"/>
      <c r="B1531" s="66"/>
      <c r="C1531" s="66"/>
      <c r="D1531" s="67"/>
      <c r="E1531" s="67"/>
      <c r="F1531" s="67"/>
      <c r="G1531" s="67"/>
      <c r="H1531" s="67"/>
      <c r="I1531" s="66"/>
    </row>
    <row r="1532" spans="1:9">
      <c r="A1532" s="63"/>
      <c r="B1532" s="66"/>
      <c r="C1532" s="67"/>
      <c r="D1532" s="67"/>
      <c r="E1532" s="67"/>
      <c r="F1532" s="67"/>
      <c r="G1532" s="67"/>
      <c r="H1532" s="67"/>
      <c r="I1532" s="66"/>
    </row>
    <row r="1533" spans="1:9">
      <c r="A1533" s="63"/>
      <c r="B1533" s="66"/>
      <c r="C1533" s="67"/>
      <c r="D1533" s="67"/>
      <c r="E1533" s="67"/>
      <c r="F1533" s="67"/>
      <c r="G1533" s="67"/>
      <c r="H1533" s="67"/>
      <c r="I1533" s="66"/>
    </row>
    <row r="1534" spans="1:9">
      <c r="A1534" s="63"/>
      <c r="B1534" s="66"/>
      <c r="C1534" s="67"/>
      <c r="D1534" s="67"/>
      <c r="E1534" s="67"/>
      <c r="F1534" s="67"/>
      <c r="G1534" s="67"/>
      <c r="H1534" s="67"/>
      <c r="I1534" s="66"/>
    </row>
    <row r="1535" spans="1:9">
      <c r="A1535" s="63"/>
      <c r="B1535" s="66"/>
      <c r="C1535" s="66"/>
      <c r="D1535" s="66"/>
      <c r="E1535" s="67"/>
      <c r="F1535" s="67"/>
      <c r="G1535" s="67"/>
      <c r="H1535" s="67"/>
      <c r="I1535" s="66"/>
    </row>
    <row r="1536" spans="1:9">
      <c r="A1536" s="63"/>
      <c r="B1536" s="66"/>
      <c r="C1536" s="67"/>
      <c r="D1536" s="67"/>
      <c r="E1536" s="67"/>
      <c r="F1536" s="67"/>
      <c r="G1536" s="67"/>
      <c r="H1536" s="67"/>
      <c r="I1536" s="66"/>
    </row>
    <row r="1537" spans="1:9">
      <c r="A1537" s="63"/>
      <c r="B1537" s="66"/>
      <c r="C1537" s="67"/>
      <c r="D1537" s="67"/>
      <c r="E1537" s="67"/>
      <c r="F1537" s="67"/>
      <c r="G1537" s="67"/>
      <c r="H1537" s="67"/>
      <c r="I1537" s="66"/>
    </row>
    <row r="1538" spans="1:9">
      <c r="A1538" s="63"/>
      <c r="B1538" s="66"/>
      <c r="C1538" s="67"/>
      <c r="D1538" s="67"/>
      <c r="E1538" s="67"/>
      <c r="F1538" s="67"/>
      <c r="G1538" s="67"/>
      <c r="H1538" s="67"/>
      <c r="I1538" s="66"/>
    </row>
    <row r="1539" spans="1:9">
      <c r="A1539" s="63"/>
      <c r="B1539" s="66"/>
      <c r="C1539" s="67"/>
      <c r="D1539" s="67"/>
      <c r="E1539" s="67"/>
      <c r="F1539" s="67"/>
      <c r="G1539" s="67"/>
      <c r="H1539" s="67"/>
      <c r="I1539" s="66"/>
    </row>
    <row r="1540" spans="1:9">
      <c r="A1540" s="63"/>
      <c r="B1540" s="66"/>
      <c r="C1540" s="66"/>
      <c r="D1540" s="67"/>
      <c r="E1540" s="67"/>
      <c r="F1540" s="67"/>
      <c r="G1540" s="67"/>
      <c r="H1540" s="67"/>
      <c r="I1540" s="66"/>
    </row>
    <row r="1541" spans="1:9">
      <c r="A1541" s="63"/>
      <c r="B1541" s="66"/>
      <c r="C1541" s="67"/>
      <c r="D1541" s="67"/>
      <c r="E1541" s="67"/>
      <c r="F1541" s="67"/>
      <c r="G1541" s="67"/>
      <c r="H1541" s="67"/>
      <c r="I1541" s="66"/>
    </row>
    <row r="1542" spans="1:9">
      <c r="A1542" s="63"/>
      <c r="B1542" s="66"/>
      <c r="C1542" s="67"/>
      <c r="D1542" s="67"/>
      <c r="E1542" s="67"/>
      <c r="F1542" s="67"/>
      <c r="G1542" s="67"/>
      <c r="H1542" s="67"/>
      <c r="I1542" s="66"/>
    </row>
    <row r="1543" spans="1:9">
      <c r="A1543" s="63"/>
      <c r="B1543" s="66"/>
      <c r="C1543" s="66"/>
      <c r="D1543" s="66"/>
      <c r="E1543" s="66"/>
      <c r="F1543" s="67"/>
      <c r="G1543" s="67"/>
      <c r="H1543" s="67"/>
      <c r="I1543" s="66"/>
    </row>
    <row r="1544" spans="1:9">
      <c r="A1544" s="63"/>
      <c r="B1544" s="66"/>
      <c r="C1544" s="67"/>
      <c r="D1544" s="67"/>
      <c r="E1544" s="67"/>
      <c r="F1544" s="67"/>
      <c r="G1544" s="67"/>
      <c r="H1544" s="67"/>
      <c r="I1544" s="66"/>
    </row>
    <row r="1545" spans="1:9">
      <c r="A1545" s="63"/>
      <c r="B1545" s="67"/>
      <c r="C1545" s="66"/>
      <c r="D1545" s="66"/>
      <c r="E1545" s="67"/>
      <c r="F1545" s="67"/>
      <c r="G1545" s="67"/>
      <c r="H1545" s="66"/>
      <c r="I1545" s="66"/>
    </row>
    <row r="1546" spans="1:9">
      <c r="A1546" s="63"/>
      <c r="B1546" s="67"/>
      <c r="C1546" s="66"/>
      <c r="D1546" s="67"/>
      <c r="E1546" s="67"/>
      <c r="F1546" s="67"/>
      <c r="G1546" s="67"/>
      <c r="H1546" s="67"/>
      <c r="I1546" s="66"/>
    </row>
    <row r="1547" spans="1:9">
      <c r="A1547" s="63"/>
      <c r="B1547" s="66"/>
      <c r="C1547" s="67"/>
      <c r="D1547" s="67"/>
      <c r="E1547" s="67"/>
      <c r="F1547" s="67"/>
      <c r="G1547" s="67"/>
      <c r="H1547" s="67"/>
      <c r="I1547" s="66"/>
    </row>
    <row r="1548" spans="1:9">
      <c r="A1548" s="63"/>
      <c r="B1548" s="66"/>
      <c r="C1548" s="66"/>
      <c r="D1548" s="67"/>
      <c r="E1548" s="67"/>
      <c r="F1548" s="67"/>
      <c r="G1548" s="67"/>
      <c r="H1548" s="67"/>
      <c r="I1548" s="66"/>
    </row>
    <row r="1549" spans="1:9">
      <c r="A1549" s="63"/>
      <c r="B1549" s="67"/>
      <c r="C1549" s="66"/>
      <c r="D1549" s="67"/>
      <c r="E1549" s="67"/>
      <c r="F1549" s="67"/>
      <c r="G1549" s="67"/>
      <c r="H1549" s="67"/>
      <c r="I1549" s="66"/>
    </row>
    <row r="1550" spans="1:9">
      <c r="A1550" s="63"/>
      <c r="B1550" s="67"/>
      <c r="C1550" s="67"/>
      <c r="D1550" s="67"/>
      <c r="E1550" s="67"/>
      <c r="F1550" s="67"/>
      <c r="G1550" s="67"/>
      <c r="H1550" s="66"/>
      <c r="I1550" s="66"/>
    </row>
    <row r="1551" spans="1:9">
      <c r="A1551" s="63"/>
      <c r="B1551" s="66"/>
      <c r="C1551" s="67"/>
      <c r="D1551" s="67"/>
      <c r="E1551" s="67"/>
      <c r="F1551" s="67"/>
      <c r="G1551" s="67"/>
      <c r="H1551" s="67"/>
      <c r="I1551" s="66"/>
    </row>
    <row r="1552" spans="1:9">
      <c r="A1552" s="63"/>
      <c r="B1552" s="66"/>
      <c r="C1552" s="67"/>
      <c r="D1552" s="67"/>
      <c r="E1552" s="67"/>
      <c r="F1552" s="67"/>
      <c r="G1552" s="67"/>
      <c r="H1552" s="67"/>
      <c r="I1552" s="66"/>
    </row>
    <row r="1553" spans="1:9">
      <c r="A1553" s="63"/>
      <c r="B1553" s="67"/>
      <c r="C1553" s="66"/>
      <c r="D1553" s="67"/>
      <c r="E1553" s="67"/>
      <c r="F1553" s="67"/>
      <c r="G1553" s="67"/>
      <c r="H1553" s="67"/>
      <c r="I1553" s="66"/>
    </row>
    <row r="1554" spans="1:9">
      <c r="A1554" s="63"/>
      <c r="B1554" s="66"/>
      <c r="C1554" s="67"/>
      <c r="D1554" s="67"/>
      <c r="E1554" s="66"/>
      <c r="F1554" s="67"/>
      <c r="G1554" s="67"/>
      <c r="H1554" s="67"/>
      <c r="I1554" s="66"/>
    </row>
    <row r="1555" spans="1:9">
      <c r="A1555" s="63"/>
      <c r="B1555" s="67"/>
      <c r="C1555" s="66"/>
      <c r="D1555" s="67"/>
      <c r="E1555" s="67"/>
      <c r="F1555" s="67"/>
      <c r="G1555" s="67"/>
      <c r="H1555" s="67"/>
      <c r="I1555" s="66"/>
    </row>
    <row r="1556" spans="1:9">
      <c r="A1556" s="63"/>
      <c r="B1556" s="67"/>
      <c r="C1556" s="66"/>
      <c r="D1556" s="67"/>
      <c r="E1556" s="67"/>
      <c r="F1556" s="67"/>
      <c r="G1556" s="67"/>
      <c r="H1556" s="67"/>
      <c r="I1556" s="66"/>
    </row>
    <row r="1557" spans="1:9">
      <c r="A1557" s="63"/>
      <c r="B1557" s="66"/>
      <c r="C1557" s="67"/>
      <c r="D1557" s="67"/>
      <c r="E1557" s="67"/>
      <c r="F1557" s="67"/>
      <c r="G1557" s="67"/>
      <c r="H1557" s="67"/>
      <c r="I1557" s="66"/>
    </row>
    <row r="1558" spans="1:9">
      <c r="A1558" s="63"/>
      <c r="B1558" s="66"/>
      <c r="C1558" s="67"/>
      <c r="D1558" s="67"/>
      <c r="E1558" s="67"/>
      <c r="F1558" s="67"/>
      <c r="G1558" s="67"/>
      <c r="H1558" s="67"/>
      <c r="I1558" s="66"/>
    </row>
    <row r="1559" spans="1:9">
      <c r="A1559" s="63"/>
      <c r="B1559" s="66"/>
      <c r="C1559" s="67"/>
      <c r="D1559" s="67"/>
      <c r="E1559" s="67"/>
      <c r="F1559" s="67"/>
      <c r="G1559" s="67"/>
      <c r="H1559" s="67"/>
      <c r="I1559" s="66"/>
    </row>
    <row r="1560" spans="1:9">
      <c r="A1560" s="63"/>
      <c r="B1560" s="66"/>
      <c r="C1560" s="67"/>
      <c r="D1560" s="67"/>
      <c r="E1560" s="67"/>
      <c r="F1560" s="67"/>
      <c r="G1560" s="67"/>
      <c r="H1560" s="67"/>
      <c r="I1560" s="66"/>
    </row>
    <row r="1561" spans="1:9">
      <c r="A1561" s="63"/>
      <c r="B1561" s="66"/>
      <c r="C1561" s="67"/>
      <c r="D1561" s="67"/>
      <c r="E1561" s="67"/>
      <c r="F1561" s="67"/>
      <c r="G1561" s="67"/>
      <c r="H1561" s="67"/>
      <c r="I1561" s="66"/>
    </row>
    <row r="1562" spans="1:9">
      <c r="A1562" s="63"/>
      <c r="B1562" s="66"/>
      <c r="C1562" s="67"/>
      <c r="D1562" s="67"/>
      <c r="E1562" s="67"/>
      <c r="F1562" s="67"/>
      <c r="G1562" s="67"/>
      <c r="H1562" s="67"/>
      <c r="I1562" s="66"/>
    </row>
    <row r="1563" spans="1:9">
      <c r="A1563" s="63"/>
      <c r="B1563" s="66"/>
      <c r="C1563" s="67"/>
      <c r="D1563" s="67"/>
      <c r="E1563" s="67"/>
      <c r="F1563" s="67"/>
      <c r="G1563" s="67"/>
      <c r="H1563" s="67"/>
      <c r="I1563" s="66"/>
    </row>
    <row r="1564" spans="1:9">
      <c r="A1564" s="63"/>
      <c r="B1564" s="66"/>
      <c r="C1564" s="67"/>
      <c r="D1564" s="67"/>
      <c r="E1564" s="67"/>
      <c r="F1564" s="67"/>
      <c r="G1564" s="67"/>
      <c r="H1564" s="67"/>
      <c r="I1564" s="66"/>
    </row>
    <row r="1565" spans="1:9">
      <c r="A1565" s="63"/>
      <c r="B1565" s="67"/>
      <c r="C1565" s="66"/>
      <c r="D1565" s="67"/>
      <c r="E1565" s="67"/>
      <c r="F1565" s="67"/>
      <c r="G1565" s="67"/>
      <c r="H1565" s="67"/>
      <c r="I1565" s="66"/>
    </row>
    <row r="1566" spans="1:9">
      <c r="A1566" s="63"/>
      <c r="B1566" s="66"/>
      <c r="C1566" s="67"/>
      <c r="D1566" s="67"/>
      <c r="E1566" s="67"/>
      <c r="F1566" s="67"/>
      <c r="G1566" s="67"/>
      <c r="H1566" s="67"/>
      <c r="I1566" s="66"/>
    </row>
    <row r="1567" spans="1:9">
      <c r="A1567" s="63"/>
      <c r="B1567" s="66"/>
      <c r="C1567" s="67"/>
      <c r="D1567" s="67"/>
      <c r="E1567" s="67"/>
      <c r="F1567" s="67"/>
      <c r="G1567" s="67"/>
      <c r="H1567" s="67"/>
      <c r="I1567" s="66"/>
    </row>
    <row r="1568" spans="1:9">
      <c r="A1568" s="63"/>
      <c r="B1568" s="66"/>
      <c r="C1568" s="67"/>
      <c r="D1568" s="67"/>
      <c r="E1568" s="67"/>
      <c r="F1568" s="67"/>
      <c r="G1568" s="67"/>
      <c r="H1568" s="67"/>
      <c r="I1568" s="66"/>
    </row>
    <row r="1569" spans="1:9">
      <c r="A1569" s="63"/>
      <c r="B1569" s="67"/>
      <c r="C1569" s="66"/>
      <c r="D1569" s="66"/>
      <c r="E1569" s="67"/>
      <c r="F1569" s="67"/>
      <c r="G1569" s="67"/>
      <c r="H1569" s="67"/>
      <c r="I1569" s="66"/>
    </row>
    <row r="1570" spans="1:9">
      <c r="A1570" s="63"/>
      <c r="B1570" s="66"/>
      <c r="C1570" s="67"/>
      <c r="D1570" s="67"/>
      <c r="E1570" s="67"/>
      <c r="F1570" s="67"/>
      <c r="G1570" s="67"/>
      <c r="H1570" s="67"/>
      <c r="I1570" s="66"/>
    </row>
    <row r="1571" spans="1:9">
      <c r="A1571" s="63"/>
      <c r="B1571" s="67"/>
      <c r="C1571" s="66"/>
      <c r="D1571" s="67"/>
      <c r="E1571" s="67"/>
      <c r="F1571" s="67"/>
      <c r="G1571" s="67"/>
      <c r="H1571" s="67"/>
      <c r="I1571" s="66"/>
    </row>
    <row r="1572" spans="1:9">
      <c r="A1572" s="63"/>
      <c r="B1572" s="66"/>
      <c r="C1572" s="67"/>
      <c r="D1572" s="67"/>
      <c r="E1572" s="67"/>
      <c r="F1572" s="67"/>
      <c r="G1572" s="67"/>
      <c r="H1572" s="67"/>
      <c r="I1572" s="66"/>
    </row>
    <row r="1573" spans="1:9">
      <c r="A1573" s="63"/>
      <c r="B1573" s="67"/>
      <c r="C1573" s="67"/>
      <c r="D1573" s="67"/>
      <c r="E1573" s="66"/>
      <c r="F1573" s="66"/>
      <c r="G1573" s="67"/>
      <c r="H1573" s="67"/>
      <c r="I1573" s="66"/>
    </row>
    <row r="1574" spans="1:9">
      <c r="A1574" s="63"/>
      <c r="B1574" s="66"/>
      <c r="C1574" s="67"/>
      <c r="D1574" s="67"/>
      <c r="E1574" s="67"/>
      <c r="F1574" s="67"/>
      <c r="G1574" s="67"/>
      <c r="H1574" s="67"/>
      <c r="I1574" s="66"/>
    </row>
    <row r="1575" spans="1:9">
      <c r="A1575" s="63"/>
      <c r="B1575" s="66"/>
      <c r="C1575" s="67"/>
      <c r="D1575" s="67"/>
      <c r="E1575" s="67"/>
      <c r="F1575" s="67"/>
      <c r="G1575" s="67"/>
      <c r="H1575" s="67"/>
      <c r="I1575" s="66"/>
    </row>
    <row r="1576" spans="1:9">
      <c r="A1576" s="63"/>
      <c r="B1576" s="66"/>
      <c r="C1576" s="67"/>
      <c r="D1576" s="67"/>
      <c r="E1576" s="67"/>
      <c r="F1576" s="67"/>
      <c r="G1576" s="67"/>
      <c r="H1576" s="67"/>
      <c r="I1576" s="66"/>
    </row>
    <row r="1577" spans="1:9">
      <c r="A1577" s="63"/>
      <c r="B1577" s="66"/>
      <c r="C1577" s="67"/>
      <c r="D1577" s="67"/>
      <c r="E1577" s="67"/>
      <c r="F1577" s="67"/>
      <c r="G1577" s="67"/>
      <c r="H1577" s="67"/>
      <c r="I1577" s="66"/>
    </row>
    <row r="1578" spans="1:9">
      <c r="A1578" s="63"/>
      <c r="B1578" s="67"/>
      <c r="C1578" s="66"/>
      <c r="D1578" s="67"/>
      <c r="E1578" s="67"/>
      <c r="F1578" s="67"/>
      <c r="G1578" s="67"/>
      <c r="H1578" s="67"/>
      <c r="I1578" s="66"/>
    </row>
    <row r="1579" spans="1:9">
      <c r="A1579" s="63"/>
      <c r="B1579" s="66"/>
      <c r="C1579" s="67"/>
      <c r="D1579" s="67"/>
      <c r="E1579" s="67"/>
      <c r="F1579" s="67"/>
      <c r="G1579" s="67"/>
      <c r="H1579" s="67"/>
      <c r="I1579" s="66"/>
    </row>
    <row r="1580" spans="1:9">
      <c r="A1580" s="63"/>
      <c r="B1580" s="66"/>
      <c r="C1580" s="67"/>
      <c r="D1580" s="67"/>
      <c r="E1580" s="67"/>
      <c r="F1580" s="67"/>
      <c r="G1580" s="67"/>
      <c r="H1580" s="67"/>
      <c r="I1580" s="66"/>
    </row>
    <row r="1581" spans="1:9">
      <c r="A1581" s="63"/>
      <c r="B1581" s="66"/>
      <c r="C1581" s="67"/>
      <c r="D1581" s="67"/>
      <c r="E1581" s="67"/>
      <c r="F1581" s="67"/>
      <c r="G1581" s="67"/>
      <c r="H1581" s="67"/>
      <c r="I1581" s="66"/>
    </row>
    <row r="1582" spans="1:9">
      <c r="A1582" s="63"/>
      <c r="B1582" s="67"/>
      <c r="C1582" s="66"/>
      <c r="D1582" s="67"/>
      <c r="E1582" s="67"/>
      <c r="F1582" s="67"/>
      <c r="G1582" s="67"/>
      <c r="H1582" s="67"/>
      <c r="I1582" s="66"/>
    </row>
    <row r="1583" spans="1:9">
      <c r="A1583" s="63"/>
      <c r="B1583" s="66"/>
      <c r="C1583" s="67"/>
      <c r="D1583" s="67"/>
      <c r="E1583" s="67"/>
      <c r="F1583" s="67"/>
      <c r="G1583" s="67"/>
      <c r="H1583" s="67"/>
      <c r="I1583" s="66"/>
    </row>
    <row r="1584" spans="1:9">
      <c r="A1584" s="63"/>
      <c r="B1584" s="66"/>
      <c r="C1584" s="67"/>
      <c r="D1584" s="67"/>
      <c r="E1584" s="67"/>
      <c r="F1584" s="67"/>
      <c r="G1584" s="67"/>
      <c r="H1584" s="67"/>
      <c r="I1584" s="66"/>
    </row>
    <row r="1585" spans="1:9">
      <c r="A1585" s="63"/>
      <c r="B1585" s="66"/>
      <c r="C1585" s="66"/>
      <c r="D1585" s="66"/>
      <c r="E1585" s="67"/>
      <c r="F1585" s="67"/>
      <c r="G1585" s="67"/>
      <c r="H1585" s="67"/>
      <c r="I1585" s="66"/>
    </row>
    <row r="1586" spans="1:9">
      <c r="A1586" s="63"/>
      <c r="B1586" s="66"/>
      <c r="C1586" s="67"/>
      <c r="D1586" s="67"/>
      <c r="E1586" s="67"/>
      <c r="F1586" s="67"/>
      <c r="G1586" s="67"/>
      <c r="H1586" s="67"/>
      <c r="I1586" s="66"/>
    </row>
    <row r="1587" spans="1:9">
      <c r="A1587" s="63"/>
      <c r="B1587" s="67"/>
      <c r="C1587" s="66"/>
      <c r="D1587" s="67"/>
      <c r="E1587" s="67"/>
      <c r="F1587" s="67"/>
      <c r="G1587" s="67"/>
      <c r="H1587" s="67"/>
      <c r="I1587" s="66"/>
    </row>
    <row r="1588" spans="1:9">
      <c r="A1588" s="63"/>
      <c r="B1588" s="66"/>
      <c r="C1588" s="66"/>
      <c r="D1588" s="67"/>
      <c r="E1588" s="67"/>
      <c r="F1588" s="67"/>
      <c r="G1588" s="67"/>
      <c r="H1588" s="67"/>
      <c r="I1588" s="66"/>
    </row>
    <row r="1589" spans="1:9">
      <c r="A1589" s="63"/>
      <c r="B1589" s="66"/>
      <c r="C1589" s="66"/>
      <c r="D1589" s="67"/>
      <c r="E1589" s="67"/>
      <c r="F1589" s="67"/>
      <c r="G1589" s="67"/>
      <c r="H1589" s="67"/>
      <c r="I1589" s="66"/>
    </row>
    <row r="1590" spans="1:9">
      <c r="A1590" s="63"/>
      <c r="B1590" s="67"/>
      <c r="C1590" s="66"/>
      <c r="D1590" s="67"/>
      <c r="E1590" s="67"/>
      <c r="F1590" s="67"/>
      <c r="G1590" s="67"/>
      <c r="H1590" s="67"/>
      <c r="I1590" s="66"/>
    </row>
    <row r="1591" spans="1:9">
      <c r="A1591" s="63"/>
      <c r="B1591" s="66"/>
      <c r="C1591" s="67"/>
      <c r="D1591" s="67"/>
      <c r="E1591" s="67"/>
      <c r="F1591" s="67"/>
      <c r="G1591" s="67"/>
      <c r="H1591" s="67"/>
      <c r="I1591" s="66"/>
    </row>
    <row r="1592" spans="1:9">
      <c r="A1592" s="63"/>
      <c r="B1592" s="66"/>
      <c r="C1592" s="67"/>
      <c r="D1592" s="67"/>
      <c r="E1592" s="67"/>
      <c r="F1592" s="67"/>
      <c r="G1592" s="67"/>
      <c r="H1592" s="67"/>
      <c r="I1592" s="66"/>
    </row>
    <row r="1593" spans="1:9">
      <c r="A1593" s="63"/>
      <c r="B1593" s="67"/>
      <c r="C1593" s="66"/>
      <c r="D1593" s="67"/>
      <c r="E1593" s="67"/>
      <c r="F1593" s="67"/>
      <c r="G1593" s="67"/>
      <c r="H1593" s="67"/>
      <c r="I1593" s="66"/>
    </row>
    <row r="1594" spans="1:9">
      <c r="A1594" s="63"/>
      <c r="B1594" s="67"/>
      <c r="C1594" s="66"/>
      <c r="D1594" s="67"/>
      <c r="E1594" s="67"/>
      <c r="F1594" s="67"/>
      <c r="G1594" s="67"/>
      <c r="H1594" s="67"/>
      <c r="I1594" s="66"/>
    </row>
    <row r="1595" spans="1:9">
      <c r="A1595" s="63"/>
      <c r="B1595" s="66"/>
      <c r="C1595" s="66"/>
      <c r="D1595" s="67"/>
      <c r="E1595" s="67"/>
      <c r="F1595" s="67"/>
      <c r="G1595" s="67"/>
      <c r="H1595" s="67"/>
      <c r="I1595" s="66"/>
    </row>
    <row r="1596" spans="1:9">
      <c r="A1596" s="63"/>
      <c r="B1596" s="66"/>
      <c r="C1596" s="67"/>
      <c r="D1596" s="67"/>
      <c r="E1596" s="67"/>
      <c r="F1596" s="67"/>
      <c r="G1596" s="67"/>
      <c r="H1596" s="67"/>
      <c r="I1596" s="66"/>
    </row>
    <row r="1597" spans="1:9">
      <c r="A1597" s="63"/>
      <c r="B1597" s="67"/>
      <c r="C1597" s="66"/>
      <c r="D1597" s="67"/>
      <c r="E1597" s="67"/>
      <c r="F1597" s="67"/>
      <c r="G1597" s="67"/>
      <c r="H1597" s="67"/>
      <c r="I1597" s="66"/>
    </row>
    <row r="1598" spans="1:9">
      <c r="A1598" s="63"/>
      <c r="B1598" s="67"/>
      <c r="C1598" s="66"/>
      <c r="D1598" s="67"/>
      <c r="E1598" s="67"/>
      <c r="F1598" s="67"/>
      <c r="G1598" s="67"/>
      <c r="H1598" s="67"/>
      <c r="I1598" s="66"/>
    </row>
    <row r="1599" spans="1:9">
      <c r="A1599" s="63"/>
      <c r="B1599" s="67"/>
      <c r="C1599" s="66"/>
      <c r="D1599" s="67"/>
      <c r="E1599" s="67"/>
      <c r="F1599" s="67"/>
      <c r="G1599" s="67"/>
      <c r="H1599" s="67"/>
      <c r="I1599" s="66"/>
    </row>
    <row r="1600" spans="1:9">
      <c r="A1600" s="63"/>
      <c r="B1600" s="66"/>
      <c r="C1600" s="67"/>
      <c r="D1600" s="67"/>
      <c r="E1600" s="67"/>
      <c r="F1600" s="67"/>
      <c r="G1600" s="67"/>
      <c r="H1600" s="67"/>
      <c r="I1600" s="66"/>
    </row>
    <row r="1601" spans="1:9">
      <c r="A1601" s="63"/>
      <c r="B1601" s="66"/>
      <c r="C1601" s="67"/>
      <c r="D1601" s="67"/>
      <c r="E1601" s="67"/>
      <c r="F1601" s="67"/>
      <c r="G1601" s="67"/>
      <c r="H1601" s="67"/>
      <c r="I1601" s="66"/>
    </row>
    <row r="1602" spans="1:9">
      <c r="A1602" s="63"/>
      <c r="B1602" s="67"/>
      <c r="C1602" s="67"/>
      <c r="D1602" s="66"/>
      <c r="E1602" s="67"/>
      <c r="F1602" s="67"/>
      <c r="G1602" s="67"/>
      <c r="H1602" s="67"/>
      <c r="I1602" s="66"/>
    </row>
    <row r="1603" spans="1:9">
      <c r="A1603" s="63"/>
      <c r="B1603" s="66"/>
      <c r="C1603" s="67"/>
      <c r="D1603" s="67"/>
      <c r="E1603" s="67"/>
      <c r="F1603" s="67"/>
      <c r="G1603" s="67"/>
      <c r="H1603" s="67"/>
      <c r="I1603" s="66"/>
    </row>
    <row r="1604" spans="1:9">
      <c r="A1604" s="63"/>
      <c r="B1604" s="67"/>
      <c r="C1604" s="66"/>
      <c r="D1604" s="67"/>
      <c r="E1604" s="67"/>
      <c r="F1604" s="67"/>
      <c r="G1604" s="67"/>
      <c r="H1604" s="67"/>
      <c r="I1604" s="66"/>
    </row>
    <row r="1605" spans="1:9">
      <c r="A1605" s="63"/>
      <c r="B1605" s="67"/>
      <c r="C1605" s="66"/>
      <c r="D1605" s="66"/>
      <c r="E1605" s="67"/>
      <c r="F1605" s="67"/>
      <c r="G1605" s="67"/>
      <c r="H1605" s="67"/>
      <c r="I1605" s="66"/>
    </row>
    <row r="1606" spans="1:9">
      <c r="A1606" s="63"/>
      <c r="B1606" s="66"/>
      <c r="C1606" s="67"/>
      <c r="D1606" s="67"/>
      <c r="E1606" s="67"/>
      <c r="F1606" s="67"/>
      <c r="G1606" s="67"/>
      <c r="H1606" s="67"/>
      <c r="I1606" s="66"/>
    </row>
    <row r="1607" spans="1:9">
      <c r="A1607" s="63"/>
      <c r="B1607" s="67"/>
      <c r="C1607" s="66"/>
      <c r="D1607" s="67"/>
      <c r="E1607" s="67"/>
      <c r="F1607" s="67"/>
      <c r="G1607" s="67"/>
      <c r="H1607" s="67"/>
      <c r="I1607" s="66"/>
    </row>
    <row r="1608" spans="1:9">
      <c r="A1608" s="63"/>
      <c r="B1608" s="66"/>
      <c r="C1608" s="66"/>
      <c r="D1608" s="67"/>
      <c r="E1608" s="67"/>
      <c r="F1608" s="67"/>
      <c r="G1608" s="67"/>
      <c r="H1608" s="67"/>
      <c r="I1608" s="66"/>
    </row>
    <row r="1609" spans="1:9">
      <c r="A1609" s="63"/>
      <c r="B1609" s="66"/>
      <c r="C1609" s="67"/>
      <c r="D1609" s="67"/>
      <c r="E1609" s="66"/>
      <c r="F1609" s="67"/>
      <c r="G1609" s="67"/>
      <c r="H1609" s="67"/>
      <c r="I1609" s="66"/>
    </row>
    <row r="1610" spans="1:9">
      <c r="A1610" s="63"/>
      <c r="B1610" s="67"/>
      <c r="C1610" s="66"/>
      <c r="D1610" s="67"/>
      <c r="E1610" s="67"/>
      <c r="F1610" s="67"/>
      <c r="G1610" s="67"/>
      <c r="H1610" s="67"/>
      <c r="I1610" s="66"/>
    </row>
    <row r="1611" spans="1:9">
      <c r="A1611" s="63"/>
      <c r="B1611" s="67"/>
      <c r="C1611" s="66"/>
      <c r="D1611" s="66"/>
      <c r="E1611" s="67"/>
      <c r="F1611" s="67"/>
      <c r="G1611" s="67"/>
      <c r="H1611" s="67"/>
      <c r="I1611" s="66"/>
    </row>
    <row r="1612" spans="1:9">
      <c r="A1612" s="63"/>
      <c r="B1612" s="66"/>
      <c r="C1612" s="67"/>
      <c r="D1612" s="67"/>
      <c r="E1612" s="67"/>
      <c r="F1612" s="67"/>
      <c r="G1612" s="67"/>
      <c r="H1612" s="67"/>
      <c r="I1612" s="66"/>
    </row>
    <row r="1613" spans="1:9">
      <c r="A1613" s="63"/>
      <c r="B1613" s="66"/>
      <c r="C1613" s="67"/>
      <c r="D1613" s="67"/>
      <c r="E1613" s="67"/>
      <c r="F1613" s="67"/>
      <c r="G1613" s="67"/>
      <c r="H1613" s="67"/>
      <c r="I1613" s="66"/>
    </row>
    <row r="1614" spans="1:9">
      <c r="A1614" s="63"/>
      <c r="B1614" s="67"/>
      <c r="C1614" s="66"/>
      <c r="D1614" s="67"/>
      <c r="E1614" s="67"/>
      <c r="F1614" s="67"/>
      <c r="G1614" s="67"/>
      <c r="H1614" s="67"/>
      <c r="I1614" s="66"/>
    </row>
    <row r="1615" spans="1:9">
      <c r="A1615" s="63"/>
      <c r="B1615" s="67"/>
      <c r="C1615" s="66"/>
      <c r="D1615" s="67"/>
      <c r="E1615" s="67"/>
      <c r="F1615" s="67"/>
      <c r="G1615" s="67"/>
      <c r="H1615" s="67"/>
      <c r="I1615" s="66"/>
    </row>
    <row r="1616" spans="1:9">
      <c r="A1616" s="63"/>
      <c r="B1616" s="66"/>
      <c r="C1616" s="67"/>
      <c r="D1616" s="67"/>
      <c r="E1616" s="67"/>
      <c r="F1616" s="67"/>
      <c r="G1616" s="67"/>
      <c r="H1616" s="67"/>
      <c r="I1616" s="66"/>
    </row>
    <row r="1617" spans="1:9">
      <c r="A1617" s="63"/>
      <c r="B1617" s="66"/>
      <c r="C1617" s="67"/>
      <c r="D1617" s="67"/>
      <c r="E1617" s="67"/>
      <c r="F1617" s="67"/>
      <c r="G1617" s="67"/>
      <c r="H1617" s="67"/>
      <c r="I1617" s="66"/>
    </row>
    <row r="1618" spans="1:9">
      <c r="A1618" s="63"/>
      <c r="B1618" s="67"/>
      <c r="C1618" s="66"/>
      <c r="D1618" s="67"/>
      <c r="E1618" s="67"/>
      <c r="F1618" s="67"/>
      <c r="G1618" s="67"/>
      <c r="H1618" s="67"/>
      <c r="I1618" s="66"/>
    </row>
    <row r="1619" spans="1:9">
      <c r="A1619" s="63"/>
      <c r="B1619" s="67"/>
      <c r="C1619" s="66"/>
      <c r="D1619" s="67"/>
      <c r="E1619" s="67"/>
      <c r="F1619" s="67"/>
      <c r="G1619" s="67"/>
      <c r="H1619" s="67"/>
      <c r="I1619" s="66"/>
    </row>
    <row r="1620" spans="1:9">
      <c r="A1620" s="63"/>
      <c r="B1620" s="66"/>
      <c r="C1620" s="66"/>
      <c r="D1620" s="67"/>
      <c r="E1620" s="67"/>
      <c r="F1620" s="67"/>
      <c r="G1620" s="67"/>
      <c r="H1620" s="67"/>
      <c r="I1620" s="66"/>
    </row>
    <row r="1621" spans="1:9">
      <c r="A1621" s="63"/>
      <c r="B1621" s="67"/>
      <c r="C1621" s="66"/>
      <c r="D1621" s="67"/>
      <c r="E1621" s="67"/>
      <c r="F1621" s="67"/>
      <c r="G1621" s="67"/>
      <c r="H1621" s="67"/>
      <c r="I1621" s="66"/>
    </row>
    <row r="1622" spans="1:9">
      <c r="A1622" s="63"/>
      <c r="B1622" s="66"/>
      <c r="C1622" s="66"/>
      <c r="D1622" s="67"/>
      <c r="E1622" s="67"/>
      <c r="F1622" s="67"/>
      <c r="G1622" s="67"/>
      <c r="H1622" s="67"/>
      <c r="I1622" s="66"/>
    </row>
    <row r="1623" spans="1:9">
      <c r="A1623" s="63"/>
      <c r="B1623" s="66"/>
      <c r="C1623" s="67"/>
      <c r="D1623" s="67"/>
      <c r="E1623" s="67"/>
      <c r="F1623" s="67"/>
      <c r="G1623" s="67"/>
      <c r="H1623" s="67"/>
      <c r="I1623" s="66"/>
    </row>
    <row r="1624" spans="1:9">
      <c r="A1624" s="63"/>
      <c r="B1624" s="67"/>
      <c r="C1624" s="66"/>
      <c r="D1624" s="67"/>
      <c r="E1624" s="67"/>
      <c r="F1624" s="67"/>
      <c r="G1624" s="67"/>
      <c r="H1624" s="67"/>
      <c r="I1624" s="66"/>
    </row>
    <row r="1625" spans="1:9">
      <c r="A1625" s="63"/>
      <c r="B1625" s="66"/>
      <c r="C1625" s="67"/>
      <c r="D1625" s="67"/>
      <c r="E1625" s="67"/>
      <c r="F1625" s="67"/>
      <c r="G1625" s="67"/>
      <c r="H1625" s="67"/>
      <c r="I1625" s="66"/>
    </row>
    <row r="1626" spans="1:9">
      <c r="A1626" s="63"/>
      <c r="B1626" s="66"/>
      <c r="C1626" s="67"/>
      <c r="D1626" s="67"/>
      <c r="E1626" s="67"/>
      <c r="F1626" s="67"/>
      <c r="G1626" s="67"/>
      <c r="H1626" s="67"/>
      <c r="I1626" s="66"/>
    </row>
    <row r="1627" spans="1:9">
      <c r="A1627" s="63"/>
      <c r="B1627" s="66"/>
      <c r="C1627" s="67"/>
      <c r="D1627" s="67"/>
      <c r="E1627" s="67"/>
      <c r="F1627" s="67"/>
      <c r="G1627" s="67"/>
      <c r="H1627" s="67"/>
      <c r="I1627" s="66"/>
    </row>
    <row r="1628" spans="1:9">
      <c r="A1628" s="63"/>
      <c r="B1628" s="66"/>
      <c r="C1628" s="67"/>
      <c r="D1628" s="67"/>
      <c r="E1628" s="67"/>
      <c r="F1628" s="67"/>
      <c r="G1628" s="67"/>
      <c r="H1628" s="67"/>
      <c r="I1628" s="66"/>
    </row>
    <row r="1629" spans="1:9">
      <c r="A1629" s="63"/>
      <c r="B1629" s="66"/>
      <c r="C1629" s="67"/>
      <c r="D1629" s="67"/>
      <c r="E1629" s="67"/>
      <c r="F1629" s="67"/>
      <c r="G1629" s="67"/>
      <c r="H1629" s="67"/>
      <c r="I1629" s="66"/>
    </row>
    <row r="1630" spans="1:9">
      <c r="A1630" s="63"/>
      <c r="B1630" s="66"/>
      <c r="C1630" s="67"/>
      <c r="D1630" s="67"/>
      <c r="E1630" s="67"/>
      <c r="F1630" s="67"/>
      <c r="G1630" s="67"/>
      <c r="H1630" s="67"/>
      <c r="I1630" s="66"/>
    </row>
    <row r="1631" spans="1:9">
      <c r="A1631" s="63"/>
      <c r="B1631" s="67"/>
      <c r="C1631" s="66"/>
      <c r="D1631" s="67"/>
      <c r="E1631" s="67"/>
      <c r="F1631" s="67"/>
      <c r="G1631" s="67"/>
      <c r="H1631" s="67"/>
      <c r="I1631" s="66"/>
    </row>
    <row r="1632" spans="1:9">
      <c r="A1632" s="63"/>
      <c r="B1632" s="67"/>
      <c r="C1632" s="67"/>
      <c r="D1632" s="67"/>
      <c r="E1632" s="66"/>
      <c r="F1632" s="67"/>
      <c r="G1632" s="67"/>
      <c r="H1632" s="67"/>
      <c r="I1632" s="66"/>
    </row>
    <row r="1633" spans="1:9">
      <c r="A1633" s="63"/>
      <c r="B1633" s="66"/>
      <c r="C1633" s="67"/>
      <c r="D1633" s="67"/>
      <c r="E1633" s="67"/>
      <c r="F1633" s="67"/>
      <c r="G1633" s="67"/>
      <c r="H1633" s="67"/>
      <c r="I1633" s="66"/>
    </row>
    <row r="1634" spans="1:9">
      <c r="A1634" s="63"/>
      <c r="B1634" s="66"/>
      <c r="C1634" s="67"/>
      <c r="D1634" s="67"/>
      <c r="E1634" s="66"/>
      <c r="F1634" s="67"/>
      <c r="G1634" s="67"/>
      <c r="H1634" s="67"/>
      <c r="I1634" s="66"/>
    </row>
    <row r="1635" spans="1:9">
      <c r="A1635" s="63"/>
      <c r="B1635" s="67"/>
      <c r="C1635" s="66"/>
      <c r="D1635" s="67"/>
      <c r="E1635" s="67"/>
      <c r="F1635" s="67"/>
      <c r="G1635" s="67"/>
      <c r="H1635" s="67"/>
      <c r="I1635" s="66"/>
    </row>
    <row r="1636" spans="1:9">
      <c r="A1636" s="63"/>
      <c r="B1636" s="67"/>
      <c r="C1636" s="66"/>
      <c r="D1636" s="67"/>
      <c r="E1636" s="67"/>
      <c r="F1636" s="67"/>
      <c r="G1636" s="67"/>
      <c r="H1636" s="67"/>
      <c r="I1636" s="66"/>
    </row>
    <row r="1637" spans="1:9">
      <c r="A1637" s="63"/>
      <c r="B1637" s="67"/>
      <c r="C1637" s="67"/>
      <c r="D1637" s="67"/>
      <c r="E1637" s="66"/>
      <c r="F1637" s="67"/>
      <c r="G1637" s="67"/>
      <c r="H1637" s="67"/>
      <c r="I1637" s="66"/>
    </row>
    <row r="1638" spans="1:9">
      <c r="A1638" s="63"/>
      <c r="B1638" s="66"/>
      <c r="C1638" s="67"/>
      <c r="D1638" s="67"/>
      <c r="E1638" s="67"/>
      <c r="F1638" s="67"/>
      <c r="G1638" s="67"/>
      <c r="H1638" s="67"/>
      <c r="I1638" s="66"/>
    </row>
    <row r="1639" spans="1:9">
      <c r="A1639" s="63"/>
      <c r="B1639" s="67"/>
      <c r="C1639" s="66"/>
      <c r="D1639" s="67"/>
      <c r="E1639" s="67"/>
      <c r="F1639" s="67"/>
      <c r="G1639" s="67"/>
      <c r="H1639" s="67"/>
      <c r="I1639" s="66"/>
    </row>
    <row r="1640" spans="1:9">
      <c r="A1640" s="63"/>
      <c r="B1640" s="67"/>
      <c r="C1640" s="67"/>
      <c r="D1640" s="67"/>
      <c r="E1640" s="66"/>
      <c r="F1640" s="67"/>
      <c r="G1640" s="67"/>
      <c r="H1640" s="67"/>
      <c r="I1640" s="66"/>
    </row>
    <row r="1641" spans="1:9">
      <c r="A1641" s="63"/>
      <c r="B1641" s="67"/>
      <c r="C1641" s="67"/>
      <c r="D1641" s="67"/>
      <c r="E1641" s="66"/>
      <c r="F1641" s="67"/>
      <c r="G1641" s="67"/>
      <c r="H1641" s="67"/>
      <c r="I1641" s="66"/>
    </row>
    <row r="1642" spans="1:9">
      <c r="A1642" s="63"/>
      <c r="B1642" s="66"/>
      <c r="C1642" s="67"/>
      <c r="D1642" s="67"/>
      <c r="E1642" s="67"/>
      <c r="F1642" s="67"/>
      <c r="G1642" s="67"/>
      <c r="H1642" s="67"/>
      <c r="I1642" s="66"/>
    </row>
    <row r="1643" spans="1:9">
      <c r="A1643" s="63"/>
      <c r="B1643" s="67"/>
      <c r="C1643" s="67"/>
      <c r="D1643" s="67"/>
      <c r="E1643" s="66"/>
      <c r="F1643" s="67"/>
      <c r="G1643" s="67"/>
      <c r="H1643" s="67"/>
      <c r="I1643" s="66"/>
    </row>
    <row r="1644" spans="1:9">
      <c r="A1644" s="63"/>
      <c r="B1644" s="66"/>
      <c r="C1644" s="67"/>
      <c r="D1644" s="67"/>
      <c r="E1644" s="67"/>
      <c r="F1644" s="67"/>
      <c r="G1644" s="67"/>
      <c r="H1644" s="67"/>
      <c r="I1644" s="66"/>
    </row>
    <row r="1645" spans="1:9">
      <c r="A1645" s="63"/>
      <c r="B1645" s="66"/>
      <c r="C1645" s="66"/>
      <c r="D1645" s="67"/>
      <c r="E1645" s="67"/>
      <c r="F1645" s="67"/>
      <c r="G1645" s="67"/>
      <c r="H1645" s="67"/>
      <c r="I1645" s="66"/>
    </row>
    <row r="1646" spans="1:9">
      <c r="A1646" s="63"/>
      <c r="B1646" s="67"/>
      <c r="C1646" s="66"/>
      <c r="D1646" s="67"/>
      <c r="E1646" s="67"/>
      <c r="F1646" s="67"/>
      <c r="G1646" s="67"/>
      <c r="H1646" s="67"/>
      <c r="I1646" s="66"/>
    </row>
    <row r="1647" spans="1:9">
      <c r="A1647" s="63"/>
      <c r="B1647" s="67"/>
      <c r="C1647" s="67"/>
      <c r="D1647" s="66"/>
      <c r="E1647" s="67"/>
      <c r="F1647" s="67"/>
      <c r="G1647" s="67"/>
      <c r="H1647" s="67"/>
      <c r="I1647" s="66"/>
    </row>
    <row r="1648" spans="1:9">
      <c r="A1648" s="63"/>
      <c r="B1648" s="66"/>
      <c r="C1648" s="67"/>
      <c r="D1648" s="67"/>
      <c r="E1648" s="67"/>
      <c r="F1648" s="67"/>
      <c r="G1648" s="67"/>
      <c r="H1648" s="67"/>
      <c r="I1648" s="66"/>
    </row>
    <row r="1649" spans="1:9">
      <c r="A1649" s="63"/>
      <c r="B1649" s="67"/>
      <c r="C1649" s="67"/>
      <c r="D1649" s="67"/>
      <c r="E1649" s="66"/>
      <c r="F1649" s="67"/>
      <c r="G1649" s="67"/>
      <c r="H1649" s="67"/>
      <c r="I1649" s="66"/>
    </row>
    <row r="1650" spans="1:9">
      <c r="A1650" s="63"/>
      <c r="B1650" s="66"/>
      <c r="C1650" s="66"/>
      <c r="D1650" s="67"/>
      <c r="E1650" s="67"/>
      <c r="F1650" s="67"/>
      <c r="G1650" s="67"/>
      <c r="H1650" s="67"/>
      <c r="I1650" s="66"/>
    </row>
    <row r="1651" spans="1:9">
      <c r="A1651" s="63"/>
      <c r="B1651" s="67"/>
      <c r="C1651" s="66"/>
      <c r="D1651" s="67"/>
      <c r="E1651" s="67"/>
      <c r="F1651" s="67"/>
      <c r="G1651" s="67"/>
      <c r="H1651" s="67"/>
      <c r="I1651" s="66"/>
    </row>
    <row r="1652" spans="1:9">
      <c r="A1652" s="63"/>
      <c r="B1652" s="67"/>
      <c r="C1652" s="67"/>
      <c r="D1652" s="67"/>
      <c r="E1652" s="67"/>
      <c r="F1652" s="67"/>
      <c r="G1652" s="67"/>
      <c r="H1652" s="66"/>
      <c r="I1652" s="66"/>
    </row>
    <row r="1653" spans="1:9">
      <c r="A1653" s="63"/>
      <c r="B1653" s="67"/>
      <c r="C1653" s="66"/>
      <c r="D1653" s="67"/>
      <c r="E1653" s="67"/>
      <c r="F1653" s="67"/>
      <c r="G1653" s="67"/>
      <c r="H1653" s="67"/>
      <c r="I1653" s="66"/>
    </row>
    <row r="1654" spans="1:9">
      <c r="A1654" s="63"/>
      <c r="B1654" s="67"/>
      <c r="C1654" s="67"/>
      <c r="D1654" s="67"/>
      <c r="E1654" s="66"/>
      <c r="F1654" s="67"/>
      <c r="G1654" s="67"/>
      <c r="H1654" s="67"/>
      <c r="I1654" s="66"/>
    </row>
    <row r="1655" spans="1:9">
      <c r="A1655" s="63"/>
      <c r="B1655" s="67"/>
      <c r="C1655" s="66"/>
      <c r="D1655" s="67"/>
      <c r="E1655" s="67"/>
      <c r="F1655" s="67"/>
      <c r="G1655" s="67"/>
      <c r="H1655" s="67"/>
      <c r="I1655" s="66"/>
    </row>
    <row r="1656" spans="1:9">
      <c r="A1656" s="63"/>
      <c r="B1656" s="66"/>
      <c r="C1656" s="67"/>
      <c r="D1656" s="67"/>
      <c r="E1656" s="67"/>
      <c r="F1656" s="67"/>
      <c r="G1656" s="67"/>
      <c r="H1656" s="67"/>
      <c r="I1656" s="66"/>
    </row>
    <row r="1657" spans="1:9">
      <c r="A1657" s="63"/>
      <c r="B1657" s="67"/>
      <c r="C1657" s="67"/>
      <c r="D1657" s="66"/>
      <c r="E1657" s="67"/>
      <c r="F1657" s="67"/>
      <c r="G1657" s="67"/>
      <c r="H1657" s="67"/>
      <c r="I1657" s="66"/>
    </row>
    <row r="1658" spans="1:9">
      <c r="A1658" s="63"/>
      <c r="B1658" s="66"/>
      <c r="C1658" s="67"/>
      <c r="D1658" s="67"/>
      <c r="E1658" s="67"/>
      <c r="F1658" s="67"/>
      <c r="G1658" s="67"/>
      <c r="H1658" s="67"/>
      <c r="I1658" s="66"/>
    </row>
    <row r="1659" spans="1:9">
      <c r="A1659" s="63"/>
      <c r="B1659" s="67"/>
      <c r="C1659" s="66"/>
      <c r="D1659" s="67"/>
      <c r="E1659" s="67"/>
      <c r="F1659" s="67"/>
      <c r="G1659" s="67"/>
      <c r="H1659" s="67"/>
      <c r="I1659" s="66"/>
    </row>
    <row r="1660" spans="1:9">
      <c r="A1660" s="63"/>
      <c r="B1660" s="67"/>
      <c r="C1660" s="66"/>
      <c r="D1660" s="67"/>
      <c r="E1660" s="67"/>
      <c r="F1660" s="67"/>
      <c r="G1660" s="67"/>
      <c r="H1660" s="67"/>
      <c r="I1660" s="66"/>
    </row>
    <row r="1661" spans="1:9">
      <c r="A1661" s="63"/>
      <c r="B1661" s="66"/>
      <c r="C1661" s="67"/>
      <c r="D1661" s="67"/>
      <c r="E1661" s="67"/>
      <c r="F1661" s="67"/>
      <c r="G1661" s="67"/>
      <c r="H1661" s="67"/>
      <c r="I1661" s="66"/>
    </row>
    <row r="1662" spans="1:9">
      <c r="A1662" s="63"/>
      <c r="B1662" s="66"/>
      <c r="C1662" s="66"/>
      <c r="D1662" s="67"/>
      <c r="E1662" s="67"/>
      <c r="F1662" s="67"/>
      <c r="G1662" s="67"/>
      <c r="H1662" s="67"/>
      <c r="I1662" s="66"/>
    </row>
    <row r="1663" spans="1:9">
      <c r="A1663" s="63"/>
      <c r="B1663" s="67"/>
      <c r="C1663" s="66"/>
      <c r="D1663" s="67"/>
      <c r="E1663" s="67"/>
      <c r="F1663" s="67"/>
      <c r="G1663" s="67"/>
      <c r="H1663" s="67"/>
      <c r="I1663" s="66"/>
    </row>
    <row r="1664" spans="1:9">
      <c r="A1664" s="63"/>
      <c r="B1664" s="67"/>
      <c r="C1664" s="67"/>
      <c r="D1664" s="67"/>
      <c r="E1664" s="67"/>
      <c r="F1664" s="67"/>
      <c r="G1664" s="66"/>
      <c r="H1664" s="66"/>
      <c r="I1664" s="66"/>
    </row>
    <row r="1665" spans="1:9">
      <c r="A1665" s="63"/>
      <c r="B1665" s="67"/>
      <c r="C1665" s="66"/>
      <c r="D1665" s="67"/>
      <c r="E1665" s="67"/>
      <c r="F1665" s="67"/>
      <c r="G1665" s="67"/>
      <c r="H1665" s="67"/>
      <c r="I1665" s="66"/>
    </row>
    <row r="1666" spans="1:9">
      <c r="A1666" s="63"/>
      <c r="B1666" s="67"/>
      <c r="C1666" s="66"/>
      <c r="D1666" s="67"/>
      <c r="E1666" s="67"/>
      <c r="F1666" s="67"/>
      <c r="G1666" s="67"/>
      <c r="H1666" s="67"/>
      <c r="I1666" s="66"/>
    </row>
    <row r="1667" spans="1:9">
      <c r="A1667" s="63"/>
      <c r="B1667" s="66"/>
      <c r="C1667" s="67"/>
      <c r="D1667" s="67"/>
      <c r="E1667" s="67"/>
      <c r="F1667" s="67"/>
      <c r="G1667" s="67"/>
      <c r="H1667" s="67"/>
      <c r="I1667" s="66"/>
    </row>
    <row r="1668" spans="1:9">
      <c r="A1668" s="63"/>
      <c r="B1668" s="67"/>
      <c r="C1668" s="66"/>
      <c r="D1668" s="67"/>
      <c r="E1668" s="67"/>
      <c r="F1668" s="67"/>
      <c r="G1668" s="67"/>
      <c r="H1668" s="67"/>
      <c r="I1668" s="66"/>
    </row>
    <row r="1669" spans="1:9">
      <c r="A1669" s="63"/>
      <c r="B1669" s="66"/>
      <c r="C1669" s="66"/>
      <c r="D1669" s="67"/>
      <c r="E1669" s="67"/>
      <c r="F1669" s="67"/>
      <c r="G1669" s="67"/>
      <c r="H1669" s="67"/>
      <c r="I1669" s="66"/>
    </row>
    <row r="1670" spans="1:9">
      <c r="A1670" s="63"/>
      <c r="B1670" s="66"/>
      <c r="C1670" s="67"/>
      <c r="D1670" s="67"/>
      <c r="E1670" s="67"/>
      <c r="F1670" s="67"/>
      <c r="G1670" s="67"/>
      <c r="H1670" s="67"/>
      <c r="I1670" s="66"/>
    </row>
    <row r="1671" spans="1:9">
      <c r="A1671" s="63"/>
      <c r="B1671" s="67"/>
      <c r="C1671" s="66"/>
      <c r="D1671" s="67"/>
      <c r="E1671" s="66"/>
      <c r="F1671" s="67"/>
      <c r="G1671" s="67"/>
      <c r="H1671" s="67"/>
      <c r="I1671" s="66"/>
    </row>
    <row r="1672" spans="1:9">
      <c r="A1672" s="63"/>
      <c r="B1672" s="67"/>
      <c r="C1672" s="66"/>
      <c r="D1672" s="67"/>
      <c r="E1672" s="67"/>
      <c r="F1672" s="67"/>
      <c r="G1672" s="67"/>
      <c r="H1672" s="67"/>
      <c r="I1672" s="66"/>
    </row>
    <row r="1673" spans="1:9">
      <c r="A1673" s="63"/>
      <c r="B1673" s="67"/>
      <c r="C1673" s="66"/>
      <c r="D1673" s="67"/>
      <c r="E1673" s="67"/>
      <c r="F1673" s="67"/>
      <c r="G1673" s="67"/>
      <c r="H1673" s="67"/>
      <c r="I1673" s="66"/>
    </row>
    <row r="1674" spans="1:9">
      <c r="A1674" s="63"/>
      <c r="B1674" s="66"/>
      <c r="C1674" s="66"/>
      <c r="D1674" s="66"/>
      <c r="E1674" s="67"/>
      <c r="F1674" s="67"/>
      <c r="G1674" s="67"/>
      <c r="H1674" s="67"/>
      <c r="I1674" s="66"/>
    </row>
    <row r="1675" spans="1:9">
      <c r="A1675" s="63"/>
      <c r="B1675" s="67"/>
      <c r="C1675" s="66"/>
      <c r="D1675" s="67"/>
      <c r="E1675" s="67"/>
      <c r="F1675" s="67"/>
      <c r="G1675" s="67"/>
      <c r="H1675" s="66"/>
      <c r="I1675" s="66"/>
    </row>
    <row r="1676" spans="1:9">
      <c r="A1676" s="63"/>
      <c r="B1676" s="67"/>
      <c r="C1676" s="67"/>
      <c r="D1676" s="67"/>
      <c r="E1676" s="67"/>
      <c r="F1676" s="66"/>
      <c r="G1676" s="67"/>
      <c r="H1676" s="67"/>
      <c r="I1676" s="66"/>
    </row>
    <row r="1677" spans="1:9">
      <c r="A1677" s="63"/>
      <c r="B1677" s="66"/>
      <c r="C1677" s="67"/>
      <c r="D1677" s="67"/>
      <c r="E1677" s="67"/>
      <c r="F1677" s="67"/>
      <c r="G1677" s="67"/>
      <c r="H1677" s="67"/>
      <c r="I1677" s="66"/>
    </row>
    <row r="1678" spans="1:9">
      <c r="A1678" s="63"/>
      <c r="B1678" s="67"/>
      <c r="C1678" s="66"/>
      <c r="D1678" s="67"/>
      <c r="E1678" s="67"/>
      <c r="F1678" s="67"/>
      <c r="G1678" s="67"/>
      <c r="H1678" s="67"/>
      <c r="I1678" s="66"/>
    </row>
    <row r="1679" spans="1:9">
      <c r="A1679" s="63"/>
      <c r="B1679" s="66"/>
      <c r="C1679" s="67"/>
      <c r="D1679" s="67"/>
      <c r="E1679" s="67"/>
      <c r="F1679" s="67"/>
      <c r="G1679" s="67"/>
      <c r="H1679" s="67"/>
      <c r="I1679" s="66"/>
    </row>
    <row r="1680" spans="1:9">
      <c r="A1680" s="63"/>
      <c r="B1680" s="67"/>
      <c r="C1680" s="66"/>
      <c r="D1680" s="67"/>
      <c r="E1680" s="67"/>
      <c r="F1680" s="67"/>
      <c r="G1680" s="67"/>
      <c r="H1680" s="67"/>
      <c r="I1680" s="66"/>
    </row>
    <row r="1681" spans="1:9">
      <c r="A1681" s="63"/>
      <c r="B1681" s="66"/>
      <c r="C1681" s="66"/>
      <c r="D1681" s="66"/>
      <c r="E1681" s="66"/>
      <c r="F1681" s="67"/>
      <c r="G1681" s="67"/>
      <c r="H1681" s="67"/>
      <c r="I1681" s="66"/>
    </row>
    <row r="1682" spans="1:9">
      <c r="A1682" s="63"/>
      <c r="B1682" s="67"/>
      <c r="C1682" s="66"/>
      <c r="D1682" s="67"/>
      <c r="E1682" s="67"/>
      <c r="F1682" s="67"/>
      <c r="G1682" s="67"/>
      <c r="H1682" s="67"/>
      <c r="I1682" s="66"/>
    </row>
    <row r="1683" spans="1:9">
      <c r="A1683" s="63"/>
      <c r="B1683" s="67"/>
      <c r="C1683" s="66"/>
      <c r="D1683" s="67"/>
      <c r="E1683" s="67"/>
      <c r="F1683" s="67"/>
      <c r="G1683" s="67"/>
      <c r="H1683" s="67"/>
      <c r="I1683" s="66"/>
    </row>
    <row r="1684" spans="1:9">
      <c r="A1684" s="63"/>
      <c r="B1684" s="66"/>
      <c r="C1684" s="67"/>
      <c r="D1684" s="67"/>
      <c r="E1684" s="66"/>
      <c r="F1684" s="67"/>
      <c r="G1684" s="67"/>
      <c r="H1684" s="67"/>
      <c r="I1684" s="66"/>
    </row>
    <row r="1685" spans="1:9">
      <c r="A1685" s="63"/>
      <c r="B1685" s="66"/>
      <c r="C1685" s="66"/>
      <c r="D1685" s="67"/>
      <c r="E1685" s="67"/>
      <c r="F1685" s="67"/>
      <c r="G1685" s="67"/>
      <c r="H1685" s="67"/>
      <c r="I1685" s="66"/>
    </row>
    <row r="1686" spans="1:9">
      <c r="A1686" s="63"/>
      <c r="B1686" s="67"/>
      <c r="C1686" s="67"/>
      <c r="D1686" s="67"/>
      <c r="E1686" s="66"/>
      <c r="F1686" s="67"/>
      <c r="G1686" s="67"/>
      <c r="H1686" s="67"/>
      <c r="I1686" s="66"/>
    </row>
    <row r="1687" spans="1:9">
      <c r="A1687" s="63"/>
      <c r="B1687" s="67"/>
      <c r="C1687" s="66"/>
      <c r="D1687" s="67"/>
      <c r="E1687" s="67"/>
      <c r="F1687" s="67"/>
      <c r="G1687" s="67"/>
      <c r="H1687" s="67"/>
      <c r="I1687" s="66"/>
    </row>
    <row r="1688" spans="1:9">
      <c r="A1688" s="63"/>
      <c r="B1688" s="66"/>
      <c r="C1688" s="67"/>
      <c r="D1688" s="67"/>
      <c r="E1688" s="67"/>
      <c r="F1688" s="67"/>
      <c r="G1688" s="67"/>
      <c r="H1688" s="67"/>
      <c r="I1688" s="66"/>
    </row>
    <row r="1689" spans="1:9">
      <c r="A1689" s="63"/>
      <c r="B1689" s="66"/>
      <c r="C1689" s="66"/>
      <c r="D1689" s="67"/>
      <c r="E1689" s="66"/>
      <c r="F1689" s="67"/>
      <c r="G1689" s="67"/>
      <c r="H1689" s="67"/>
      <c r="I1689" s="66"/>
    </row>
    <row r="1690" spans="1:9">
      <c r="A1690" s="63"/>
      <c r="B1690" s="66"/>
      <c r="C1690" s="67"/>
      <c r="D1690" s="67"/>
      <c r="E1690" s="67"/>
      <c r="F1690" s="67"/>
      <c r="G1690" s="67"/>
      <c r="H1690" s="67"/>
      <c r="I1690" s="66"/>
    </row>
    <row r="1691" spans="1:9">
      <c r="A1691" s="63"/>
      <c r="B1691" s="66"/>
      <c r="C1691" s="67"/>
      <c r="D1691" s="67"/>
      <c r="E1691" s="67"/>
      <c r="F1691" s="67"/>
      <c r="G1691" s="67"/>
      <c r="H1691" s="67"/>
      <c r="I1691" s="66"/>
    </row>
    <row r="1692" spans="1:9">
      <c r="A1692" s="63"/>
      <c r="B1692" s="66"/>
      <c r="C1692" s="67"/>
      <c r="D1692" s="67"/>
      <c r="E1692" s="67"/>
      <c r="F1692" s="67"/>
      <c r="G1692" s="67"/>
      <c r="H1692" s="67"/>
      <c r="I1692" s="66"/>
    </row>
    <row r="1693" spans="1:9">
      <c r="A1693" s="63"/>
      <c r="B1693" s="67"/>
      <c r="C1693" s="67"/>
      <c r="D1693" s="66"/>
      <c r="E1693" s="66"/>
      <c r="F1693" s="66"/>
      <c r="G1693" s="67"/>
      <c r="H1693" s="67"/>
      <c r="I1693" s="66"/>
    </row>
    <row r="1694" spans="1:9">
      <c r="A1694" s="63"/>
      <c r="B1694" s="67"/>
      <c r="C1694" s="67"/>
      <c r="D1694" s="67"/>
      <c r="E1694" s="66"/>
      <c r="F1694" s="67"/>
      <c r="G1694" s="67"/>
      <c r="H1694" s="67"/>
      <c r="I1694" s="66"/>
    </row>
    <row r="1695" spans="1:9">
      <c r="A1695" s="63"/>
      <c r="B1695" s="66"/>
      <c r="C1695" s="67"/>
      <c r="D1695" s="67"/>
      <c r="E1695" s="67"/>
      <c r="F1695" s="67"/>
      <c r="G1695" s="67"/>
      <c r="H1695" s="67"/>
      <c r="I1695" s="66"/>
    </row>
    <row r="1696" spans="1:9">
      <c r="A1696" s="63"/>
      <c r="B1696" s="66"/>
      <c r="C1696" s="67"/>
      <c r="D1696" s="66"/>
      <c r="E1696" s="67"/>
      <c r="F1696" s="67"/>
      <c r="G1696" s="67"/>
      <c r="H1696" s="67"/>
      <c r="I1696" s="66"/>
    </row>
    <row r="1697" spans="1:9">
      <c r="A1697" s="63"/>
      <c r="B1697" s="66"/>
      <c r="C1697" s="66"/>
      <c r="D1697" s="67"/>
      <c r="E1697" s="67"/>
      <c r="F1697" s="67"/>
      <c r="G1697" s="67"/>
      <c r="H1697" s="67"/>
      <c r="I1697" s="66"/>
    </row>
    <row r="1698" spans="1:9">
      <c r="A1698" s="63"/>
      <c r="B1698" s="66"/>
      <c r="C1698" s="67"/>
      <c r="D1698" s="67"/>
      <c r="E1698" s="67"/>
      <c r="F1698" s="67"/>
      <c r="G1698" s="67"/>
      <c r="H1698" s="67"/>
      <c r="I1698" s="66"/>
    </row>
    <row r="1699" spans="1:9">
      <c r="A1699" s="63"/>
      <c r="B1699" s="66"/>
      <c r="C1699" s="66"/>
      <c r="D1699" s="67"/>
      <c r="E1699" s="67"/>
      <c r="F1699" s="67"/>
      <c r="G1699" s="67"/>
      <c r="H1699" s="67"/>
      <c r="I1699" s="66"/>
    </row>
    <row r="1700" spans="1:9">
      <c r="A1700" s="63"/>
      <c r="B1700" s="66"/>
      <c r="C1700" s="66"/>
      <c r="D1700" s="67"/>
      <c r="E1700" s="67"/>
      <c r="F1700" s="67"/>
      <c r="G1700" s="67"/>
      <c r="H1700" s="66"/>
      <c r="I1700" s="66"/>
    </row>
    <row r="1701" spans="1:9">
      <c r="A1701" s="63"/>
      <c r="B1701" s="66"/>
      <c r="C1701" s="66"/>
      <c r="D1701" s="67"/>
      <c r="E1701" s="67"/>
      <c r="F1701" s="67"/>
      <c r="G1701" s="67"/>
      <c r="H1701" s="67"/>
      <c r="I1701" s="66"/>
    </row>
    <row r="1702" spans="1:9">
      <c r="A1702" s="63"/>
      <c r="B1702" s="67"/>
      <c r="C1702" s="66"/>
      <c r="D1702" s="67"/>
      <c r="E1702" s="67"/>
      <c r="F1702" s="67"/>
      <c r="G1702" s="67"/>
      <c r="H1702" s="67"/>
      <c r="I1702" s="66"/>
    </row>
    <row r="1703" spans="1:9">
      <c r="A1703" s="63"/>
      <c r="B1703" s="67"/>
      <c r="C1703" s="67"/>
      <c r="D1703" s="67"/>
      <c r="E1703" s="67"/>
      <c r="F1703" s="67"/>
      <c r="G1703" s="66"/>
      <c r="H1703" s="67"/>
      <c r="I1703" s="66"/>
    </row>
    <row r="1704" spans="1:9">
      <c r="A1704" s="63"/>
      <c r="B1704" s="66"/>
      <c r="C1704" s="67"/>
      <c r="D1704" s="67"/>
      <c r="E1704" s="67"/>
      <c r="F1704" s="67"/>
      <c r="G1704" s="66"/>
      <c r="H1704" s="67"/>
      <c r="I1704" s="66"/>
    </row>
    <row r="1705" spans="1:9">
      <c r="A1705" s="63"/>
      <c r="B1705" s="66"/>
      <c r="C1705" s="66"/>
      <c r="D1705" s="66"/>
      <c r="E1705" s="67"/>
      <c r="F1705" s="67"/>
      <c r="G1705" s="67"/>
      <c r="H1705" s="67"/>
      <c r="I1705" s="66"/>
    </row>
    <row r="1706" spans="1:9">
      <c r="A1706" s="63"/>
      <c r="B1706" s="66"/>
      <c r="C1706" s="66"/>
      <c r="D1706" s="67"/>
      <c r="E1706" s="66"/>
      <c r="F1706" s="67"/>
      <c r="G1706" s="67"/>
      <c r="H1706" s="67"/>
      <c r="I1706" s="66"/>
    </row>
    <row r="1707" spans="1:9">
      <c r="A1707" s="63"/>
      <c r="B1707" s="66"/>
      <c r="C1707" s="66"/>
      <c r="D1707" s="67"/>
      <c r="E1707" s="67"/>
      <c r="F1707" s="67"/>
      <c r="G1707" s="67"/>
      <c r="H1707" s="66"/>
      <c r="I1707" s="66"/>
    </row>
    <row r="1708" spans="1:9">
      <c r="A1708" s="63"/>
      <c r="B1708" s="66"/>
      <c r="C1708" s="66"/>
      <c r="D1708" s="67"/>
      <c r="E1708" s="67"/>
      <c r="F1708" s="67"/>
      <c r="G1708" s="67"/>
      <c r="H1708" s="67"/>
      <c r="I1708" s="66"/>
    </row>
    <row r="1709" spans="1:9">
      <c r="A1709" s="63"/>
      <c r="B1709" s="67"/>
      <c r="C1709" s="66"/>
      <c r="D1709" s="67"/>
      <c r="E1709" s="67"/>
      <c r="F1709" s="67"/>
      <c r="G1709" s="67"/>
      <c r="H1709" s="67"/>
      <c r="I1709" s="66"/>
    </row>
    <row r="1710" spans="1:9">
      <c r="A1710" s="63"/>
      <c r="B1710" s="66"/>
      <c r="C1710" s="66"/>
      <c r="D1710" s="67"/>
      <c r="E1710" s="67"/>
      <c r="F1710" s="67"/>
      <c r="G1710" s="67"/>
      <c r="H1710" s="67"/>
      <c r="I1710" s="66"/>
    </row>
    <row r="1711" spans="1:9">
      <c r="A1711" s="63"/>
      <c r="B1711" s="66"/>
      <c r="C1711" s="67"/>
      <c r="D1711" s="67"/>
      <c r="E1711" s="67"/>
      <c r="F1711" s="67"/>
      <c r="G1711" s="67"/>
      <c r="H1711" s="67"/>
      <c r="I1711" s="66"/>
    </row>
    <row r="1712" spans="1:9">
      <c r="A1712" s="63"/>
      <c r="B1712" s="66"/>
      <c r="C1712" s="67"/>
      <c r="D1712" s="67"/>
      <c r="E1712" s="66"/>
      <c r="F1712" s="67"/>
      <c r="G1712" s="67"/>
      <c r="H1712" s="67"/>
      <c r="I1712" s="66"/>
    </row>
    <row r="1713" spans="1:9">
      <c r="A1713" s="63"/>
      <c r="B1713" s="66"/>
      <c r="C1713" s="66"/>
      <c r="D1713" s="67"/>
      <c r="E1713" s="67"/>
      <c r="F1713" s="67"/>
      <c r="G1713" s="67"/>
      <c r="H1713" s="67"/>
      <c r="I1713" s="66"/>
    </row>
    <row r="1714" spans="1:9">
      <c r="A1714" s="63"/>
      <c r="B1714" s="66"/>
      <c r="C1714" s="67"/>
      <c r="D1714" s="67"/>
      <c r="E1714" s="67"/>
      <c r="F1714" s="67"/>
      <c r="G1714" s="67"/>
      <c r="H1714" s="67"/>
      <c r="I1714" s="66"/>
    </row>
    <row r="1715" spans="1:9">
      <c r="A1715" s="63"/>
      <c r="B1715" s="67"/>
      <c r="C1715" s="66"/>
      <c r="D1715" s="67"/>
      <c r="E1715" s="67"/>
      <c r="F1715" s="67"/>
      <c r="G1715" s="67"/>
      <c r="H1715" s="67"/>
      <c r="I1715" s="66"/>
    </row>
    <row r="1716" spans="1:9">
      <c r="A1716" s="63"/>
      <c r="B1716" s="67"/>
      <c r="C1716" s="66"/>
      <c r="D1716" s="67"/>
      <c r="E1716" s="66"/>
      <c r="F1716" s="67"/>
      <c r="G1716" s="67"/>
      <c r="H1716" s="67"/>
      <c r="I1716" s="66"/>
    </row>
    <row r="1717" spans="1:9">
      <c r="A1717" s="63"/>
      <c r="B1717" s="66"/>
      <c r="C1717" s="66"/>
      <c r="D1717" s="67"/>
      <c r="E1717" s="67"/>
      <c r="F1717" s="67"/>
      <c r="G1717" s="67"/>
      <c r="H1717" s="66"/>
      <c r="I1717" s="66"/>
    </row>
    <row r="1718" spans="1:9">
      <c r="A1718" s="63"/>
      <c r="B1718" s="66"/>
      <c r="C1718" s="66"/>
      <c r="D1718" s="67"/>
      <c r="E1718" s="67"/>
      <c r="F1718" s="67"/>
      <c r="G1718" s="67"/>
      <c r="H1718" s="67"/>
      <c r="I1718" s="66"/>
    </row>
    <row r="1719" spans="1:9">
      <c r="A1719" s="63"/>
      <c r="B1719" s="66"/>
      <c r="C1719" s="66"/>
      <c r="D1719" s="67"/>
      <c r="E1719" s="67"/>
      <c r="F1719" s="67"/>
      <c r="G1719" s="67"/>
      <c r="H1719" s="67"/>
      <c r="I1719" s="66"/>
    </row>
    <row r="1720" spans="1:9">
      <c r="A1720" s="63"/>
      <c r="B1720" s="66"/>
      <c r="C1720" s="66"/>
      <c r="D1720" s="67"/>
      <c r="E1720" s="67"/>
      <c r="F1720" s="67"/>
      <c r="G1720" s="67"/>
      <c r="H1720" s="67"/>
      <c r="I1720" s="66"/>
    </row>
    <row r="1721" spans="1:9">
      <c r="A1721" s="63"/>
      <c r="B1721" s="67"/>
      <c r="C1721" s="66"/>
      <c r="D1721" s="67"/>
      <c r="E1721" s="67"/>
      <c r="F1721" s="67"/>
      <c r="G1721" s="67"/>
      <c r="H1721" s="67"/>
      <c r="I1721" s="66"/>
    </row>
    <row r="1722" spans="1:9">
      <c r="A1722" s="63"/>
      <c r="B1722" s="66"/>
      <c r="C1722" s="66"/>
      <c r="D1722" s="66"/>
      <c r="E1722" s="67"/>
      <c r="F1722" s="67"/>
      <c r="G1722" s="67"/>
      <c r="H1722" s="67"/>
      <c r="I1722" s="66"/>
    </row>
    <row r="1723" spans="1:9">
      <c r="A1723" s="63"/>
      <c r="B1723" s="66"/>
      <c r="C1723" s="66"/>
      <c r="D1723" s="67"/>
      <c r="E1723" s="66"/>
      <c r="F1723" s="67"/>
      <c r="G1723" s="67"/>
      <c r="H1723" s="67"/>
      <c r="I1723" s="66"/>
    </row>
    <row r="1724" spans="1:9">
      <c r="A1724" s="63"/>
      <c r="B1724" s="66"/>
      <c r="C1724" s="67"/>
      <c r="D1724" s="67"/>
      <c r="E1724" s="67"/>
      <c r="F1724" s="67"/>
      <c r="G1724" s="67"/>
      <c r="H1724" s="67"/>
      <c r="I1724" s="66"/>
    </row>
    <row r="1725" spans="1:9">
      <c r="A1725" s="63"/>
      <c r="B1725" s="67"/>
      <c r="C1725" s="66"/>
      <c r="D1725" s="67"/>
      <c r="E1725" s="67"/>
      <c r="F1725" s="67"/>
      <c r="G1725" s="67"/>
      <c r="H1725" s="67"/>
      <c r="I1725" s="66"/>
    </row>
    <row r="1726" spans="1:9">
      <c r="A1726" s="63"/>
      <c r="B1726" s="67"/>
      <c r="C1726" s="67"/>
      <c r="D1726" s="66"/>
      <c r="E1726" s="67"/>
      <c r="F1726" s="67"/>
      <c r="G1726" s="67"/>
      <c r="H1726" s="67"/>
      <c r="I1726" s="66"/>
    </row>
    <row r="1727" spans="1:9">
      <c r="A1727" s="63"/>
      <c r="B1727" s="66"/>
      <c r="C1727" s="67"/>
      <c r="D1727" s="67"/>
      <c r="E1727" s="67"/>
      <c r="F1727" s="67"/>
      <c r="G1727" s="67"/>
      <c r="H1727" s="67"/>
      <c r="I1727" s="66"/>
    </row>
    <row r="1728" spans="1:9">
      <c r="A1728" s="63"/>
      <c r="B1728" s="67"/>
      <c r="C1728" s="66"/>
      <c r="D1728" s="67"/>
      <c r="E1728" s="66"/>
      <c r="F1728" s="67"/>
      <c r="G1728" s="67"/>
      <c r="H1728" s="67"/>
      <c r="I1728" s="66"/>
    </row>
    <row r="1729" spans="1:9">
      <c r="A1729" s="63"/>
      <c r="B1729" s="66"/>
      <c r="C1729" s="67"/>
      <c r="D1729" s="67"/>
      <c r="E1729" s="67"/>
      <c r="F1729" s="67"/>
      <c r="G1729" s="67"/>
      <c r="H1729" s="67"/>
      <c r="I1729" s="66"/>
    </row>
    <row r="1730" spans="1:9">
      <c r="A1730" s="63"/>
      <c r="B1730" s="66"/>
      <c r="C1730" s="66"/>
      <c r="D1730" s="67"/>
      <c r="E1730" s="67"/>
      <c r="F1730" s="67"/>
      <c r="G1730" s="67"/>
      <c r="H1730" s="67"/>
      <c r="I1730" s="66"/>
    </row>
    <row r="1731" spans="1:9">
      <c r="A1731" s="63"/>
      <c r="B1731" s="66"/>
      <c r="C1731" s="66"/>
      <c r="D1731" s="67"/>
      <c r="E1731" s="67"/>
      <c r="F1731" s="67"/>
      <c r="G1731" s="67"/>
      <c r="H1731" s="67"/>
      <c r="I1731" s="66"/>
    </row>
    <row r="1732" spans="1:9">
      <c r="A1732" s="63"/>
      <c r="B1732" s="66"/>
      <c r="C1732" s="67"/>
      <c r="D1732" s="67"/>
      <c r="E1732" s="67"/>
      <c r="F1732" s="67"/>
      <c r="G1732" s="67"/>
      <c r="H1732" s="67"/>
      <c r="I1732" s="66"/>
    </row>
    <row r="1733" spans="1:9">
      <c r="A1733" s="63"/>
      <c r="B1733" s="66"/>
      <c r="C1733" s="66"/>
      <c r="D1733" s="67"/>
      <c r="E1733" s="67"/>
      <c r="F1733" s="67"/>
      <c r="G1733" s="67"/>
      <c r="H1733" s="67"/>
      <c r="I1733" s="66"/>
    </row>
    <row r="1734" spans="1:9">
      <c r="A1734" s="63"/>
      <c r="B1734" s="66"/>
      <c r="C1734" s="67"/>
      <c r="D1734" s="67"/>
      <c r="E1734" s="67"/>
      <c r="F1734" s="67"/>
      <c r="G1734" s="67"/>
      <c r="H1734" s="67"/>
      <c r="I1734" s="66"/>
    </row>
    <row r="1735" spans="1:9">
      <c r="A1735" s="63"/>
      <c r="B1735" s="66"/>
      <c r="C1735" s="66"/>
      <c r="D1735" s="67"/>
      <c r="E1735" s="67"/>
      <c r="F1735" s="67"/>
      <c r="G1735" s="67"/>
      <c r="H1735" s="67"/>
      <c r="I1735" s="66"/>
    </row>
    <row r="1736" spans="1:9">
      <c r="A1736" s="63"/>
      <c r="B1736" s="66"/>
      <c r="C1736" s="66"/>
      <c r="D1736" s="66"/>
      <c r="E1736" s="66"/>
      <c r="F1736" s="67"/>
      <c r="G1736" s="67"/>
      <c r="H1736" s="67"/>
      <c r="I1736" s="66"/>
    </row>
    <row r="1737" spans="1:9">
      <c r="A1737" s="63"/>
      <c r="B1737" s="66"/>
      <c r="C1737" s="66"/>
      <c r="D1737" s="67"/>
      <c r="E1737" s="67"/>
      <c r="F1737" s="67"/>
      <c r="G1737" s="67"/>
      <c r="H1737" s="67"/>
      <c r="I1737" s="66"/>
    </row>
    <row r="1738" spans="1:9">
      <c r="A1738" s="63"/>
      <c r="B1738" s="67"/>
      <c r="C1738" s="67"/>
      <c r="D1738" s="66"/>
      <c r="E1738" s="67"/>
      <c r="F1738" s="67"/>
      <c r="G1738" s="67"/>
      <c r="H1738" s="67"/>
      <c r="I1738" s="66"/>
    </row>
    <row r="1739" spans="1:9">
      <c r="A1739" s="63"/>
      <c r="B1739" s="66"/>
      <c r="C1739" s="66"/>
      <c r="D1739" s="67"/>
      <c r="E1739" s="67"/>
      <c r="F1739" s="67"/>
      <c r="G1739" s="67"/>
      <c r="H1739" s="67"/>
      <c r="I1739" s="66"/>
    </row>
    <row r="1740" spans="1:9">
      <c r="A1740" s="63"/>
      <c r="B1740" s="66"/>
      <c r="C1740" s="67"/>
      <c r="D1740" s="67"/>
      <c r="E1740" s="67"/>
      <c r="F1740" s="67"/>
      <c r="G1740" s="67"/>
      <c r="H1740" s="67"/>
      <c r="I1740" s="66"/>
    </row>
    <row r="1741" spans="1:9">
      <c r="A1741" s="63"/>
      <c r="B1741" s="67"/>
      <c r="C1741" s="67"/>
      <c r="D1741" s="67"/>
      <c r="E1741" s="66"/>
      <c r="F1741" s="67"/>
      <c r="G1741" s="66"/>
      <c r="H1741" s="67"/>
      <c r="I1741" s="66"/>
    </row>
    <row r="1742" spans="1:9">
      <c r="A1742" s="63"/>
      <c r="B1742" s="66"/>
      <c r="C1742" s="66"/>
      <c r="D1742" s="66"/>
      <c r="E1742" s="66"/>
      <c r="F1742" s="66"/>
      <c r="G1742" s="67"/>
      <c r="H1742" s="67"/>
      <c r="I1742" s="66"/>
    </row>
    <row r="1743" spans="1:9">
      <c r="A1743" s="63"/>
      <c r="B1743" s="66"/>
      <c r="C1743" s="66"/>
      <c r="D1743" s="66"/>
      <c r="E1743" s="66"/>
      <c r="F1743" s="67"/>
      <c r="G1743" s="67"/>
      <c r="H1743" s="67"/>
      <c r="I1743" s="66"/>
    </row>
    <row r="1744" spans="1:9">
      <c r="A1744" s="63"/>
      <c r="B1744" s="66"/>
      <c r="C1744" s="66"/>
      <c r="D1744" s="67"/>
      <c r="E1744" s="67"/>
      <c r="F1744" s="67"/>
      <c r="G1744" s="67"/>
      <c r="H1744" s="67"/>
      <c r="I1744" s="66"/>
    </row>
    <row r="1745" spans="1:9">
      <c r="A1745" s="63"/>
      <c r="B1745" s="66"/>
      <c r="C1745" s="66"/>
      <c r="D1745" s="66"/>
      <c r="E1745" s="66"/>
      <c r="F1745" s="66"/>
      <c r="G1745" s="66"/>
      <c r="H1745" s="66"/>
      <c r="I1745" s="66"/>
    </row>
    <row r="1746" spans="1:9">
      <c r="A1746" s="63"/>
      <c r="B1746" s="66"/>
      <c r="C1746" s="66"/>
      <c r="D1746" s="66"/>
      <c r="E1746" s="67"/>
      <c r="F1746" s="67"/>
      <c r="G1746" s="67"/>
      <c r="H1746" s="67"/>
      <c r="I1746" s="66"/>
    </row>
    <row r="1747" spans="1:9">
      <c r="A1747" s="64"/>
      <c r="B1747" s="66"/>
      <c r="C1747" s="66"/>
      <c r="D1747" s="66"/>
      <c r="E1747" s="66"/>
      <c r="F1747" s="66"/>
      <c r="G1747" s="66"/>
      <c r="H1747" s="66"/>
      <c r="I1747" s="66"/>
    </row>
  </sheetData>
  <mergeCells count="1">
    <mergeCell ref="A1196:A1198"/>
  </mergeCells>
  <pageMargins left="0.7" right="0.7" top="0.75" bottom="0.75" header="0.3" footer="0.3"/>
  <ignoredErrors>
    <ignoredError sqref="G13:H1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1714-DD4E-427F-BB1E-6FC6C5A091F2}">
  <dimension ref="B2:X30"/>
  <sheetViews>
    <sheetView showGridLines="0" workbookViewId="0">
      <pane xSplit="7" topLeftCell="Q1" activePane="topRight" state="frozen"/>
      <selection pane="topRight" activeCell="S30" sqref="S30"/>
    </sheetView>
  </sheetViews>
  <sheetFormatPr baseColWidth="10" defaultRowHeight="14.5"/>
  <cols>
    <col min="1" max="1" width="10.90625" style="112"/>
    <col min="2" max="2" width="5.26953125" style="112" customWidth="1"/>
    <col min="3" max="3" width="12.6328125" style="112" customWidth="1"/>
    <col min="4" max="4" width="20.26953125" style="112" hidden="1" customWidth="1"/>
    <col min="5" max="5" width="21.7265625" style="112" customWidth="1"/>
    <col min="6" max="6" width="19" style="112" customWidth="1"/>
    <col min="7" max="9" width="10.90625" style="112"/>
    <col min="10" max="10" width="15" style="112" customWidth="1"/>
    <col min="11" max="11" width="10.90625" style="112"/>
    <col min="12" max="12" width="10.90625" style="113"/>
    <col min="13" max="13" width="10.90625" style="112"/>
    <col min="14" max="14" width="15.7265625" style="112" customWidth="1"/>
    <col min="15" max="17" width="10.90625" style="112"/>
    <col min="18" max="18" width="14" style="112" customWidth="1"/>
    <col min="19" max="16384" width="10.90625" style="112"/>
  </cols>
  <sheetData>
    <row r="2" spans="2:24" s="109" customFormat="1" ht="29">
      <c r="B2" s="127" t="s">
        <v>262</v>
      </c>
      <c r="C2" s="108" t="s">
        <v>13</v>
      </c>
      <c r="D2" s="108" t="s">
        <v>3546</v>
      </c>
      <c r="E2" s="108" t="s">
        <v>3547</v>
      </c>
      <c r="F2" s="108" t="s">
        <v>3548</v>
      </c>
      <c r="J2"/>
      <c r="K2" s="128" t="s">
        <v>3570</v>
      </c>
      <c r="L2" s="128"/>
      <c r="M2"/>
      <c r="N2"/>
      <c r="O2" s="128" t="s">
        <v>3571</v>
      </c>
      <c r="P2" s="128"/>
      <c r="R2"/>
      <c r="S2" s="129" t="s">
        <v>4209</v>
      </c>
      <c r="T2" s="129"/>
      <c r="V2" s="110"/>
      <c r="W2" s="110"/>
      <c r="X2" s="121"/>
    </row>
    <row r="3" spans="2:24">
      <c r="B3" s="127"/>
      <c r="C3" s="110" t="s">
        <v>250</v>
      </c>
      <c r="D3" s="111" t="s">
        <v>3549</v>
      </c>
      <c r="E3" s="111">
        <v>0.85919999999999996</v>
      </c>
      <c r="F3" s="111">
        <v>0.91669999999999996</v>
      </c>
      <c r="J3" s="115" t="s">
        <v>2284</v>
      </c>
      <c r="K3" s="115">
        <v>2025</v>
      </c>
      <c r="L3" s="115">
        <v>2026</v>
      </c>
      <c r="M3"/>
      <c r="N3" s="115" t="s">
        <v>2284</v>
      </c>
      <c r="O3" s="115">
        <v>2025</v>
      </c>
      <c r="P3" s="115">
        <v>2026</v>
      </c>
      <c r="R3" s="115" t="s">
        <v>2284</v>
      </c>
      <c r="S3" s="115">
        <v>2025</v>
      </c>
      <c r="T3" s="115">
        <v>2026</v>
      </c>
      <c r="V3" s="110"/>
      <c r="W3" s="114"/>
      <c r="X3" s="121"/>
    </row>
    <row r="4" spans="2:24">
      <c r="B4" s="127"/>
      <c r="C4" s="110" t="s">
        <v>251</v>
      </c>
      <c r="D4" s="111" t="s">
        <v>3549</v>
      </c>
      <c r="E4" s="111">
        <v>0.86385054753629475</v>
      </c>
      <c r="F4" s="111">
        <v>0.93</v>
      </c>
      <c r="J4" s="116" t="s">
        <v>249</v>
      </c>
      <c r="K4" s="117">
        <v>0.85628214618463627</v>
      </c>
      <c r="L4" s="118">
        <v>0.89949999999999997</v>
      </c>
      <c r="M4"/>
      <c r="N4" s="116" t="s">
        <v>249</v>
      </c>
      <c r="O4" s="80">
        <v>0.91294254962177557</v>
      </c>
      <c r="P4" s="118">
        <v>0.92630000000000001</v>
      </c>
      <c r="R4" s="116" t="s">
        <v>249</v>
      </c>
      <c r="S4" s="80">
        <v>0.95530000000000004</v>
      </c>
      <c r="T4" s="118">
        <v>0.94499999999999995</v>
      </c>
      <c r="V4" s="110"/>
      <c r="W4" s="114"/>
      <c r="X4" s="121"/>
    </row>
    <row r="5" spans="2:24">
      <c r="B5" s="127"/>
      <c r="C5" s="110" t="s">
        <v>252</v>
      </c>
      <c r="D5" s="111" t="s">
        <v>3550</v>
      </c>
      <c r="E5" s="111">
        <v>0.91372283317977598</v>
      </c>
      <c r="F5" s="111">
        <v>0.94379999999999997</v>
      </c>
      <c r="J5" s="119" t="s">
        <v>28</v>
      </c>
      <c r="K5" s="117">
        <v>0.88426075144157001</v>
      </c>
      <c r="L5" s="118">
        <v>0.90659999999999996</v>
      </c>
      <c r="M5"/>
      <c r="N5" s="119" t="s">
        <v>28</v>
      </c>
      <c r="O5" s="80">
        <v>0.87980481678498712</v>
      </c>
      <c r="P5" s="118">
        <v>0.90049999999999997</v>
      </c>
      <c r="R5" s="119" t="s">
        <v>28</v>
      </c>
      <c r="S5" s="80">
        <v>0.92369999999999997</v>
      </c>
      <c r="T5" s="118">
        <v>0.93630000000000002</v>
      </c>
      <c r="V5" s="110"/>
      <c r="W5" s="114"/>
      <c r="X5" s="121"/>
    </row>
    <row r="6" spans="2:24">
      <c r="B6" s="127"/>
      <c r="C6" s="110" t="s">
        <v>253</v>
      </c>
      <c r="D6" s="111" t="s">
        <v>3551</v>
      </c>
      <c r="E6" s="111" t="s">
        <v>3552</v>
      </c>
      <c r="F6" s="111">
        <v>0.95340000000000003</v>
      </c>
      <c r="J6" s="116" t="s">
        <v>27</v>
      </c>
      <c r="K6" s="117">
        <v>0.93061943890794852</v>
      </c>
      <c r="L6" s="118">
        <v>0.91110000000000002</v>
      </c>
      <c r="M6"/>
      <c r="N6" s="116" t="s">
        <v>27</v>
      </c>
      <c r="O6" s="80">
        <v>0.94103501143824986</v>
      </c>
      <c r="P6" s="118">
        <v>0.91679999999999995</v>
      </c>
      <c r="R6" s="116" t="s">
        <v>27</v>
      </c>
      <c r="S6" s="80">
        <v>0.95120000000000005</v>
      </c>
      <c r="T6" s="118">
        <v>0.96230000000000004</v>
      </c>
      <c r="V6" s="110"/>
      <c r="W6" s="114"/>
      <c r="X6" s="121"/>
    </row>
    <row r="7" spans="2:24">
      <c r="B7" s="127"/>
      <c r="C7" s="110" t="s">
        <v>254</v>
      </c>
      <c r="D7" s="111" t="s">
        <v>3553</v>
      </c>
      <c r="E7" s="111" t="s">
        <v>3554</v>
      </c>
      <c r="F7" s="111">
        <v>0.95540000000000003</v>
      </c>
      <c r="J7" s="116" t="s">
        <v>26</v>
      </c>
      <c r="K7" s="117">
        <v>0.71743169243023464</v>
      </c>
      <c r="L7" s="118">
        <v>0.93389999999999995</v>
      </c>
      <c r="M7"/>
      <c r="N7" s="116" t="s">
        <v>26</v>
      </c>
      <c r="O7" s="80">
        <v>0.69730038375027981</v>
      </c>
      <c r="P7" s="118">
        <v>0.93410000000000004</v>
      </c>
      <c r="R7" s="116" t="s">
        <v>26</v>
      </c>
      <c r="S7" s="80">
        <v>0.82330000000000003</v>
      </c>
      <c r="T7" s="118">
        <v>0.96120000000000005</v>
      </c>
      <c r="V7" s="110"/>
      <c r="W7" s="114"/>
      <c r="X7" s="121"/>
    </row>
    <row r="8" spans="2:24">
      <c r="B8" s="127"/>
      <c r="C8" s="110" t="s">
        <v>255</v>
      </c>
      <c r="D8" s="111" t="s">
        <v>3555</v>
      </c>
      <c r="E8" s="111" t="s">
        <v>3556</v>
      </c>
      <c r="F8" s="114"/>
      <c r="J8" s="116" t="s">
        <v>25</v>
      </c>
      <c r="K8" s="117">
        <v>0.89906970228545235</v>
      </c>
      <c r="L8" s="118">
        <v>0.95230000000000004</v>
      </c>
      <c r="M8"/>
      <c r="N8" s="116" t="s">
        <v>25</v>
      </c>
      <c r="O8" s="80">
        <v>0.9273846516980383</v>
      </c>
      <c r="P8" s="118">
        <v>0.97489999999999999</v>
      </c>
      <c r="R8" s="116" t="s">
        <v>25</v>
      </c>
      <c r="S8" s="80">
        <v>0.94359999999999999</v>
      </c>
      <c r="T8" s="118">
        <v>0.96640000000000004</v>
      </c>
    </row>
    <row r="9" spans="2:24">
      <c r="B9" s="127"/>
      <c r="C9" s="110" t="s">
        <v>256</v>
      </c>
      <c r="D9" s="111" t="s">
        <v>3557</v>
      </c>
      <c r="E9" s="111" t="s">
        <v>3558</v>
      </c>
      <c r="F9" s="114"/>
      <c r="J9" s="116" t="s">
        <v>24</v>
      </c>
      <c r="K9" s="117">
        <v>0.93130343751107547</v>
      </c>
      <c r="L9" s="118">
        <v>0.90249999999999997</v>
      </c>
      <c r="M9"/>
      <c r="N9" s="116" t="s">
        <v>24</v>
      </c>
      <c r="O9" s="80">
        <v>0.93656821830285564</v>
      </c>
      <c r="P9" s="118">
        <v>0.92179999999999995</v>
      </c>
      <c r="R9" s="116" t="s">
        <v>24</v>
      </c>
      <c r="S9" s="80">
        <v>0.94610000000000005</v>
      </c>
      <c r="T9" s="118">
        <v>0.95840000000000003</v>
      </c>
    </row>
    <row r="10" spans="2:24">
      <c r="B10" s="127"/>
      <c r="C10" s="110" t="s">
        <v>257</v>
      </c>
      <c r="D10" s="111" t="s">
        <v>3559</v>
      </c>
      <c r="E10" s="111" t="s">
        <v>3560</v>
      </c>
      <c r="F10" s="114"/>
      <c r="J10" s="116" t="s">
        <v>262</v>
      </c>
      <c r="K10" s="117">
        <v>0.85919999999999996</v>
      </c>
      <c r="L10" s="118">
        <v>0.91670000000000007</v>
      </c>
      <c r="M10"/>
      <c r="N10" s="116" t="s">
        <v>262</v>
      </c>
      <c r="O10" s="80">
        <v>0.8639</v>
      </c>
      <c r="P10" s="118">
        <v>0.93</v>
      </c>
      <c r="R10" s="116" t="s">
        <v>262</v>
      </c>
      <c r="S10" s="80">
        <v>0.90920000000000001</v>
      </c>
      <c r="T10" s="118">
        <v>0.95540000000000003</v>
      </c>
    </row>
    <row r="11" spans="2:24">
      <c r="B11" s="127"/>
      <c r="C11" s="110" t="s">
        <v>258</v>
      </c>
      <c r="D11" s="111" t="s">
        <v>3561</v>
      </c>
      <c r="E11" s="111" t="s">
        <v>3562</v>
      </c>
      <c r="F11" s="114"/>
      <c r="J11"/>
      <c r="K11"/>
      <c r="L11"/>
      <c r="M11"/>
      <c r="N11"/>
      <c r="O11"/>
      <c r="P11"/>
    </row>
    <row r="12" spans="2:24">
      <c r="B12" s="127"/>
      <c r="C12" s="110" t="s">
        <v>259</v>
      </c>
      <c r="D12" s="111" t="s">
        <v>3563</v>
      </c>
      <c r="E12" s="111" t="s">
        <v>3564</v>
      </c>
      <c r="F12" s="114"/>
    </row>
    <row r="13" spans="2:24">
      <c r="B13" s="127"/>
      <c r="C13" s="110" t="s">
        <v>260</v>
      </c>
      <c r="D13" s="111" t="s">
        <v>3565</v>
      </c>
      <c r="E13" s="111" t="s">
        <v>3566</v>
      </c>
      <c r="F13" s="114"/>
    </row>
    <row r="14" spans="2:24">
      <c r="B14" s="127"/>
      <c r="C14" s="110" t="s">
        <v>261</v>
      </c>
      <c r="D14" s="111" t="s">
        <v>3567</v>
      </c>
      <c r="E14" s="111" t="s">
        <v>3568</v>
      </c>
      <c r="F14" s="114"/>
    </row>
    <row r="30" spans="11:11">
      <c r="K30" s="112" t="s">
        <v>3569</v>
      </c>
    </row>
  </sheetData>
  <mergeCells count="4">
    <mergeCell ref="B2:B14"/>
    <mergeCell ref="K2:L2"/>
    <mergeCell ref="O2:P2"/>
    <mergeCell ref="S2:T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00DF-8A04-42BE-B7A9-BD3F0FF80CEE}">
  <dimension ref="B2:D74"/>
  <sheetViews>
    <sheetView showGridLines="0" topLeftCell="A2" workbookViewId="0">
      <selection activeCell="F36" sqref="F36"/>
    </sheetView>
  </sheetViews>
  <sheetFormatPr baseColWidth="10" defaultRowHeight="14.5"/>
  <cols>
    <col min="1" max="1" width="10.90625" style="112"/>
    <col min="2" max="2" width="10.90625" style="114"/>
    <col min="3" max="3" width="13.54296875" style="114" bestFit="1" customWidth="1"/>
    <col min="4" max="4" width="25.36328125" style="114" bestFit="1" customWidth="1"/>
    <col min="5" max="16384" width="10.90625" style="112"/>
  </cols>
  <sheetData>
    <row r="2" spans="2:4">
      <c r="B2" s="120" t="s">
        <v>13</v>
      </c>
      <c r="C2" s="120" t="s">
        <v>3533</v>
      </c>
      <c r="D2" s="120" t="s">
        <v>3572</v>
      </c>
    </row>
    <row r="3" spans="2:4">
      <c r="B3" s="110">
        <v>45658</v>
      </c>
      <c r="C3" s="110" t="s">
        <v>28</v>
      </c>
      <c r="D3" s="121">
        <v>0.88426075144157001</v>
      </c>
    </row>
    <row r="4" spans="2:4">
      <c r="B4" s="110">
        <v>45658</v>
      </c>
      <c r="C4" s="114" t="s">
        <v>27</v>
      </c>
      <c r="D4" s="121">
        <v>0.93061943890794852</v>
      </c>
    </row>
    <row r="5" spans="2:4">
      <c r="B5" s="110">
        <v>45658</v>
      </c>
      <c r="C5" s="114" t="s">
        <v>249</v>
      </c>
      <c r="D5" s="121">
        <v>0.85628214618463627</v>
      </c>
    </row>
    <row r="6" spans="2:4">
      <c r="B6" s="110">
        <v>45658</v>
      </c>
      <c r="C6" s="114" t="s">
        <v>24</v>
      </c>
      <c r="D6" s="121">
        <v>0.93130343751107547</v>
      </c>
    </row>
    <row r="7" spans="2:4">
      <c r="B7" s="110">
        <v>45658</v>
      </c>
      <c r="C7" s="114" t="s">
        <v>26</v>
      </c>
      <c r="D7" s="121">
        <v>0.71743169243023464</v>
      </c>
    </row>
    <row r="8" spans="2:4">
      <c r="B8" s="110">
        <v>45658</v>
      </c>
      <c r="C8" s="114" t="s">
        <v>25</v>
      </c>
      <c r="D8" s="121">
        <v>0.89906970228545235</v>
      </c>
    </row>
    <row r="9" spans="2:4">
      <c r="B9" s="110">
        <v>45689</v>
      </c>
      <c r="C9" s="110" t="s">
        <v>28</v>
      </c>
      <c r="D9" s="121">
        <v>0.87980481678498712</v>
      </c>
    </row>
    <row r="10" spans="2:4">
      <c r="B10" s="110">
        <v>45689</v>
      </c>
      <c r="C10" s="114" t="s">
        <v>27</v>
      </c>
      <c r="D10" s="121">
        <v>0.94103501143824986</v>
      </c>
    </row>
    <row r="11" spans="2:4">
      <c r="B11" s="110">
        <v>45689</v>
      </c>
      <c r="C11" s="114" t="s">
        <v>249</v>
      </c>
      <c r="D11" s="121">
        <v>0.91294254962177557</v>
      </c>
    </row>
    <row r="12" spans="2:4">
      <c r="B12" s="110">
        <v>45689</v>
      </c>
      <c r="C12" s="114" t="s">
        <v>24</v>
      </c>
      <c r="D12" s="121">
        <v>0.93656821830285564</v>
      </c>
    </row>
    <row r="13" spans="2:4">
      <c r="B13" s="110">
        <v>45689</v>
      </c>
      <c r="C13" s="114" t="s">
        <v>26</v>
      </c>
      <c r="D13" s="121">
        <v>0.69730038375027981</v>
      </c>
    </row>
    <row r="14" spans="2:4">
      <c r="B14" s="110">
        <v>45689</v>
      </c>
      <c r="C14" s="114" t="s">
        <v>25</v>
      </c>
      <c r="D14" s="121">
        <v>0.9273846516980383</v>
      </c>
    </row>
    <row r="15" spans="2:4">
      <c r="B15" s="110">
        <v>45717</v>
      </c>
      <c r="C15" s="110" t="s">
        <v>28</v>
      </c>
      <c r="D15" s="121">
        <v>0.92365862874118221</v>
      </c>
    </row>
    <row r="16" spans="2:4">
      <c r="B16" s="110">
        <v>45717</v>
      </c>
      <c r="C16" s="114" t="s">
        <v>27</v>
      </c>
      <c r="D16" s="121">
        <v>0.95121650457243445</v>
      </c>
    </row>
    <row r="17" spans="2:4">
      <c r="B17" s="110">
        <v>45717</v>
      </c>
      <c r="C17" s="114" t="s">
        <v>249</v>
      </c>
      <c r="D17" s="121">
        <v>0.95528694007682358</v>
      </c>
    </row>
    <row r="18" spans="2:4">
      <c r="B18" s="110">
        <v>45717</v>
      </c>
      <c r="C18" s="114" t="s">
        <v>24</v>
      </c>
      <c r="D18" s="121">
        <v>0.94614235540908254</v>
      </c>
    </row>
    <row r="19" spans="2:4">
      <c r="B19" s="110">
        <v>45717</v>
      </c>
      <c r="C19" s="114" t="s">
        <v>26</v>
      </c>
      <c r="D19" s="121">
        <v>0.82332302096196752</v>
      </c>
    </row>
    <row r="20" spans="2:4">
      <c r="B20" s="110">
        <v>45717</v>
      </c>
      <c r="C20" s="114" t="s">
        <v>25</v>
      </c>
      <c r="D20" s="121">
        <v>0.94356484975777144</v>
      </c>
    </row>
    <row r="21" spans="2:4">
      <c r="B21" s="110">
        <v>45748</v>
      </c>
      <c r="C21" s="110" t="s">
        <v>28</v>
      </c>
      <c r="D21" s="121">
        <v>0.95120000000000005</v>
      </c>
    </row>
    <row r="22" spans="2:4">
      <c r="B22" s="110">
        <v>45748</v>
      </c>
      <c r="C22" s="114" t="s">
        <v>27</v>
      </c>
      <c r="D22" s="121">
        <v>0.96209999999999996</v>
      </c>
    </row>
    <row r="23" spans="2:4">
      <c r="B23" s="110">
        <v>45748</v>
      </c>
      <c r="C23" s="114" t="s">
        <v>249</v>
      </c>
      <c r="D23" s="121">
        <v>0.95528694007682358</v>
      </c>
    </row>
    <row r="24" spans="2:4">
      <c r="B24" s="110">
        <v>45748</v>
      </c>
      <c r="C24" s="114" t="s">
        <v>24</v>
      </c>
      <c r="D24" s="121">
        <v>0.94614235540908254</v>
      </c>
    </row>
    <row r="25" spans="2:4">
      <c r="B25" s="110">
        <v>45748</v>
      </c>
      <c r="C25" s="114" t="s">
        <v>26</v>
      </c>
      <c r="D25" s="121">
        <v>0.82332302096196752</v>
      </c>
    </row>
    <row r="26" spans="2:4">
      <c r="B26" s="110">
        <v>45748</v>
      </c>
      <c r="C26" s="114" t="s">
        <v>25</v>
      </c>
      <c r="D26" s="121">
        <v>0.94356484975777144</v>
      </c>
    </row>
    <row r="27" spans="2:4">
      <c r="B27" s="110">
        <v>45778</v>
      </c>
      <c r="C27" s="110" t="s">
        <v>28</v>
      </c>
      <c r="D27" s="121">
        <v>0.92365862874118221</v>
      </c>
    </row>
    <row r="28" spans="2:4">
      <c r="B28" s="110">
        <v>45778</v>
      </c>
      <c r="C28" s="114" t="s">
        <v>27</v>
      </c>
      <c r="D28" s="121">
        <v>0.95121650457243445</v>
      </c>
    </row>
    <row r="29" spans="2:4">
      <c r="B29" s="110">
        <v>45778</v>
      </c>
      <c r="C29" s="114" t="s">
        <v>249</v>
      </c>
      <c r="D29" s="121">
        <v>0.95528694007682358</v>
      </c>
    </row>
    <row r="30" spans="2:4">
      <c r="B30" s="110">
        <v>45778</v>
      </c>
      <c r="C30" s="114" t="s">
        <v>24</v>
      </c>
      <c r="D30" s="121">
        <v>0.94614235540908254</v>
      </c>
    </row>
    <row r="31" spans="2:4">
      <c r="B31" s="110">
        <v>45778</v>
      </c>
      <c r="C31" s="114" t="s">
        <v>26</v>
      </c>
      <c r="D31" s="121">
        <v>0.82332302096196752</v>
      </c>
    </row>
    <row r="32" spans="2:4">
      <c r="B32" s="110">
        <v>45778</v>
      </c>
      <c r="C32" s="114" t="s">
        <v>25</v>
      </c>
      <c r="D32" s="121">
        <v>0.94356484975777144</v>
      </c>
    </row>
    <row r="33" spans="2:4">
      <c r="B33" s="110">
        <v>45809</v>
      </c>
      <c r="C33" s="110" t="s">
        <v>28</v>
      </c>
      <c r="D33" s="121">
        <v>0.9</v>
      </c>
    </row>
    <row r="34" spans="2:4">
      <c r="B34" s="110">
        <v>45809</v>
      </c>
      <c r="C34" s="114" t="s">
        <v>27</v>
      </c>
      <c r="D34" s="121">
        <v>0.98</v>
      </c>
    </row>
    <row r="35" spans="2:4">
      <c r="B35" s="110">
        <v>45809</v>
      </c>
      <c r="C35" s="114" t="s">
        <v>249</v>
      </c>
      <c r="D35" s="121">
        <v>0.98</v>
      </c>
    </row>
    <row r="36" spans="2:4">
      <c r="B36" s="110">
        <v>45809</v>
      </c>
      <c r="C36" s="114" t="s">
        <v>24</v>
      </c>
      <c r="D36" s="121">
        <v>0.98</v>
      </c>
    </row>
    <row r="37" spans="2:4">
      <c r="B37" s="110">
        <v>45809</v>
      </c>
      <c r="C37" s="114" t="s">
        <v>26</v>
      </c>
      <c r="D37" s="121">
        <v>0.77</v>
      </c>
    </row>
    <row r="38" spans="2:4">
      <c r="B38" s="110">
        <v>45809</v>
      </c>
      <c r="C38" s="114" t="s">
        <v>25</v>
      </c>
      <c r="D38" s="121">
        <v>0.95</v>
      </c>
    </row>
    <row r="39" spans="2:4">
      <c r="B39" s="110">
        <v>45839</v>
      </c>
      <c r="C39" s="110" t="s">
        <v>28</v>
      </c>
      <c r="D39" s="121">
        <v>0.85350000000000004</v>
      </c>
    </row>
    <row r="40" spans="2:4">
      <c r="B40" s="110">
        <v>45839</v>
      </c>
      <c r="C40" s="114" t="s">
        <v>27</v>
      </c>
      <c r="D40" s="121">
        <v>0.89859999999999995</v>
      </c>
    </row>
    <row r="41" spans="2:4">
      <c r="B41" s="110">
        <v>45839</v>
      </c>
      <c r="C41" s="114" t="s">
        <v>249</v>
      </c>
      <c r="D41" s="121">
        <v>0.9536</v>
      </c>
    </row>
    <row r="42" spans="2:4">
      <c r="B42" s="110">
        <v>45839</v>
      </c>
      <c r="C42" s="114" t="s">
        <v>24</v>
      </c>
      <c r="D42" s="121">
        <v>0.92720000000000002</v>
      </c>
    </row>
    <row r="43" spans="2:4">
      <c r="B43" s="110">
        <v>45839</v>
      </c>
      <c r="C43" s="114" t="s">
        <v>26</v>
      </c>
      <c r="D43" s="121">
        <v>0.75460000000000005</v>
      </c>
    </row>
    <row r="44" spans="2:4">
      <c r="B44" s="110">
        <v>45839</v>
      </c>
      <c r="C44" s="114" t="s">
        <v>25</v>
      </c>
      <c r="D44" s="121">
        <v>0.91239999999999999</v>
      </c>
    </row>
    <row r="45" spans="2:4">
      <c r="B45" s="110">
        <v>45870</v>
      </c>
      <c r="C45" s="110" t="s">
        <v>28</v>
      </c>
      <c r="D45" s="121">
        <v>0.91300000000000003</v>
      </c>
    </row>
    <row r="46" spans="2:4">
      <c r="B46" s="110">
        <v>45870</v>
      </c>
      <c r="C46" s="114" t="s">
        <v>27</v>
      </c>
      <c r="D46" s="121">
        <v>0.9133</v>
      </c>
    </row>
    <row r="47" spans="2:4">
      <c r="B47" s="110">
        <v>45870</v>
      </c>
      <c r="C47" s="114" t="s">
        <v>249</v>
      </c>
      <c r="D47" s="121">
        <v>0.93279999999999996</v>
      </c>
    </row>
    <row r="48" spans="2:4">
      <c r="B48" s="110">
        <v>45870</v>
      </c>
      <c r="C48" s="114" t="s">
        <v>24</v>
      </c>
      <c r="D48" s="121">
        <v>0.94699999999999995</v>
      </c>
    </row>
    <row r="49" spans="2:4">
      <c r="B49" s="110">
        <v>45870</v>
      </c>
      <c r="C49" s="114" t="s">
        <v>26</v>
      </c>
      <c r="D49" s="121">
        <v>0.71870000000000001</v>
      </c>
    </row>
    <row r="50" spans="2:4">
      <c r="B50" s="110">
        <v>45870</v>
      </c>
      <c r="C50" s="114" t="s">
        <v>25</v>
      </c>
      <c r="D50" s="121">
        <v>0.92200000000000004</v>
      </c>
    </row>
    <row r="51" spans="2:4">
      <c r="B51" s="110">
        <v>45901</v>
      </c>
      <c r="C51" s="110" t="s">
        <v>28</v>
      </c>
      <c r="D51" s="121">
        <v>0.86899999999999999</v>
      </c>
    </row>
    <row r="52" spans="2:4">
      <c r="B52" s="110">
        <v>45901</v>
      </c>
      <c r="C52" s="114" t="s">
        <v>27</v>
      </c>
      <c r="D52" s="121">
        <v>0.94210000000000005</v>
      </c>
    </row>
    <row r="53" spans="2:4">
      <c r="B53" s="110">
        <v>45901</v>
      </c>
      <c r="C53" s="114" t="s">
        <v>249</v>
      </c>
      <c r="D53" s="121">
        <v>0.94699999999999995</v>
      </c>
    </row>
    <row r="54" spans="2:4">
      <c r="B54" s="110">
        <v>45901</v>
      </c>
      <c r="C54" s="114" t="s">
        <v>24</v>
      </c>
      <c r="D54" s="121">
        <v>0.9516</v>
      </c>
    </row>
    <row r="55" spans="2:4">
      <c r="B55" s="110">
        <v>45901</v>
      </c>
      <c r="C55" s="114" t="s">
        <v>26</v>
      </c>
      <c r="D55" s="121">
        <v>0.72150000000000003</v>
      </c>
    </row>
    <row r="56" spans="2:4">
      <c r="B56" s="110">
        <v>45901</v>
      </c>
      <c r="C56" s="114" t="s">
        <v>25</v>
      </c>
      <c r="D56" s="121">
        <v>0.93640000000000001</v>
      </c>
    </row>
    <row r="57" spans="2:4">
      <c r="B57" s="110">
        <v>45931</v>
      </c>
      <c r="C57" s="110" t="s">
        <v>28</v>
      </c>
      <c r="D57" s="121">
        <v>0.9123</v>
      </c>
    </row>
    <row r="58" spans="2:4">
      <c r="B58" s="110">
        <v>45931</v>
      </c>
      <c r="C58" s="114" t="s">
        <v>27</v>
      </c>
      <c r="D58" s="121">
        <v>0.95630000000000004</v>
      </c>
    </row>
    <row r="59" spans="2:4">
      <c r="B59" s="110">
        <v>45931</v>
      </c>
      <c r="C59" s="114" t="s">
        <v>249</v>
      </c>
      <c r="D59" s="121">
        <v>0.98109999999999997</v>
      </c>
    </row>
    <row r="60" spans="2:4">
      <c r="B60" s="110">
        <v>45931</v>
      </c>
      <c r="C60" s="114" t="s">
        <v>24</v>
      </c>
      <c r="D60" s="121">
        <v>0.97350000000000003</v>
      </c>
    </row>
    <row r="61" spans="2:4">
      <c r="B61" s="110">
        <v>45931</v>
      </c>
      <c r="C61" s="114" t="s">
        <v>26</v>
      </c>
      <c r="D61" s="121">
        <v>0.77129999999999999</v>
      </c>
    </row>
    <row r="62" spans="2:4">
      <c r="B62" s="110">
        <v>45931</v>
      </c>
      <c r="C62" s="114" t="s">
        <v>25</v>
      </c>
      <c r="D62" s="121">
        <v>0.97019999999999995</v>
      </c>
    </row>
    <row r="63" spans="2:4">
      <c r="B63" s="110">
        <v>45962</v>
      </c>
      <c r="C63" s="110" t="s">
        <v>28</v>
      </c>
      <c r="D63" s="121">
        <v>0.88949999999999996</v>
      </c>
    </row>
    <row r="64" spans="2:4">
      <c r="B64" s="110">
        <v>45962</v>
      </c>
      <c r="C64" s="114" t="s">
        <v>27</v>
      </c>
      <c r="D64" s="121">
        <v>0.96579999999999999</v>
      </c>
    </row>
    <row r="65" spans="2:4">
      <c r="B65" s="110">
        <v>45962</v>
      </c>
      <c r="C65" s="114" t="s">
        <v>249</v>
      </c>
      <c r="D65" s="121">
        <v>0.98109999999999997</v>
      </c>
    </row>
    <row r="66" spans="2:4">
      <c r="B66" s="110">
        <v>45962</v>
      </c>
      <c r="C66" s="114" t="s">
        <v>24</v>
      </c>
      <c r="D66" s="121">
        <v>0.98</v>
      </c>
    </row>
    <row r="67" spans="2:4">
      <c r="B67" s="110">
        <v>45962</v>
      </c>
      <c r="C67" s="114" t="s">
        <v>26</v>
      </c>
      <c r="D67" s="121">
        <v>0.95489999999999997</v>
      </c>
    </row>
    <row r="68" spans="2:4">
      <c r="B68" s="110">
        <v>45962</v>
      </c>
      <c r="C68" s="114" t="s">
        <v>25</v>
      </c>
      <c r="D68" s="121">
        <v>0.93369999999999997</v>
      </c>
    </row>
    <row r="69" spans="2:4">
      <c r="B69" s="110">
        <v>45992</v>
      </c>
      <c r="C69" s="110" t="s">
        <v>28</v>
      </c>
      <c r="D69" s="121">
        <v>0.87019999999999997</v>
      </c>
    </row>
    <row r="70" spans="2:4">
      <c r="B70" s="110">
        <v>45992</v>
      </c>
      <c r="C70" s="114" t="s">
        <v>27</v>
      </c>
      <c r="D70" s="121">
        <v>0.9365</v>
      </c>
    </row>
    <row r="71" spans="2:4">
      <c r="B71" s="110">
        <v>45992</v>
      </c>
      <c r="C71" s="114" t="s">
        <v>249</v>
      </c>
      <c r="D71" s="121">
        <v>0.96609999999999996</v>
      </c>
    </row>
    <row r="72" spans="2:4">
      <c r="B72" s="110">
        <v>45992</v>
      </c>
      <c r="C72" s="114" t="s">
        <v>24</v>
      </c>
      <c r="D72" s="121">
        <v>0.92210000000000003</v>
      </c>
    </row>
    <row r="73" spans="2:4">
      <c r="B73" s="110">
        <v>45992</v>
      </c>
      <c r="C73" s="114" t="s">
        <v>26</v>
      </c>
      <c r="D73" s="121">
        <v>0.94389999999999996</v>
      </c>
    </row>
    <row r="74" spans="2:4">
      <c r="B74" s="110">
        <v>45992</v>
      </c>
      <c r="C74" s="114" t="s">
        <v>25</v>
      </c>
      <c r="D74" s="121">
        <v>0.92330000000000001</v>
      </c>
    </row>
  </sheetData>
  <autoFilter ref="B2:D74" xr:uid="{726F4DA4-16E6-4ADA-90D9-7E82DC0848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1. DIST CUOTA 2026 RESULTADO</vt:lpstr>
      <vt:lpstr>2. REGIONES- GRUP CAD IND</vt:lpstr>
      <vt:lpstr>3. ESTADOS</vt:lpstr>
      <vt:lpstr>4. PROVEEDORES</vt:lpstr>
      <vt:lpstr>5. CATEGORIA</vt:lpstr>
      <vt:lpstr>6. TOP CLIENTES</vt:lpstr>
      <vt:lpstr>7. CXC</vt:lpstr>
      <vt:lpstr>8. CIERRE COB NACIONAL 2025</vt:lpstr>
      <vt:lpstr>CIERRE COB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Mairubi Quijada</dc:creator>
  <cp:lastModifiedBy>Mairubi Quijada</cp:lastModifiedBy>
  <dcterms:created xsi:type="dcterms:W3CDTF">2025-03-04T23:04:40Z</dcterms:created>
  <dcterms:modified xsi:type="dcterms:W3CDTF">2026-06-06T17:24:19Z</dcterms:modified>
</cp:coreProperties>
</file>